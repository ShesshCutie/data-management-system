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9440" windowHeight="11040" tabRatio="561" firstSheet="7" activeTab="9"/>
  </bookViews>
  <sheets>
    <sheet name="Fishing Gear" sheetId="1" r:id="rId1"/>
    <sheet name="Fingerling Distributed" sheetId="2" r:id="rId2"/>
    <sheet name="Seaweed Propagules" sheetId="3" r:id="rId3"/>
    <sheet name="SW Nurseries establsihed" sheetId="4" r:id="rId4"/>
    <sheet name="PH Equipment" sheetId="9" r:id="rId5"/>
    <sheet name="Market Development Services" sheetId="10" r:id="rId6"/>
    <sheet name="Permit Issuance" sheetId="12" r:id="rId7"/>
    <sheet name="Fishery Facilities and Products" sheetId="11" r:id="rId8"/>
    <sheet name="Trainings" sheetId="5" r:id="rId9"/>
    <sheet name="TA" sheetId="6" r:id="rId10"/>
    <sheet name="TechnoDemo" sheetId="7" r:id="rId11"/>
    <sheet name="IEC Materials Distributed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>#REF!</definedName>
    <definedName name="___bed1">#REF!</definedName>
    <definedName name="__123Graph_A" hidden="1">[1]PALSOMIN!$Z$18:$AA$18</definedName>
    <definedName name="__123Graph_ADCAREAQ1" hidden="1">[1]PALSOMIN!$B$29:$B$29</definedName>
    <definedName name="__123Graph_ADCAREAQ2" hidden="1">[1]PALSOMIN!$N$29:$N$29</definedName>
    <definedName name="__123Graph_ADCAREAQ3" hidden="1">[1]PALSOMIN!$AL$29:$AL$29</definedName>
    <definedName name="__123Graph_ADCAREAQ4" hidden="1">[1]PALSOMIN!$BJ$29:$BJ$29</definedName>
    <definedName name="__123Graph_ADCAREAS1" hidden="1">[1]PALSOMIN!$Z$29:$Z$29</definedName>
    <definedName name="__123Graph_ADCAREAS2" hidden="1">[1]PALSOMIN!$BT$29:$BT$29</definedName>
    <definedName name="__123Graph_ADCPRODQ1" hidden="1">[1]PALSOMIN!$B$25:$B$25</definedName>
    <definedName name="__123Graph_ADCPRODQ2" hidden="1">[1]PALSOMIN!$N$25:$N$25</definedName>
    <definedName name="__123Graph_ADCPRODQ3" hidden="1">[1]PALSOMIN!$AL$25:$AL$25</definedName>
    <definedName name="__123Graph_ADCPRODQ4" hidden="1">[1]PALSOMIN!$BJ$25:$BJ$25</definedName>
    <definedName name="__123Graph_ADCPRODS1" hidden="1">[1]PALSOMIN!$Z$25:$Z$25</definedName>
    <definedName name="__123Graph_ADCPRODS2" hidden="1">[1]PALSOMIN!$BT$25:$BT$25</definedName>
    <definedName name="__123Graph_ADCYELDQ1" hidden="1">[1]PALSOMIN!$B$33:$B$33</definedName>
    <definedName name="__123Graph_ADCYELDQ2" hidden="1">[1]PALSOMIN!$N$33:$N$33</definedName>
    <definedName name="__123Graph_ADCYELDQ3" hidden="1">[1]PALSOMIN!$AL$33:$AL$33</definedName>
    <definedName name="__123Graph_ADCYELDQ4" hidden="1">[1]PALSOMIN!$BJ$33:$BJ$33</definedName>
    <definedName name="__123Graph_ADCYELDS1" hidden="1">[1]PALSOMIN!$Z$33:$Z$33</definedName>
    <definedName name="__123Graph_ADCYELDS2" hidden="1">[1]PALSOMIN!$BT$33:$BT$33</definedName>
    <definedName name="__123Graph_ADOAREAQ1" hidden="1">[1]PALSOMIN!$B$80:$B$80</definedName>
    <definedName name="__123Graph_ADOAREAQ2" hidden="1">[1]PALSOMIN!$N$80:$N$80</definedName>
    <definedName name="__123Graph_ADOAREAQ3" hidden="1">[1]PALSOMIN!$AL$80:$AL$80</definedName>
    <definedName name="__123Graph_ADOAREAQ4" hidden="1">[1]PALSOMIN!$BJ$80:$BJ$80</definedName>
    <definedName name="__123Graph_ADOAREAS1" hidden="1">[1]PALSOMIN!$Z$80:$Z$80</definedName>
    <definedName name="__123Graph_ADOAREAS2" hidden="1">[1]PALSOMIN!$BT$80:$BT$80</definedName>
    <definedName name="__123Graph_ADOPRODQ1" hidden="1">[1]PALSOMIN!$B$76:$B$76</definedName>
    <definedName name="__123Graph_ADOPRODQ2" hidden="1">[1]PALSOMIN!$N$76:$N$76</definedName>
    <definedName name="__123Graph_ADOPRODQ3" hidden="1">[1]PALSOMIN!$AL$76:$AL$76</definedName>
    <definedName name="__123Graph_ADOPRODQ4" hidden="1">[1]PALSOMIN!$BJ$76:$BJ$76</definedName>
    <definedName name="__123Graph_ADOPRODS1" hidden="1">[1]PALSOMIN!$Z$76:$Z$76</definedName>
    <definedName name="__123Graph_ADOPRODS2" hidden="1">[1]PALSOMIN!$BT$76:$BT$76</definedName>
    <definedName name="__123Graph_ADOYELDQ1" hidden="1">[1]PALSOMIN!$B$84:$B$84</definedName>
    <definedName name="__123Graph_ADOYELDQ2" hidden="1">[1]PALSOMIN!$N$84:$N$84</definedName>
    <definedName name="__123Graph_ADOYELDQ3" hidden="1">[1]PALSOMIN!$AL$84:$AL$84</definedName>
    <definedName name="__123Graph_ADOYELDQ4" hidden="1">[1]PALSOMIN!$BJ$84:$BJ$84</definedName>
    <definedName name="__123Graph_ADOYELDS1" hidden="1">[1]PALSOMIN!$Z$84:$Z$84</definedName>
    <definedName name="__123Graph_ADOYELDS2" hidden="1">[1]PALSOMIN!$BT$84:$BT$84</definedName>
    <definedName name="__123Graph_ADSAREAQ1" hidden="1">[1]PALSOMIN!$B$97:$B$97</definedName>
    <definedName name="__123Graph_ADSAREAQ2" hidden="1">[1]PALSOMIN!$N$97:$N$97</definedName>
    <definedName name="__123Graph_ADSAREAQ3" hidden="1">[1]PALSOMIN!$AL$97:$AL$97</definedName>
    <definedName name="__123Graph_ADSAREAQ4" hidden="1">[1]PALSOMIN!$BJ$97:$BJ$97</definedName>
    <definedName name="__123Graph_ADSAREAS1" hidden="1">[1]PALSOMIN!$Z$97:$Z$97</definedName>
    <definedName name="__123Graph_ADSAREAS2" hidden="1">[1]PALSOMIN!$BT$97:$BT$97</definedName>
    <definedName name="__123Graph_ADSPRODQ1" hidden="1">[1]PALSOMIN!$B$93:$B$93</definedName>
    <definedName name="__123Graph_ADSPRODQ2" hidden="1">[1]PALSOMIN!$N$93:$N$93</definedName>
    <definedName name="__123Graph_ADSPRODQ3" hidden="1">[1]PALSOMIN!$AL$93:$AL$93</definedName>
    <definedName name="__123Graph_ADSPRODQ4" hidden="1">[1]PALSOMIN!$BJ$93:$BJ$93</definedName>
    <definedName name="__123Graph_ADSPRODS1" hidden="1">[1]PALSOMIN!$Z$93:$Z$93</definedName>
    <definedName name="__123Graph_ADSPRODS2" hidden="1">[1]PALSOMIN!$BT$93:$BT$93</definedName>
    <definedName name="__123Graph_ADSYELDQ1" hidden="1">[1]PALSOMIN!$B$101:$B$101</definedName>
    <definedName name="__123Graph_ADSYELDQ2" hidden="1">[1]PALSOMIN!$N$101:$N$101</definedName>
    <definedName name="__123Graph_ADSYELDQ3" hidden="1">[1]PALSOMIN!$AL$101:$AL$101</definedName>
    <definedName name="__123Graph_ADSYELDQ4" hidden="1">[1]PALSOMIN!$BJ$101:$BJ$101</definedName>
    <definedName name="__123Graph_ADSYELDS1" hidden="1">[1]PALSOMIN!$Z$101:$Z$101</definedName>
    <definedName name="__123Graph_ADSYELDS2" hidden="1">[1]PALSOMIN!$BT$101:$BT$101</definedName>
    <definedName name="__123Graph_APAREAQ1" hidden="1">[1]PALSOMIN!$B$14:$C$14</definedName>
    <definedName name="__123Graph_APAREAQ2" hidden="1">[1]PALSOMIN!$N$14:$O$14</definedName>
    <definedName name="__123Graph_APAREAQ3" hidden="1">[1]PALSOMIN!$AL$14:$AL$14</definedName>
    <definedName name="__123Graph_APAREAQ4" hidden="1">[1]PALSOMIN!$BJ$14:$BJ$14</definedName>
    <definedName name="__123Graph_APAREAS1" hidden="1">[1]PALSOMIN!$Z$14:$Z$14</definedName>
    <definedName name="__123Graph_APAREAS2" hidden="1">[1]PALSOMIN!$BT$14:$BT$14</definedName>
    <definedName name="__123Graph_APPRODQ1" hidden="1">[1]PALSOMIN!$B$10:$C$10</definedName>
    <definedName name="__123Graph_APPRODQ2" hidden="1">[1]PALSOMIN!$N$10:$O$10</definedName>
    <definedName name="__123Graph_APPRODQ3" hidden="1">[1]PALSOMIN!$AL$10:$AL$10</definedName>
    <definedName name="__123Graph_APPRODQ4" hidden="1">[1]PALSOMIN!$BJ$10:$BJ$10</definedName>
    <definedName name="__123Graph_APPRODS1" hidden="1">[1]PALSOMIN!$Z$10:$AA$10</definedName>
    <definedName name="__123Graph_APPRODS2" hidden="1">[1]PALSOMIN!$BT$10:$BT$10</definedName>
    <definedName name="__123Graph_APYIELDQ1" hidden="1">[1]PALSOMIN!$B$18:$C$18</definedName>
    <definedName name="__123Graph_APYIELDQ2" hidden="1">[1]PALSOMIN!$N$18:$O$18</definedName>
    <definedName name="__123Graph_APYIELDQ3" hidden="1">[1]PALSOMIN!$AL$18:$AL$18</definedName>
    <definedName name="__123Graph_APYIELDQ4" hidden="1">[1]PALSOMIN!$BJ$18:$BJ$18</definedName>
    <definedName name="__123Graph_APYIELDS1" hidden="1">[1]PALSOMIN!$Z$18:$AA$18</definedName>
    <definedName name="__123Graph_APYIELDS2" hidden="1">[1]PALSOMIN!$BT$18:$BT$18</definedName>
    <definedName name="__123Graph_B" hidden="1">[1]PALSOMIN!$Z$19:$AA$19</definedName>
    <definedName name="__123Graph_BDCAREAQ1" hidden="1">[1]PALSOMIN!$B$30:$B$30</definedName>
    <definedName name="__123Graph_BDCAREAQ2" hidden="1">[1]PALSOMIN!$N$30:$N$30</definedName>
    <definedName name="__123Graph_BDCAREAQ3" hidden="1">[1]PALSOMIN!$AL$30:$AL$30</definedName>
    <definedName name="__123Graph_BDCAREAQ4" hidden="1">[1]PALSOMIN!$BJ$30:$BJ$30</definedName>
    <definedName name="__123Graph_BDCAREAS1" hidden="1">[1]PALSOMIN!$Z$30:$Z$30</definedName>
    <definedName name="__123Graph_BDCAREAS2" hidden="1">[1]PALSOMIN!$BT$30:$BT$30</definedName>
    <definedName name="__123Graph_BDCPRODQ1" hidden="1">[1]PALSOMIN!$B$26:$B$26</definedName>
    <definedName name="__123Graph_BDCPRODQ2" hidden="1">[1]PALSOMIN!$N$26:$N$26</definedName>
    <definedName name="__123Graph_BDCPRODQ3" hidden="1">[1]PALSOMIN!$AL$26:$AL$26</definedName>
    <definedName name="__123Graph_BDCPRODQ4" hidden="1">[1]PALSOMIN!$BJ$26:$BJ$26</definedName>
    <definedName name="__123Graph_BDCPRODS1" hidden="1">[1]PALSOMIN!$Z$26:$Z$26</definedName>
    <definedName name="__123Graph_BDCPRODS2" hidden="1">[1]PALSOMIN!$BT$26:$BT$26</definedName>
    <definedName name="__123Graph_BDCYELDQ1" hidden="1">[1]PALSOMIN!$B$34:$B$34</definedName>
    <definedName name="__123Graph_BDCYELDQ2" hidden="1">[1]PALSOMIN!$N$34:$N$34</definedName>
    <definedName name="__123Graph_BDCYELDQ3" hidden="1">[1]PALSOMIN!$AL$34:$AL$34</definedName>
    <definedName name="__123Graph_BDCYELDQ4" hidden="1">[1]PALSOMIN!$BJ$34:$BJ$34</definedName>
    <definedName name="__123Graph_BDCYELDS1" hidden="1">[1]PALSOMIN!$Z$34:$Z$34</definedName>
    <definedName name="__123Graph_BDCYELDS2" hidden="1">[1]PALSOMIN!$BT$34:$BT$34</definedName>
    <definedName name="__123Graph_BDOAREAQ1" hidden="1">[1]PALSOMIN!$B$81:$B$81</definedName>
    <definedName name="__123Graph_BDOAREAQ2" hidden="1">[1]PALSOMIN!$N$81:$N$81</definedName>
    <definedName name="__123Graph_BDOAREAQ3" hidden="1">[1]PALSOMIN!$AL$81:$AL$81</definedName>
    <definedName name="__123Graph_BDOAREAQ4" hidden="1">[1]PALSOMIN!$BJ$81:$BJ$81</definedName>
    <definedName name="__123Graph_BDOAREAS1" hidden="1">[1]PALSOMIN!$Z$81:$Z$81</definedName>
    <definedName name="__123Graph_BDOAREAS2" hidden="1">[1]PALSOMIN!$BT$81:$BT$81</definedName>
    <definedName name="__123Graph_BDOPRODQ1" hidden="1">[1]PALSOMIN!$B$77:$B$77</definedName>
    <definedName name="__123Graph_BDOPRODQ2" hidden="1">[1]PALSOMIN!$N$77:$N$77</definedName>
    <definedName name="__123Graph_BDOPRODQ3" hidden="1">[1]PALSOMIN!$AL$77:$AL$77</definedName>
    <definedName name="__123Graph_BDOPRODQ4" hidden="1">[1]PALSOMIN!$BJ$77:$BJ$77</definedName>
    <definedName name="__123Graph_BDOPRODS1" hidden="1">[1]PALSOMIN!$Z$77:$Z$77</definedName>
    <definedName name="__123Graph_BDOPRODS2" hidden="1">[1]PALSOMIN!$BT$77:$BT$77</definedName>
    <definedName name="__123Graph_BDOYELDQ1" hidden="1">[1]PALSOMIN!$B$85:$B$85</definedName>
    <definedName name="__123Graph_BDOYELDQ2" hidden="1">[1]PALSOMIN!$N$85:$N$85</definedName>
    <definedName name="__123Graph_BDOYELDQ3" hidden="1">[1]PALSOMIN!$AL$85:$AL$85</definedName>
    <definedName name="__123Graph_BDOYELDQ4" hidden="1">[1]PALSOMIN!$BJ$85:$BJ$85</definedName>
    <definedName name="__123Graph_BDOYELDS1" hidden="1">[1]PALSOMIN!$Z$85:$Z$85</definedName>
    <definedName name="__123Graph_BDOYELDS2" hidden="1">[1]PALSOMIN!$BT$85:$BT$85</definedName>
    <definedName name="__123Graph_BDSAREAQ1" hidden="1">[1]PALSOMIN!$B$98:$B$98</definedName>
    <definedName name="__123Graph_BDSAREAQ2" hidden="1">[1]PALSOMIN!$N$98:$N$98</definedName>
    <definedName name="__123Graph_BDSAREAQ3" hidden="1">[1]PALSOMIN!$AL$98:$AL$98</definedName>
    <definedName name="__123Graph_BDSAREAQ4" hidden="1">[1]PALSOMIN!$BJ$98:$BJ$98</definedName>
    <definedName name="__123Graph_BDSAREAS1" hidden="1">[1]PALSOMIN!$Z$98:$Z$98</definedName>
    <definedName name="__123Graph_BDSAREAS2" hidden="1">[1]PALSOMIN!$BT$98:$BT$98</definedName>
    <definedName name="__123Graph_BDSPRODQ1" hidden="1">[1]PALSOMIN!$B$94:$B$94</definedName>
    <definedName name="__123Graph_BDSPRODQ2" hidden="1">[1]PALSOMIN!$N$94:$N$94</definedName>
    <definedName name="__123Graph_BDSPRODQ3" hidden="1">[1]PALSOMIN!$AL$94:$AL$94</definedName>
    <definedName name="__123Graph_BDSPRODQ4" hidden="1">[1]PALSOMIN!$BJ$94:$BJ$94</definedName>
    <definedName name="__123Graph_BDSPRODS1" hidden="1">[1]PALSOMIN!$Z$94:$Z$94</definedName>
    <definedName name="__123Graph_BDSPRODS2" hidden="1">[1]PALSOMIN!$BT$94:$BT$94</definedName>
    <definedName name="__123Graph_BDSYELDQ1" hidden="1">[1]PALSOMIN!$B$102:$B$102</definedName>
    <definedName name="__123Graph_BDSYELDQ2" hidden="1">[1]PALSOMIN!$N$102:$N$102</definedName>
    <definedName name="__123Graph_BDSYELDQ3" hidden="1">[1]PALSOMIN!$AL$102:$AL$102</definedName>
    <definedName name="__123Graph_BDSYELDQ4" hidden="1">[1]PALSOMIN!$BJ$102:$BJ$102</definedName>
    <definedName name="__123Graph_BDSYELDS1" hidden="1">[1]PALSOMIN!$Z$102:$Z$102</definedName>
    <definedName name="__123Graph_BDSYELDS2" hidden="1">[1]PALSOMIN!$BT$102:$BT$102</definedName>
    <definedName name="__123Graph_BPAREAQ1" hidden="1">[1]PALSOMIN!$B$15:$C$15</definedName>
    <definedName name="__123Graph_BPAREAQ2" hidden="1">[1]PALSOMIN!$N$15:$O$15</definedName>
    <definedName name="__123Graph_BPAREAQ3" hidden="1">[1]PALSOMIN!$AL$15:$AL$15</definedName>
    <definedName name="__123Graph_BPAREAQ4" hidden="1">[1]PALSOMIN!$BJ$15:$BJ$15</definedName>
    <definedName name="__123Graph_BPAREAS1" hidden="1">[1]PALSOMIN!$Z$15:$Z$15</definedName>
    <definedName name="__123Graph_BPAREAS2" hidden="1">[1]PALSOMIN!$BT$15:$BT$15</definedName>
    <definedName name="__123Graph_BPPRODQ1" hidden="1">[1]PALSOMIN!$B$11:$C$11</definedName>
    <definedName name="__123Graph_BPPRODQ2" hidden="1">[1]PALSOMIN!$N$11:$O$11</definedName>
    <definedName name="__123Graph_BPPRODQ3" hidden="1">[1]PALSOMIN!$AL$11:$AL$11</definedName>
    <definedName name="__123Graph_BPPRODQ4" hidden="1">[1]PALSOMIN!$BJ$11:$BJ$11</definedName>
    <definedName name="__123Graph_BPPRODS1" hidden="1">[1]PALSOMIN!$Z$11:$AA$11</definedName>
    <definedName name="__123Graph_BPPRODS2" hidden="1">[1]PALSOMIN!$BT$11:$BT$11</definedName>
    <definedName name="__123Graph_BPYIELDQ1" hidden="1">[1]PALSOMIN!$B$19:$C$19</definedName>
    <definedName name="__123Graph_BPYIELDQ2" hidden="1">[1]PALSOMIN!$N$19:$O$19</definedName>
    <definedName name="__123Graph_BPYIELDQ3" hidden="1">[1]PALSOMIN!$AL$19:$AL$19</definedName>
    <definedName name="__123Graph_BPYIELDQ4" hidden="1">[1]PALSOMIN!$BJ$19:$BJ$19</definedName>
    <definedName name="__123Graph_BPYIELDS1" hidden="1">[1]PALSOMIN!$Z$19:$AA$19</definedName>
    <definedName name="__123Graph_BPYIELDS2" hidden="1">[1]PALSOMIN!$BT$19:$BT$19</definedName>
    <definedName name="__123Graph_C" hidden="1">[1]PALSOMIN!$Z$17:$AA$17</definedName>
    <definedName name="__123Graph_CDCYELDQ1" hidden="1">[1]PALSOMIN!$B$32:$B$32</definedName>
    <definedName name="__123Graph_CDCYELDQ2" hidden="1">[1]PALSOMIN!$N$32:$N$32</definedName>
    <definedName name="__123Graph_CDCYELDQ3" hidden="1">[1]PALSOMIN!$AL$32:$AL$32</definedName>
    <definedName name="__123Graph_CDCYELDQ4" hidden="1">[1]PALSOMIN!$BJ$32:$BJ$32</definedName>
    <definedName name="__123Graph_CDCYELDS1" hidden="1">[1]PALSOMIN!$Z$32:$Z$32</definedName>
    <definedName name="__123Graph_CDCYELDS2" hidden="1">[1]PALSOMIN!$BT$32:$BT$32</definedName>
    <definedName name="__123Graph_CDOYELDQ1" hidden="1">[1]PALSOMIN!$B$83:$B$83</definedName>
    <definedName name="__123Graph_CDOYELDQ2" hidden="1">[1]PALSOMIN!$N$83:$N$83</definedName>
    <definedName name="__123Graph_CDOYELDQ3" hidden="1">[1]PALSOMIN!$AL$83:$AL$83</definedName>
    <definedName name="__123Graph_CDOYELDQ4" hidden="1">[1]PALSOMIN!$BJ$83:$BJ$83</definedName>
    <definedName name="__123Graph_CDOYELDS1" hidden="1">[1]PALSOMIN!$Z$83:$Z$83</definedName>
    <definedName name="__123Graph_CDOYELDS2" hidden="1">[1]PALSOMIN!$BT$83:$BT$83</definedName>
    <definedName name="__123Graph_CDSYELDQ1" hidden="1">[1]PALSOMIN!$B$100:$B$100</definedName>
    <definedName name="__123Graph_CDSYELDQ2" hidden="1">[1]PALSOMIN!$N$100:$N$100</definedName>
    <definedName name="__123Graph_CDSYELDQ3" hidden="1">[1]PALSOMIN!$AL$100:$AL$100</definedName>
    <definedName name="__123Graph_CDSYELDQ4" hidden="1">[1]PALSOMIN!$BJ$100:$BJ$100</definedName>
    <definedName name="__123Graph_CDSYELDS1" hidden="1">[1]PALSOMIN!$Z$100:$Z$100</definedName>
    <definedName name="__123Graph_CDSYELDS2" hidden="1">[1]PALSOMIN!$BT$100:$BT$100</definedName>
    <definedName name="__123Graph_CPYIELDQ1" hidden="1">[1]PALSOMIN!$B$17:$C$17</definedName>
    <definedName name="__123Graph_CPYIELDQ2" hidden="1">[1]PALSOMIN!$N$17:$O$17</definedName>
    <definedName name="__123Graph_CPYIELDQ3" hidden="1">[1]PALSOMIN!$AL$17:$AL$17</definedName>
    <definedName name="__123Graph_CPYIELDQ4" hidden="1">[1]PALSOMIN!$BJ$17:$BJ$17</definedName>
    <definedName name="__123Graph_CPYIELDS1" hidden="1">[1]PALSOMIN!$Z$17:$AA$17</definedName>
    <definedName name="__123Graph_CPYIELDS2" hidden="1">[1]PALSOMIN!$BT$17:$BT$17</definedName>
    <definedName name="__123Graph_X" hidden="1">[1]PALSOMIN!$B$6:$C$6</definedName>
    <definedName name="__123Graph_XDCAREA" hidden="1">[1]PALSOMIN!$B$5:$B$5</definedName>
    <definedName name="__123Graph_XDCAREAQ1" hidden="1">[1]PALSOMIN!$B$5:$B$5</definedName>
    <definedName name="__123Graph_XDCAREAQ2" hidden="1">[1]PALSOMIN!$B$5:$B$5</definedName>
    <definedName name="__123Graph_XDCAREAQ3" hidden="1">[1]PALSOMIN!$B$5:$B$5</definedName>
    <definedName name="__123Graph_XDCAREAQ4" hidden="1">[1]PALSOMIN!$B$5:$B$5</definedName>
    <definedName name="__123Graph_XDCAREAS1" hidden="1">[1]PALSOMIN!$B$5:$B$5</definedName>
    <definedName name="__123Graph_XDCAREAS2" hidden="1">[1]PALSOMIN!$B$5:$B$5</definedName>
    <definedName name="__123Graph_XDCPROD" hidden="1">[1]PALSOMIN!$B$5:$B$5</definedName>
    <definedName name="__123Graph_XDCPRODQ1" hidden="1">[1]PALSOMIN!$B$5:$B$5</definedName>
    <definedName name="__123Graph_XDCPRODQ2" hidden="1">[1]PALSOMIN!$B$5:$B$5</definedName>
    <definedName name="__123Graph_XDCPRODQ3" hidden="1">[1]PALSOMIN!$B$5:$B$5</definedName>
    <definedName name="__123Graph_XDCPRODQ4" hidden="1">[1]PALSOMIN!$B$5:$B$5</definedName>
    <definedName name="__123Graph_XDCPRODS1" hidden="1">[1]PALSOMIN!$B$5:$B$5</definedName>
    <definedName name="__123Graph_XDCPRODS2" hidden="1">[1]PALSOMIN!$B$5:$B$5</definedName>
    <definedName name="__123Graph_XDCYELDQ1" hidden="1">[1]PALSOMIN!$B$5:$B$5</definedName>
    <definedName name="__123Graph_XDCYELDQ2" hidden="1">[1]PALSOMIN!$B$5:$B$5</definedName>
    <definedName name="__123Graph_XDCYELDQ3" hidden="1">[1]PALSOMIN!$B$5:$B$5</definedName>
    <definedName name="__123Graph_XDCYELDQ4" hidden="1">[1]PALSOMIN!$B$5:$B$5</definedName>
    <definedName name="__123Graph_XDCYELDS1" hidden="1">[1]PALSOMIN!$B$5:$B$5</definedName>
    <definedName name="__123Graph_XDCYELDS2" hidden="1">[1]PALSOMIN!$B$5:$B$5</definedName>
    <definedName name="__123Graph_XDCYIELD" hidden="1">[1]PALSOMIN!$B$5:$B$5</definedName>
    <definedName name="__123Graph_XDOAREA" hidden="1">[1]PALSOMIN!$B$5:$B$5</definedName>
    <definedName name="__123Graph_XDOAREAQ1" hidden="1">[1]PALSOMIN!$B$5:$B$5</definedName>
    <definedName name="__123Graph_XDOAREAQ2" hidden="1">[1]PALSOMIN!$B$5:$B$5</definedName>
    <definedName name="__123Graph_XDOAREAQ3" hidden="1">[1]PALSOMIN!$B$5:$B$5</definedName>
    <definedName name="__123Graph_XDOAREAQ4" hidden="1">[1]PALSOMIN!$B$5:$B$5</definedName>
    <definedName name="__123Graph_XDOAREAS1" hidden="1">[1]PALSOMIN!$B$5:$B$5</definedName>
    <definedName name="__123Graph_XDOAREAS2" hidden="1">[1]PALSOMIN!$B$5:$B$5</definedName>
    <definedName name="__123Graph_XDOPROD" hidden="1">[1]PALSOMIN!$B$5:$B$5</definedName>
    <definedName name="__123Graph_XDOPRODQ1" hidden="1">[1]PALSOMIN!$B$5:$B$5</definedName>
    <definedName name="__123Graph_XDOPRODQ2" hidden="1">[1]PALSOMIN!$B$5:$B$5</definedName>
    <definedName name="__123Graph_XDOPRODQ3" hidden="1">[1]PALSOMIN!$B$5:$B$5</definedName>
    <definedName name="__123Graph_XDOPRODQ4" hidden="1">[1]PALSOMIN!$B$5:$B$5</definedName>
    <definedName name="__123Graph_XDOPRODS1" hidden="1">[1]PALSOMIN!$B$5:$B$5</definedName>
    <definedName name="__123Graph_XDOPRODS2" hidden="1">[1]PALSOMIN!$B$5:$B$5</definedName>
    <definedName name="__123Graph_XDOYELDQ1" hidden="1">[1]PALSOMIN!$B$5:$B$5</definedName>
    <definedName name="__123Graph_XDOYELDQ2" hidden="1">[1]PALSOMIN!$B$5:$B$5</definedName>
    <definedName name="__123Graph_XDOYELDQ3" hidden="1">[1]PALSOMIN!$B$5:$B$5</definedName>
    <definedName name="__123Graph_XDOYELDQ4" hidden="1">[1]PALSOMIN!$B$5:$B$5</definedName>
    <definedName name="__123Graph_XDOYELDS1" hidden="1">[1]PALSOMIN!$B$5:$B$5</definedName>
    <definedName name="__123Graph_XDOYELDS2" hidden="1">[1]PALSOMIN!$B$5:$B$5</definedName>
    <definedName name="__123Graph_XDOYIELD" hidden="1">[1]PALSOMIN!$B$5:$B$5</definedName>
    <definedName name="__123Graph_XDPAREA" hidden="1">[1]PALSOMIN!$B$5:$B$5</definedName>
    <definedName name="__123Graph_XDPAREAQ1" hidden="1">[1]PALSOMIN!$B$5:$B$5</definedName>
    <definedName name="__123Graph_XDPAREAQ2" hidden="1">[1]PALSOMIN!$B$5:$B$5</definedName>
    <definedName name="__123Graph_XDPAREAQ3" hidden="1">[1]PALSOMIN!$B$5:$B$5</definedName>
    <definedName name="__123Graph_XDPAREAQ4" hidden="1">[1]PALSOMIN!$B$5:$B$5</definedName>
    <definedName name="__123Graph_XDPAREAS1" hidden="1">[1]PALSOMIN!$B$5:$B$5</definedName>
    <definedName name="__123Graph_XDPAREAS2" hidden="1">[1]PALSOMIN!$B$5:$B$5</definedName>
    <definedName name="__123Graph_XDPPROD" hidden="1">[1]PALSOMIN!$B$5:$B$5</definedName>
    <definedName name="__123Graph_XDPPRODQ1" hidden="1">[1]PALSOMIN!$B$5:$B$5</definedName>
    <definedName name="__123Graph_XDPPRODQ2" hidden="1">[1]PALSOMIN!$B$5:$B$5</definedName>
    <definedName name="__123Graph_XDPPRODQ3" hidden="1">[1]PALSOMIN!$B$5:$B$5</definedName>
    <definedName name="__123Graph_XDPPRODQ4" hidden="1">[1]PALSOMIN!$B$5:$B$5</definedName>
    <definedName name="__123Graph_XDPPRODS1" hidden="1">[1]PALSOMIN!$B$5:$B$5</definedName>
    <definedName name="__123Graph_XDPPRODS2" hidden="1">[1]PALSOMIN!$B$5:$B$5</definedName>
    <definedName name="__123Graph_XDPYELDQ1" hidden="1">[1]PALSOMIN!$B$5:$B$5</definedName>
    <definedName name="__123Graph_XDPYELDQ2" hidden="1">[1]PALSOMIN!$B$5:$B$5</definedName>
    <definedName name="__123Graph_XDPYELDQ3" hidden="1">[1]PALSOMIN!$B$5:$B$5</definedName>
    <definedName name="__123Graph_XDPYELDQ4" hidden="1">[1]PALSOMIN!$B$5:$B$5</definedName>
    <definedName name="__123Graph_XDPYELDS1" hidden="1">[1]PALSOMIN!$B$5:$B$5</definedName>
    <definedName name="__123Graph_XDPYELDS2" hidden="1">[1]PALSOMIN!$B$5:$B$5</definedName>
    <definedName name="__123Graph_XDPYIELD" hidden="1">[1]PALSOMIN!$B$5:$B$5</definedName>
    <definedName name="__123Graph_XDSAREA" hidden="1">[1]PALSOMIN!$B$5:$B$5</definedName>
    <definedName name="__123Graph_XDSAREAQ1" hidden="1">[1]PALSOMIN!$B$5:$B$5</definedName>
    <definedName name="__123Graph_XDSAREAQ2" hidden="1">[1]PALSOMIN!$B$5:$B$5</definedName>
    <definedName name="__123Graph_XDSAREAQ3" hidden="1">[1]PALSOMIN!$B$5:$B$5</definedName>
    <definedName name="__123Graph_XDSAREAQ4" hidden="1">[1]PALSOMIN!$B$5:$B$5</definedName>
    <definedName name="__123Graph_XDSAREAS1" hidden="1">[1]PALSOMIN!$B$5:$B$5</definedName>
    <definedName name="__123Graph_XDSAREAS2" hidden="1">[1]PALSOMIN!$B$5:$B$5</definedName>
    <definedName name="__123Graph_XDSPROD" hidden="1">[1]PALSOMIN!$B$5:$B$5</definedName>
    <definedName name="__123Graph_XDSPRODQ1" hidden="1">[1]PALSOMIN!$B$5:$B$5</definedName>
    <definedName name="__123Graph_XDSPRODQ2" hidden="1">[1]PALSOMIN!$B$5:$B$5</definedName>
    <definedName name="__123Graph_XDSPRODQ3" hidden="1">[1]PALSOMIN!$B$5:$B$5</definedName>
    <definedName name="__123Graph_XDSPRODQ4" hidden="1">[1]PALSOMIN!$B$5:$B$5</definedName>
    <definedName name="__123Graph_XDSPRODS1" hidden="1">[1]PALSOMIN!$B$5:$B$5</definedName>
    <definedName name="__123Graph_XDSPRODS2" hidden="1">[1]PALSOMIN!$B$5:$B$5</definedName>
    <definedName name="__123Graph_XDSYELDQ1" hidden="1">[1]PALSOMIN!$B$5:$B$5</definedName>
    <definedName name="__123Graph_XDSYELDQ2" hidden="1">[1]PALSOMIN!$B$5:$B$5</definedName>
    <definedName name="__123Graph_XDSYELDQ3" hidden="1">[1]PALSOMIN!$B$5:$B$5</definedName>
    <definedName name="__123Graph_XDSYELDQ4" hidden="1">[1]PALSOMIN!$B$5:$B$5</definedName>
    <definedName name="__123Graph_XDSYELDS1" hidden="1">[1]PALSOMIN!$B$5:$B$5</definedName>
    <definedName name="__123Graph_XDSYELDS2" hidden="1">[1]PALSOMIN!$B$5:$B$5</definedName>
    <definedName name="__123Graph_XDSYIELD" hidden="1">[1]PALSOMIN!$B$5:$B$5</definedName>
    <definedName name="__123Graph_XPAREA" hidden="1">[1]PALSOMIN!$B$5:$B$5</definedName>
    <definedName name="__123Graph_XPAREAQ1" hidden="1">[1]PALSOMIN!$B$6:$C$6</definedName>
    <definedName name="__123Graph_XPAREAQ2" hidden="1">[1]PALSOMIN!$N$6:$O$6</definedName>
    <definedName name="__123Graph_XPAREAQ3" hidden="1">[1]PALSOMIN!$B$5:$B$5</definedName>
    <definedName name="__123Graph_XPAREAQ4" hidden="1">[1]PALSOMIN!$B$5:$B$5</definedName>
    <definedName name="__123Graph_XPAREAS1" hidden="1">[1]PALSOMIN!$B$5:$B$5</definedName>
    <definedName name="__123Graph_XPAREAS2" hidden="1">[1]PALSOMIN!$B$5:$B$5</definedName>
    <definedName name="__123Graph_XPPROD" hidden="1">[1]PALSOMIN!$B$5:$B$5</definedName>
    <definedName name="__123Graph_XPPRODQ1" hidden="1">[1]PALSOMIN!$B$6:$C$6</definedName>
    <definedName name="__123Graph_XPPRODQ2" hidden="1">[1]PALSOMIN!$N$6:$O$6</definedName>
    <definedName name="__123Graph_XPPRODQ3" hidden="1">[1]PALSOMIN!$B$5:$B$5</definedName>
    <definedName name="__123Graph_XPPRODQ4" hidden="1">[1]PALSOMIN!$B$5:$B$5</definedName>
    <definedName name="__123Graph_XPPRODS1" hidden="1">[1]PALSOMIN!$B$6:$C$6</definedName>
    <definedName name="__123Graph_XPPRODS2" hidden="1">[1]PALSOMIN!$B$5:$B$5</definedName>
    <definedName name="__123Graph_XPYIELD" hidden="1">[1]PALSOMIN!$B$5:$B$5</definedName>
    <definedName name="__123Graph_XPYIELDQ1" hidden="1">[1]PALSOMIN!$B$6:$C$6</definedName>
    <definedName name="__123Graph_XPYIELDQ2" hidden="1">[1]PALSOMIN!$N$6:$O$6</definedName>
    <definedName name="__123Graph_XPYIELDQ3" hidden="1">[1]PALSOMIN!$B$5:$B$5</definedName>
    <definedName name="__123Graph_XPYIELDQ4" hidden="1">[1]PALSOMIN!$B$5:$B$5</definedName>
    <definedName name="__123Graph_XPYIELDS1" hidden="1">[1]PALSOMIN!$B$6:$C$6</definedName>
    <definedName name="__123Graph_XPYIELDS2" hidden="1">[1]PALSOMIN!$B$5:$B$5</definedName>
    <definedName name="__123Graph_XSCAREA" hidden="1">[1]PALSOMIN!$B$5:$B$5</definedName>
    <definedName name="__123Graph_XSCAREAQ1" hidden="1">[1]PALSOMIN!$B$5:$B$5</definedName>
    <definedName name="__123Graph_XSCAREAQ2" hidden="1">[1]PALSOMIN!$B$5:$B$5</definedName>
    <definedName name="__123Graph_XSCAREAQ3" hidden="1">[1]PALSOMIN!$B$5:$B$5</definedName>
    <definedName name="__123Graph_XSCAREAQ4" hidden="1">[1]PALSOMIN!$B$5:$B$5</definedName>
    <definedName name="__123Graph_XSCAREAS1" hidden="1">[1]PALSOMIN!$B$5:$B$5</definedName>
    <definedName name="__123Graph_XSCAREAS2" hidden="1">[1]PALSOMIN!$B$5:$B$5</definedName>
    <definedName name="__123Graph_XSCPROD" hidden="1">[1]PALSOMIN!$B$5:$B$5</definedName>
    <definedName name="__123Graph_XSCPRODQ1" hidden="1">[1]PALSOMIN!$B$5:$B$5</definedName>
    <definedName name="__123Graph_XSCPRODQ2" hidden="1">[1]PALSOMIN!$B$5:$B$5</definedName>
    <definedName name="__123Graph_XSCPRODQ3" hidden="1">[1]PALSOMIN!$B$5:$B$5</definedName>
    <definedName name="__123Graph_XSCPRODQ4" hidden="1">[1]PALSOMIN!$B$5:$B$5</definedName>
    <definedName name="__123Graph_XSCPRODS2" hidden="1">[1]PALSOMIN!$B$5:$B$5</definedName>
    <definedName name="__123Graph_XSCYELDQ1" hidden="1">[1]PALSOMIN!$B$5:$B$5</definedName>
    <definedName name="__123Graph_XSCYELDQ2" hidden="1">[1]PALSOMIN!$B$5:$B$5</definedName>
    <definedName name="__123Graph_XSCYELDQ3" hidden="1">[1]PALSOMIN!$B$5:$B$5</definedName>
    <definedName name="__123Graph_XSCYELDQ4" hidden="1">[1]PALSOMIN!$B$5:$B$5</definedName>
    <definedName name="__123Graph_XSCYELDS1" hidden="1">[1]PALSOMIN!$B$5:$B$5</definedName>
    <definedName name="__123Graph_XSCYELDS2" hidden="1">[1]PALSOMIN!$B$5:$B$5</definedName>
    <definedName name="__123Graph_XSCYIELD" hidden="1">[1]PALSOMIN!$B$5:$B$5</definedName>
    <definedName name="__123Graph_XSPAREA" hidden="1">[1]PALSOMIN!$B$5:$B$5</definedName>
    <definedName name="__123Graph_XSPAREAQ1" hidden="1">[1]PALSOMIN!$B$5:$B$5</definedName>
    <definedName name="__123Graph_XSPAREAQ2" hidden="1">[1]PALSOMIN!$B$5:$B$5</definedName>
    <definedName name="__123Graph_XSPAREAQ3" hidden="1">[1]PALSOMIN!$B$5:$B$5</definedName>
    <definedName name="__123Graph_XSPAREAQ4" hidden="1">[1]PALSOMIN!$B$5:$B$5</definedName>
    <definedName name="__123Graph_XSPAREAS1" hidden="1">[1]PALSOMIN!$B$5:$B$5</definedName>
    <definedName name="__123Graph_XSPAREAS2" hidden="1">[1]PALSOMIN!$B$5:$B$5</definedName>
    <definedName name="__123Graph_XSPPROD" hidden="1">[1]PALSOMIN!$B$5:$B$5</definedName>
    <definedName name="__123Graph_XSPPRODQ1" hidden="1">[1]PALSOMIN!$B$5:$B$5</definedName>
    <definedName name="__123Graph_XSPPRODQ2" hidden="1">[1]PALSOMIN!$B$5:$B$5</definedName>
    <definedName name="__123Graph_XSPPRODQ4" hidden="1">[1]PALSOMIN!$B$5:$B$5</definedName>
    <definedName name="__123Graph_XSPPRODS1" hidden="1">[1]PALSOMIN!$B$5:$B$5</definedName>
    <definedName name="__123Graph_XSPPRODS2" hidden="1">[1]PALSOMIN!$B$5:$B$5</definedName>
    <definedName name="__123Graph_XSPYELDQ1" hidden="1">[1]PALSOMIN!$B$5:$B$5</definedName>
    <definedName name="__123Graph_XSPYELDQ2" hidden="1">[1]PALSOMIN!$B$5:$B$5</definedName>
    <definedName name="__123Graph_XSPYELDQ3" hidden="1">[1]PALSOMIN!$B$5:$B$5</definedName>
    <definedName name="__123Graph_XSPYELDQ4" hidden="1">[1]PALSOMIN!$B$5:$B$5</definedName>
    <definedName name="__123Graph_XSPYELDS1" hidden="1">[1]PALSOMIN!$B$5:$B$5</definedName>
    <definedName name="__123Graph_XSPYELDS2" hidden="1">[1]PALSOMIN!$B$5:$B$5</definedName>
    <definedName name="__123Graph_XSPYIELD" hidden="1">[1]PALSOMIN!$B$5:$B$5</definedName>
    <definedName name="__bed1">#REF!</definedName>
    <definedName name="__DEL23">#REF!</definedName>
    <definedName name="__shared_1_0_0">#REF!</definedName>
    <definedName name="__shared_1_0_11">#REF!</definedName>
    <definedName name="__shared_1_0_12">#REF!</definedName>
    <definedName name="__shared_1_0_13">#REF!</definedName>
    <definedName name="__shared_1_0_21">#REF!</definedName>
    <definedName name="__shared_1_0_22">#REF!</definedName>
    <definedName name="__shared_1_0_23">#REF!</definedName>
    <definedName name="__shared_1_0_31">#REF!</definedName>
    <definedName name="__shared_1_0_32">#REF!</definedName>
    <definedName name="__shared_1_0_33">#REF!</definedName>
    <definedName name="__shared_1_0_47">#REF!</definedName>
    <definedName name="__shared_1_0_48">#REF!</definedName>
    <definedName name="__shared_1_0_49">#REF!</definedName>
    <definedName name="__shared_1_0_5">#REF!</definedName>
    <definedName name="__shared_1_0_6">#REF!</definedName>
    <definedName name="__shared_1_0_63">#REF!</definedName>
    <definedName name="__shared_1_0_64">#REF!</definedName>
    <definedName name="__shared_1_0_65">#REF!</definedName>
    <definedName name="__shared_1_0_7">#REF!</definedName>
    <definedName name="__shared_1_0_79">#REF!</definedName>
    <definedName name="__shared_1_0_80">#REF!</definedName>
    <definedName name="__shared_1_0_81">#REF!</definedName>
    <definedName name="__shared_2_0_1011">#REF!</definedName>
    <definedName name="__shared_2_0_1020">#REF!</definedName>
    <definedName name="__shared_2_0_1133">#REF!</definedName>
    <definedName name="__shared_2_0_1142">#REF!</definedName>
    <definedName name="__shared_2_0_1568">#REF!</definedName>
    <definedName name="__shared_2_0_1577">#REF!</definedName>
    <definedName name="__shared_2_0_2000">#REF!</definedName>
    <definedName name="__shared_2_0_2009">#REF!</definedName>
    <definedName name="__shared_2_0_2397">#REF!</definedName>
    <definedName name="__shared_2_0_2406">#REF!</definedName>
    <definedName name="__shared_2_0_36">#REF!</definedName>
    <definedName name="__shared_2_0_52">#REF!</definedName>
    <definedName name="__shared_2_0_649">#REF!</definedName>
    <definedName name="__shared_2_0_658">#REF!</definedName>
    <definedName name="__shared_3_0_0">#REF!</definedName>
    <definedName name="__shared_3_0_10">#REF!</definedName>
    <definedName name="__shared_3_0_104">#REF!</definedName>
    <definedName name="__shared_3_0_131">#REF!</definedName>
    <definedName name="__shared_3_0_18">#REF!</definedName>
    <definedName name="__shared_3_0_34">#REF!</definedName>
    <definedName name="__shared_3_0_50">#REF!</definedName>
    <definedName name="__shared_3_0_77">#REF!</definedName>
    <definedName name="__shared_4_0_1">#REF!</definedName>
    <definedName name="__shared_4_0_22">#REF!</definedName>
    <definedName name="__shared_4_0_23">#REF!</definedName>
    <definedName name="__shared_4_0_24">#REF!</definedName>
    <definedName name="__shared_4_0_35">#REF!</definedName>
    <definedName name="__shared_4_0_36">#REF!</definedName>
    <definedName name="__shared_4_0_37">#REF!</definedName>
    <definedName name="__shared_4_0_42">#REF!</definedName>
    <definedName name="__shared_4_0_43">#REF!</definedName>
    <definedName name="__shared_4_0_44">#REF!</definedName>
    <definedName name="__shared_4_0_49">#REF!</definedName>
    <definedName name="__shared_4_0_5">#REF!</definedName>
    <definedName name="__shared_4_0_57">#REF!</definedName>
    <definedName name="__shared_4_0_58">#REF!</definedName>
    <definedName name="__shared_4_0_59">#REF!</definedName>
    <definedName name="__shared_4_0_6">#REF!</definedName>
    <definedName name="__shared_4_0_66">#REF!</definedName>
    <definedName name="__shared_4_0_67">#REF!</definedName>
    <definedName name="__shared_4_0_68">#REF!</definedName>
    <definedName name="__shared_4_0_7">#REF!</definedName>
    <definedName name="__shared_4_0_80">#REF!</definedName>
    <definedName name="__shared_4_0_81">#REF!</definedName>
    <definedName name="__shared_4_0_82">#REF!</definedName>
    <definedName name="__shared_5_0_1">#REF!</definedName>
    <definedName name="__shared_5_0_12">#REF!</definedName>
    <definedName name="__shared_5_0_13">#REF!</definedName>
    <definedName name="__shared_5_0_17">#REF!</definedName>
    <definedName name="__shared_5_0_23">#REF!</definedName>
    <definedName name="__shared_5_0_34">#REF!</definedName>
    <definedName name="__shared_5_0_36">#REF!</definedName>
    <definedName name="__shared_5_0_40">#REF!</definedName>
    <definedName name="__shared_5_0_47">#REF!</definedName>
    <definedName name="__shared_5_0_49">#REF!</definedName>
    <definedName name="__shared_5_0_5">#REF!</definedName>
    <definedName name="__shared_5_0_51">#REF!</definedName>
    <definedName name="__shared_5_0_55">#REF!</definedName>
    <definedName name="__shared_5_0_56">#REF!</definedName>
    <definedName name="__shared_5_0_59">#REF!</definedName>
    <definedName name="__shared_5_0_60">#REF!</definedName>
    <definedName name="__shared_5_0_61">#REF!</definedName>
    <definedName name="__shared_5_0_62">#REF!</definedName>
    <definedName name="__shared_5_0_63">#REF!</definedName>
    <definedName name="__shared_5_0_64">#REF!</definedName>
    <definedName name="__shared_5_0_69">#REF!</definedName>
    <definedName name="__shared_5_0_70">#REF!</definedName>
    <definedName name="__shared_5_0_71">#REF!</definedName>
    <definedName name="__shared_5_0_72">#REF!</definedName>
    <definedName name="__shared_5_0_73">#REF!</definedName>
    <definedName name="__shared_5_0_74">#REF!</definedName>
    <definedName name="__shared_5_0_86">#REF!</definedName>
    <definedName name="__xlnm.Print_Area_2">#REF!</definedName>
    <definedName name="_1">#REF!</definedName>
    <definedName name="_2">#REF!</definedName>
    <definedName name="_abc1">#REF!</definedName>
    <definedName name="_shared_1_0_0a">#REF!</definedName>
    <definedName name="_shared_1_0_12a">#REF!</definedName>
    <definedName name="_shared_1_0_1577a">#REF!</definedName>
    <definedName name="_shared_1_0_1a">#REF!</definedName>
    <definedName name="_shared_1_0_21a">#REF!</definedName>
    <definedName name="_shared_1_0_22a">#REF!</definedName>
    <definedName name="_shared_1_0_2397a">#REF!</definedName>
    <definedName name="_shared_1_0_23a">#REF!</definedName>
    <definedName name="_shared_1_0_2406a">#REF!</definedName>
    <definedName name="_shared_1_0_31a">#REF!</definedName>
    <definedName name="_shared_1_0_32a">#REF!</definedName>
    <definedName name="_shared_1_0_36a">#REF!</definedName>
    <definedName name="_shared_1_0_47a">#REF!</definedName>
    <definedName name="_shared_1_0_48a">#REF!</definedName>
    <definedName name="_shared_1_0_49a">#REF!</definedName>
    <definedName name="_shared_1_0_52a">#REF!</definedName>
    <definedName name="_shared_1_0_5a">#REF!</definedName>
    <definedName name="_shared_1_0_649a">#REF!</definedName>
    <definedName name="_shared_1_0_658a">#REF!</definedName>
    <definedName name="_shared_1_0_6a">#REF!</definedName>
    <definedName name="_shared_1_0_77a">#REF!</definedName>
    <definedName name="_shared_4_0_22a">#REF!</definedName>
    <definedName name="_shared_4_0_23a">#REF!</definedName>
    <definedName name="_shared_4_0_24a">#REF!</definedName>
    <definedName name="_shared_5_0_73a">#REF!</definedName>
    <definedName name="_shared_5_0_742a">#REF!</definedName>
    <definedName name="_SUM1">#REF!</definedName>
    <definedName name="A">#REF!</definedName>
    <definedName name="AA">#REF!</definedName>
    <definedName name="AAA">#REF!</definedName>
    <definedName name="AAAA">#REF!</definedName>
    <definedName name="aaaaaaaaa">#REF!</definedName>
    <definedName name="aaaaaaaaaaaaaaaa">#REF!</definedName>
    <definedName name="ADD">#REF!</definedName>
    <definedName name="ADDD">#REF!</definedName>
    <definedName name="ADE">#REF!</definedName>
    <definedName name="AnF_POLICY_ID">[2]m!$A$65:$A$93</definedName>
    <definedName name="as">#REF!</definedName>
    <definedName name="asd">#REF!</definedName>
    <definedName name="B">#REF!</definedName>
    <definedName name="BAG">#REF!</definedName>
    <definedName name="BantayDagat2">#REF!</definedName>
    <definedName name="Barangay_Data">#REF!</definedName>
    <definedName name="Barangays">#REF!</definedName>
    <definedName name="bed">#REF!</definedName>
    <definedName name="BN">#REF!</definedName>
    <definedName name="budget">#REF!</definedName>
    <definedName name="C_">#REF!</definedName>
    <definedName name="CASH">#REF!</definedName>
    <definedName name="CCC">#REF!</definedName>
    <definedName name="cccccc">#REF!</definedName>
    <definedName name="CNC">#REF!</definedName>
    <definedName name="Continuing">#REF!</definedName>
    <definedName name="CORN">#REF!</definedName>
    <definedName name="corn1">#REF!</definedName>
    <definedName name="corn1_1">#REF!</definedName>
    <definedName name="corn1_2">#REF!</definedName>
    <definedName name="corn1_3">#REF!</definedName>
    <definedName name="corn1_4">#REF!</definedName>
    <definedName name="corn1_5">#REF!</definedName>
    <definedName name="corn2">#REF!</definedName>
    <definedName name="corn2_1">#REF!</definedName>
    <definedName name="corn2_2">#REF!</definedName>
    <definedName name="corn2_3">#REF!</definedName>
    <definedName name="corn2_4">#REF!</definedName>
    <definedName name="corn2_5">#REF!</definedName>
    <definedName name="Corntargets2001">#REF!</definedName>
    <definedName name="CORNY">#REF!</definedName>
    <definedName name="Credit_ID">#REF!</definedName>
    <definedName name="CRIS1">#REF!</definedName>
    <definedName name="curent">#REF!</definedName>
    <definedName name="D">#REF!</definedName>
    <definedName name="DA_OSEC_ID">[2]m!$H$3:$H$26,[2]m!$H$41:$H$46,[2]m!$H$47:$H$56</definedName>
    <definedName name="dane">#REF!</definedName>
    <definedName name="dddd">#REF!</definedName>
    <definedName name="DEL">#REF!</definedName>
    <definedName name="DJDJDJDJDJDJDJJD">#REF!</definedName>
    <definedName name="dss">#REF!</definedName>
    <definedName name="E">#REF!</definedName>
    <definedName name="EEEEE">#REF!</definedName>
    <definedName name="efdqw">#REF!</definedName>
    <definedName name="END">#REF!</definedName>
    <definedName name="eo">#REF!</definedName>
    <definedName name="er">#REF!</definedName>
    <definedName name="erma">#REF!</definedName>
    <definedName name="ESETS_ID">[2]m!$A$402:$A$471</definedName>
    <definedName name="exer1">#REF!</definedName>
    <definedName name="EXERCISE">#REF!</definedName>
    <definedName name="F">#REF!</definedName>
    <definedName name="ffff">#REF!</definedName>
    <definedName name="FMR_ID">[2]m!$A$586:$A$602</definedName>
    <definedName name="forma2">#REF!</definedName>
    <definedName name="formb">#REF!</definedName>
    <definedName name="FPED2">#REF!</definedName>
    <definedName name="FRLD">#REF!</definedName>
    <definedName name="Funding_Source">[2]m!$L$10:$L$14</definedName>
    <definedName name="gg">#REF!</definedName>
    <definedName name="ggg">#REF!</definedName>
    <definedName name="gggg">#REF!</definedName>
    <definedName name="GJGHKIGHKGH">#REF!</definedName>
    <definedName name="H">#REF!</definedName>
    <definedName name="HHHH">#REF!</definedName>
    <definedName name="hkl">#REF!</definedName>
    <definedName name="hvcc">#REF!</definedName>
    <definedName name="hvcdp">#REF!</definedName>
    <definedName name="hyu">#REF!</definedName>
    <definedName name="jer">#REF!</definedName>
    <definedName name="jjj">#REF!</definedName>
    <definedName name="JJJJJ">#REF!</definedName>
    <definedName name="Justification">#REF!</definedName>
    <definedName name="KADENA">#REF!</definedName>
    <definedName name="KASUYAAN">#REF!</definedName>
    <definedName name="KKK">#REF!</definedName>
    <definedName name="kkkk">#REF!</definedName>
    <definedName name="kkkkkk">#REF!</definedName>
    <definedName name="kkkkkkkkkkkkk">#REF!</definedName>
    <definedName name="LCWY.REV.REG">#REF!</definedName>
    <definedName name="LIVESTOCK">#REF!</definedName>
    <definedName name="lll">#REF!</definedName>
    <definedName name="LYN">#REF!</definedName>
    <definedName name="m">#REF!</definedName>
    <definedName name="MA">#REF!</definedName>
    <definedName name="mais">#REF!</definedName>
    <definedName name="mais_1">#REF!</definedName>
    <definedName name="mais_2">#REF!</definedName>
    <definedName name="mais_3">#REF!</definedName>
    <definedName name="mais_4">#REF!</definedName>
    <definedName name="mais_5">#REF!</definedName>
    <definedName name="mais1">#REF!</definedName>
    <definedName name="mais1_1">#REF!</definedName>
    <definedName name="mais1_2">#REF!</definedName>
    <definedName name="mais1_3">#REF!</definedName>
    <definedName name="mais1_4">#REF!</definedName>
    <definedName name="mais1_5">#REF!</definedName>
    <definedName name="mais2">#REF!</definedName>
    <definedName name="Marketing_ID">[2]m!$A$356:$A$398</definedName>
    <definedName name="MI">#REF!</definedName>
    <definedName name="mmmm">#REF!</definedName>
    <definedName name="N">#REF!</definedName>
    <definedName name="NEDA1">#REF!</definedName>
    <definedName name="nepsum2010b">#REF!</definedName>
    <definedName name="NFA">#REF!</definedName>
    <definedName name="nnnn">#REF!</definedName>
    <definedName name="nnnnn">#REF!</definedName>
    <definedName name="o">#REF!</definedName>
    <definedName name="OFFICE_STO">'[3]2015_New List'!$H$91:$H$92</definedName>
    <definedName name="OFFICE_STO_DATA">'[3]2015_New List'!$H$91:$K$92</definedName>
    <definedName name="old">#REF!</definedName>
    <definedName name="oldchart">#REF!</definedName>
    <definedName name="ooo">#REF!</definedName>
    <definedName name="oooooo">#REF!</definedName>
    <definedName name="ooooooooo">#REF!</definedName>
    <definedName name="p">#REF!</definedName>
    <definedName name="PALAY">#REF!</definedName>
    <definedName name="PhilSCAT_2">#REF!</definedName>
    <definedName name="ppp">#REF!</definedName>
    <definedName name="PPPPPPPPPP">#REF!</definedName>
    <definedName name="_xlnm.Print_Area">'[4]MCP-sum'!#REF!</definedName>
    <definedName name="Print_Area_M_I">#REF!</definedName>
    <definedName name="Print_Area_MI">#REF!</definedName>
    <definedName name="Print_Area_MI_1">#REF!</definedName>
    <definedName name="Print_Area_MI_1a">#REF!</definedName>
    <definedName name="Print_Area_MI_2">#REF!</definedName>
    <definedName name="Print_Area_MI_2a">#REF!</definedName>
    <definedName name="Print_Area_MI_3">#REF!</definedName>
    <definedName name="Print_Area_MI_3a">#REF!</definedName>
    <definedName name="Print_Area_MI_4">#REF!</definedName>
    <definedName name="Print_Area_MI_4a">#REF!</definedName>
    <definedName name="Print_Area_MI_5">#REF!</definedName>
    <definedName name="Print_Area_MI_5a">#REF!</definedName>
    <definedName name="_xlnm.Print_Titles">#REF!</definedName>
    <definedName name="Print_Titles_MI">#REF!</definedName>
    <definedName name="Production_ID">[2]m!$A$98:$A$352</definedName>
    <definedName name="PROGRAM">#REF!</definedName>
    <definedName name="Province">'[5]Dropdown list'!$J$4:$J$8</definedName>
    <definedName name="Province_Data">[2]m!$H$3:$K$56</definedName>
    <definedName name="Q">#REF!</definedName>
    <definedName name="QWWE">#REF!</definedName>
    <definedName name="R_">#REF!</definedName>
    <definedName name="Reporting_Period">[2]m!$L$3:$L$8</definedName>
    <definedName name="Revised">#REF!</definedName>
    <definedName name="REVISED_2011_BUDGET">#REF!</definedName>
    <definedName name="RHODEL">#REF!</definedName>
    <definedName name="Ric">#REF!</definedName>
    <definedName name="rice">#REF!</definedName>
    <definedName name="Rice2013">#REF!</definedName>
    <definedName name="RICE5">#REF!</definedName>
    <definedName name="RICEAM">#REF!</definedName>
    <definedName name="sag">#REF!</definedName>
    <definedName name="sdf">#REF!</definedName>
    <definedName name="Service_Data_ESETS">[2]m!$A$401:$G$471</definedName>
    <definedName name="Service_Data_FMR">[2]m!$A$585:$G$602</definedName>
    <definedName name="Service_Data_Irrig">[2]m!$A$521:$G$582</definedName>
    <definedName name="Service_Data_Mktg">[2]m!$A$355:$G$398</definedName>
    <definedName name="Service_Data_PAEF">[2]m!$A$605:$G$844</definedName>
    <definedName name="Service_Data_Policy">[2]m!$A$64:$G$93</definedName>
    <definedName name="Service_Data_Prod">[2]m!$A$96:$G$352</definedName>
    <definedName name="SFSF">#REF!</definedName>
    <definedName name="sss">#REF!</definedName>
    <definedName name="ssssssssssssssss">#REF!</definedName>
    <definedName name="STO">#REF!</definedName>
    <definedName name="table">#REF!</definedName>
    <definedName name="table2">#REF!</definedName>
    <definedName name="TECHGEN">#REF!</definedName>
    <definedName name="tt">#REF!</definedName>
    <definedName name="UNITOFMEASURE">[6]PROC_METHODS!$C$1:$C$53</definedName>
    <definedName name="unprotected">#REF!</definedName>
    <definedName name="uuu">#REF!</definedName>
    <definedName name="UYPU">#REF!</definedName>
    <definedName name="VINCENT1">#REF!</definedName>
    <definedName name="WWW">#REF!</definedName>
    <definedName name="wwww">#REF!</definedName>
    <definedName name="wwwwww">#REF!</definedName>
    <definedName name="XX">#REF!</definedName>
    <definedName name="YI">#REF!</definedName>
    <definedName name="YO">#REF!</definedName>
  </definedNames>
  <calcPr calcId="144525"/>
</workbook>
</file>

<file path=xl/calcChain.xml><?xml version="1.0" encoding="utf-8"?>
<calcChain xmlns="http://schemas.openxmlformats.org/spreadsheetml/2006/main">
  <c r="AE938" i="3" l="1"/>
  <c r="O938" i="3"/>
  <c r="P938" i="3"/>
  <c r="Q938" i="3"/>
  <c r="R938" i="3"/>
  <c r="S938" i="3"/>
  <c r="T938" i="3"/>
  <c r="J938" i="3"/>
  <c r="K938" i="3"/>
  <c r="L938" i="3"/>
  <c r="M938" i="3"/>
  <c r="N938" i="3"/>
  <c r="J123" i="12"/>
  <c r="AG967" i="6"/>
  <c r="AF967" i="6"/>
  <c r="AE967" i="6"/>
  <c r="AD967" i="6"/>
  <c r="AC967" i="6"/>
  <c r="T967" i="6"/>
  <c r="S967" i="6"/>
  <c r="Q967" i="6"/>
  <c r="P967" i="6"/>
  <c r="O967" i="6"/>
  <c r="N967" i="6"/>
  <c r="M967" i="6"/>
  <c r="L967" i="6"/>
  <c r="K967" i="6"/>
  <c r="J967" i="6"/>
  <c r="R13" i="6" l="1"/>
  <c r="U13" i="6"/>
  <c r="V13" i="6"/>
  <c r="W13" i="6"/>
  <c r="X13" i="6"/>
  <c r="Y13" i="6"/>
  <c r="Z13" i="6"/>
  <c r="AA13" i="6"/>
  <c r="AB13" i="6"/>
  <c r="O170" i="3" l="1"/>
  <c r="R170" i="3"/>
  <c r="U170" i="3"/>
  <c r="V170" i="3"/>
  <c r="W170" i="3"/>
  <c r="X170" i="3"/>
  <c r="Z170" i="3"/>
  <c r="AA170" i="3"/>
  <c r="AB170" i="3"/>
  <c r="J14" i="3"/>
  <c r="J26" i="3"/>
  <c r="J170" i="3"/>
  <c r="AG938" i="3"/>
  <c r="AF938" i="3"/>
  <c r="AD938" i="3"/>
  <c r="AC938" i="3"/>
  <c r="AC170" i="3" s="1"/>
  <c r="T170" i="3"/>
  <c r="S170" i="3"/>
  <c r="Q170" i="3"/>
  <c r="P170" i="3"/>
  <c r="N170" i="3"/>
  <c r="M170" i="3"/>
  <c r="L170" i="3"/>
  <c r="K170" i="3"/>
  <c r="K667" i="6"/>
  <c r="L667" i="6"/>
  <c r="M667" i="6"/>
  <c r="N667" i="6"/>
  <c r="O667" i="6"/>
  <c r="P667" i="6"/>
  <c r="Q667" i="6"/>
  <c r="J667" i="6"/>
  <c r="AC667" i="6"/>
  <c r="AC385" i="6"/>
  <c r="K385" i="6"/>
  <c r="L385" i="6"/>
  <c r="M385" i="6"/>
  <c r="N385" i="6"/>
  <c r="O385" i="6"/>
  <c r="P385" i="6"/>
  <c r="Q385" i="6"/>
  <c r="Q14" i="6"/>
  <c r="J385" i="6"/>
  <c r="J73" i="12"/>
  <c r="L14" i="6"/>
  <c r="N14" i="6"/>
  <c r="N13" i="6" s="1"/>
  <c r="J14" i="6"/>
  <c r="AG50" i="8"/>
  <c r="AF50" i="8"/>
  <c r="AE50" i="8"/>
  <c r="AD50" i="8"/>
  <c r="AC50" i="8"/>
  <c r="T50" i="8"/>
  <c r="S50" i="8"/>
  <c r="Q50" i="8"/>
  <c r="P50" i="8"/>
  <c r="N50" i="8"/>
  <c r="M50" i="8"/>
  <c r="L50" i="8"/>
  <c r="K50" i="8"/>
  <c r="J50" i="8"/>
  <c r="AG38" i="8"/>
  <c r="AF38" i="8"/>
  <c r="AE38" i="8"/>
  <c r="AD38" i="8"/>
  <c r="AC38" i="8"/>
  <c r="T38" i="8"/>
  <c r="S38" i="8"/>
  <c r="Q38" i="8"/>
  <c r="P38" i="8"/>
  <c r="N38" i="8"/>
  <c r="M38" i="8"/>
  <c r="L38" i="8"/>
  <c r="K38" i="8"/>
  <c r="J38" i="8"/>
  <c r="AG26" i="8"/>
  <c r="AF26" i="8"/>
  <c r="AE26" i="8"/>
  <c r="AD26" i="8"/>
  <c r="AC26" i="8"/>
  <c r="T26" i="8"/>
  <c r="S26" i="8"/>
  <c r="Q26" i="8"/>
  <c r="P26" i="8"/>
  <c r="N26" i="8"/>
  <c r="M26" i="8"/>
  <c r="L26" i="8"/>
  <c r="K26" i="8"/>
  <c r="J26" i="8"/>
  <c r="AG14" i="8"/>
  <c r="AF14" i="8"/>
  <c r="AE14" i="8"/>
  <c r="AD14" i="8"/>
  <c r="AD13" i="8"/>
  <c r="AC14" i="8"/>
  <c r="T14" i="8"/>
  <c r="S14" i="8"/>
  <c r="S13" i="8"/>
  <c r="J7" i="8" s="1"/>
  <c r="Q14" i="8"/>
  <c r="Q13" i="8"/>
  <c r="P14" i="8"/>
  <c r="P13" i="8" s="1"/>
  <c r="N14" i="8"/>
  <c r="N13" i="8"/>
  <c r="M14" i="8"/>
  <c r="M13" i="8" s="1"/>
  <c r="L14" i="8"/>
  <c r="L13" i="8"/>
  <c r="K14" i="8"/>
  <c r="K13" i="8" s="1"/>
  <c r="J5" i="8" s="1"/>
  <c r="J14" i="8"/>
  <c r="J13" i="8" s="1"/>
  <c r="J4" i="8" s="1"/>
  <c r="T13" i="8"/>
  <c r="K8" i="8"/>
  <c r="K7" i="8"/>
  <c r="K5" i="8"/>
  <c r="K4" i="8"/>
  <c r="K6" i="8" s="1"/>
  <c r="AG50" i="7"/>
  <c r="AF50" i="7"/>
  <c r="AE50" i="7"/>
  <c r="AD50" i="7"/>
  <c r="AC50" i="7"/>
  <c r="T50" i="7"/>
  <c r="S50" i="7"/>
  <c r="Q50" i="7"/>
  <c r="P50" i="7"/>
  <c r="N50" i="7"/>
  <c r="M50" i="7"/>
  <c r="L50" i="7"/>
  <c r="K50" i="7"/>
  <c r="J50" i="7"/>
  <c r="AG38" i="7"/>
  <c r="AF38" i="7"/>
  <c r="AE38" i="7"/>
  <c r="AD38" i="7"/>
  <c r="AC38" i="7"/>
  <c r="T38" i="7"/>
  <c r="S38" i="7"/>
  <c r="Q38" i="7"/>
  <c r="P38" i="7"/>
  <c r="N38" i="7"/>
  <c r="M38" i="7"/>
  <c r="L38" i="7"/>
  <c r="K38" i="7"/>
  <c r="J38" i="7"/>
  <c r="AG26" i="7"/>
  <c r="AF26" i="7"/>
  <c r="AE26" i="7"/>
  <c r="AD26" i="7"/>
  <c r="AC26" i="7"/>
  <c r="T26" i="7"/>
  <c r="T14" i="7"/>
  <c r="T13" i="7"/>
  <c r="S26" i="7"/>
  <c r="Q26" i="7"/>
  <c r="P26" i="7"/>
  <c r="N26" i="7"/>
  <c r="M26" i="7"/>
  <c r="L26" i="7"/>
  <c r="K26" i="7"/>
  <c r="J26" i="7"/>
  <c r="J14" i="7"/>
  <c r="AG14" i="7"/>
  <c r="AF14" i="7"/>
  <c r="AE14" i="7"/>
  <c r="AD14" i="7"/>
  <c r="AD13" i="7"/>
  <c r="AC14" i="7"/>
  <c r="AC13" i="7"/>
  <c r="J8" i="7" s="1"/>
  <c r="S14" i="7"/>
  <c r="S13" i="7" s="1"/>
  <c r="J7" i="7" s="1"/>
  <c r="Q14" i="7"/>
  <c r="P14" i="7"/>
  <c r="N14" i="7"/>
  <c r="M14" i="7"/>
  <c r="L14" i="7"/>
  <c r="K14" i="7"/>
  <c r="K13" i="7"/>
  <c r="J5" i="7" s="1"/>
  <c r="K8" i="7"/>
  <c r="K7" i="7"/>
  <c r="K5" i="7"/>
  <c r="K4" i="7"/>
  <c r="K6" i="7" s="1"/>
  <c r="AG667" i="6"/>
  <c r="AG385" i="6" s="1"/>
  <c r="AF667" i="6"/>
  <c r="AF385" i="6" s="1"/>
  <c r="AE667" i="6"/>
  <c r="AE385" i="6" s="1"/>
  <c r="AD667" i="6"/>
  <c r="AD385" i="6" s="1"/>
  <c r="AD14" i="6"/>
  <c r="AD13" i="6" s="1"/>
  <c r="T667" i="6"/>
  <c r="S667" i="6"/>
  <c r="S385" i="6" s="1"/>
  <c r="T385" i="6"/>
  <c r="S14" i="6"/>
  <c r="M14" i="6"/>
  <c r="AG14" i="6"/>
  <c r="AF14" i="6"/>
  <c r="AE14" i="6"/>
  <c r="AC14" i="6"/>
  <c r="T14" i="6"/>
  <c r="T13" i="6" s="1"/>
  <c r="P14" i="6"/>
  <c r="K14" i="6"/>
  <c r="K8" i="6"/>
  <c r="K7" i="6"/>
  <c r="K5" i="6"/>
  <c r="K4" i="6"/>
  <c r="AG52" i="5"/>
  <c r="AF52" i="5"/>
  <c r="AE52" i="5"/>
  <c r="AD52" i="5"/>
  <c r="AC52" i="5"/>
  <c r="T52" i="5"/>
  <c r="S52" i="5"/>
  <c r="Q52" i="5"/>
  <c r="P52" i="5"/>
  <c r="N52" i="5"/>
  <c r="M52" i="5"/>
  <c r="L52" i="5"/>
  <c r="K52" i="5"/>
  <c r="J52" i="5"/>
  <c r="AG40" i="5"/>
  <c r="AF40" i="5"/>
  <c r="AE40" i="5"/>
  <c r="AD40" i="5"/>
  <c r="AC40" i="5"/>
  <c r="T40" i="5"/>
  <c r="S40" i="5"/>
  <c r="Q40" i="5"/>
  <c r="P40" i="5"/>
  <c r="N40" i="5"/>
  <c r="M40" i="5"/>
  <c r="L40" i="5"/>
  <c r="K40" i="5"/>
  <c r="J40" i="5"/>
  <c r="AG26" i="5"/>
  <c r="AF26" i="5"/>
  <c r="AE26" i="5"/>
  <c r="AD26" i="5"/>
  <c r="AC26" i="5"/>
  <c r="T26" i="5"/>
  <c r="S26" i="5"/>
  <c r="Q26" i="5"/>
  <c r="P26" i="5"/>
  <c r="N26" i="5"/>
  <c r="M26" i="5"/>
  <c r="L26" i="5"/>
  <c r="K26" i="5"/>
  <c r="J26" i="5"/>
  <c r="AG14" i="5"/>
  <c r="AF14" i="5"/>
  <c r="AE14" i="5"/>
  <c r="AD14" i="5"/>
  <c r="AC14" i="5"/>
  <c r="T14" i="5"/>
  <c r="S14" i="5"/>
  <c r="S13" i="5" s="1"/>
  <c r="J7" i="5" s="1"/>
  <c r="Q14" i="5"/>
  <c r="P14" i="5"/>
  <c r="N14" i="5"/>
  <c r="M14" i="5"/>
  <c r="M13" i="5" s="1"/>
  <c r="L14" i="5"/>
  <c r="K14" i="5"/>
  <c r="K13" i="5"/>
  <c r="J5" i="5" s="1"/>
  <c r="J14" i="5"/>
  <c r="K8" i="5"/>
  <c r="K7" i="5"/>
  <c r="K5" i="5"/>
  <c r="K4" i="5"/>
  <c r="J37" i="12"/>
  <c r="AG14" i="12"/>
  <c r="AF14" i="12"/>
  <c r="AE14" i="12"/>
  <c r="AD14" i="12"/>
  <c r="AC14" i="12"/>
  <c r="T14" i="12"/>
  <c r="S14" i="12"/>
  <c r="Q14" i="12"/>
  <c r="P14" i="12"/>
  <c r="N14" i="12"/>
  <c r="M14" i="12"/>
  <c r="L14" i="12"/>
  <c r="K14" i="12"/>
  <c r="J14" i="12"/>
  <c r="K8" i="12"/>
  <c r="K7" i="12"/>
  <c r="K5" i="12"/>
  <c r="K4" i="12"/>
  <c r="AG50" i="11"/>
  <c r="AF50" i="11"/>
  <c r="AE50" i="11"/>
  <c r="AD50" i="11"/>
  <c r="AC50" i="11"/>
  <c r="T50" i="11"/>
  <c r="S50" i="11"/>
  <c r="Q50" i="11"/>
  <c r="P50" i="11"/>
  <c r="N50" i="11"/>
  <c r="M50" i="11"/>
  <c r="L50" i="11"/>
  <c r="K50" i="11"/>
  <c r="J50" i="11"/>
  <c r="AG38" i="11"/>
  <c r="AF38" i="11"/>
  <c r="AE38" i="11"/>
  <c r="AD38" i="11"/>
  <c r="AC38" i="11"/>
  <c r="T38" i="11"/>
  <c r="S38" i="11"/>
  <c r="Q38" i="11"/>
  <c r="P38" i="11"/>
  <c r="N38" i="11"/>
  <c r="M38" i="11"/>
  <c r="L38" i="11"/>
  <c r="K38" i="11"/>
  <c r="J38" i="11"/>
  <c r="AG26" i="11"/>
  <c r="AF26" i="11"/>
  <c r="AE26" i="11"/>
  <c r="AD26" i="11"/>
  <c r="AC26" i="11"/>
  <c r="T26" i="11"/>
  <c r="S26" i="11"/>
  <c r="Q26" i="11"/>
  <c r="P26" i="11"/>
  <c r="N26" i="11"/>
  <c r="M26" i="11"/>
  <c r="L26" i="11"/>
  <c r="K26" i="11"/>
  <c r="J26" i="11"/>
  <c r="AG14" i="11"/>
  <c r="AF14" i="11"/>
  <c r="AE14" i="11"/>
  <c r="AD14" i="11"/>
  <c r="AC14" i="11"/>
  <c r="T14" i="11"/>
  <c r="S14" i="11"/>
  <c r="Q14" i="11"/>
  <c r="Q13" i="11"/>
  <c r="P14" i="11"/>
  <c r="N14" i="11"/>
  <c r="M14" i="11"/>
  <c r="L14" i="11"/>
  <c r="L13" i="11" s="1"/>
  <c r="K14" i="11"/>
  <c r="J14" i="11"/>
  <c r="K8" i="11"/>
  <c r="K7" i="11"/>
  <c r="K5" i="11"/>
  <c r="K4" i="11"/>
  <c r="AG50" i="10"/>
  <c r="AF50" i="10"/>
  <c r="AE50" i="10"/>
  <c r="AD50" i="10"/>
  <c r="AC50" i="10"/>
  <c r="T50" i="10"/>
  <c r="S50" i="10"/>
  <c r="Q50" i="10"/>
  <c r="P50" i="10"/>
  <c r="N50" i="10"/>
  <c r="M50" i="10"/>
  <c r="L50" i="10"/>
  <c r="K50" i="10"/>
  <c r="J50" i="10"/>
  <c r="AG38" i="10"/>
  <c r="AF38" i="10"/>
  <c r="AE38" i="10"/>
  <c r="AD38" i="10"/>
  <c r="AC38" i="10"/>
  <c r="T38" i="10"/>
  <c r="S38" i="10"/>
  <c r="Q38" i="10"/>
  <c r="P38" i="10"/>
  <c r="N38" i="10"/>
  <c r="M38" i="10"/>
  <c r="L38" i="10"/>
  <c r="K38" i="10"/>
  <c r="J38" i="10"/>
  <c r="AG26" i="10"/>
  <c r="AF26" i="10"/>
  <c r="AE26" i="10"/>
  <c r="AD26" i="10"/>
  <c r="AC26" i="10"/>
  <c r="T26" i="10"/>
  <c r="S26" i="10"/>
  <c r="Q26" i="10"/>
  <c r="P26" i="10"/>
  <c r="N26" i="10"/>
  <c r="M26" i="10"/>
  <c r="L26" i="10"/>
  <c r="K26" i="10"/>
  <c r="J26" i="10"/>
  <c r="J14" i="10"/>
  <c r="AG14" i="10"/>
  <c r="AF14" i="10"/>
  <c r="AE14" i="10"/>
  <c r="AD14" i="10"/>
  <c r="AD13" i="10"/>
  <c r="AC14" i="10"/>
  <c r="AC13" i="10" s="1"/>
  <c r="J8" i="10" s="1"/>
  <c r="T14" i="10"/>
  <c r="T13" i="10" s="1"/>
  <c r="S14" i="10"/>
  <c r="Q14" i="10"/>
  <c r="Q13" i="10" s="1"/>
  <c r="P14" i="10"/>
  <c r="P13" i="10" s="1"/>
  <c r="N14" i="10"/>
  <c r="M14" i="10"/>
  <c r="L14" i="10"/>
  <c r="L13" i="10"/>
  <c r="K14" i="10"/>
  <c r="K8" i="10"/>
  <c r="K7" i="10"/>
  <c r="K5" i="10"/>
  <c r="K4" i="10"/>
  <c r="AG50" i="9"/>
  <c r="AF50" i="9"/>
  <c r="AE50" i="9"/>
  <c r="AD50" i="9"/>
  <c r="AC50" i="9"/>
  <c r="T50" i="9"/>
  <c r="S50" i="9"/>
  <c r="Q50" i="9"/>
  <c r="P50" i="9"/>
  <c r="N50" i="9"/>
  <c r="M50" i="9"/>
  <c r="L50" i="9"/>
  <c r="K50" i="9"/>
  <c r="J50" i="9"/>
  <c r="AG38" i="9"/>
  <c r="AF38" i="9"/>
  <c r="AE38" i="9"/>
  <c r="AD38" i="9"/>
  <c r="AC38" i="9"/>
  <c r="T38" i="9"/>
  <c r="S38" i="9"/>
  <c r="Q38" i="9"/>
  <c r="P38" i="9"/>
  <c r="N38" i="9"/>
  <c r="M38" i="9"/>
  <c r="L38" i="9"/>
  <c r="K38" i="9"/>
  <c r="J38" i="9"/>
  <c r="AG26" i="9"/>
  <c r="AF26" i="9"/>
  <c r="AE26" i="9"/>
  <c r="AD26" i="9"/>
  <c r="AC26" i="9"/>
  <c r="T26" i="9"/>
  <c r="S26" i="9"/>
  <c r="Q26" i="9"/>
  <c r="P26" i="9"/>
  <c r="N26" i="9"/>
  <c r="M26" i="9"/>
  <c r="L26" i="9"/>
  <c r="K26" i="9"/>
  <c r="J26" i="9"/>
  <c r="AG14" i="9"/>
  <c r="AF14" i="9"/>
  <c r="AE14" i="9"/>
  <c r="AD14" i="9"/>
  <c r="AD13" i="9" s="1"/>
  <c r="AC14" i="9"/>
  <c r="T14" i="9"/>
  <c r="S14" i="9"/>
  <c r="Q14" i="9"/>
  <c r="P14" i="9"/>
  <c r="N14" i="9"/>
  <c r="M14" i="9"/>
  <c r="L14" i="9"/>
  <c r="K14" i="9"/>
  <c r="J14" i="9"/>
  <c r="J13" i="9"/>
  <c r="J4" i="9" s="1"/>
  <c r="K8" i="9"/>
  <c r="K7" i="9"/>
  <c r="K5" i="9"/>
  <c r="K4" i="9"/>
  <c r="AG70" i="4"/>
  <c r="AF70" i="4"/>
  <c r="AE70" i="4"/>
  <c r="AD70" i="4"/>
  <c r="AC70" i="4"/>
  <c r="T70" i="4"/>
  <c r="S70" i="4"/>
  <c r="Q70" i="4"/>
  <c r="P70" i="4"/>
  <c r="N70" i="4"/>
  <c r="M70" i="4"/>
  <c r="L70" i="4"/>
  <c r="K70" i="4"/>
  <c r="J70" i="4"/>
  <c r="AG58" i="4"/>
  <c r="AF58" i="4"/>
  <c r="AE58" i="4"/>
  <c r="AD58" i="4"/>
  <c r="AC58" i="4"/>
  <c r="T58" i="4"/>
  <c r="S58" i="4"/>
  <c r="Q58" i="4"/>
  <c r="P58" i="4"/>
  <c r="N58" i="4"/>
  <c r="M58" i="4"/>
  <c r="L58" i="4"/>
  <c r="K58" i="4"/>
  <c r="J58" i="4"/>
  <c r="AG26" i="4"/>
  <c r="AF26" i="4"/>
  <c r="AE26" i="4"/>
  <c r="AD26" i="4"/>
  <c r="AC26" i="4"/>
  <c r="T26" i="4"/>
  <c r="S26" i="4"/>
  <c r="Q26" i="4"/>
  <c r="P26" i="4"/>
  <c r="N26" i="4"/>
  <c r="M26" i="4"/>
  <c r="L26" i="4"/>
  <c r="K26" i="4"/>
  <c r="J26" i="4"/>
  <c r="AG14" i="4"/>
  <c r="AF14" i="4"/>
  <c r="AE14" i="4"/>
  <c r="AD14" i="4"/>
  <c r="AC14" i="4"/>
  <c r="AC13" i="4" s="1"/>
  <c r="J8" i="4" s="1"/>
  <c r="T14" i="4"/>
  <c r="S14" i="4"/>
  <c r="Q14" i="4"/>
  <c r="P14" i="4"/>
  <c r="P13" i="4" s="1"/>
  <c r="N14" i="4"/>
  <c r="N13" i="4"/>
  <c r="M14" i="4"/>
  <c r="L14" i="4"/>
  <c r="L13" i="4" s="1"/>
  <c r="K14" i="4"/>
  <c r="J14" i="4"/>
  <c r="J13" i="4" s="1"/>
  <c r="J4" i="4" s="1"/>
  <c r="AD13" i="4"/>
  <c r="Q13" i="4"/>
  <c r="K8" i="4"/>
  <c r="K7" i="4"/>
  <c r="K5" i="4"/>
  <c r="K4" i="4"/>
  <c r="K6" i="4" s="1"/>
  <c r="AG170" i="3"/>
  <c r="AF170" i="3"/>
  <c r="AE170" i="3"/>
  <c r="AD170" i="3"/>
  <c r="AG26" i="3"/>
  <c r="AF26" i="3"/>
  <c r="AE26" i="3"/>
  <c r="AD26" i="3"/>
  <c r="AC26" i="3"/>
  <c r="AC14" i="3"/>
  <c r="T26" i="3"/>
  <c r="S26" i="3"/>
  <c r="Q26" i="3"/>
  <c r="P26" i="3"/>
  <c r="P14" i="3"/>
  <c r="N26" i="3"/>
  <c r="M26" i="3"/>
  <c r="L26" i="3"/>
  <c r="K26" i="3"/>
  <c r="K14" i="3"/>
  <c r="K5" i="3"/>
  <c r="AG14" i="3"/>
  <c r="AF14" i="3"/>
  <c r="AE14" i="3"/>
  <c r="AD14" i="3"/>
  <c r="T14" i="3"/>
  <c r="S14" i="3"/>
  <c r="K7" i="3"/>
  <c r="Q14" i="3"/>
  <c r="N14" i="3"/>
  <c r="M14" i="3"/>
  <c r="L14" i="3"/>
  <c r="K8" i="3"/>
  <c r="K4" i="3"/>
  <c r="AG50" i="2"/>
  <c r="AF50" i="2"/>
  <c r="AE50" i="2"/>
  <c r="AD50" i="2"/>
  <c r="AC50" i="2"/>
  <c r="T50" i="2"/>
  <c r="S50" i="2"/>
  <c r="Q50" i="2"/>
  <c r="P50" i="2"/>
  <c r="N50" i="2"/>
  <c r="M50" i="2"/>
  <c r="L50" i="2"/>
  <c r="K50" i="2"/>
  <c r="J50" i="2"/>
  <c r="AG38" i="2"/>
  <c r="AF38" i="2"/>
  <c r="AE38" i="2"/>
  <c r="AD38" i="2"/>
  <c r="AC38" i="2"/>
  <c r="T38" i="2"/>
  <c r="S38" i="2"/>
  <c r="Q38" i="2"/>
  <c r="P38" i="2"/>
  <c r="N38" i="2"/>
  <c r="M38" i="2"/>
  <c r="L38" i="2"/>
  <c r="K38" i="2"/>
  <c r="J38" i="2"/>
  <c r="AG26" i="2"/>
  <c r="AF26" i="2"/>
  <c r="AE26" i="2"/>
  <c r="AD26" i="2"/>
  <c r="AC26" i="2"/>
  <c r="T26" i="2"/>
  <c r="S26" i="2"/>
  <c r="Q26" i="2"/>
  <c r="P26" i="2"/>
  <c r="N26" i="2"/>
  <c r="M26" i="2"/>
  <c r="L26" i="2"/>
  <c r="K26" i="2"/>
  <c r="J26" i="2"/>
  <c r="AG14" i="2"/>
  <c r="AF14" i="2"/>
  <c r="AE14" i="2"/>
  <c r="AD14" i="2"/>
  <c r="AD13" i="2" s="1"/>
  <c r="AC14" i="2"/>
  <c r="T14" i="2"/>
  <c r="S14" i="2"/>
  <c r="Q14" i="2"/>
  <c r="Q13" i="2" s="1"/>
  <c r="P14" i="2"/>
  <c r="N14" i="2"/>
  <c r="M14" i="2"/>
  <c r="L14" i="2"/>
  <c r="L13" i="2" s="1"/>
  <c r="K14" i="2"/>
  <c r="J14" i="2"/>
  <c r="T13" i="2"/>
  <c r="J13" i="2"/>
  <c r="J4" i="2" s="1"/>
  <c r="K8" i="2"/>
  <c r="K7" i="2"/>
  <c r="K5" i="2"/>
  <c r="K4" i="2"/>
  <c r="K6" i="2" s="1"/>
  <c r="AG566" i="1"/>
  <c r="AF566" i="1"/>
  <c r="AE566" i="1"/>
  <c r="AD566" i="1"/>
  <c r="AC566" i="1"/>
  <c r="T566" i="1"/>
  <c r="S566" i="1"/>
  <c r="Q566" i="1"/>
  <c r="P566" i="1"/>
  <c r="N566" i="1"/>
  <c r="M566" i="1"/>
  <c r="L566" i="1"/>
  <c r="K566" i="1"/>
  <c r="J566" i="1"/>
  <c r="AG185" i="1"/>
  <c r="AG101" i="1" s="1"/>
  <c r="AF185" i="1"/>
  <c r="AF101" i="1" s="1"/>
  <c r="AE185" i="1"/>
  <c r="AE101" i="1" s="1"/>
  <c r="AD185" i="1"/>
  <c r="AD101" i="1" s="1"/>
  <c r="AC185" i="1"/>
  <c r="AC101" i="1" s="1"/>
  <c r="T185" i="1"/>
  <c r="T101" i="1" s="1"/>
  <c r="S185" i="1"/>
  <c r="S101" i="1" s="1"/>
  <c r="Q185" i="1"/>
  <c r="Q101" i="1" s="1"/>
  <c r="P185" i="1"/>
  <c r="P101" i="1" s="1"/>
  <c r="N185" i="1"/>
  <c r="N101" i="1" s="1"/>
  <c r="M185" i="1"/>
  <c r="M101" i="1" s="1"/>
  <c r="L185" i="1"/>
  <c r="L101" i="1" s="1"/>
  <c r="K185" i="1"/>
  <c r="K101" i="1" s="1"/>
  <c r="J185" i="1"/>
  <c r="J101" i="1" s="1"/>
  <c r="AD14" i="1"/>
  <c r="AG14" i="1"/>
  <c r="AF14" i="1"/>
  <c r="AE14" i="1"/>
  <c r="AC14" i="1"/>
  <c r="T14" i="1"/>
  <c r="S14" i="1"/>
  <c r="Q14" i="1"/>
  <c r="P14" i="1"/>
  <c r="N14" i="1"/>
  <c r="M14" i="1"/>
  <c r="L14" i="1"/>
  <c r="K14" i="1"/>
  <c r="J14" i="1"/>
  <c r="K8" i="1"/>
  <c r="K7" i="1"/>
  <c r="K5" i="1"/>
  <c r="K4" i="1"/>
  <c r="T13" i="4"/>
  <c r="P13" i="9"/>
  <c r="AC13" i="9"/>
  <c r="J8" i="9"/>
  <c r="N13" i="11"/>
  <c r="T13" i="11"/>
  <c r="J13" i="5"/>
  <c r="J4" i="5"/>
  <c r="N13" i="5"/>
  <c r="T13" i="5"/>
  <c r="AD13" i="5"/>
  <c r="T13" i="9"/>
  <c r="K6" i="5"/>
  <c r="Q13" i="5"/>
  <c r="J13" i="11"/>
  <c r="J4" i="11" s="1"/>
  <c r="P13" i="7"/>
  <c r="K13" i="9"/>
  <c r="J5" i="9" s="1"/>
  <c r="L5" i="9" s="1"/>
  <c r="Q13" i="7"/>
  <c r="M13" i="2"/>
  <c r="L13" i="9"/>
  <c r="S13" i="10"/>
  <c r="J7" i="10" s="1"/>
  <c r="L7" i="10" s="1"/>
  <c r="K6" i="11"/>
  <c r="P13" i="11"/>
  <c r="AD13" i="11"/>
  <c r="Q13" i="9"/>
  <c r="M13" i="10"/>
  <c r="S13" i="2"/>
  <c r="J7" i="2"/>
  <c r="L7" i="2" s="1"/>
  <c r="K13" i="2"/>
  <c r="J5" i="2" s="1"/>
  <c r="L5" i="2" s="1"/>
  <c r="P13" i="2"/>
  <c r="AC13" i="2"/>
  <c r="J8" i="2" s="1"/>
  <c r="L8" i="2" s="1"/>
  <c r="K13" i="10"/>
  <c r="J5" i="10" s="1"/>
  <c r="L5" i="10" s="1"/>
  <c r="L8" i="9"/>
  <c r="M13" i="9"/>
  <c r="S13" i="9"/>
  <c r="J7" i="9" s="1"/>
  <c r="L7" i="9" s="1"/>
  <c r="K6" i="10"/>
  <c r="M13" i="7"/>
  <c r="L4" i="5"/>
  <c r="K6" i="12"/>
  <c r="N13" i="2" l="1"/>
  <c r="L8" i="4"/>
  <c r="K6" i="9"/>
  <c r="N13" i="9"/>
  <c r="L8" i="10"/>
  <c r="J13" i="10"/>
  <c r="J4" i="10" s="1"/>
  <c r="N13" i="10"/>
  <c r="K13" i="11"/>
  <c r="J5" i="11" s="1"/>
  <c r="L5" i="11" s="1"/>
  <c r="AC13" i="11"/>
  <c r="J8" i="11" s="1"/>
  <c r="L8" i="11" s="1"/>
  <c r="M13" i="11"/>
  <c r="S13" i="11"/>
  <c r="J7" i="11" s="1"/>
  <c r="L7" i="11" s="1"/>
  <c r="L7" i="5"/>
  <c r="L13" i="5"/>
  <c r="P13" i="5"/>
  <c r="AC13" i="5"/>
  <c r="J8" i="5" s="1"/>
  <c r="L8" i="5" s="1"/>
  <c r="L5" i="7"/>
  <c r="L7" i="7"/>
  <c r="L8" i="7"/>
  <c r="J13" i="7"/>
  <c r="J4" i="7" s="1"/>
  <c r="N13" i="7"/>
  <c r="L13" i="7"/>
  <c r="L5" i="8"/>
  <c r="L7" i="8"/>
  <c r="AC13" i="8"/>
  <c r="J8" i="8" s="1"/>
  <c r="L8" i="8" s="1"/>
  <c r="AC13" i="6"/>
  <c r="J8" i="6" s="1"/>
  <c r="L8" i="6" s="1"/>
  <c r="S13" i="6"/>
  <c r="M13" i="6"/>
  <c r="P13" i="6"/>
  <c r="J13" i="6"/>
  <c r="J4" i="6" s="1"/>
  <c r="L4" i="6" s="1"/>
  <c r="L13" i="6"/>
  <c r="J6" i="2"/>
  <c r="L6" i="2" s="1"/>
  <c r="L4" i="2"/>
  <c r="L4" i="10"/>
  <c r="J6" i="10"/>
  <c r="L6" i="10" s="1"/>
  <c r="J6" i="5"/>
  <c r="L6" i="5" s="1"/>
  <c r="L5" i="5"/>
  <c r="J6" i="7"/>
  <c r="L6" i="7" s="1"/>
  <c r="L4" i="7"/>
  <c r="L4" i="8"/>
  <c r="J6" i="8"/>
  <c r="L6" i="8" s="1"/>
  <c r="J6" i="11"/>
  <c r="L6" i="11" s="1"/>
  <c r="L4" i="11"/>
  <c r="J6" i="9"/>
  <c r="L6" i="9" s="1"/>
  <c r="L4" i="9"/>
  <c r="K13" i="6"/>
  <c r="J5" i="6" s="1"/>
  <c r="L5" i="6" s="1"/>
  <c r="S13" i="4"/>
  <c r="J7" i="4" s="1"/>
  <c r="K13" i="4"/>
  <c r="J5" i="4" s="1"/>
  <c r="L5" i="4" s="1"/>
  <c r="O13" i="6"/>
  <c r="Q13" i="6"/>
  <c r="K6" i="6"/>
  <c r="J7" i="6"/>
  <c r="L7" i="6" s="1"/>
  <c r="K13" i="3"/>
  <c r="J5" i="3" s="1"/>
  <c r="L5" i="3" s="1"/>
  <c r="S13" i="3"/>
  <c r="J7" i="3" s="1"/>
  <c r="L7" i="3" s="1"/>
  <c r="AD13" i="3"/>
  <c r="K6" i="3"/>
  <c r="N13" i="3"/>
  <c r="J13" i="3"/>
  <c r="J4" i="3" s="1"/>
  <c r="L4" i="3" s="1"/>
  <c r="T13" i="3"/>
  <c r="Q13" i="3"/>
  <c r="P13" i="3"/>
  <c r="M13" i="3"/>
  <c r="AC13" i="3"/>
  <c r="J8" i="3" s="1"/>
  <c r="L8" i="3" s="1"/>
  <c r="L13" i="3"/>
  <c r="M13" i="4"/>
  <c r="L7" i="4"/>
  <c r="L4" i="4"/>
  <c r="J6" i="4"/>
  <c r="L6" i="4" s="1"/>
  <c r="AD13" i="1"/>
  <c r="K6" i="1"/>
  <c r="N13" i="1"/>
  <c r="Q13" i="1"/>
  <c r="T13" i="1"/>
  <c r="K13" i="1"/>
  <c r="J5" i="1" s="1"/>
  <c r="L5" i="1" s="1"/>
  <c r="M13" i="1"/>
  <c r="S13" i="1"/>
  <c r="J7" i="1" s="1"/>
  <c r="AC13" i="1"/>
  <c r="J8" i="1" s="1"/>
  <c r="L8" i="1" s="1"/>
  <c r="J13" i="1"/>
  <c r="J4" i="1" s="1"/>
  <c r="L4" i="1" s="1"/>
  <c r="L13" i="1"/>
  <c r="L7" i="1"/>
  <c r="P13" i="1"/>
  <c r="J6" i="6" l="1"/>
  <c r="L6" i="6" s="1"/>
  <c r="J6" i="3"/>
  <c r="L6" i="3" s="1"/>
  <c r="J6" i="1"/>
  <c r="L6" i="1" s="1"/>
  <c r="J13" i="12"/>
  <c r="J4" i="12"/>
  <c r="L4" i="12"/>
  <c r="AG123" i="12"/>
  <c r="AG73" i="12" s="1"/>
  <c r="AG37" i="12" s="1"/>
  <c r="AF123" i="12"/>
  <c r="AF73" i="12" s="1"/>
  <c r="AF37" i="12" s="1"/>
  <c r="AE123" i="12"/>
  <c r="AE73" i="12" s="1"/>
  <c r="AE37" i="12" s="1"/>
  <c r="AD123" i="12"/>
  <c r="AC123" i="12"/>
  <c r="AC73" i="12" s="1"/>
  <c r="AC37" i="12" s="1"/>
  <c r="AC13" i="12"/>
  <c r="J8" i="12"/>
  <c r="L8" i="12"/>
  <c r="T123" i="12"/>
  <c r="S123" i="12"/>
  <c r="S73" i="12" s="1"/>
  <c r="S37" i="12" s="1"/>
  <c r="S13" i="12"/>
  <c r="J7" i="12"/>
  <c r="L7" i="12"/>
  <c r="Q123" i="12"/>
  <c r="P123" i="12"/>
  <c r="N123" i="12"/>
  <c r="M123" i="12"/>
  <c r="L123" i="12"/>
  <c r="K123" i="12"/>
  <c r="K73" i="12" s="1"/>
  <c r="K37" i="12" s="1"/>
  <c r="K13" i="12"/>
  <c r="J5" i="12"/>
  <c r="L5" i="12"/>
  <c r="L73" i="12" l="1"/>
  <c r="L37" i="12" s="1"/>
  <c r="L13" i="12" s="1"/>
  <c r="M73" i="12"/>
  <c r="M37" i="12" s="1"/>
  <c r="M13" i="12" s="1"/>
  <c r="N73" i="12"/>
  <c r="N37" i="12" s="1"/>
  <c r="N13" i="12" s="1"/>
  <c r="P73" i="12"/>
  <c r="P37" i="12" s="1"/>
  <c r="P13" i="12" s="1"/>
  <c r="Q73" i="12"/>
  <c r="Q37" i="12" s="1"/>
  <c r="Q13" i="12" s="1"/>
  <c r="T73" i="12"/>
  <c r="T37" i="12" s="1"/>
  <c r="T13" i="12" s="1"/>
  <c r="AD73" i="12"/>
  <c r="AD37" i="12" s="1"/>
  <c r="AD13" i="12" s="1"/>
  <c r="J6" i="12"/>
  <c r="L6" i="12" s="1"/>
</calcChain>
</file>

<file path=xl/sharedStrings.xml><?xml version="1.0" encoding="utf-8"?>
<sst xmlns="http://schemas.openxmlformats.org/spreadsheetml/2006/main" count="38348" uniqueCount="4367">
  <si>
    <t>LIST OF BENEFICIARIES CY 2022</t>
  </si>
  <si>
    <t>Fishing Gear</t>
  </si>
  <si>
    <t>LIST</t>
  </si>
  <si>
    <t>WFP ACC</t>
  </si>
  <si>
    <t>VARIANCE</t>
  </si>
  <si>
    <t>NOTE:</t>
  </si>
  <si>
    <t>INDIVIDUAL</t>
  </si>
  <si>
    <t xml:space="preserve">Male </t>
  </si>
  <si>
    <r>
      <rPr>
        <sz val="12"/>
        <color theme="1"/>
        <rFont val="Calibri"/>
        <family val="2"/>
        <scheme val="minor"/>
      </rPr>
      <t xml:space="preserve">* please make sure that all cells are filled. Cells are formatted. </t>
    </r>
    <r>
      <rPr>
        <b/>
        <sz val="12"/>
        <color theme="1"/>
        <rFont val="Calibri"/>
        <family val="2"/>
        <scheme val="minor"/>
      </rPr>
      <t>BLANK CELLS will remain ORANGE. DUPLICATE NAMES will be highlighted RED</t>
    </r>
    <r>
      <rPr>
        <sz val="12"/>
        <color theme="1"/>
        <rFont val="Calibri"/>
        <family val="2"/>
        <scheme val="minor"/>
      </rPr>
      <t>.</t>
    </r>
  </si>
  <si>
    <t>Female</t>
  </si>
  <si>
    <t>* please do not merge cells</t>
  </si>
  <si>
    <t>TOTAL</t>
  </si>
  <si>
    <r>
      <rPr>
        <sz val="12"/>
        <color theme="1"/>
        <rFont val="Calibri"/>
        <family val="2"/>
        <scheme val="minor"/>
      </rPr>
      <t xml:space="preserve">* kindly ensure that figures </t>
    </r>
    <r>
      <rPr>
        <b/>
        <sz val="12"/>
        <color theme="1"/>
        <rFont val="Calibri"/>
        <family val="2"/>
        <scheme val="minor"/>
      </rPr>
      <t>tally with your form B</t>
    </r>
  </si>
  <si>
    <t>GROUPS</t>
  </si>
  <si>
    <t>No. of Units Provided</t>
  </si>
  <si>
    <t>PERSONAL INFORMATION</t>
  </si>
  <si>
    <t>ADDRESS AND CONTACT DETAILS</t>
  </si>
  <si>
    <t>DETAILS OF ASSISTANCE</t>
  </si>
  <si>
    <t>SATISFACTION RATING (1 as the lowest, 4 as the highest)</t>
  </si>
  <si>
    <t>REGION/ OFFICE</t>
  </si>
  <si>
    <t>FUNDING SOURCE</t>
  </si>
  <si>
    <t xml:space="preserve">MONTH </t>
  </si>
  <si>
    <t>TYPE</t>
  </si>
  <si>
    <t>NAME OF ASSOCIATION/ GROUP</t>
  </si>
  <si>
    <t>LAST NAME</t>
  </si>
  <si>
    <t>FIRST NAME</t>
  </si>
  <si>
    <t>MIDDLE NAME</t>
  </si>
  <si>
    <t>BIRTHDAY</t>
  </si>
  <si>
    <t>MALE</t>
  </si>
  <si>
    <t>FEMALE</t>
  </si>
  <si>
    <t>FISHERFOLK</t>
  </si>
  <si>
    <t>SENIOR CITIZEN</t>
  </si>
  <si>
    <t>INDIGENOUS PEOPLE</t>
  </si>
  <si>
    <t>IP GROUP</t>
  </si>
  <si>
    <t>PWD</t>
  </si>
  <si>
    <t>OTHERS</t>
  </si>
  <si>
    <t>DETAILS</t>
  </si>
  <si>
    <t>GROUP</t>
  </si>
  <si>
    <t>NUMBER OF MEMBERS FOR GROUP BENEFICIARIES</t>
  </si>
  <si>
    <t>BARANGAY</t>
  </si>
  <si>
    <t>MUNICIPALITY/CITY</t>
  </si>
  <si>
    <t>DISTRICT</t>
  </si>
  <si>
    <t>PROVINCE</t>
  </si>
  <si>
    <t>CONTACT NUMBER (IF ANY)</t>
  </si>
  <si>
    <t>EMAIL ADDRESS (IF ANY)</t>
  </si>
  <si>
    <t>TYPE OF GOODS AND SERVICES PROVIDED</t>
  </si>
  <si>
    <t>UNIT OF MEASURE/DETAILS</t>
  </si>
  <si>
    <t>QUANTITY PROVIDED</t>
  </si>
  <si>
    <t>ESTIMATED COST</t>
  </si>
  <si>
    <t>QUANTITY</t>
  </si>
  <si>
    <t>QUALITY</t>
  </si>
  <si>
    <t>TIMELINESS</t>
  </si>
  <si>
    <t>IF NOT SATISFIED, WHY?</t>
  </si>
  <si>
    <t>RECOMMENDATION</t>
  </si>
  <si>
    <t>Region ____ (numeric)</t>
  </si>
  <si>
    <t>indicate if current GAA, downloaded, initiative, continuing</t>
  </si>
  <si>
    <t>individual or group</t>
  </si>
  <si>
    <t>please provide name of association or group, please put NA if not applicable; provide a list of all the group members</t>
  </si>
  <si>
    <t>Last name of beneficiary. For group beneficiary, please input name of representative</t>
  </si>
  <si>
    <t>First name of beneficiary. For group beneficiary, please input name of representative</t>
  </si>
  <si>
    <t>Middle name of beneficiary. For group beneficiary, please input name of representative</t>
  </si>
  <si>
    <t>put 1 if male</t>
  </si>
  <si>
    <t>put 1 if female</t>
  </si>
  <si>
    <t>put 1 if you counted the beneficiary is reported as fisherfolk</t>
  </si>
  <si>
    <t>put 1 if the beneficiary is reported under  senior citizen</t>
  </si>
  <si>
    <t>put 1 if the beneficiary is a member of an indigenous people's group</t>
  </si>
  <si>
    <t>indicate name of IP group</t>
  </si>
  <si>
    <t>put 1 if the beneficairy is a PWD</t>
  </si>
  <si>
    <t>put 1 if the beneficiary is classified as others</t>
  </si>
  <si>
    <t>provide details of beneficiary classified as others'</t>
  </si>
  <si>
    <t>put 1 if the beneficiary is reported under groups</t>
  </si>
  <si>
    <t>please indicate total number of members fro group beneficiaries</t>
  </si>
  <si>
    <t>Please specify</t>
  </si>
  <si>
    <t>unit of measure for the assistance (i.e. set, pcs, etc.)</t>
  </si>
  <si>
    <t>quantity of the service provided. STRICTLY NUMERIC DATA, NO TEXTS OR SPECIAL SYMBOLS</t>
  </si>
  <si>
    <t>estimated cost for the assistance provided</t>
  </si>
  <si>
    <t>(1 as the lowest, 4 as the highest)</t>
  </si>
  <si>
    <t>1st Quarter</t>
  </si>
  <si>
    <t>January</t>
  </si>
  <si>
    <t>Individual</t>
  </si>
  <si>
    <t>NA</t>
  </si>
  <si>
    <t>I</t>
  </si>
  <si>
    <t>2nd Quarter</t>
  </si>
  <si>
    <t>3rd Quarter</t>
  </si>
  <si>
    <t>4th Quarter</t>
  </si>
  <si>
    <t>Fingerling Distributed</t>
  </si>
  <si>
    <t>FORM B</t>
  </si>
  <si>
    <t>* please make sure that all cells are filled. Cells are formatted. BLANK CELLS will remain ORANGE. DUPLICATE NAMES will be highlighted RED.</t>
  </si>
  <si>
    <t>* kindly ensure that figures tally with your form B</t>
  </si>
  <si>
    <t>Please specify species.. One species one cell</t>
  </si>
  <si>
    <t>Seaweed Propagules Distributed</t>
  </si>
  <si>
    <t>Seaweed Nurseries</t>
  </si>
  <si>
    <t>Post Harvest Equipment</t>
  </si>
  <si>
    <t xml:space="preserve"> </t>
  </si>
  <si>
    <t>Market Development Services</t>
  </si>
  <si>
    <t>Fishery Facilities and Fishery Products</t>
  </si>
  <si>
    <t>Trainings Conducted</t>
  </si>
  <si>
    <t>Please specify if virtual, face to face, hybrid. 
Please specify if aqua, municipal, commercial, regulatory, ph, others</t>
  </si>
  <si>
    <t>Technical Assistance</t>
  </si>
  <si>
    <t>Please specify if virtual,walk-in, email. Phone in, etc. 
Please specify if aqua, municipal, commercial, regulatory, ph, others</t>
  </si>
  <si>
    <t xml:space="preserve">Technology Demonstration </t>
  </si>
  <si>
    <t>Please specify if aquaculture, capture or post-harvest</t>
  </si>
  <si>
    <t>IEC Materials Distributed</t>
  </si>
  <si>
    <t>WFP 1CC</t>
  </si>
  <si>
    <t>Please specify if brochure, poster, etc. Please provide title/ subject</t>
  </si>
  <si>
    <t>February</t>
  </si>
  <si>
    <t>ADIER</t>
  </si>
  <si>
    <t>SABANAL</t>
  </si>
  <si>
    <t>FRANCO</t>
  </si>
  <si>
    <t>BAYOT</t>
  </si>
  <si>
    <t>VILLANUEVA</t>
  </si>
  <si>
    <t>LIBARRA</t>
  </si>
  <si>
    <t>ELODIE</t>
  </si>
  <si>
    <t>P</t>
  </si>
  <si>
    <t>GERONIMO</t>
  </si>
  <si>
    <t>A</t>
  </si>
  <si>
    <t>GEORGE</t>
  </si>
  <si>
    <t>N</t>
  </si>
  <si>
    <t>ABELARDO</t>
  </si>
  <si>
    <t>JOMAR</t>
  </si>
  <si>
    <t>B</t>
  </si>
  <si>
    <t>RYAN</t>
  </si>
  <si>
    <t>FAJARDO</t>
  </si>
  <si>
    <t>BERNARDO</t>
  </si>
  <si>
    <t>SESE</t>
  </si>
  <si>
    <t>PABLITO JR.</t>
  </si>
  <si>
    <t>C</t>
  </si>
  <si>
    <t>ADTO</t>
  </si>
  <si>
    <t>EDIE JR.</t>
  </si>
  <si>
    <t>LATUBE</t>
  </si>
  <si>
    <t>LINDA</t>
  </si>
  <si>
    <t>MORENO</t>
  </si>
  <si>
    <t>DIOSDADO</t>
  </si>
  <si>
    <t>R</t>
  </si>
  <si>
    <t>SALE</t>
  </si>
  <si>
    <t>PAUL</t>
  </si>
  <si>
    <t>M</t>
  </si>
  <si>
    <t>NANGIT</t>
  </si>
  <si>
    <t>ALVIN</t>
  </si>
  <si>
    <t>CASTRO</t>
  </si>
  <si>
    <t>CESAR</t>
  </si>
  <si>
    <t>PALACIO</t>
  </si>
  <si>
    <t>JIMMY SR.</t>
  </si>
  <si>
    <t>JEREMIAS</t>
  </si>
  <si>
    <t>G</t>
  </si>
  <si>
    <t>VILLAFUERTE</t>
  </si>
  <si>
    <t>FRANCIS</t>
  </si>
  <si>
    <t>HERMOSO</t>
  </si>
  <si>
    <t>PABLO</t>
  </si>
  <si>
    <t>EDRADAN</t>
  </si>
  <si>
    <t>JOSE</t>
  </si>
  <si>
    <t>CORREA</t>
  </si>
  <si>
    <t>AGNES</t>
  </si>
  <si>
    <t>BASA</t>
  </si>
  <si>
    <t>ALBERT</t>
  </si>
  <si>
    <t>BALUARTE</t>
  </si>
  <si>
    <t>RICKY</t>
  </si>
  <si>
    <t>LABOTOY</t>
  </si>
  <si>
    <t>LIM</t>
  </si>
  <si>
    <t>NOEL</t>
  </si>
  <si>
    <t>D</t>
  </si>
  <si>
    <t>DADORES</t>
  </si>
  <si>
    <t>HERNANIE</t>
  </si>
  <si>
    <t>PANIS</t>
  </si>
  <si>
    <t>JONI</t>
  </si>
  <si>
    <t>ESPENIDA</t>
  </si>
  <si>
    <t>USOP</t>
  </si>
  <si>
    <t>NOROLHAMJI</t>
  </si>
  <si>
    <t>DELA PEÑA</t>
  </si>
  <si>
    <t>EDWIN</t>
  </si>
  <si>
    <t>ROSALES</t>
  </si>
  <si>
    <t>BAGONA</t>
  </si>
  <si>
    <t>ROGEL</t>
  </si>
  <si>
    <t>JUAYANGI</t>
  </si>
  <si>
    <t>GONZAGA</t>
  </si>
  <si>
    <t>RONIE</t>
  </si>
  <si>
    <t>JARANILLA</t>
  </si>
  <si>
    <t>RENE</t>
  </si>
  <si>
    <t>FABRIGAS</t>
  </si>
  <si>
    <t>ABADIANO</t>
  </si>
  <si>
    <t>VILLADEMOSA</t>
  </si>
  <si>
    <t>RONALD</t>
  </si>
  <si>
    <t>TACOB</t>
  </si>
  <si>
    <t>RODOLFO</t>
  </si>
  <si>
    <t>PADUL</t>
  </si>
  <si>
    <t>DOMINGO</t>
  </si>
  <si>
    <t>BANDOJO</t>
  </si>
  <si>
    <t>ZALDY</t>
  </si>
  <si>
    <t>RANDY</t>
  </si>
  <si>
    <t>CLABEL</t>
  </si>
  <si>
    <t>VICTORIA</t>
  </si>
  <si>
    <t>ADION</t>
  </si>
  <si>
    <t>JOEY</t>
  </si>
  <si>
    <t>FORONES</t>
  </si>
  <si>
    <t>CERELO</t>
  </si>
  <si>
    <t>ILLUSTRISIMO</t>
  </si>
  <si>
    <t>GILBERT</t>
  </si>
  <si>
    <t>VILLAMOR</t>
  </si>
  <si>
    <t>ROLANDO</t>
  </si>
  <si>
    <t>RONDA</t>
  </si>
  <si>
    <t>ROCKY</t>
  </si>
  <si>
    <t>ROSIALDA</t>
  </si>
  <si>
    <t>O</t>
  </si>
  <si>
    <t>PEÑARANDA</t>
  </si>
  <si>
    <t>LILIA</t>
  </si>
  <si>
    <t>MUÑEZ</t>
  </si>
  <si>
    <t>BENNY</t>
  </si>
  <si>
    <t>AGAG</t>
  </si>
  <si>
    <t xml:space="preserve">REYNANTE </t>
  </si>
  <si>
    <t xml:space="preserve">HERMO </t>
  </si>
  <si>
    <t>ROY</t>
  </si>
  <si>
    <t>TAN</t>
  </si>
  <si>
    <t>MARIO JR.</t>
  </si>
  <si>
    <t>PLANQUE</t>
  </si>
  <si>
    <t>ZOSIMO</t>
  </si>
  <si>
    <t>10/18/1966</t>
  </si>
  <si>
    <t>SAN NICOLAS</t>
  </si>
  <si>
    <t>MINARA</t>
  </si>
  <si>
    <t>ROXAS</t>
  </si>
  <si>
    <t>NEW BARBACAN</t>
  </si>
  <si>
    <t>MENDOZA</t>
  </si>
  <si>
    <t>TUMARBONG</t>
  </si>
  <si>
    <t>POBLACION</t>
  </si>
  <si>
    <t>SAN VICENTE</t>
  </si>
  <si>
    <t>CARURAY</t>
  </si>
  <si>
    <t>ALBAGUEN</t>
  </si>
  <si>
    <t>PORT BARTON</t>
  </si>
  <si>
    <t>PALAWAN</t>
  </si>
  <si>
    <t>Unit</t>
  </si>
  <si>
    <t>MARINE DIESEL ENGINE 14HP SN 32746</t>
  </si>
  <si>
    <t>MARINE DIESEL ENGINE 14HP SN 32813</t>
  </si>
  <si>
    <t>MARINE DIESEL ENGINE 14HP SN 32262</t>
  </si>
  <si>
    <t>MARINE DIESEL ENGINE 14HP SN 32837</t>
  </si>
  <si>
    <t>MARINE DIESEL ENGINE 14HP SN 33525</t>
  </si>
  <si>
    <t>MARINE DIESEL ENGINE 14HP SN 31514</t>
  </si>
  <si>
    <t>MARINE DIESEL ENGINE 14HP SN 32704</t>
  </si>
  <si>
    <t>MARINE DIESEL ENGINE 14HP SN 32778</t>
  </si>
  <si>
    <t>MARINE DIESEL ENGINE 14HP SN 31414</t>
  </si>
  <si>
    <t>MARINE DIESEL ENGINE 14HP SN 31368</t>
  </si>
  <si>
    <t>MARINE DIESEL ENGINE 14HP SN 32316</t>
  </si>
  <si>
    <t>MARINE DIESEL ENGINE 14HP SN 32371</t>
  </si>
  <si>
    <t>MARINE DIESEL ENGINE 14HP SN 31406</t>
  </si>
  <si>
    <t>MARINE DIESEL ENGINE 14HP SN 33483</t>
  </si>
  <si>
    <t>MARINE DIESEL ENGINE 14HP SN 32279</t>
  </si>
  <si>
    <t>MARINE DIESEL ENGINE 14HP SN 31508</t>
  </si>
  <si>
    <t>MARINE DIESEL ENGINE 14HP SN 32787</t>
  </si>
  <si>
    <t>MARINE DIESEL ENGINE 14HP SN 31527</t>
  </si>
  <si>
    <t>MARINE DIESEL ENGINE 14HP SN 31421</t>
  </si>
  <si>
    <t>MARINE DIESEL ENGINE 14HP SN 32277</t>
  </si>
  <si>
    <t>MARINE GASOLINE ENGINE 6.5HP SN 181004250</t>
  </si>
  <si>
    <t>MARINE GASOLINE ENGINE 6.5HP SN 181004090</t>
  </si>
  <si>
    <t>MARINE GASOLINE ENGINE 6.5HP SN 181004147</t>
  </si>
  <si>
    <t>MARINE GASOLINE ENGINE 6.5HP SN 181004007</t>
  </si>
  <si>
    <t>MARINE GASOLINE ENGINE 6.5HP SN 181004129</t>
  </si>
  <si>
    <t>MARINE GASOLINE ENGINE 6.5HP SN 211036604</t>
  </si>
  <si>
    <t>MARINE GASOLINE ENGINE 6.5HP SN 181004014</t>
  </si>
  <si>
    <t>MARINE GASOLINE ENGINE 6.5HP SN 181004016</t>
  </si>
  <si>
    <t>MARINE GASOLINE ENGINE 6.5HP SN 181004110</t>
  </si>
  <si>
    <t>MARINE GASOLINE ENGINE 6.5HP SN 181004179</t>
  </si>
  <si>
    <t>MARINE GASOLINE ENGINE 6.5HP SN 004170</t>
  </si>
  <si>
    <t>MARINE GASOLINE ENGINE 6.5HP SN 004262</t>
  </si>
  <si>
    <t>MARINE GASOLINE ENGINE 6.5HP SN 004159</t>
  </si>
  <si>
    <t>MARINE GASOLINE ENGINE 6.5HP SN 004210</t>
  </si>
  <si>
    <t>MARINE GASOLINE ENGINE 6.5HP SN 004214</t>
  </si>
  <si>
    <t>MARINE GASOLINE ENGINE 6.5HP SN 004072</t>
  </si>
  <si>
    <t>MARINE GASOLINE ENGINE 6.5HP SN 004150</t>
  </si>
  <si>
    <t>MARINE GASOLINE ENGINE 6.5HP SN 004128</t>
  </si>
  <si>
    <t>MARINE GASOLINE ENGINE 6.5HP SN 004180</t>
  </si>
  <si>
    <t>MARINE GASOLINE ENGINE 6.5HP SN 003444</t>
  </si>
  <si>
    <t>MARINE DIESEL ENGINE 14HP SN 32400</t>
  </si>
  <si>
    <t>MARINE DIESEL ENGINE 14HP SN 32258</t>
  </si>
  <si>
    <t>MARINE DIESEL ENGINE 14HP SN 33505</t>
  </si>
  <si>
    <t>MARINE DIESEL ENGINE 14HP SN 32794</t>
  </si>
  <si>
    <t>MARINE DIESEL ENGINE 14HP SN 31428</t>
  </si>
  <si>
    <t>MARINE GASOLINE ENGINE 6.5HP SN 181004145</t>
  </si>
  <si>
    <t>MARINE GASOLINE ENGINE 6.5HP SN 211038017</t>
  </si>
  <si>
    <t>MARINE GASOLINE ENGINE 6.5HP SN 004086</t>
  </si>
  <si>
    <t>MARINE GASOLINE ENGINE 6.5HP SN 038031</t>
  </si>
  <si>
    <r>
      <t xml:space="preserve">MARINE GASOLINE ENGINE 6.5HP SN </t>
    </r>
    <r>
      <rPr>
        <sz val="12"/>
        <color rgb="FFFF0000"/>
        <rFont val="Calibri"/>
        <family val="2"/>
        <scheme val="minor"/>
      </rPr>
      <t>32746</t>
    </r>
  </si>
  <si>
    <t>1st</t>
  </si>
  <si>
    <t>2nd</t>
  </si>
  <si>
    <t>ESPENILLA</t>
  </si>
  <si>
    <t>JOLLY</t>
  </si>
  <si>
    <t>S</t>
  </si>
  <si>
    <t>PAGLIAWAN</t>
  </si>
  <si>
    <t>EDGARDO</t>
  </si>
  <si>
    <t>L</t>
  </si>
  <si>
    <t>MALICAY</t>
  </si>
  <si>
    <t>ALMA</t>
  </si>
  <si>
    <t>AGUSTIN</t>
  </si>
  <si>
    <t>ARGUELLES</t>
  </si>
  <si>
    <t>NOR</t>
  </si>
  <si>
    <t>BAGONG SILANG</t>
  </si>
  <si>
    <t>PUERTO PRINCESA CITY</t>
  </si>
  <si>
    <t>BINDUYAN</t>
  </si>
  <si>
    <t>BAGONG SIKAT</t>
  </si>
  <si>
    <t>MAOYON</t>
  </si>
  <si>
    <t>LUCBUAN</t>
  </si>
  <si>
    <t>3rd</t>
  </si>
  <si>
    <t>MARINE DIESEL ENGINE 14HP SN 31712</t>
  </si>
  <si>
    <t>MARINE DIESEL ENGINE 14HP SN 31835</t>
  </si>
  <si>
    <t>MARINE DIESEL ENGINE 14HP SN 32841</t>
  </si>
  <si>
    <t>MARINE DIESEL ENGINE 14HP SN 33510</t>
  </si>
  <si>
    <t>MARINE DIESEL ENGINE 14HP SN 32329</t>
  </si>
  <si>
    <t>BELAYA</t>
  </si>
  <si>
    <t>ARCADIO</t>
  </si>
  <si>
    <t>BATIANCILA</t>
  </si>
  <si>
    <t>ELESIO</t>
  </si>
  <si>
    <t>DELOS ANGELES</t>
  </si>
  <si>
    <t>JONATHAN</t>
  </si>
  <si>
    <t>MATA</t>
  </si>
  <si>
    <t>BRENDO</t>
  </si>
  <si>
    <t>MAGBANUA</t>
  </si>
  <si>
    <t>ISMAEL</t>
  </si>
  <si>
    <t>ILLUT</t>
  </si>
  <si>
    <t>FEDERICO</t>
  </si>
  <si>
    <t>CARNAP</t>
  </si>
  <si>
    <t>ELPEDIO</t>
  </si>
  <si>
    <t>ASONG</t>
  </si>
  <si>
    <t>ARLENE</t>
  </si>
  <si>
    <t>FERIA</t>
  </si>
  <si>
    <t>WILLY</t>
  </si>
  <si>
    <t>CABANIGAN</t>
  </si>
  <si>
    <t>WINNIE</t>
  </si>
  <si>
    <t>TAMAÑO</t>
  </si>
  <si>
    <t>MARNE SR</t>
  </si>
  <si>
    <t>ANTIPUESTO</t>
  </si>
  <si>
    <t>ASIO</t>
  </si>
  <si>
    <t>DANDIE</t>
  </si>
  <si>
    <t>ESPINOSA</t>
  </si>
  <si>
    <t>CASPE</t>
  </si>
  <si>
    <t>ARGIE</t>
  </si>
  <si>
    <t>SUAN</t>
  </si>
  <si>
    <t>CAMAWAS</t>
  </si>
  <si>
    <t>ALONIE</t>
  </si>
  <si>
    <t>MAHILOM</t>
  </si>
  <si>
    <t>SIMBULAS</t>
  </si>
  <si>
    <t>BACALTOS</t>
  </si>
  <si>
    <t>APOLINARIO</t>
  </si>
  <si>
    <t>CANDONG</t>
  </si>
  <si>
    <t>MANUMBAGA</t>
  </si>
  <si>
    <t>JANITO</t>
  </si>
  <si>
    <t>CAÑAS</t>
  </si>
  <si>
    <t>ARIEL</t>
  </si>
  <si>
    <t>DOCOS</t>
  </si>
  <si>
    <t>ROGER</t>
  </si>
  <si>
    <t>SAROL</t>
  </si>
  <si>
    <t>BENIGNO</t>
  </si>
  <si>
    <t>ALPAR</t>
  </si>
  <si>
    <t>CALANDAGAN</t>
  </si>
  <si>
    <t>ARACELI</t>
  </si>
  <si>
    <t>SAN JOSE DE ORO</t>
  </si>
  <si>
    <t>TININTINAN</t>
  </si>
  <si>
    <t>OSMEÑA</t>
  </si>
  <si>
    <t>APURAWAN</t>
  </si>
  <si>
    <t>ABORLAN</t>
  </si>
  <si>
    <t>MARINE DIESEL ENGINE 14HP SN 32311</t>
  </si>
  <si>
    <t>MARINE DIESEL ENGINE 14HP SN 33513</t>
  </si>
  <si>
    <t>MARINE DIESEL ENGINE 14HP SN 31755</t>
  </si>
  <si>
    <t>MARINE DIESEL ENGINE 14HP SN 32244</t>
  </si>
  <si>
    <t>MARINE DIESEL ENGINE 14HP SN 32807</t>
  </si>
  <si>
    <t>MARINE GASOLINE ENGINE 6.5HP SN 75-191013156</t>
  </si>
  <si>
    <t>MARINE GASOLINE ENGINE 6.5HP SN 65-181004089</t>
  </si>
  <si>
    <t>MARINE GASOLINE ENGINE 6.5HP SN 65-181004167</t>
  </si>
  <si>
    <t>MARINE GASOLINE ENGINE 6.5HP SN 65-181004137</t>
  </si>
  <si>
    <t>MARINE GASOLINE ENGINE 6.5HP SN 65-181004095</t>
  </si>
  <si>
    <t>MARINE DIESEL ENGINE 14HP SN 31931</t>
  </si>
  <si>
    <t>MARINE DIESEL ENGINE 14HP SN 32309</t>
  </si>
  <si>
    <t>MARINE DIESEL ENGINE 14HP SN 31901</t>
  </si>
  <si>
    <t>MARINE DIESEL ENGINE 14HP SN 33529</t>
  </si>
  <si>
    <t>MARINE DIESEL ENGINE 14HP SN 32767</t>
  </si>
  <si>
    <t>MARINE GASOLINE ENGINE 6.5HP SN 65-181004124</t>
  </si>
  <si>
    <t>MARINE GASOLINE ENGINE 6.5HP SN 65-211038179</t>
  </si>
  <si>
    <t>MARINE GASOLINE ENGINE 6.5HP SN 65-211038202</t>
  </si>
  <si>
    <t>MARINE GASOLINE ENGINE 6.5HP SN 65-181004081</t>
  </si>
  <si>
    <t>MARINE GASOLINE ENGINE 6.5HP SN 65-181004224</t>
  </si>
  <si>
    <t>REGALA</t>
  </si>
  <si>
    <t>ADRIAN</t>
  </si>
  <si>
    <t>SIOCON</t>
  </si>
  <si>
    <t>RENIE</t>
  </si>
  <si>
    <t>BILLONES</t>
  </si>
  <si>
    <t>ALEJANDRO</t>
  </si>
  <si>
    <t>RUBEN</t>
  </si>
  <si>
    <t>ROXANNE</t>
  </si>
  <si>
    <t>SITCHON</t>
  </si>
  <si>
    <t>FRANKLIN</t>
  </si>
  <si>
    <t>SALAPAYNE</t>
  </si>
  <si>
    <t>RHEA</t>
  </si>
  <si>
    <t>CUVILLAR</t>
  </si>
  <si>
    <t>REYNALDO</t>
  </si>
  <si>
    <t>GENTOLO</t>
  </si>
  <si>
    <t>KP</t>
  </si>
  <si>
    <t>VILLARIN</t>
  </si>
  <si>
    <t>DYESEBEL</t>
  </si>
  <si>
    <t>PAMOR</t>
  </si>
  <si>
    <t>BELANO</t>
  </si>
  <si>
    <t>HARVEN</t>
  </si>
  <si>
    <t>APINADO</t>
  </si>
  <si>
    <t>EDUARDO</t>
  </si>
  <si>
    <t>QUILISADIO</t>
  </si>
  <si>
    <t>MARIO</t>
  </si>
  <si>
    <t>FLORES</t>
  </si>
  <si>
    <t>CRISTINA</t>
  </si>
  <si>
    <t>RAMON</t>
  </si>
  <si>
    <t>CALALIN</t>
  </si>
  <si>
    <t>SONNY</t>
  </si>
  <si>
    <t>FACTOR</t>
  </si>
  <si>
    <t>EMELIO JR.</t>
  </si>
  <si>
    <t>RAMIEL</t>
  </si>
  <si>
    <t>V</t>
  </si>
  <si>
    <t>JASON</t>
  </si>
  <si>
    <t>CAYAO</t>
  </si>
  <si>
    <t>MERCY</t>
  </si>
  <si>
    <t>ALERIA</t>
  </si>
  <si>
    <t>ALICE</t>
  </si>
  <si>
    <t>TIKWAN</t>
  </si>
  <si>
    <t>TEANS</t>
  </si>
  <si>
    <t>QUINTANA</t>
  </si>
  <si>
    <t>ROWELL</t>
  </si>
  <si>
    <t>VILLARUEL</t>
  </si>
  <si>
    <t>ANASTACIO</t>
  </si>
  <si>
    <t>E</t>
  </si>
  <si>
    <t>JONTILA</t>
  </si>
  <si>
    <t>JEAN BETH</t>
  </si>
  <si>
    <t>DELOS SANTOS</t>
  </si>
  <si>
    <t>JEOFREY</t>
  </si>
  <si>
    <t>NAVA</t>
  </si>
  <si>
    <t>BEVERLY</t>
  </si>
  <si>
    <t>TAPALLA</t>
  </si>
  <si>
    <t>LILIAN</t>
  </si>
  <si>
    <t>MOREN</t>
  </si>
  <si>
    <t>MONICA</t>
  </si>
  <si>
    <t>LORNA</t>
  </si>
  <si>
    <t>RIO</t>
  </si>
  <si>
    <t>SELUSIL</t>
  </si>
  <si>
    <t>RAGASA</t>
  </si>
  <si>
    <t>ALLEN JOSEPH</t>
  </si>
  <si>
    <t>GOROSPE</t>
  </si>
  <si>
    <t>MARGIE</t>
  </si>
  <si>
    <t>GABO</t>
  </si>
  <si>
    <t>RECKNEL</t>
  </si>
  <si>
    <t>CAYAPAS</t>
  </si>
  <si>
    <t>RANZ</t>
  </si>
  <si>
    <t>BATUSAN</t>
  </si>
  <si>
    <t>WILFREDO</t>
  </si>
  <si>
    <t>RUTA</t>
  </si>
  <si>
    <t>NOREEN</t>
  </si>
  <si>
    <t>BENTULAR</t>
  </si>
  <si>
    <t>MERLIE</t>
  </si>
  <si>
    <t>BUENO</t>
  </si>
  <si>
    <t>ARMAN</t>
  </si>
  <si>
    <t>PALATINO</t>
  </si>
  <si>
    <t>PRINCE</t>
  </si>
  <si>
    <t>GAMAO</t>
  </si>
  <si>
    <t>LAWAY</t>
  </si>
  <si>
    <t>AALAN REY</t>
  </si>
  <si>
    <t>VICENTE</t>
  </si>
  <si>
    <t>JANET</t>
  </si>
  <si>
    <t>OMPAD</t>
  </si>
  <si>
    <t>MERLINDA</t>
  </si>
  <si>
    <t>DEL MUNDO</t>
  </si>
  <si>
    <t>FREDERICO</t>
  </si>
  <si>
    <t>LACASANDEILER</t>
  </si>
  <si>
    <t>HELDA</t>
  </si>
  <si>
    <t>PADILLA</t>
  </si>
  <si>
    <t>SHIRLEY</t>
  </si>
  <si>
    <t>SALAZAR</t>
  </si>
  <si>
    <t>JUDY ANN</t>
  </si>
  <si>
    <t>PAQUIBOT</t>
  </si>
  <si>
    <t>JUNJIE</t>
  </si>
  <si>
    <t>ALBERTO</t>
  </si>
  <si>
    <t>ALMENSO</t>
  </si>
  <si>
    <t>JOEHAMIE</t>
  </si>
  <si>
    <t>ALBA</t>
  </si>
  <si>
    <t>LAZARTE</t>
  </si>
  <si>
    <t>MELINDA</t>
  </si>
  <si>
    <t>VILLORENTE</t>
  </si>
  <si>
    <t>ANA SHIN</t>
  </si>
  <si>
    <t>VILLARUZ</t>
  </si>
  <si>
    <t>KEN BRYAN</t>
  </si>
  <si>
    <t>MAESTRO</t>
  </si>
  <si>
    <t>CYREI</t>
  </si>
  <si>
    <t>QUIJANO</t>
  </si>
  <si>
    <t>JHUN</t>
  </si>
  <si>
    <t>SAVORNIDO</t>
  </si>
  <si>
    <t>GENELYN</t>
  </si>
  <si>
    <t>MARTINIO</t>
  </si>
  <si>
    <t>MAVICTORIA</t>
  </si>
  <si>
    <t>ALFARO</t>
  </si>
  <si>
    <t>SALVADOR</t>
  </si>
  <si>
    <t>TUPAS</t>
  </si>
  <si>
    <t>PEPE</t>
  </si>
  <si>
    <t>PAZ</t>
  </si>
  <si>
    <t>PANUNCIO</t>
  </si>
  <si>
    <t>ALONZO</t>
  </si>
  <si>
    <t>DELIG</t>
  </si>
  <si>
    <t>FERDINAND</t>
  </si>
  <si>
    <t>PANTELLANO</t>
  </si>
  <si>
    <t>SUSAN</t>
  </si>
  <si>
    <t>FAVILA</t>
  </si>
  <si>
    <t>APRIL</t>
  </si>
  <si>
    <t xml:space="preserve">Individual  </t>
  </si>
  <si>
    <t>STA. MONICA</t>
  </si>
  <si>
    <t>PUERTO PRINCESA</t>
  </si>
  <si>
    <t>SICSICAN</t>
  </si>
  <si>
    <t>SAN JOSE</t>
  </si>
  <si>
    <t>TINIGUIBAN</t>
  </si>
  <si>
    <t>SAN PEDRO</t>
  </si>
  <si>
    <t>SAN MANUEL</t>
  </si>
  <si>
    <t>MANDARAGAT</t>
  </si>
  <si>
    <t>MATAHIMIK</t>
  </si>
  <si>
    <t>SEA SIDE</t>
  </si>
  <si>
    <t>CALASAG</t>
  </si>
  <si>
    <t>DUMARAN</t>
  </si>
  <si>
    <t>BACUNGAN</t>
  </si>
  <si>
    <t>TAGBUROS</t>
  </si>
  <si>
    <t>SAN MIGUEL</t>
  </si>
  <si>
    <t>BANCAO-BANCAO</t>
  </si>
  <si>
    <t>BABUYAN</t>
  </si>
  <si>
    <t>RIZAL</t>
  </si>
  <si>
    <t>SANDIWA</t>
  </si>
  <si>
    <t>BAHILE</t>
  </si>
  <si>
    <t>BAGONG SIKAP</t>
  </si>
  <si>
    <t>NEW PRINCESA</t>
  </si>
  <si>
    <t>WALK-IN/OTHERS</t>
  </si>
  <si>
    <t>WALK-IN/COMMERCIAL</t>
  </si>
  <si>
    <t>PCS</t>
  </si>
  <si>
    <t xml:space="preserve">PC </t>
  </si>
  <si>
    <t>PC</t>
  </si>
  <si>
    <t>LAGRADA</t>
  </si>
  <si>
    <t>GERYNN</t>
  </si>
  <si>
    <t>COMEN</t>
  </si>
  <si>
    <t>TESORIO</t>
  </si>
  <si>
    <t>ALONA</t>
  </si>
  <si>
    <t>REGINE</t>
  </si>
  <si>
    <t>ELESTERIO</t>
  </si>
  <si>
    <t>RAFAEL</t>
  </si>
  <si>
    <t>ADENIG</t>
  </si>
  <si>
    <t>ANNABEL</t>
  </si>
  <si>
    <t>LOLENSA</t>
  </si>
  <si>
    <t>JAYA</t>
  </si>
  <si>
    <t>BUTAS</t>
  </si>
  <si>
    <t>ERNESTO</t>
  </si>
  <si>
    <t>MORTE</t>
  </si>
  <si>
    <t>LUZVIMINDA</t>
  </si>
  <si>
    <t>REQUIES</t>
  </si>
  <si>
    <t>CABARLES</t>
  </si>
  <si>
    <t>MYRNA</t>
  </si>
  <si>
    <t>YANSON</t>
  </si>
  <si>
    <t>ABOROT</t>
  </si>
  <si>
    <t>ALFONZO</t>
  </si>
  <si>
    <t>LAMBINO</t>
  </si>
  <si>
    <t>CEASAR JR</t>
  </si>
  <si>
    <t>JARME</t>
  </si>
  <si>
    <t>MARILYN</t>
  </si>
  <si>
    <t>LEVI</t>
  </si>
  <si>
    <t>BARTOLAY</t>
  </si>
  <si>
    <t>DOLORES</t>
  </si>
  <si>
    <t>ESPARRAGUERRA</t>
  </si>
  <si>
    <t>MARY GRACE</t>
  </si>
  <si>
    <t>AWADO</t>
  </si>
  <si>
    <t>ROSELIE</t>
  </si>
  <si>
    <t>ABAINZA</t>
  </si>
  <si>
    <t>BENITO</t>
  </si>
  <si>
    <t>RICHELLE</t>
  </si>
  <si>
    <t>CAMACHO</t>
  </si>
  <si>
    <t>SABINO JR</t>
  </si>
  <si>
    <t>AMBE</t>
  </si>
  <si>
    <t>ANGELO</t>
  </si>
  <si>
    <t>ROSEL</t>
  </si>
  <si>
    <t>MARY JANE</t>
  </si>
  <si>
    <t>EDITH</t>
  </si>
  <si>
    <t>ANDRADE</t>
  </si>
  <si>
    <t>FRANCISCO</t>
  </si>
  <si>
    <t>EROJO</t>
  </si>
  <si>
    <t>ELIZABETH</t>
  </si>
  <si>
    <t>BUENCONSEJO</t>
  </si>
  <si>
    <t>JOYCE</t>
  </si>
  <si>
    <t>LANGOTE</t>
  </si>
  <si>
    <t>CUBIO</t>
  </si>
  <si>
    <t>GEMMA</t>
  </si>
  <si>
    <t>OBEDENCIA</t>
  </si>
  <si>
    <t>SOBERO</t>
  </si>
  <si>
    <t>MADELEN</t>
  </si>
  <si>
    <t>TITO</t>
  </si>
  <si>
    <t>ROBERT</t>
  </si>
  <si>
    <t>ABOUT</t>
  </si>
  <si>
    <t>RUDY</t>
  </si>
  <si>
    <t>T</t>
  </si>
  <si>
    <t>MIOGUE</t>
  </si>
  <si>
    <t>VICTOR JR</t>
  </si>
  <si>
    <t>LIZADA</t>
  </si>
  <si>
    <t>MELINA</t>
  </si>
  <si>
    <t>SORDILLA</t>
  </si>
  <si>
    <t>LAMBERTO</t>
  </si>
  <si>
    <t>MACAPINIG</t>
  </si>
  <si>
    <t>DIOLITO</t>
  </si>
  <si>
    <t>AGUISANDO</t>
  </si>
  <si>
    <t>ISAGANI</t>
  </si>
  <si>
    <t>NILVEN</t>
  </si>
  <si>
    <t>AGUIRRE</t>
  </si>
  <si>
    <t>HEDELIZA</t>
  </si>
  <si>
    <t>LACASA</t>
  </si>
  <si>
    <t>DAMIAN JR</t>
  </si>
  <si>
    <t>J</t>
  </si>
  <si>
    <t>GUIROY</t>
  </si>
  <si>
    <t>MA. SHYLA</t>
  </si>
  <si>
    <t>RAIDES</t>
  </si>
  <si>
    <t>DELA TORRE</t>
  </si>
  <si>
    <t>ANGELICA</t>
  </si>
  <si>
    <t>MARABI</t>
  </si>
  <si>
    <t>FLORO JR</t>
  </si>
  <si>
    <t>PILAPIL</t>
  </si>
  <si>
    <t>ANTONIO SR</t>
  </si>
  <si>
    <t>DALOJO</t>
  </si>
  <si>
    <t>JOCELYN</t>
  </si>
  <si>
    <t>AMAR</t>
  </si>
  <si>
    <t>CHENLYN</t>
  </si>
  <si>
    <t>OXIMEN</t>
  </si>
  <si>
    <t>VIOLETA</t>
  </si>
  <si>
    <t>CATHELINE</t>
  </si>
  <si>
    <t>ARTASO</t>
  </si>
  <si>
    <t>ANA</t>
  </si>
  <si>
    <t>CABILES</t>
  </si>
  <si>
    <t>GRAJO</t>
  </si>
  <si>
    <t>MARIA</t>
  </si>
  <si>
    <t>CASTILLO</t>
  </si>
  <si>
    <t>BABYLYN</t>
  </si>
  <si>
    <t>DARWIN</t>
  </si>
  <si>
    <t>GABUNALES</t>
  </si>
  <si>
    <t>RUTH</t>
  </si>
  <si>
    <t>ORTADO</t>
  </si>
  <si>
    <t>HELEN</t>
  </si>
  <si>
    <t>CERVANTES</t>
  </si>
  <si>
    <t>ELISA</t>
  </si>
  <si>
    <t>ESTERON</t>
  </si>
  <si>
    <t>JOEL JR</t>
  </si>
  <si>
    <t>TOYCO</t>
  </si>
  <si>
    <t>ROGELIO</t>
  </si>
  <si>
    <t>DE GUZMAN</t>
  </si>
  <si>
    <t>NORIZA</t>
  </si>
  <si>
    <t>SOLIS</t>
  </si>
  <si>
    <t>ROSEMARIE</t>
  </si>
  <si>
    <t>AUGADO</t>
  </si>
  <si>
    <t>MELANIE</t>
  </si>
  <si>
    <t>ANNALYN</t>
  </si>
  <si>
    <t>MINESCOLA</t>
  </si>
  <si>
    <t>HATOL</t>
  </si>
  <si>
    <t>IRISH</t>
  </si>
  <si>
    <t>GUADAYO</t>
  </si>
  <si>
    <t>BADETH</t>
  </si>
  <si>
    <t>DAÑO</t>
  </si>
  <si>
    <t>ELMA</t>
  </si>
  <si>
    <t>BASALIB</t>
  </si>
  <si>
    <t>MARIA THERESA</t>
  </si>
  <si>
    <t>MONATO</t>
  </si>
  <si>
    <t>SARAGOSA</t>
  </si>
  <si>
    <t>NICOLAS</t>
  </si>
  <si>
    <t>LEILA</t>
  </si>
  <si>
    <t>LYN</t>
  </si>
  <si>
    <t>CORNILO</t>
  </si>
  <si>
    <t>RITA</t>
  </si>
  <si>
    <t>BOFIL</t>
  </si>
  <si>
    <t>IRENE</t>
  </si>
  <si>
    <t>CALAN</t>
  </si>
  <si>
    <t>CONSOLACION</t>
  </si>
  <si>
    <t>SANTOS</t>
  </si>
  <si>
    <t>ANNABELLE</t>
  </si>
  <si>
    <t>BALDEVIESO</t>
  </si>
  <si>
    <t>AILENE</t>
  </si>
  <si>
    <t>BARSANAS</t>
  </si>
  <si>
    <t>MARIE LIZA</t>
  </si>
  <si>
    <t>VERGARA</t>
  </si>
  <si>
    <t>LOVIE</t>
  </si>
  <si>
    <t>LARIBA</t>
  </si>
  <si>
    <t>MANILYN</t>
  </si>
  <si>
    <t>LAILA</t>
  </si>
  <si>
    <t>PONCIANO</t>
  </si>
  <si>
    <t>ARCELITA</t>
  </si>
  <si>
    <t>DOROTEO</t>
  </si>
  <si>
    <t>TIMBANG</t>
  </si>
  <si>
    <t>HONORIO</t>
  </si>
  <si>
    <t>CORDERO</t>
  </si>
  <si>
    <t>AMADO</t>
  </si>
  <si>
    <t>PENANOJO</t>
  </si>
  <si>
    <t>MENCHIE</t>
  </si>
  <si>
    <t>GALON</t>
  </si>
  <si>
    <t>RENELYN</t>
  </si>
  <si>
    <t>NIERAS</t>
  </si>
  <si>
    <t>JEFFREY</t>
  </si>
  <si>
    <t>MAGHINAY</t>
  </si>
  <si>
    <t>EDEN</t>
  </si>
  <si>
    <t>DIJANIO</t>
  </si>
  <si>
    <t>ONEDA</t>
  </si>
  <si>
    <t>CATHERINE</t>
  </si>
  <si>
    <t>MILDRED</t>
  </si>
  <si>
    <t>ASISTENTE</t>
  </si>
  <si>
    <t>GUYAL</t>
  </si>
  <si>
    <t>FERNANDO</t>
  </si>
  <si>
    <t>JEDUIS</t>
  </si>
  <si>
    <t>MECEL</t>
  </si>
  <si>
    <t>MA. NENA</t>
  </si>
  <si>
    <t>REYES</t>
  </si>
  <si>
    <t>NIDA</t>
  </si>
  <si>
    <t>REX</t>
  </si>
  <si>
    <t xml:space="preserve">F </t>
  </si>
  <si>
    <t>VALLIENTE</t>
  </si>
  <si>
    <t>NORLIE</t>
  </si>
  <si>
    <t>JAPAY</t>
  </si>
  <si>
    <t>ROMMIE</t>
  </si>
  <si>
    <t>LORESTO</t>
  </si>
  <si>
    <t>ALWIN</t>
  </si>
  <si>
    <t>TICAR</t>
  </si>
  <si>
    <t>ARNOLD</t>
  </si>
  <si>
    <t>CAIDEC</t>
  </si>
  <si>
    <t>ELMER</t>
  </si>
  <si>
    <t>LABINA</t>
  </si>
  <si>
    <t>ALFRIDO</t>
  </si>
  <si>
    <t>SUSANO</t>
  </si>
  <si>
    <t>RODRIGUEZ</t>
  </si>
  <si>
    <t>ERLINA</t>
  </si>
  <si>
    <t>PERDIGON</t>
  </si>
  <si>
    <t>FRANK</t>
  </si>
  <si>
    <t>TABI</t>
  </si>
  <si>
    <t>MARY ANN</t>
  </si>
  <si>
    <t>JANORAS</t>
  </si>
  <si>
    <t xml:space="preserve">JOEL  </t>
  </si>
  <si>
    <t>BANEZ</t>
  </si>
  <si>
    <t>TRINIDAD</t>
  </si>
  <si>
    <t>GUAÑEZO</t>
  </si>
  <si>
    <t>GRACE</t>
  </si>
  <si>
    <t>SORNEL</t>
  </si>
  <si>
    <t>JEFFERSON</t>
  </si>
  <si>
    <t>GARGANERA</t>
  </si>
  <si>
    <t>DURADO</t>
  </si>
  <si>
    <t>ALVA</t>
  </si>
  <si>
    <t>FUERTES</t>
  </si>
  <si>
    <t>JULIETA</t>
  </si>
  <si>
    <t>FUBELLORE</t>
  </si>
  <si>
    <t>MARK ALLAN</t>
  </si>
  <si>
    <t>TABANG</t>
  </si>
  <si>
    <t>EDDIE BOY</t>
  </si>
  <si>
    <t>H</t>
  </si>
  <si>
    <t>MITUAN</t>
  </si>
  <si>
    <t>CHRICELLE</t>
  </si>
  <si>
    <t>RONNIE</t>
  </si>
  <si>
    <t>MAHINAY</t>
  </si>
  <si>
    <t>MANNY</t>
  </si>
  <si>
    <t>EDAÑO</t>
  </si>
  <si>
    <t>RECHEL</t>
  </si>
  <si>
    <t>MONTICENO</t>
  </si>
  <si>
    <t>RICHARD</t>
  </si>
  <si>
    <t>GARAY</t>
  </si>
  <si>
    <t>MARK VIVARK</t>
  </si>
  <si>
    <t>JOHN FEL</t>
  </si>
  <si>
    <t>PANCHITO</t>
  </si>
  <si>
    <t>CARLITO</t>
  </si>
  <si>
    <t>PATARLAS</t>
  </si>
  <si>
    <t>EULALIO JR</t>
  </si>
  <si>
    <t>HITALADA</t>
  </si>
  <si>
    <t>JUMEL</t>
  </si>
  <si>
    <t>ROLLANO</t>
  </si>
  <si>
    <t>CELIA</t>
  </si>
  <si>
    <t>DALMESA</t>
  </si>
  <si>
    <t>DAITA</t>
  </si>
  <si>
    <t>LORLYN</t>
  </si>
  <si>
    <t>AMORIN</t>
  </si>
  <si>
    <t>JULIO</t>
  </si>
  <si>
    <t>BALANGBANG</t>
  </si>
  <si>
    <t>GASPAR</t>
  </si>
  <si>
    <t>APATAN</t>
  </si>
  <si>
    <t>DARLENE JERRAH</t>
  </si>
  <si>
    <t>MANLAPAZ</t>
  </si>
  <si>
    <t>RENE BOY</t>
  </si>
  <si>
    <t>LOPEZ</t>
  </si>
  <si>
    <t>BALOLOD</t>
  </si>
  <si>
    <t>MICHAEL</t>
  </si>
  <si>
    <t>DOLOR</t>
  </si>
  <si>
    <t>SANICO</t>
  </si>
  <si>
    <t>ANGIELYN MAE</t>
  </si>
  <si>
    <t>5/2/992</t>
  </si>
  <si>
    <t>NORMA</t>
  </si>
  <si>
    <t>JUAN</t>
  </si>
  <si>
    <t>ANN MARY</t>
  </si>
  <si>
    <t>ANGELINA</t>
  </si>
  <si>
    <t>RACION</t>
  </si>
  <si>
    <t>BARONE</t>
  </si>
  <si>
    <t>MAYRALYN</t>
  </si>
  <si>
    <t>ASPERA</t>
  </si>
  <si>
    <t>NANCY</t>
  </si>
  <si>
    <t>TULAS</t>
  </si>
  <si>
    <t>ROVELAN</t>
  </si>
  <si>
    <t>SALIBIO</t>
  </si>
  <si>
    <t>ELGIEN</t>
  </si>
  <si>
    <t>LA TORRE</t>
  </si>
  <si>
    <t>PEDRO</t>
  </si>
  <si>
    <t>COLOSA</t>
  </si>
  <si>
    <t xml:space="preserve">IRENE </t>
  </si>
  <si>
    <t>SUMAGANG</t>
  </si>
  <si>
    <t>MARY JOY</t>
  </si>
  <si>
    <t>DANTE</t>
  </si>
  <si>
    <t>DILAO</t>
  </si>
  <si>
    <t>JHONA</t>
  </si>
  <si>
    <t>ALAPAD</t>
  </si>
  <si>
    <t>LENY</t>
  </si>
  <si>
    <t>ALMONTE</t>
  </si>
  <si>
    <t>ROMELIN</t>
  </si>
  <si>
    <t>VICKY</t>
  </si>
  <si>
    <t>PEJANA</t>
  </si>
  <si>
    <t>LETICIA</t>
  </si>
  <si>
    <t>VILLABER</t>
  </si>
  <si>
    <t>MANUELITA</t>
  </si>
  <si>
    <t>PALAPAN</t>
  </si>
  <si>
    <t>MARIEL</t>
  </si>
  <si>
    <t>DASMARINAS</t>
  </si>
  <si>
    <t>RYAN JAVE</t>
  </si>
  <si>
    <t>DESABAYLA</t>
  </si>
  <si>
    <t>LEONARDO</t>
  </si>
  <si>
    <t>BASAYA</t>
  </si>
  <si>
    <t>ROSERO</t>
  </si>
  <si>
    <t>CHRISTIAN</t>
  </si>
  <si>
    <t>DANG</t>
  </si>
  <si>
    <t>RACHEL</t>
  </si>
  <si>
    <t>MOLOS</t>
  </si>
  <si>
    <t>DIA</t>
  </si>
  <si>
    <t>ELEN</t>
  </si>
  <si>
    <t>LAGROSA</t>
  </si>
  <si>
    <t>TIRSO JR</t>
  </si>
  <si>
    <t>ANDAO</t>
  </si>
  <si>
    <t>JOHN CARLO</t>
  </si>
  <si>
    <t>Z</t>
  </si>
  <si>
    <t>SABENACIO</t>
  </si>
  <si>
    <t xml:space="preserve">REY </t>
  </si>
  <si>
    <t>JOSE JR</t>
  </si>
  <si>
    <t>SALES</t>
  </si>
  <si>
    <t>JHESSA</t>
  </si>
  <si>
    <t>FAUSTO</t>
  </si>
  <si>
    <t>ELMAR</t>
  </si>
  <si>
    <t>PANAGSAGAN</t>
  </si>
  <si>
    <t>ALFRED</t>
  </si>
  <si>
    <t>SHIELLA</t>
  </si>
  <si>
    <t>BRIN</t>
  </si>
  <si>
    <t>ROI LEO</t>
  </si>
  <si>
    <t>BAREÑAN</t>
  </si>
  <si>
    <t>PATILLAS</t>
  </si>
  <si>
    <t>WILMA</t>
  </si>
  <si>
    <t>GANANCIAL</t>
  </si>
  <si>
    <t>JEAN ROSE</t>
  </si>
  <si>
    <t>MONSAUTO</t>
  </si>
  <si>
    <t>ELUDY</t>
  </si>
  <si>
    <t>ALMACIN</t>
  </si>
  <si>
    <t>RUPERTO JR</t>
  </si>
  <si>
    <t>PERALTA</t>
  </si>
  <si>
    <t>STA. LOURDES</t>
  </si>
  <si>
    <t>SAN RAFAEL</t>
  </si>
  <si>
    <t>PAGKAKAISA</t>
  </si>
  <si>
    <t>INAGAWAN</t>
  </si>
  <si>
    <t>IWAHIG</t>
  </si>
  <si>
    <t>BAGONG BAYAN</t>
  </si>
  <si>
    <t>MANGINGISDA</t>
  </si>
  <si>
    <t>CABAYUGAN</t>
  </si>
  <si>
    <t>MILAGROSA</t>
  </si>
  <si>
    <t>SALVACION</t>
  </si>
  <si>
    <t>PULARAQUEN</t>
  </si>
  <si>
    <t>MAUNLAD</t>
  </si>
  <si>
    <t>MAYTEGUED</t>
  </si>
  <si>
    <t>BUENAVISTA</t>
  </si>
  <si>
    <t>MANINGNING</t>
  </si>
  <si>
    <t>STA. TERESITA</t>
  </si>
  <si>
    <t>MASAGANA</t>
  </si>
  <si>
    <t>IRAWAN</t>
  </si>
  <si>
    <t>NAPSAN</t>
  </si>
  <si>
    <t>NARRA</t>
  </si>
  <si>
    <t>TAYTAY</t>
  </si>
  <si>
    <t>AGUTAYA</t>
  </si>
  <si>
    <t>EL NIDO</t>
  </si>
  <si>
    <t>WALK-IN/REGULATORY</t>
  </si>
  <si>
    <t>WALK-IN/MUNICIPAL</t>
  </si>
  <si>
    <t>INZON</t>
  </si>
  <si>
    <t>ARTEX</t>
  </si>
  <si>
    <t>NARIO</t>
  </si>
  <si>
    <t>SABANDO</t>
  </si>
  <si>
    <t>KATRINA</t>
  </si>
  <si>
    <t>GALGO</t>
  </si>
  <si>
    <t>MARY JANICE</t>
  </si>
  <si>
    <t>GABUCO</t>
  </si>
  <si>
    <t>BUNGAR</t>
  </si>
  <si>
    <t>JESTER KENT</t>
  </si>
  <si>
    <t>LLEGANO</t>
  </si>
  <si>
    <t>ISABELLE</t>
  </si>
  <si>
    <t>JENNELYN</t>
  </si>
  <si>
    <t>DANILO</t>
  </si>
  <si>
    <t>VENUS</t>
  </si>
  <si>
    <t>MORILLO</t>
  </si>
  <si>
    <t>ELLEN</t>
  </si>
  <si>
    <t>LIZA</t>
  </si>
  <si>
    <t>GADIANO</t>
  </si>
  <si>
    <t>RACKY</t>
  </si>
  <si>
    <t>TIMOTEO II</t>
  </si>
  <si>
    <t>EQUIZ</t>
  </si>
  <si>
    <t>AIZA</t>
  </si>
  <si>
    <t>ANEBULI</t>
  </si>
  <si>
    <t>LYDIA</t>
  </si>
  <si>
    <t>TABOTABO</t>
  </si>
  <si>
    <t>NATO</t>
  </si>
  <si>
    <t>EMILIO</t>
  </si>
  <si>
    <t>SALIMBAGAT</t>
  </si>
  <si>
    <t>DELBERT</t>
  </si>
  <si>
    <t>BAUTISTA</t>
  </si>
  <si>
    <t>LEMARK</t>
  </si>
  <si>
    <t>VENIDA</t>
  </si>
  <si>
    <t>MA. EVELYN</t>
  </si>
  <si>
    <t>DIMANALATA</t>
  </si>
  <si>
    <t>MACLENN</t>
  </si>
  <si>
    <t>TABANGAY</t>
  </si>
  <si>
    <t>FE</t>
  </si>
  <si>
    <t>CORILLA</t>
  </si>
  <si>
    <t>MEDELINE</t>
  </si>
  <si>
    <t>RASONABE</t>
  </si>
  <si>
    <t>MA. EMELINDA</t>
  </si>
  <si>
    <t>TORRICO</t>
  </si>
  <si>
    <t>LILY</t>
  </si>
  <si>
    <t>EDGAR</t>
  </si>
  <si>
    <t>ROSE</t>
  </si>
  <si>
    <t xml:space="preserve">MARY  </t>
  </si>
  <si>
    <t>EMELITE</t>
  </si>
  <si>
    <t>MANIPOL</t>
  </si>
  <si>
    <t>NAPOLEON</t>
  </si>
  <si>
    <t>BERIÑO</t>
  </si>
  <si>
    <t>KRISTEL</t>
  </si>
  <si>
    <t>BETITA</t>
  </si>
  <si>
    <t>PATERNO JR</t>
  </si>
  <si>
    <t>NAMOC</t>
  </si>
  <si>
    <t>JOHNEDEL</t>
  </si>
  <si>
    <t>CUYA</t>
  </si>
  <si>
    <t>JONAS</t>
  </si>
  <si>
    <t>AGIS</t>
  </si>
  <si>
    <t>ARIS</t>
  </si>
  <si>
    <t>HERMENGILDO</t>
  </si>
  <si>
    <t>CHANTAL</t>
  </si>
  <si>
    <t>ALAYON</t>
  </si>
  <si>
    <t>DALMACIO</t>
  </si>
  <si>
    <t>HANA</t>
  </si>
  <si>
    <t>RAFOLS</t>
  </si>
  <si>
    <t>OFELIA</t>
  </si>
  <si>
    <t>IV</t>
  </si>
  <si>
    <t>TARADUNGAN</t>
  </si>
  <si>
    <t>ILIAN</t>
  </si>
  <si>
    <t>SIMPUCAN</t>
  </si>
  <si>
    <t>QUEZON</t>
  </si>
  <si>
    <t>CONCEPCION</t>
  </si>
  <si>
    <t>TANGLAW</t>
  </si>
  <si>
    <t>BROOKE'S POINT</t>
  </si>
  <si>
    <t xml:space="preserve"> BATARAZA</t>
  </si>
  <si>
    <t>CERTIFICATE OF CLEARANCE</t>
  </si>
  <si>
    <t>ERMA</t>
  </si>
  <si>
    <t xml:space="preserve">PUERTO PRINCESA </t>
  </si>
  <si>
    <t>BUSINESSWOMAN</t>
  </si>
  <si>
    <t>REGIDOR</t>
  </si>
  <si>
    <t>SHERILYN</t>
  </si>
  <si>
    <t>BUSINESS OWNER</t>
  </si>
  <si>
    <t>BUSTAMANTE</t>
  </si>
  <si>
    <t>BUSINESSMAN</t>
  </si>
  <si>
    <t>Feb/March</t>
  </si>
  <si>
    <t>FOLMINAR</t>
  </si>
  <si>
    <t>BAWIC</t>
  </si>
  <si>
    <t>BANTULAN</t>
  </si>
  <si>
    <t>MARINE DIESEL ENGINE 14HP SN 31708</t>
  </si>
  <si>
    <t>MARINE DIESEL ENGINE 14HP SN 31367</t>
  </si>
  <si>
    <t>MARINE DIESEL ENGINE 14HP SN 32805</t>
  </si>
  <si>
    <t>MARINE DIESEL ENGINE 14HP SN 31765</t>
  </si>
  <si>
    <t>PADUGA</t>
  </si>
  <si>
    <t>BITON</t>
  </si>
  <si>
    <t>MARINE DIESEL ENGINE 14HP SN 32276</t>
  </si>
  <si>
    <t>DELA CRUZ</t>
  </si>
  <si>
    <t>VILLASERAN</t>
  </si>
  <si>
    <t>JAIME</t>
  </si>
  <si>
    <t xml:space="preserve">M </t>
  </si>
  <si>
    <t>LIMINANGCONG</t>
  </si>
  <si>
    <t>MONZALES</t>
  </si>
  <si>
    <t>PALY</t>
  </si>
  <si>
    <t>TAGBANUA</t>
  </si>
  <si>
    <t>VALENCIA</t>
  </si>
  <si>
    <t>MARINE GASOLINE ENGINE 6.5HP SN 0031132</t>
  </si>
  <si>
    <t>MARINE GASOLINE ENGINE 6.5HP SN 003171</t>
  </si>
  <si>
    <t>MARINE GASOLINE ENGINE 6.5HP SN 002267</t>
  </si>
  <si>
    <t>MARINE GASOLINE ENGINE 6.5HP SN 004097</t>
  </si>
  <si>
    <t>MARINE GASOLINE ENGINE 6.5HP SN 004113</t>
  </si>
  <si>
    <t>HADAP</t>
  </si>
  <si>
    <t>CHRISTOPHER</t>
  </si>
  <si>
    <t xml:space="preserve">B </t>
  </si>
  <si>
    <t>MATEO</t>
  </si>
  <si>
    <t>ALBAO</t>
  </si>
  <si>
    <t>ARRIESGADO</t>
  </si>
  <si>
    <t>MARLON</t>
  </si>
  <si>
    <t>BALCUEBA</t>
  </si>
  <si>
    <t>JESSIE</t>
  </si>
  <si>
    <t>DELIVA</t>
  </si>
  <si>
    <t>RODEL</t>
  </si>
  <si>
    <t>SALDIVAR</t>
  </si>
  <si>
    <t>JOSEPHINE</t>
  </si>
  <si>
    <t>MARK ARVIN</t>
  </si>
  <si>
    <t>FERNANDEZ</t>
  </si>
  <si>
    <t>JEANY</t>
  </si>
  <si>
    <t>ROBERTO</t>
  </si>
  <si>
    <t>SAGAYAP</t>
  </si>
  <si>
    <t>LIZEL</t>
  </si>
  <si>
    <t>PASE</t>
  </si>
  <si>
    <t xml:space="preserve">VICTOR  </t>
  </si>
  <si>
    <t>LGU</t>
  </si>
  <si>
    <t>CANIPAAN</t>
  </si>
  <si>
    <t>EDEP</t>
  </si>
  <si>
    <t xml:space="preserve">JOSE </t>
  </si>
  <si>
    <t>EUFRACIO</t>
  </si>
  <si>
    <t>MARTINITO</t>
  </si>
  <si>
    <t>MARCIANO JR</t>
  </si>
  <si>
    <t>GEOVANIE</t>
  </si>
  <si>
    <t>MARTIZANO</t>
  </si>
  <si>
    <t>JORDAN</t>
  </si>
  <si>
    <t>DUHAYLUNGSOD</t>
  </si>
  <si>
    <t xml:space="preserve">JUN </t>
  </si>
  <si>
    <t>BUNDAL</t>
  </si>
  <si>
    <t>JORLINA</t>
  </si>
  <si>
    <t>PANACAN</t>
  </si>
  <si>
    <t>PAYUYO</t>
  </si>
  <si>
    <t>DOLLY</t>
  </si>
  <si>
    <t>NICARDO</t>
  </si>
  <si>
    <t>MARCO</t>
  </si>
  <si>
    <t>CUYOS</t>
  </si>
  <si>
    <t>PRIMITIVA</t>
  </si>
  <si>
    <t>CIDRO</t>
  </si>
  <si>
    <t>MARISOL</t>
  </si>
  <si>
    <t>PAREDES</t>
  </si>
  <si>
    <t>PARMELIN</t>
  </si>
  <si>
    <t>TUMALA</t>
  </si>
  <si>
    <t>DIONISIO</t>
  </si>
  <si>
    <t>BAQUIAO</t>
  </si>
  <si>
    <t>MOISES</t>
  </si>
  <si>
    <t>PELOSA</t>
  </si>
  <si>
    <t>TEDY</t>
  </si>
  <si>
    <t>F</t>
  </si>
  <si>
    <t>ESCALA</t>
  </si>
  <si>
    <t>ABENIGO</t>
  </si>
  <si>
    <t>CAYABO</t>
  </si>
  <si>
    <t>SHERANN</t>
  </si>
  <si>
    <t xml:space="preserve">PRIVATE </t>
  </si>
  <si>
    <t>HILARIO</t>
  </si>
  <si>
    <t>JAYSON</t>
  </si>
  <si>
    <t>GRANADA</t>
  </si>
  <si>
    <t>TIBBANG</t>
  </si>
  <si>
    <t>JINKY</t>
  </si>
  <si>
    <t>W</t>
  </si>
  <si>
    <t>BUTALID</t>
  </si>
  <si>
    <t>JESSA</t>
  </si>
  <si>
    <t>JHON MARK</t>
  </si>
  <si>
    <t>FENIX</t>
  </si>
  <si>
    <t>ESLANAN</t>
  </si>
  <si>
    <t>LEILANI</t>
  </si>
  <si>
    <t>CAPISPISAN</t>
  </si>
  <si>
    <t>ANITA</t>
  </si>
  <si>
    <t>CALATEGAS</t>
  </si>
  <si>
    <t>ENOY</t>
  </si>
  <si>
    <t>CIPENIANO</t>
  </si>
  <si>
    <t>VENTURA</t>
  </si>
  <si>
    <t>YSA</t>
  </si>
  <si>
    <t>MASASAN</t>
  </si>
  <si>
    <t>ETHAN</t>
  </si>
  <si>
    <t>LEONIDA</t>
  </si>
  <si>
    <t>ALFONZO XIII</t>
  </si>
  <si>
    <t>ALFONSO</t>
  </si>
  <si>
    <t>CERBITO</t>
  </si>
  <si>
    <t>ARCHIE</t>
  </si>
  <si>
    <t>KALIPAY</t>
  </si>
  <si>
    <t>9217795235/9638634234</t>
  </si>
  <si>
    <t>WALK-IN/OTHERS/COMMERCIAL</t>
  </si>
  <si>
    <t>NUHAY</t>
  </si>
  <si>
    <t>ALDRIN</t>
  </si>
  <si>
    <t>SUELA</t>
  </si>
  <si>
    <t>MARIBEL</t>
  </si>
  <si>
    <t>ASELO</t>
  </si>
  <si>
    <t>NIEVES ALEVI</t>
  </si>
  <si>
    <t>MA. VANESSA</t>
  </si>
  <si>
    <t>GEONANGA</t>
  </si>
  <si>
    <t>CERBIN</t>
  </si>
  <si>
    <t>CANTUBA</t>
  </si>
  <si>
    <t>NELSON</t>
  </si>
  <si>
    <t>MEDIANO</t>
  </si>
  <si>
    <t>NATALIE</t>
  </si>
  <si>
    <t>ZUMARAGA</t>
  </si>
  <si>
    <t>CHERIE</t>
  </si>
  <si>
    <t>MAMPAY</t>
  </si>
  <si>
    <t>TESSIE</t>
  </si>
  <si>
    <t>CAGAYANCILLO</t>
  </si>
  <si>
    <t>VILLEGAS</t>
  </si>
  <si>
    <t>OL BUNCAG</t>
  </si>
  <si>
    <t>VENTURILLO</t>
  </si>
  <si>
    <t>TOTO</t>
  </si>
  <si>
    <t>CENA</t>
  </si>
  <si>
    <t>RIZZA</t>
  </si>
  <si>
    <t>CORDOVA</t>
  </si>
  <si>
    <t>RUSTIA</t>
  </si>
  <si>
    <t>JESSABEL</t>
  </si>
  <si>
    <t>March</t>
  </si>
  <si>
    <t>March/April</t>
  </si>
  <si>
    <t>MARCIAL</t>
  </si>
  <si>
    <t>LAURENTE</t>
  </si>
  <si>
    <t>REY BENEDICT</t>
  </si>
  <si>
    <t>PASAY CITY</t>
  </si>
  <si>
    <t>CAVITE</t>
  </si>
  <si>
    <t>SAGUN</t>
  </si>
  <si>
    <t>ALEXIS</t>
  </si>
  <si>
    <t>CAMUNGOL</t>
  </si>
  <si>
    <t>FREDERICKSTED</t>
  </si>
  <si>
    <t>IMUS</t>
  </si>
  <si>
    <t>BATUHAN</t>
  </si>
  <si>
    <t>VIRGILIO</t>
  </si>
  <si>
    <t>HEREDERO</t>
  </si>
  <si>
    <t>ROMULO</t>
  </si>
  <si>
    <t>AÑONUEVO</t>
  </si>
  <si>
    <t>JOHN CRIS</t>
  </si>
  <si>
    <t>LERA-OG</t>
  </si>
  <si>
    <t>LOURDES</t>
  </si>
  <si>
    <t>CASUCOG</t>
  </si>
  <si>
    <t>TEDDY</t>
  </si>
  <si>
    <t>CUSTODIA</t>
  </si>
  <si>
    <t>ARENAS</t>
  </si>
  <si>
    <t>MARIE LOISE</t>
  </si>
  <si>
    <t>QUEZON CITY</t>
  </si>
  <si>
    <t>DA ICTS CO EMPLOYEE</t>
  </si>
  <si>
    <t>GARCIA</t>
  </si>
  <si>
    <t>NALE</t>
  </si>
  <si>
    <t>BENDAÑA JR</t>
  </si>
  <si>
    <t>PNP</t>
  </si>
  <si>
    <t>BORJA</t>
  </si>
  <si>
    <t>ERIC</t>
  </si>
  <si>
    <t>CUYUNON</t>
  </si>
  <si>
    <t>SAN JUAN</t>
  </si>
  <si>
    <t>MARINE DIESEL ENGINE 14HP SN 192FADYAD22A</t>
  </si>
  <si>
    <t>MARINE DIESEL ENGINE 14HP SN 192FADLJK11A</t>
  </si>
  <si>
    <t>MARINE DIESEL ENGINE 14HP SN 192FADYAG04A</t>
  </si>
  <si>
    <t>MARINE DIESEL ENGINE 14HP SN 192FADYAC23A</t>
  </si>
  <si>
    <t>MARINE DIESEL ENGINE 14HP SN 192FADYAG03A</t>
  </si>
  <si>
    <t>BOHOL</t>
  </si>
  <si>
    <t>CAPAYAS</t>
  </si>
  <si>
    <t>VIGONTE</t>
  </si>
  <si>
    <t>GEORGE FRANCIS</t>
  </si>
  <si>
    <t>LUPAGUE</t>
  </si>
  <si>
    <t>PABELLORIN</t>
  </si>
  <si>
    <t>REYMUNDO</t>
  </si>
  <si>
    <t>SENDITO</t>
  </si>
  <si>
    <t>CHARLIE</t>
  </si>
  <si>
    <t>CATO</t>
  </si>
  <si>
    <t>ROMNICK</t>
  </si>
  <si>
    <t>NENITO</t>
  </si>
  <si>
    <t>VALDEZ</t>
  </si>
  <si>
    <t>IGNACIO</t>
  </si>
  <si>
    <t>ADIE</t>
  </si>
  <si>
    <t>ALTERADO</t>
  </si>
  <si>
    <t>JOEL</t>
  </si>
  <si>
    <t>PISONILA</t>
  </si>
  <si>
    <t>RENANTE</t>
  </si>
  <si>
    <t>DAGOMBOY</t>
  </si>
  <si>
    <t>MARINE GASOLINE ENGINE 6.5HP SN 181003163</t>
  </si>
  <si>
    <t>MARINE GASOLINE ENGINE 6.5HP SN 211038011</t>
  </si>
  <si>
    <t>MARINE GASOLINE ENGINE 6.5HP SN 181004247</t>
  </si>
  <si>
    <t>MARINE GASOLINE ENGINE 6.5HP SN 181004105</t>
  </si>
  <si>
    <t>MARINE GASOLINE ENGINE 6.5HP SN 181003112</t>
  </si>
  <si>
    <t>MARINE GASOLINE ENGINE 6.5HP SN 211038380</t>
  </si>
  <si>
    <t>MARINE GASOLINE ENGINE 6.5HP SN 181004186</t>
  </si>
  <si>
    <t>MARINE GASOLINE ENGINE 6.5HP SN 211038163</t>
  </si>
  <si>
    <t>MARINE GASOLINE ENGINE 6.5HP SN 181004130</t>
  </si>
  <si>
    <t>MARINE GASOLINE ENGINE 6.5HP SN 181004125</t>
  </si>
  <si>
    <t>April</t>
  </si>
  <si>
    <t>QUIAMBAO</t>
  </si>
  <si>
    <t>LARRY</t>
  </si>
  <si>
    <t>FISHING VESSEL OWNER</t>
  </si>
  <si>
    <t>TIGMAN</t>
  </si>
  <si>
    <t>FACE TO FACE / COMMERCIAL</t>
  </si>
  <si>
    <t>SIOSE</t>
  </si>
  <si>
    <t>ALDJUN</t>
  </si>
  <si>
    <t>FISHING VESSEL OPERATOR</t>
  </si>
  <si>
    <t>AURINO</t>
  </si>
  <si>
    <t>JOHN</t>
  </si>
  <si>
    <t>Q</t>
  </si>
  <si>
    <t>SAMMY</t>
  </si>
  <si>
    <r>
      <t>YVA</t>
    </r>
    <r>
      <rPr>
        <sz val="12"/>
        <color theme="1"/>
        <rFont val="Times New Roman"/>
        <family val="1"/>
      </rPr>
      <t>ŇEZ</t>
    </r>
  </si>
  <si>
    <t xml:space="preserve">NENITA </t>
  </si>
  <si>
    <t>PANACAN 2</t>
  </si>
  <si>
    <t>BALADJAY</t>
  </si>
  <si>
    <t>SUNSHINE</t>
  </si>
  <si>
    <t>PANACAN 1</t>
  </si>
  <si>
    <t>MANABA</t>
  </si>
  <si>
    <t>LEONA</t>
  </si>
  <si>
    <t>LOCSIN</t>
  </si>
  <si>
    <t>ANGELILA</t>
  </si>
  <si>
    <t>POSADAS</t>
  </si>
  <si>
    <t>MAALA</t>
  </si>
  <si>
    <t>ROSITA</t>
  </si>
  <si>
    <t>ANANGUSTE</t>
  </si>
  <si>
    <t>AMELYN</t>
  </si>
  <si>
    <t>VU</t>
  </si>
  <si>
    <t>LENIE</t>
  </si>
  <si>
    <t>WALK-IN/AQUACULTURE</t>
  </si>
  <si>
    <t>ALCANTARA</t>
  </si>
  <si>
    <t>CENNON</t>
  </si>
  <si>
    <t>SABLADOR</t>
  </si>
  <si>
    <t>CRISPIN</t>
  </si>
  <si>
    <t>CARBAJOSA</t>
  </si>
  <si>
    <t>BENJIE</t>
  </si>
  <si>
    <t>MORGIA</t>
  </si>
  <si>
    <t>ARTEMIO</t>
  </si>
  <si>
    <t>JANNO</t>
  </si>
  <si>
    <t>RAFFY</t>
  </si>
  <si>
    <t>MONTINOLA</t>
  </si>
  <si>
    <t>IAN</t>
  </si>
  <si>
    <t>PALAY</t>
  </si>
  <si>
    <t>LITO</t>
  </si>
  <si>
    <t>NIGUAS</t>
  </si>
  <si>
    <t>ROSALINA</t>
  </si>
  <si>
    <t>LACARTE</t>
  </si>
  <si>
    <t>JORGE OLEAN</t>
  </si>
  <si>
    <t>MEROSA</t>
  </si>
  <si>
    <t>EROL</t>
  </si>
  <si>
    <t>JOHASMEL</t>
  </si>
  <si>
    <t>SALCEDO</t>
  </si>
  <si>
    <t>MAURICIO</t>
  </si>
  <si>
    <t>JOANA</t>
  </si>
  <si>
    <t>GONZALES</t>
  </si>
  <si>
    <t>DELOS REYES</t>
  </si>
  <si>
    <t>EMMANUEL</t>
  </si>
  <si>
    <t>GABINETE</t>
  </si>
  <si>
    <t>ALLAN</t>
  </si>
  <si>
    <t>ABSULIN</t>
  </si>
  <si>
    <t>JANE</t>
  </si>
  <si>
    <t>FEH</t>
  </si>
  <si>
    <t>FABRE</t>
  </si>
  <si>
    <t>MONTECLARO</t>
  </si>
  <si>
    <t>DENNIS</t>
  </si>
  <si>
    <t>BACUEL</t>
  </si>
  <si>
    <t>ROMEO</t>
  </si>
  <si>
    <t>APRIL JOY</t>
  </si>
  <si>
    <t>BUNDAC</t>
  </si>
  <si>
    <t>BENJAMIN</t>
  </si>
  <si>
    <t>2/25/2000</t>
  </si>
  <si>
    <t>3/26/1977</t>
  </si>
  <si>
    <t>9/20/1980</t>
  </si>
  <si>
    <t>9/13/1957</t>
  </si>
  <si>
    <t>10/29/1995</t>
  </si>
  <si>
    <t>2/26/1992</t>
  </si>
  <si>
    <t>11/18/1991</t>
  </si>
  <si>
    <t>8/26/1998</t>
  </si>
  <si>
    <t>1/15/1990</t>
  </si>
  <si>
    <t>9/17/1984</t>
  </si>
  <si>
    <t>12/26/1955</t>
  </si>
  <si>
    <t>6/23/1970</t>
  </si>
  <si>
    <t>1/21/2003</t>
  </si>
  <si>
    <t>VIP SECURITY</t>
  </si>
  <si>
    <t>MANILA</t>
  </si>
  <si>
    <t>NGO FISH RIGHT</t>
  </si>
  <si>
    <t>KALAYAAN</t>
  </si>
  <si>
    <t>CORON</t>
  </si>
  <si>
    <t xml:space="preserve">LGU </t>
  </si>
  <si>
    <t>CAMISO</t>
  </si>
  <si>
    <t>MISAJON</t>
  </si>
  <si>
    <t>BFARMC</t>
  </si>
  <si>
    <t>HERMOGILDA</t>
  </si>
  <si>
    <t>STUDENT</t>
  </si>
  <si>
    <t>DONALD</t>
  </si>
  <si>
    <t>CAMO</t>
  </si>
  <si>
    <t>ALEJO</t>
  </si>
  <si>
    <t>1/14/1993</t>
  </si>
  <si>
    <t>KAMUNING</t>
  </si>
  <si>
    <t>FERRANCO</t>
  </si>
  <si>
    <t>11/13/1967</t>
  </si>
  <si>
    <t>JOSEPH</t>
  </si>
  <si>
    <t>BARBOSA</t>
  </si>
  <si>
    <t>4/17/1970</t>
  </si>
  <si>
    <t>GARZON</t>
  </si>
  <si>
    <t>LIVEN</t>
  </si>
  <si>
    <t>4/14/1995</t>
  </si>
  <si>
    <t>BATARAZA</t>
  </si>
  <si>
    <t xml:space="preserve">JOSEPH </t>
  </si>
  <si>
    <t>RELLANA</t>
  </si>
  <si>
    <t>PHILIPPINE NAVY</t>
  </si>
  <si>
    <t>GARCIANO</t>
  </si>
  <si>
    <t xml:space="preserve">JAY </t>
  </si>
  <si>
    <t>MABA</t>
  </si>
  <si>
    <t>ELLZIAN</t>
  </si>
  <si>
    <t>MARIA FE</t>
  </si>
  <si>
    <t>8/21/1973</t>
  </si>
  <si>
    <t>7/18/1973</t>
  </si>
  <si>
    <t>VELARDE</t>
  </si>
  <si>
    <t>KIT</t>
  </si>
  <si>
    <t>12/19/1994</t>
  </si>
  <si>
    <t xml:space="preserve">BFAR </t>
  </si>
  <si>
    <t>6/25/1994</t>
  </si>
  <si>
    <t>MINILIA</t>
  </si>
  <si>
    <t>7/31/1977</t>
  </si>
  <si>
    <t>AGAWIN</t>
  </si>
  <si>
    <t>MARICEL</t>
  </si>
  <si>
    <t>3/19/1999</t>
  </si>
  <si>
    <t>JOSE FEL</t>
  </si>
  <si>
    <t>BAGONG PAG ASA</t>
  </si>
  <si>
    <t>PALAO</t>
  </si>
  <si>
    <t>NILO</t>
  </si>
  <si>
    <t>ABALOS</t>
  </si>
  <si>
    <t>10/15/1993</t>
  </si>
  <si>
    <t xml:space="preserve">SABAN </t>
  </si>
  <si>
    <t xml:space="preserve">FREDERICK </t>
  </si>
  <si>
    <t>SAMSON</t>
  </si>
  <si>
    <t>MARITESS</t>
  </si>
  <si>
    <t>JAY JR</t>
  </si>
  <si>
    <t>DELA ROSA</t>
  </si>
  <si>
    <t>JESEBEL</t>
  </si>
  <si>
    <t>NENITA</t>
  </si>
  <si>
    <t xml:space="preserve">SUNSHINE </t>
  </si>
  <si>
    <t>FACE TO FACE DIALOGUE / COMMERCIAL</t>
  </si>
  <si>
    <t>12/23/1953</t>
  </si>
  <si>
    <t>12/13/1974</t>
  </si>
  <si>
    <t>WALK-IN/OTHERS/FACE TO FACE DIALOGUECOMMERCIAL</t>
  </si>
  <si>
    <t>April/May</t>
  </si>
  <si>
    <t>FACE TO FACE DIALOGUE / OTHERS</t>
  </si>
  <si>
    <t>RICO</t>
  </si>
  <si>
    <t xml:space="preserve">RENE  </t>
  </si>
  <si>
    <t>FREDDIE</t>
  </si>
  <si>
    <t>ABELANDO</t>
  </si>
  <si>
    <t>ZAPANSA</t>
  </si>
  <si>
    <t>LOUIE</t>
  </si>
  <si>
    <t>TAYACTAC</t>
  </si>
  <si>
    <t>DYNA ROSE</t>
  </si>
  <si>
    <t>HENRY</t>
  </si>
  <si>
    <t>BADENAS</t>
  </si>
  <si>
    <t>JENIEL</t>
  </si>
  <si>
    <t>ANABELL</t>
  </si>
  <si>
    <t>DIONESIO</t>
  </si>
  <si>
    <t>TROJAN</t>
  </si>
  <si>
    <t>SETENTA</t>
  </si>
  <si>
    <t>KUARIZMAE</t>
  </si>
  <si>
    <t xml:space="preserve">RYAN </t>
  </si>
  <si>
    <t>RHONA</t>
  </si>
  <si>
    <t>LIBRE</t>
  </si>
  <si>
    <t>RELY</t>
  </si>
  <si>
    <t>ARZAGA</t>
  </si>
  <si>
    <t>GLORIA</t>
  </si>
  <si>
    <t>BERNON</t>
  </si>
  <si>
    <t>RAMIRO</t>
  </si>
  <si>
    <t>REMAR</t>
  </si>
  <si>
    <t>RENATO</t>
  </si>
  <si>
    <t>LIAISON OFFICER</t>
  </si>
  <si>
    <t>RENNALYN</t>
  </si>
  <si>
    <t>PERGES</t>
  </si>
  <si>
    <t>May</t>
  </si>
  <si>
    <t>KENT JAIDE</t>
  </si>
  <si>
    <t>JOMARIE</t>
  </si>
  <si>
    <t>TAGUMPAY</t>
  </si>
  <si>
    <t>ERICK</t>
  </si>
  <si>
    <t>LGU TAYTAY</t>
  </si>
  <si>
    <t>ZAERA</t>
  </si>
  <si>
    <t>JEMARK</t>
  </si>
  <si>
    <t>ACOSTA</t>
  </si>
  <si>
    <t>ANDREI</t>
  </si>
  <si>
    <t>U.</t>
  </si>
  <si>
    <t>PARCON</t>
  </si>
  <si>
    <t>LORIE JOHN</t>
  </si>
  <si>
    <t>EDIZA</t>
  </si>
  <si>
    <t>RAYNER</t>
  </si>
  <si>
    <t>IVY</t>
  </si>
  <si>
    <t>CORTEZ</t>
  </si>
  <si>
    <t>VILMA</t>
  </si>
  <si>
    <t>PANITIAN</t>
  </si>
  <si>
    <t>ALARCON</t>
  </si>
  <si>
    <t>VILLARITO</t>
  </si>
  <si>
    <t>VENELYN</t>
  </si>
  <si>
    <t>NUNGCAY</t>
  </si>
  <si>
    <t>ROXANY</t>
  </si>
  <si>
    <t>BELLON</t>
  </si>
  <si>
    <t>ABDURAJAK</t>
  </si>
  <si>
    <t>ALBON</t>
  </si>
  <si>
    <t>WENDRIC</t>
  </si>
  <si>
    <t>DUMADANGON</t>
  </si>
  <si>
    <t>GRABILLO</t>
  </si>
  <si>
    <t>EFREN</t>
  </si>
  <si>
    <t>GAUDIANO</t>
  </si>
  <si>
    <t>JOE PRES</t>
  </si>
  <si>
    <t>BACAREZA</t>
  </si>
  <si>
    <t>LONZAGA</t>
  </si>
  <si>
    <t>DOCE</t>
  </si>
  <si>
    <t>DEBORAH</t>
  </si>
  <si>
    <t>PRADO</t>
  </si>
  <si>
    <t>APOLINARIO JR.</t>
  </si>
  <si>
    <t>BHING</t>
  </si>
  <si>
    <t>RUSH</t>
  </si>
  <si>
    <t>NORA</t>
  </si>
  <si>
    <t>SWOON</t>
  </si>
  <si>
    <t>GULTIAN</t>
  </si>
  <si>
    <t>ALDIUN</t>
  </si>
  <si>
    <t>ARCONA</t>
  </si>
  <si>
    <t>ALLYSA</t>
  </si>
  <si>
    <t>PSU STUDENT</t>
  </si>
  <si>
    <t>PAGLINON</t>
  </si>
  <si>
    <t>LORETO</t>
  </si>
  <si>
    <t>MARDY</t>
  </si>
  <si>
    <t>ARINIOLA</t>
  </si>
  <si>
    <t>GLENNFORD</t>
  </si>
  <si>
    <t>ARELLANO</t>
  </si>
  <si>
    <t>LOVE</t>
  </si>
  <si>
    <t>EVANGELINE</t>
  </si>
  <si>
    <t>QUIRINO</t>
  </si>
  <si>
    <t>CARLOS JR</t>
  </si>
  <si>
    <t>JOY</t>
  </si>
  <si>
    <t>ROWENA</t>
  </si>
  <si>
    <t>DAQUIOAG</t>
  </si>
  <si>
    <t>MARICAR</t>
  </si>
  <si>
    <t>NGO C3 PHILS.-TAYTAY</t>
  </si>
  <si>
    <t>TALOZA</t>
  </si>
  <si>
    <t>BUTCH</t>
  </si>
  <si>
    <t>ACLAN</t>
  </si>
  <si>
    <t>JORIEL</t>
  </si>
  <si>
    <t>MORILLA</t>
  </si>
  <si>
    <t>KRISTINE</t>
  </si>
  <si>
    <t>CRUZ</t>
  </si>
  <si>
    <t>JAY-R</t>
  </si>
  <si>
    <t>REYMAR</t>
  </si>
  <si>
    <t>FIEDELINO</t>
  </si>
  <si>
    <t>MARTIREZ</t>
  </si>
  <si>
    <t>JUDITH</t>
  </si>
  <si>
    <t>GOZAR</t>
  </si>
  <si>
    <t>LYNDON</t>
  </si>
  <si>
    <t>DA BFAR MIMAROPA EMPLOYEE</t>
  </si>
  <si>
    <t>CALAPAN</t>
  </si>
  <si>
    <t>OCC. MONDORO</t>
  </si>
  <si>
    <t>May/June</t>
  </si>
  <si>
    <t>June</t>
  </si>
  <si>
    <t>LANSAP</t>
  </si>
  <si>
    <t>RAMOS</t>
  </si>
  <si>
    <t>SEGAY</t>
  </si>
  <si>
    <t>TEJADA</t>
  </si>
  <si>
    <t>TABON</t>
  </si>
  <si>
    <t>MARINE GASOLINE ENGINE 16HP SN 660080</t>
  </si>
  <si>
    <t>BERONG</t>
  </si>
  <si>
    <t>MARINE GASOLINE ENGINE 16HP SN 990277</t>
  </si>
  <si>
    <t>COCHING</t>
  </si>
  <si>
    <t>RONNEL</t>
  </si>
  <si>
    <t>SOFRONIO ESPAÑOLA</t>
  </si>
  <si>
    <t>GARILAO</t>
  </si>
  <si>
    <t>HERMAN</t>
  </si>
  <si>
    <t>ARAMAYWAN</t>
  </si>
  <si>
    <t>MARINE GASOLINE ENGINE 16HP SN 930142</t>
  </si>
  <si>
    <t>MAYAN</t>
  </si>
  <si>
    <t xml:space="preserve">JIMMY </t>
  </si>
  <si>
    <t>MARINE GASOLINE ENGINE 16HP SN 920038</t>
  </si>
  <si>
    <t>EMIT</t>
  </si>
  <si>
    <t>FUENTEZ</t>
  </si>
  <si>
    <t>VEVENCIO JR</t>
  </si>
  <si>
    <t>SOWANGAN</t>
  </si>
  <si>
    <t>MARINE GASOLINE ENGINE 16HP SN 950191</t>
  </si>
  <si>
    <t>MARINE GASOLINE ENGINE 16HP SN 840314</t>
  </si>
  <si>
    <t>MARINE GASOLINE ENGINE 16HP SN 1000145</t>
  </si>
  <si>
    <t>MARINE GASOLINE ENGINE 16HP SN 970311</t>
  </si>
  <si>
    <t>MARINE GASOLINE ENGINE 16HP SN 830275</t>
  </si>
  <si>
    <t>MARINE GASOLINE ENGINE 16HP SN 800093</t>
  </si>
  <si>
    <t>BONSALAG</t>
  </si>
  <si>
    <t>RUBLAN</t>
  </si>
  <si>
    <t>FUENTES</t>
  </si>
  <si>
    <t>ROLLY</t>
  </si>
  <si>
    <t>DUMAAN</t>
  </si>
  <si>
    <t>CALUMPANG</t>
  </si>
  <si>
    <t>TINDOG</t>
  </si>
  <si>
    <t>FELIX</t>
  </si>
  <si>
    <t>LEDESMA</t>
  </si>
  <si>
    <t>MAASIN</t>
  </si>
  <si>
    <t>QUINLOGAN</t>
  </si>
  <si>
    <t>MONSERATE</t>
  </si>
  <si>
    <t>SARIL</t>
  </si>
  <si>
    <t>ELEAZAR</t>
  </si>
  <si>
    <t>CANILDO</t>
  </si>
  <si>
    <t>BOTTOM SET GILL NET</t>
  </si>
  <si>
    <t>Set</t>
  </si>
  <si>
    <t>MONTARGO</t>
  </si>
  <si>
    <t>FARCON</t>
  </si>
  <si>
    <t>BANCOLO</t>
  </si>
  <si>
    <t xml:space="preserve">ROMNIC </t>
  </si>
  <si>
    <t>EULOGIO</t>
  </si>
  <si>
    <t>TACAL</t>
  </si>
  <si>
    <t>GONDAO</t>
  </si>
  <si>
    <t>AVANCEÑA</t>
  </si>
  <si>
    <t>JENNY ROSE</t>
  </si>
  <si>
    <t>ESTROSAS</t>
  </si>
  <si>
    <t>CRISTINE</t>
  </si>
  <si>
    <t>TOLING</t>
  </si>
  <si>
    <t>MALAGAD</t>
  </si>
  <si>
    <t>YTAC</t>
  </si>
  <si>
    <t>OLIVER</t>
  </si>
  <si>
    <t>CILLO</t>
  </si>
  <si>
    <t>SARDIDO</t>
  </si>
  <si>
    <t>MIER</t>
  </si>
  <si>
    <t>BALAHIM</t>
  </si>
  <si>
    <t>JOHAYNE</t>
  </si>
  <si>
    <t>BOLONGCO</t>
  </si>
  <si>
    <t>BACAR</t>
  </si>
  <si>
    <t>GRENAL</t>
  </si>
  <si>
    <t>LANTAY</t>
  </si>
  <si>
    <t>PARAYDAY</t>
  </si>
  <si>
    <t>CABILLAN</t>
  </si>
  <si>
    <t>BOLOGOSA</t>
  </si>
  <si>
    <t>ROSAS</t>
  </si>
  <si>
    <t>TERESITA</t>
  </si>
  <si>
    <t>SARTIN</t>
  </si>
  <si>
    <t xml:space="preserve">ALEJANDRO </t>
  </si>
  <si>
    <t>MA. MICHELE</t>
  </si>
  <si>
    <t xml:space="preserve">MIER </t>
  </si>
  <si>
    <t>LEOPOLDO</t>
  </si>
  <si>
    <t>HUGO</t>
  </si>
  <si>
    <t xml:space="preserve">WILLIAM NOEL </t>
  </si>
  <si>
    <t>AZARES</t>
  </si>
  <si>
    <t>GEORLIN</t>
  </si>
  <si>
    <t>GILDA</t>
  </si>
  <si>
    <t>AMORES</t>
  </si>
  <si>
    <t>IBAÑEZ</t>
  </si>
  <si>
    <t>LABARIA</t>
  </si>
  <si>
    <t>BERNITO</t>
  </si>
  <si>
    <t>ENOC</t>
  </si>
  <si>
    <t>TABAN</t>
  </si>
  <si>
    <t>TIE</t>
  </si>
  <si>
    <t>GUMBALAT</t>
  </si>
  <si>
    <t>SORAYDA</t>
  </si>
  <si>
    <t>ARSANI</t>
  </si>
  <si>
    <t>POLE</t>
  </si>
  <si>
    <t>ADARSANI</t>
  </si>
  <si>
    <t>LUDDIN</t>
  </si>
  <si>
    <t>NAMSIN</t>
  </si>
  <si>
    <t>MUSA</t>
  </si>
  <si>
    <t>ALJALIL</t>
  </si>
  <si>
    <t>JUNEE</t>
  </si>
  <si>
    <t>HANSANI</t>
  </si>
  <si>
    <t>MARIAM</t>
  </si>
  <si>
    <t>HAMAD</t>
  </si>
  <si>
    <t>ABDUL</t>
  </si>
  <si>
    <t>PUKO</t>
  </si>
  <si>
    <t>LUKMAN</t>
  </si>
  <si>
    <t>RAJA</t>
  </si>
  <si>
    <t>PEEK</t>
  </si>
  <si>
    <t>ARSIMAL</t>
  </si>
  <si>
    <t>ALBANIA</t>
  </si>
  <si>
    <t>RAMIL</t>
  </si>
  <si>
    <t>KALLING</t>
  </si>
  <si>
    <t>ALEONADIE</t>
  </si>
  <si>
    <t>KARIM</t>
  </si>
  <si>
    <t>ALAY</t>
  </si>
  <si>
    <t>BAHARI</t>
  </si>
  <si>
    <t>MALAN</t>
  </si>
  <si>
    <t>MAIN</t>
  </si>
  <si>
    <t>HAPOL</t>
  </si>
  <si>
    <t>SADAM</t>
  </si>
  <si>
    <t>HANAPI</t>
  </si>
  <si>
    <t>AJIJA</t>
  </si>
  <si>
    <t>ABDULSALI</t>
  </si>
  <si>
    <t>ABDURAHIM</t>
  </si>
  <si>
    <t>JULHARI</t>
  </si>
  <si>
    <t>HAIL</t>
  </si>
  <si>
    <t>JUHARAL</t>
  </si>
  <si>
    <t>HUSSIM</t>
  </si>
  <si>
    <t>HASSAN</t>
  </si>
  <si>
    <t>MUHAMAD</t>
  </si>
  <si>
    <t>KASDIE</t>
  </si>
  <si>
    <t>SABLU</t>
  </si>
  <si>
    <t>ABDUL JALIL</t>
  </si>
  <si>
    <t>SAULDA</t>
  </si>
  <si>
    <t>ROBERTS</t>
  </si>
  <si>
    <t>MANUEL</t>
  </si>
  <si>
    <t xml:space="preserve">A </t>
  </si>
  <si>
    <t>ROCE</t>
  </si>
  <si>
    <t>MARY GEE</t>
  </si>
  <si>
    <t>ARROYA</t>
  </si>
  <si>
    <t>DESERIE</t>
  </si>
  <si>
    <t>MERLY</t>
  </si>
  <si>
    <t>DALUNASA</t>
  </si>
  <si>
    <t>KATLENE</t>
  </si>
  <si>
    <t>ARROYO</t>
  </si>
  <si>
    <t>OXEÑA</t>
  </si>
  <si>
    <t>JONA</t>
  </si>
  <si>
    <t>ROSALY</t>
  </si>
  <si>
    <t>ANALY</t>
  </si>
  <si>
    <t>GERALDIZO</t>
  </si>
  <si>
    <t>VENACIO</t>
  </si>
  <si>
    <t>SHERLY</t>
  </si>
  <si>
    <t>CRISOSTOMO</t>
  </si>
  <si>
    <t>ROMY</t>
  </si>
  <si>
    <t>TULUKAN</t>
  </si>
  <si>
    <t>ROLAN</t>
  </si>
  <si>
    <t>MAGCALOLO</t>
  </si>
  <si>
    <t>JOSUE</t>
  </si>
  <si>
    <t>SERRA</t>
  </si>
  <si>
    <t>GAGARINO</t>
  </si>
  <si>
    <t>SARAH JANE</t>
  </si>
  <si>
    <t>SABLAON</t>
  </si>
  <si>
    <t>DOMOGHO</t>
  </si>
  <si>
    <t>MYRA</t>
  </si>
  <si>
    <t>JOFEL</t>
  </si>
  <si>
    <t>RENAN</t>
  </si>
  <si>
    <t xml:space="preserve">H </t>
  </si>
  <si>
    <t>GIGI</t>
  </si>
  <si>
    <t>ANCHITA</t>
  </si>
  <si>
    <t>ALEXANDER</t>
  </si>
  <si>
    <t>MELODY</t>
  </si>
  <si>
    <t>ACURATO</t>
  </si>
  <si>
    <t>KAREN</t>
  </si>
  <si>
    <t>PANO</t>
  </si>
  <si>
    <t>MARIVIC</t>
  </si>
  <si>
    <t>TIMAN</t>
  </si>
  <si>
    <t>MAGSAYSAY</t>
  </si>
  <si>
    <t xml:space="preserve">MARIO  </t>
  </si>
  <si>
    <t>JAMBILE</t>
  </si>
  <si>
    <t>TEODORO</t>
  </si>
  <si>
    <t>DADIOS</t>
  </si>
  <si>
    <t>TEODORO JR</t>
  </si>
  <si>
    <t>ACOGIDO</t>
  </si>
  <si>
    <t>ALIGADO</t>
  </si>
  <si>
    <t>MONTANO</t>
  </si>
  <si>
    <t>BETONIO</t>
  </si>
  <si>
    <t>JOHN ROEL</t>
  </si>
  <si>
    <t>BAJA</t>
  </si>
  <si>
    <t>DAHRELL</t>
  </si>
  <si>
    <t>RUPENTA</t>
  </si>
  <si>
    <t>AVENIDO</t>
  </si>
  <si>
    <t>ALVAREZ</t>
  </si>
  <si>
    <t>TORREMOCHA</t>
  </si>
  <si>
    <t>GARRY</t>
  </si>
  <si>
    <t>TOREON</t>
  </si>
  <si>
    <t>JOHN ROBERT</t>
  </si>
  <si>
    <t>OBENZA</t>
  </si>
  <si>
    <t>BACCOSA</t>
  </si>
  <si>
    <t>SERIOZA</t>
  </si>
  <si>
    <t>VICTORINO</t>
  </si>
  <si>
    <t>HAWECE</t>
  </si>
  <si>
    <t>PASCUA</t>
  </si>
  <si>
    <t>BORRES</t>
  </si>
  <si>
    <t>ALBERTA</t>
  </si>
  <si>
    <t>CHERRY ANN</t>
  </si>
  <si>
    <t>BERMAS</t>
  </si>
  <si>
    <t>JULIUS JOHN</t>
  </si>
  <si>
    <t>ULSON</t>
  </si>
  <si>
    <t>POSUGAC</t>
  </si>
  <si>
    <t>CAMPAHINAY</t>
  </si>
  <si>
    <t>GEORGINA</t>
  </si>
  <si>
    <t>APINASO</t>
  </si>
  <si>
    <t>SORIA</t>
  </si>
  <si>
    <t xml:space="preserve">J </t>
  </si>
  <si>
    <t>CALIMOSO</t>
  </si>
  <si>
    <t>WINCY</t>
  </si>
  <si>
    <t>BAAC</t>
  </si>
  <si>
    <t>AQUINO</t>
  </si>
  <si>
    <t>EMMACRIS</t>
  </si>
  <si>
    <t>10/31/2002</t>
  </si>
  <si>
    <t>BRYZE</t>
  </si>
  <si>
    <t>JERIC</t>
  </si>
  <si>
    <t>JOHN EDGAR</t>
  </si>
  <si>
    <t>DURIA</t>
  </si>
  <si>
    <t>JESSON</t>
  </si>
  <si>
    <t>8/14/1990</t>
  </si>
  <si>
    <t>DA BFAR CO EMPLOYEE</t>
  </si>
  <si>
    <t>JACKILYN</t>
  </si>
  <si>
    <t>PORCA</t>
  </si>
  <si>
    <t>MENDOSA</t>
  </si>
  <si>
    <t>CADAG</t>
  </si>
  <si>
    <t>LOGARTA</t>
  </si>
  <si>
    <t>MAIGUE</t>
  </si>
  <si>
    <t>SAULOYLOY</t>
  </si>
  <si>
    <t>7/18/1971</t>
  </si>
  <si>
    <t>ARA</t>
  </si>
  <si>
    <t>5/25/2002</t>
  </si>
  <si>
    <t>12/24/1998</t>
  </si>
  <si>
    <t>NERBEN</t>
  </si>
  <si>
    <t>DE VERA</t>
  </si>
  <si>
    <t>MARIA OLIVIA</t>
  </si>
  <si>
    <t>RABAYA</t>
  </si>
  <si>
    <t>6/28/1973</t>
  </si>
  <si>
    <t>EDNALYN</t>
  </si>
  <si>
    <t>4/28/1974</t>
  </si>
  <si>
    <t>LIWANAG</t>
  </si>
  <si>
    <t>9088990899/9177748487</t>
  </si>
  <si>
    <t>VANGIE</t>
  </si>
  <si>
    <t>LOGUIAS</t>
  </si>
  <si>
    <t xml:space="preserve">ROBERT </t>
  </si>
  <si>
    <t>1/25/1994</t>
  </si>
  <si>
    <t>LOTA</t>
  </si>
  <si>
    <t>LORELY</t>
  </si>
  <si>
    <t>JAVIER</t>
  </si>
  <si>
    <t>MAR</t>
  </si>
  <si>
    <t>DENR</t>
  </si>
  <si>
    <t>DOMINGUEZ</t>
  </si>
  <si>
    <t>FLOR</t>
  </si>
  <si>
    <t>2/20/1997</t>
  </si>
  <si>
    <t>DENR EMB</t>
  </si>
  <si>
    <t>MONTAÑO</t>
  </si>
  <si>
    <t>ROBLES</t>
  </si>
  <si>
    <t>RAIN</t>
  </si>
  <si>
    <t>SERACAPIO</t>
  </si>
  <si>
    <t>ZANIE</t>
  </si>
  <si>
    <t>ALBAY</t>
  </si>
  <si>
    <t>CARLES</t>
  </si>
  <si>
    <t>2/14/1972</t>
  </si>
  <si>
    <t>SADANG</t>
  </si>
  <si>
    <t>10/29/1965</t>
  </si>
  <si>
    <t>ORDINARIO</t>
  </si>
  <si>
    <t>HENRICK</t>
  </si>
  <si>
    <t>2/21/1997</t>
  </si>
  <si>
    <t>CAPADA</t>
  </si>
  <si>
    <t>3/23/1968</t>
  </si>
  <si>
    <t>10/18/1974</t>
  </si>
  <si>
    <t>CAPATI</t>
  </si>
  <si>
    <t>MICHAEL AARON</t>
  </si>
  <si>
    <t>2/17/1993</t>
  </si>
  <si>
    <t>ANNE JUDITH</t>
  </si>
  <si>
    <t>3/17/1988</t>
  </si>
  <si>
    <t>GASPI</t>
  </si>
  <si>
    <t>PATRICK JOHN</t>
  </si>
  <si>
    <t xml:space="preserve">TIRSO </t>
  </si>
  <si>
    <t>6/17/1984</t>
  </si>
  <si>
    <t>TIDOG</t>
  </si>
  <si>
    <t>ANTONIO</t>
  </si>
  <si>
    <t>11/23/1990</t>
  </si>
  <si>
    <t>CABATAC</t>
  </si>
  <si>
    <t>10/29/1979</t>
  </si>
  <si>
    <t>CUMLA</t>
  </si>
  <si>
    <t>MUAL</t>
  </si>
  <si>
    <t>ROMEL</t>
  </si>
  <si>
    <t>LEBATO</t>
  </si>
  <si>
    <t>CALFAN</t>
  </si>
  <si>
    <t>CAABAY</t>
  </si>
  <si>
    <t>PNP MARITIME</t>
  </si>
  <si>
    <t xml:space="preserve">CO </t>
  </si>
  <si>
    <t>EMMA</t>
  </si>
  <si>
    <t>4/24/1949</t>
  </si>
  <si>
    <t>CAHANDOC</t>
  </si>
  <si>
    <t>OLORGA</t>
  </si>
  <si>
    <t>NCIP</t>
  </si>
  <si>
    <t>7/21/1960</t>
  </si>
  <si>
    <t>PEDEROSA</t>
  </si>
  <si>
    <t>RUFINO</t>
  </si>
  <si>
    <t>SAMBRA</t>
  </si>
  <si>
    <t>BONG</t>
  </si>
  <si>
    <t>8/19/1955</t>
  </si>
  <si>
    <t>SAMONES</t>
  </si>
  <si>
    <t xml:space="preserve">G </t>
  </si>
  <si>
    <t>SOBENARIO</t>
  </si>
  <si>
    <t>MOONRY</t>
  </si>
  <si>
    <t>7/30/1990</t>
  </si>
  <si>
    <t>CATAMCO</t>
  </si>
  <si>
    <t>FELICITA</t>
  </si>
  <si>
    <t>2/20/1992</t>
  </si>
  <si>
    <t>DOBLEROS</t>
  </si>
  <si>
    <t>MARIA PINKY</t>
  </si>
  <si>
    <t>12/14/1972</t>
  </si>
  <si>
    <t>WALK-IN/COMMERCIAL/MUNICIPAL</t>
  </si>
  <si>
    <t xml:space="preserve">VILLAR </t>
  </si>
  <si>
    <t>RODELITO</t>
  </si>
  <si>
    <t>9/25/1963</t>
  </si>
  <si>
    <t>ABETUNA</t>
  </si>
  <si>
    <t>DEXTER</t>
  </si>
  <si>
    <t xml:space="preserve">TIMOTEO  </t>
  </si>
  <si>
    <t>8/22/1962</t>
  </si>
  <si>
    <t>BASIG</t>
  </si>
  <si>
    <t>MOSO</t>
  </si>
  <si>
    <t xml:space="preserve">LEO </t>
  </si>
  <si>
    <t xml:space="preserve">MOREN </t>
  </si>
  <si>
    <t>AMANCIO</t>
  </si>
  <si>
    <t>4/17/1948</t>
  </si>
  <si>
    <t>ARAGONES</t>
  </si>
  <si>
    <t>FLORANTE</t>
  </si>
  <si>
    <t>MANSARE</t>
  </si>
  <si>
    <t>JUN</t>
  </si>
  <si>
    <t>ZAMORANOS</t>
  </si>
  <si>
    <t>ADELFA</t>
  </si>
  <si>
    <t>9/27/1957</t>
  </si>
  <si>
    <t>MARINE GASOLINE ENGINE 16HP SN 0199</t>
  </si>
  <si>
    <t>MARINE GASOLINE ENGINE 16HP SN 0146</t>
  </si>
  <si>
    <t>3/24/1980</t>
  </si>
  <si>
    <t>CEBUANO</t>
  </si>
  <si>
    <t>VILLAR</t>
  </si>
  <si>
    <t>TUNA HANDLINE</t>
  </si>
  <si>
    <t>TIMOTEO</t>
  </si>
  <si>
    <t>Group</t>
  </si>
  <si>
    <t>CHERISH FISHERFOLK COOPERATIVE</t>
  </si>
  <si>
    <t>LGU SOFRONIO ESPAÑOLA</t>
  </si>
  <si>
    <t>BAJO</t>
  </si>
  <si>
    <t>NIMFA</t>
  </si>
  <si>
    <t>MARINE GASOLINE ENGINE 16HP</t>
  </si>
  <si>
    <t>LGU NARRA</t>
  </si>
  <si>
    <t>GAMMAD</t>
  </si>
  <si>
    <t>GILL NET</t>
  </si>
  <si>
    <t>SEAWEED FARM IMPLEMENTS(SUPER TWINE STRAW)</t>
  </si>
  <si>
    <t>SEAWEED FARM IMPLEMENTS (PVC FLOATERS)</t>
  </si>
  <si>
    <t>ROLLS</t>
  </si>
  <si>
    <t>LGU ABORLAN</t>
  </si>
  <si>
    <t>CACATIAN</t>
  </si>
  <si>
    <t>CLEMENTE</t>
  </si>
  <si>
    <t>MARINE GASOLINE ENGINE 16HP SNs MX420-2018020100251, MX420-2018020100070, MX420-2018020100273,MX420-2018020100148,MX420-2018020100042, MX420-2018020100138, MX420-2018020100338, MX420-2018020100324, MX420-2018020100125, MX420-2018020100344</t>
  </si>
  <si>
    <t>LGU BROOKE'S POINT</t>
  </si>
  <si>
    <t>MARINE GASOLINE ENGINE 16HP SNs MX420-2018020100322,  MX420-2018020100245,  MX420-2018020100041,  MX420-2018020100060,  MX420-2018020100157,  MX420-2018020100262,  MX420-2018020100013</t>
  </si>
  <si>
    <t>SEAWEED FARM IMPLEMENTS (PE ROPE NO. 10)</t>
  </si>
  <si>
    <t>LGU DUMARAN</t>
  </si>
  <si>
    <t>LGU RIZAL</t>
  </si>
  <si>
    <t>MARINE GASOLINE ENGINE 16HP SNs MX420-2018020100175, MX420-2018020100346, MX420-2018020100204, MX420-2018020100077, MX420-2018020100226, MX420-2018020100232, MX420-2018020100062</t>
  </si>
  <si>
    <t>LGU SAN VICENTE</t>
  </si>
  <si>
    <t>LABATETE</t>
  </si>
  <si>
    <t>MARINE GASOLINE ENGINE 16HP SNs MX420-2018020100151, MX420-2018020100117, MX420-2018020100269, MX420-2018020100029, MX420-2018020100293, MX420-2018020100088, MX420-2018020100095, MX420-2018020100181, MX420-2018020100253, MX420-2018020100035</t>
  </si>
  <si>
    <t>MARINE GASOLINE ENGINE 16HP SNs MX420-2018020100002, MX420-2018020100265, MX420-2018020100210, MX420-2018020100197, MX420-2018020100140, MX420-2018020100082,MX420-2018020100040, MX420-2018020100064, MX420-2018020100330, MX420-2018020100203</t>
  </si>
  <si>
    <t>LGU BATARAZA</t>
  </si>
  <si>
    <t>RIVAC</t>
  </si>
  <si>
    <t>MARINE GASOLINE ENGINE 16HP SNs MX420-2018020100147, MX420-2018020100272, MX420-2018020100060, MX420-2018020100246, MX420-2018020100128, MX420-2018020100026, MX420-2018020100072</t>
  </si>
  <si>
    <t>BABUYAN SEAWEEDS PRODUCER &amp; TRADERS ASSOCIATION</t>
  </si>
  <si>
    <t>ESTRELLA</t>
  </si>
  <si>
    <t>EMILYN</t>
  </si>
  <si>
    <t>PE ROPE NO. 24</t>
  </si>
  <si>
    <t>ROLL</t>
  </si>
  <si>
    <t>PE ROPE NO. 22</t>
  </si>
  <si>
    <t>PE ROPE NO. 10</t>
  </si>
  <si>
    <t>PE ROPE NO. 5</t>
  </si>
  <si>
    <t>SUPER TWINE STRAW</t>
  </si>
  <si>
    <t>MONO NYLON NO. 100</t>
  </si>
  <si>
    <t>KLS</t>
  </si>
  <si>
    <t>STYROFOAM BOUY (DRUM SIZE)</t>
  </si>
  <si>
    <t>KNIVES</t>
  </si>
  <si>
    <t>SNORKELING GOGGLES</t>
  </si>
  <si>
    <t>SAND BAGS</t>
  </si>
  <si>
    <t>SACK</t>
  </si>
  <si>
    <t>SEAWEED SEEDLINGS</t>
  </si>
  <si>
    <t>SEAWEED FARM IMPLEMENTS ( PVC FLOATER)</t>
  </si>
  <si>
    <t>SEAWEED FARM IMPLEMENTS (STRAW)</t>
  </si>
  <si>
    <t xml:space="preserve">ROLL </t>
  </si>
  <si>
    <t xml:space="preserve">PCS </t>
  </si>
  <si>
    <t>LEAH</t>
  </si>
  <si>
    <t>TUBO</t>
  </si>
  <si>
    <t>BERAGA</t>
  </si>
  <si>
    <t>JOJIE</t>
  </si>
  <si>
    <t>June/July</t>
  </si>
  <si>
    <t>BARROSA</t>
  </si>
  <si>
    <t>NORWIN</t>
  </si>
  <si>
    <t>VALENZUELA</t>
  </si>
  <si>
    <t>THEA</t>
  </si>
  <si>
    <t>BERONIO</t>
  </si>
  <si>
    <t>COROÑA</t>
  </si>
  <si>
    <t>BILLOÑES</t>
  </si>
  <si>
    <t>MASBATE</t>
  </si>
  <si>
    <t>ASTOVEZA</t>
  </si>
  <si>
    <t>BAÑES</t>
  </si>
  <si>
    <t>GABRIEL</t>
  </si>
  <si>
    <t>SUMUCOL</t>
  </si>
  <si>
    <t>CRISENDO</t>
  </si>
  <si>
    <t>PACIA</t>
  </si>
  <si>
    <t>MARIDEL</t>
  </si>
  <si>
    <t>CATIGON</t>
  </si>
  <si>
    <t xml:space="preserve">RAYNOLD </t>
  </si>
  <si>
    <t>ORIEL</t>
  </si>
  <si>
    <t>DAREN BOY</t>
  </si>
  <si>
    <t>LABOR</t>
  </si>
  <si>
    <t>DAVID</t>
  </si>
  <si>
    <t>CONRADO</t>
  </si>
  <si>
    <t>SIERRA</t>
  </si>
  <si>
    <t>KRISANTO</t>
  </si>
  <si>
    <t>ESPAÑOLA</t>
  </si>
  <si>
    <t>STA MONICA</t>
  </si>
  <si>
    <t>MANLAG</t>
  </si>
  <si>
    <t>GITING, DELITA T.</t>
  </si>
  <si>
    <t>ABOROT, EUNICE JOY</t>
  </si>
  <si>
    <t>July</t>
  </si>
  <si>
    <t>O7/O7/1985</t>
  </si>
  <si>
    <t>DELITA</t>
  </si>
  <si>
    <t>EUNICE JOY</t>
  </si>
  <si>
    <t>PRUDENCIO</t>
  </si>
  <si>
    <t>DETERIMO</t>
  </si>
  <si>
    <t>GEMEMANIO</t>
  </si>
  <si>
    <t>ROMANTICO</t>
  </si>
  <si>
    <t>BACOMO</t>
  </si>
  <si>
    <t>DALABAJAN</t>
  </si>
  <si>
    <t>MANGA</t>
  </si>
  <si>
    <t>ARQUERO</t>
  </si>
  <si>
    <t>UGEMIO</t>
  </si>
  <si>
    <t>LINEO</t>
  </si>
  <si>
    <t>COROZ</t>
  </si>
  <si>
    <t>BENAIBAS</t>
  </si>
  <si>
    <t>RODULFO</t>
  </si>
  <si>
    <t>GREGARDA</t>
  </si>
  <si>
    <t>MUTYA</t>
  </si>
  <si>
    <t>DAMASCO</t>
  </si>
  <si>
    <t>ELGIN</t>
  </si>
  <si>
    <t>03/15/1958</t>
  </si>
  <si>
    <t>05/19/1953</t>
  </si>
  <si>
    <t>08/26/1956</t>
  </si>
  <si>
    <t>05/18/1959</t>
  </si>
  <si>
    <t>09/16/1958</t>
  </si>
  <si>
    <t>10/21/1968</t>
  </si>
  <si>
    <t>04/23/1985</t>
  </si>
  <si>
    <t>03/18/1994</t>
  </si>
  <si>
    <t>MARK LESTER</t>
  </si>
  <si>
    <t>STA. MONICA, PPC</t>
  </si>
  <si>
    <t>SAN MANUEL, PPC</t>
  </si>
  <si>
    <t>MARUYOGON</t>
  </si>
  <si>
    <t>OPA EMPLOYEE</t>
  </si>
  <si>
    <t>ARIZABAL</t>
  </si>
  <si>
    <t>GA</t>
  </si>
  <si>
    <t>BONALES</t>
  </si>
  <si>
    <t>ALAN</t>
  </si>
  <si>
    <t>DON GEORGE</t>
  </si>
  <si>
    <t>VERTUA</t>
  </si>
  <si>
    <t>EULINER</t>
  </si>
  <si>
    <t>08/21/1980</t>
  </si>
  <si>
    <t xml:space="preserve"> DA BFAR EMPLOYEE</t>
  </si>
  <si>
    <t xml:space="preserve">GILBERT </t>
  </si>
  <si>
    <t>GUBENIANO</t>
  </si>
  <si>
    <t>ESMAEL</t>
  </si>
  <si>
    <t>LINO</t>
  </si>
  <si>
    <t>EUGENIO</t>
  </si>
  <si>
    <t>CEPURINO</t>
  </si>
  <si>
    <t>BACOSA</t>
  </si>
  <si>
    <t>GLENN</t>
  </si>
  <si>
    <t>BACAOISAN</t>
  </si>
  <si>
    <t>NGOJO</t>
  </si>
  <si>
    <t>04/24/1970</t>
  </si>
  <si>
    <t>MABINI</t>
  </si>
  <si>
    <t>4th</t>
  </si>
  <si>
    <t>individual</t>
  </si>
  <si>
    <t>MALOLOY-ON</t>
  </si>
  <si>
    <t>FORTUNATO</t>
  </si>
  <si>
    <t>TEKLING</t>
  </si>
  <si>
    <t>NIKKI</t>
  </si>
  <si>
    <t>RIVERAL</t>
  </si>
  <si>
    <t>ALFIE</t>
  </si>
  <si>
    <t>COMPAÑADO</t>
  </si>
  <si>
    <t>GABINEDA</t>
  </si>
  <si>
    <t>REYNOLD</t>
  </si>
  <si>
    <t>JOJO</t>
  </si>
  <si>
    <t>BANIBASE</t>
  </si>
  <si>
    <t>MIPITOHE</t>
  </si>
  <si>
    <t>ALLY</t>
  </si>
  <si>
    <t>OCAMPO</t>
  </si>
  <si>
    <t>PANTOBLES</t>
  </si>
  <si>
    <t>JENGA</t>
  </si>
  <si>
    <t>08/23/1996</t>
  </si>
  <si>
    <t>09/14/19889</t>
  </si>
  <si>
    <t>08/23/1997</t>
  </si>
  <si>
    <t>08/18/1975</t>
  </si>
  <si>
    <t>ARJENG</t>
  </si>
  <si>
    <t>LAIJA</t>
  </si>
  <si>
    <t>01/26/1995</t>
  </si>
  <si>
    <t>01/13/1988</t>
  </si>
  <si>
    <t>05/31/1998</t>
  </si>
  <si>
    <t>05/18/1991</t>
  </si>
  <si>
    <t>LGU PUERTO PRINCESA</t>
  </si>
  <si>
    <t>ELGIN ROBERT</t>
  </si>
  <si>
    <t>MARINE GASOLINE ENGINE 16HP SNs MX420-2018020100197, MX420-2018020100129, MX420-2018020100171, MX420-2018020100211, MX420-2018020100124,</t>
  </si>
  <si>
    <t>MARINE GASOLINE ENGINE 16HP SNs MX420-2018020100327, MX420-2018020100305, MX420-2018020100049, MX420-2018020100086, MX420-2018020100017, MX420-2018020100017</t>
  </si>
  <si>
    <t>ARON</t>
  </si>
  <si>
    <t>GARCELLANO</t>
  </si>
  <si>
    <t>SHA</t>
  </si>
  <si>
    <t>SAID-ALIH</t>
  </si>
  <si>
    <t>K</t>
  </si>
  <si>
    <t>LGU QUEZON</t>
  </si>
  <si>
    <t>SENTENO</t>
  </si>
  <si>
    <t xml:space="preserve">ROLANDO </t>
  </si>
  <si>
    <t>SEAWEED FARM IMPLEMENTS (SUPER TWINE STRAW)</t>
  </si>
  <si>
    <t>SEAWEED FARM IMPLEMENTS (PE ROPE NO. 5)</t>
  </si>
  <si>
    <t>LGU ROXAS</t>
  </si>
  <si>
    <t>GACELLANO</t>
  </si>
  <si>
    <t>MARINE GASOLINE ENGINE 16HP SNs MX420-2018020100220, MX420-2018020100053, MX420-2018020100050, MX420-2018020100099, MX420-2018020100091,  MX420-2018020100158, MX420-2018020100006, MX420-2018020100063, MX420-2018020100046, MX420-2018020100289, MX420-2018020100167, MX420-2018020100144, MX420-2018020100249, MX420-2018020100235, MX420-2018020100306, MX420-2018020100087, MX420-2018020100236, MX420-2018020100308, MX420-2018020100221, MX420-2018020100242, MX420-2018020100212, MX420-2018020100341, MX420-2018020100172, MX420-2018020100271</t>
  </si>
  <si>
    <t>MERYLYN</t>
  </si>
  <si>
    <t>PARONO</t>
  </si>
  <si>
    <t>COBILO</t>
  </si>
  <si>
    <t>BGY III</t>
  </si>
  <si>
    <t>MABUHAY</t>
  </si>
  <si>
    <t>PINTOR</t>
  </si>
  <si>
    <t>MARASIGAN</t>
  </si>
  <si>
    <t>ERNISTO</t>
  </si>
  <si>
    <t>MARCELO</t>
  </si>
  <si>
    <t>MIRANOAY</t>
  </si>
  <si>
    <t>JOSE MARI</t>
  </si>
  <si>
    <t>PINTOR, JR</t>
  </si>
  <si>
    <t>REVA</t>
  </si>
  <si>
    <t>GACASA</t>
  </si>
  <si>
    <t>SK</t>
  </si>
  <si>
    <t>MOREM</t>
  </si>
  <si>
    <t>MONDRAGON</t>
  </si>
  <si>
    <t>EVELYN</t>
  </si>
  <si>
    <t>CUASAR</t>
  </si>
  <si>
    <t>CATANCO</t>
  </si>
  <si>
    <t>CABANAG</t>
  </si>
  <si>
    <t>JORIES</t>
  </si>
  <si>
    <t>BGY IV</t>
  </si>
  <si>
    <t>JOHN DENVER</t>
  </si>
  <si>
    <t>ARVIN</t>
  </si>
  <si>
    <t>VISTO</t>
  </si>
  <si>
    <t>MARLYN</t>
  </si>
  <si>
    <t>LOBAD LOBAD</t>
  </si>
  <si>
    <t>DARIO</t>
  </si>
  <si>
    <t>GALLEGO</t>
  </si>
  <si>
    <t>JAYPEE</t>
  </si>
  <si>
    <t>RUIZ</t>
  </si>
  <si>
    <t>DATUAN</t>
  </si>
  <si>
    <t>BAUYA</t>
  </si>
  <si>
    <t>GERALDINE</t>
  </si>
  <si>
    <t xml:space="preserve">ESMERO </t>
  </si>
  <si>
    <t>MA. FE</t>
  </si>
  <si>
    <t>CRESELDA</t>
  </si>
  <si>
    <t>MAXIMIANO</t>
  </si>
  <si>
    <t>MULATO</t>
  </si>
  <si>
    <t>JUNEMAR</t>
  </si>
  <si>
    <t>MARIO JR</t>
  </si>
  <si>
    <t>MULTIPLE HOOK AND LINE</t>
  </si>
  <si>
    <t>SET</t>
  </si>
  <si>
    <t>SALONGGA</t>
  </si>
  <si>
    <t>REMIE</t>
  </si>
  <si>
    <t>IBRAHIM</t>
  </si>
  <si>
    <t xml:space="preserve">  </t>
  </si>
  <si>
    <t>LABAO</t>
  </si>
  <si>
    <t>JONEL</t>
  </si>
  <si>
    <t>DELFIN, JR</t>
  </si>
  <si>
    <t>BRIONES</t>
  </si>
  <si>
    <t>WENDELYN</t>
  </si>
  <si>
    <t>OMAR</t>
  </si>
  <si>
    <t>EDMUNDO</t>
  </si>
  <si>
    <t>DOMINADOR</t>
  </si>
  <si>
    <t>VANGUARDIA</t>
  </si>
  <si>
    <t>MARK JOSEPH</t>
  </si>
  <si>
    <t>COMING</t>
  </si>
  <si>
    <t>ANTAM</t>
  </si>
  <si>
    <t>RASTOR</t>
  </si>
  <si>
    <t>MALINDA</t>
  </si>
  <si>
    <t>SABTARI</t>
  </si>
  <si>
    <t>JESUS</t>
  </si>
  <si>
    <t xml:space="preserve">MIGUEL </t>
  </si>
  <si>
    <t>ISDADO</t>
  </si>
  <si>
    <t>JERBELYN</t>
  </si>
  <si>
    <t>TAGUSAO</t>
  </si>
  <si>
    <t>BEVERLYN</t>
  </si>
  <si>
    <t>PONDO</t>
  </si>
  <si>
    <t>JENNIE</t>
  </si>
  <si>
    <t>RUPAC</t>
  </si>
  <si>
    <t>FLORIDA</t>
  </si>
  <si>
    <t>JENNIWIE</t>
  </si>
  <si>
    <t>SEAWEED FARM IMPLEMENT (PE ROPE NO.10)</t>
  </si>
  <si>
    <t>DIASANTA</t>
  </si>
  <si>
    <t>NORBERTO</t>
  </si>
  <si>
    <t>GAITE</t>
  </si>
  <si>
    <t>JULITA</t>
  </si>
  <si>
    <t>ELY</t>
  </si>
  <si>
    <t>NAMUCO</t>
  </si>
  <si>
    <t>BOYLES</t>
  </si>
  <si>
    <t>MARVIN</t>
  </si>
  <si>
    <t>MILLENDEZ</t>
  </si>
  <si>
    <t>FREZIL</t>
  </si>
  <si>
    <t>GODOY</t>
  </si>
  <si>
    <t>CATUBIG</t>
  </si>
  <si>
    <t>CANTIGA</t>
  </si>
  <si>
    <t>TEBURCIO JR</t>
  </si>
  <si>
    <t>SEAWEED FARM IMPLEMENT (PVC FLOATERS)</t>
  </si>
  <si>
    <t>ARIES</t>
  </si>
  <si>
    <t>BUÑAG</t>
  </si>
  <si>
    <t>SALLY</t>
  </si>
  <si>
    <t>NABLEA</t>
  </si>
  <si>
    <t>NOLITA</t>
  </si>
  <si>
    <t>CASUMPANG</t>
  </si>
  <si>
    <t>ANNALEAH</t>
  </si>
  <si>
    <t>MUÑOZ</t>
  </si>
  <si>
    <t>ELAFANE</t>
  </si>
  <si>
    <t>JHON LEMMUEL</t>
  </si>
  <si>
    <t>BULIAN</t>
  </si>
  <si>
    <t>RONIA</t>
  </si>
  <si>
    <t>BUTERES</t>
  </si>
  <si>
    <t>JERY</t>
  </si>
  <si>
    <t>BUTIRES</t>
  </si>
  <si>
    <t>JHONNY</t>
  </si>
  <si>
    <t>CAYAN</t>
  </si>
  <si>
    <t>BURIRAO</t>
  </si>
  <si>
    <t>AMADA</t>
  </si>
  <si>
    <t>NESTOR</t>
  </si>
  <si>
    <t>SAMBON</t>
  </si>
  <si>
    <t>ERNEL</t>
  </si>
  <si>
    <t>BULUAN</t>
  </si>
  <si>
    <t xml:space="preserve">MARIO   </t>
  </si>
  <si>
    <t>LEONIL</t>
  </si>
  <si>
    <t>TERRY JEAN</t>
  </si>
  <si>
    <t>JORLY</t>
  </si>
  <si>
    <t>JUSTOMBRE</t>
  </si>
  <si>
    <t>GUISANTO</t>
  </si>
  <si>
    <t>JERRY</t>
  </si>
  <si>
    <t>TABEON</t>
  </si>
  <si>
    <t>FLORIATION</t>
  </si>
  <si>
    <t>QUILLAM</t>
  </si>
  <si>
    <t>FELINA</t>
  </si>
  <si>
    <t>ROMER</t>
  </si>
  <si>
    <t>ALAYA</t>
  </si>
  <si>
    <t xml:space="preserve">SABINO </t>
  </si>
  <si>
    <t>CAMACITO JR</t>
  </si>
  <si>
    <t>POLABERTE</t>
  </si>
  <si>
    <t>REMEZ</t>
  </si>
  <si>
    <t>MICHELL</t>
  </si>
  <si>
    <t>BAOLI</t>
  </si>
  <si>
    <t>ESMERO</t>
  </si>
  <si>
    <t>CRISELDA</t>
  </si>
  <si>
    <t>GUALBERTO</t>
  </si>
  <si>
    <t>RACHAEL</t>
  </si>
  <si>
    <t>SARVANTE</t>
  </si>
  <si>
    <t>JUVIELIN</t>
  </si>
  <si>
    <t>DATO-ON</t>
  </si>
  <si>
    <t>VISTA</t>
  </si>
  <si>
    <t>PANCIO</t>
  </si>
  <si>
    <t>JUVEMAR</t>
  </si>
  <si>
    <t>ISABELITO</t>
  </si>
  <si>
    <t>BIÑAS</t>
  </si>
  <si>
    <t>CYNTHIA</t>
  </si>
  <si>
    <t>MARVIN, SR</t>
  </si>
  <si>
    <t>JUILITA</t>
  </si>
  <si>
    <t>TIBURLIO, JR</t>
  </si>
  <si>
    <t>VELENZUELA</t>
  </si>
  <si>
    <t>NEIL</t>
  </si>
  <si>
    <t>ECUYA</t>
  </si>
  <si>
    <t>LAYASA</t>
  </si>
  <si>
    <t>JOHN MARK</t>
  </si>
  <si>
    <t>16/1/1999</t>
  </si>
  <si>
    <t>BFAR MIMAROPA EMPLOYEE</t>
  </si>
  <si>
    <t>SAN GABRIEL</t>
  </si>
  <si>
    <t>ORIENTAL MINDORO</t>
  </si>
  <si>
    <t>ILAYA</t>
  </si>
  <si>
    <t>BUŇAG</t>
  </si>
  <si>
    <t>YVAÑES</t>
  </si>
  <si>
    <t>July/August</t>
  </si>
  <si>
    <t>MATARIA</t>
  </si>
  <si>
    <t>BINSON</t>
  </si>
  <si>
    <t>MONO-NYLON NO. 200mm</t>
  </si>
  <si>
    <t>MONO-NYLON NO. 250mm</t>
  </si>
  <si>
    <t>MONOLINE-NYLON 150mm</t>
  </si>
  <si>
    <t>SEAWEED FARM IMPLEMENT (PE ROPE NO.5)</t>
  </si>
  <si>
    <t>AFSAN</t>
  </si>
  <si>
    <t>CAÑETE</t>
  </si>
  <si>
    <t>SAYREZ</t>
  </si>
  <si>
    <t>BEBI</t>
  </si>
  <si>
    <t>ITERON</t>
  </si>
  <si>
    <t>FLAVIO</t>
  </si>
  <si>
    <t>SAYROL</t>
  </si>
  <si>
    <t>JOHN REY</t>
  </si>
  <si>
    <t>RODRIGO</t>
  </si>
  <si>
    <t>MARYJANE</t>
  </si>
  <si>
    <t>JULITAM</t>
  </si>
  <si>
    <t>SAMONTE</t>
  </si>
  <si>
    <t>MARK ANGELO</t>
  </si>
  <si>
    <t>HUSSIN</t>
  </si>
  <si>
    <t>MALVAS</t>
  </si>
  <si>
    <t>MICHELLE</t>
  </si>
  <si>
    <t>CARINAN</t>
  </si>
  <si>
    <t>GUZMAN</t>
  </si>
  <si>
    <t>TONIL</t>
  </si>
  <si>
    <t>MONO NYLON IMPLEMENTS 160 mm</t>
  </si>
  <si>
    <t>MONO NYLON IMPLEMENTS 200 mm</t>
  </si>
  <si>
    <t>RUFO</t>
  </si>
  <si>
    <t>DALE</t>
  </si>
  <si>
    <t>MABULAY</t>
  </si>
  <si>
    <t>TOLOVIO</t>
  </si>
  <si>
    <t>CARACOL</t>
  </si>
  <si>
    <t>VIRGINIA</t>
  </si>
  <si>
    <t>DALES</t>
  </si>
  <si>
    <t>JOLLY BOY</t>
  </si>
  <si>
    <t>JOLMAN</t>
  </si>
  <si>
    <t>DONAIVE</t>
  </si>
  <si>
    <t>ANABILIE</t>
  </si>
  <si>
    <t>ROJAN</t>
  </si>
  <si>
    <t>HADNER</t>
  </si>
  <si>
    <t>MANSOLITO</t>
  </si>
  <si>
    <t>POLISTICO</t>
  </si>
  <si>
    <t>RENEBOY</t>
  </si>
  <si>
    <t>RONEL</t>
  </si>
  <si>
    <t>LAGORE</t>
  </si>
  <si>
    <t>CATIBEN</t>
  </si>
  <si>
    <t>JOPSON</t>
  </si>
  <si>
    <t>COMASALON</t>
  </si>
  <si>
    <t>LAYLATOL</t>
  </si>
  <si>
    <t>TUMACAS</t>
  </si>
  <si>
    <t>KEVIN</t>
  </si>
  <si>
    <t>MANTOS</t>
  </si>
  <si>
    <t>MA. JONA</t>
  </si>
  <si>
    <t>NELROSINTO</t>
  </si>
  <si>
    <t xml:space="preserve">ALFREDO </t>
  </si>
  <si>
    <t>SARDIAN</t>
  </si>
  <si>
    <t>SALOMON</t>
  </si>
  <si>
    <t>MARIA KIM</t>
  </si>
  <si>
    <t>KIRAMAN</t>
  </si>
  <si>
    <t>CASINILLO</t>
  </si>
  <si>
    <t xml:space="preserve">MARIO </t>
  </si>
  <si>
    <t>AMIGO</t>
  </si>
  <si>
    <t>LEO</t>
  </si>
  <si>
    <t>BANTILING</t>
  </si>
  <si>
    <t>CHARITO</t>
  </si>
  <si>
    <t>DARIE</t>
  </si>
  <si>
    <t>5/22/2002</t>
  </si>
  <si>
    <t>CANETE</t>
  </si>
  <si>
    <t>JEFFRREY</t>
  </si>
  <si>
    <t>1/16/1994</t>
  </si>
  <si>
    <t>8/15/2002</t>
  </si>
  <si>
    <t>3/18/1982</t>
  </si>
  <si>
    <t>HERON</t>
  </si>
  <si>
    <t>11/14/1991</t>
  </si>
  <si>
    <t>8/21/1968</t>
  </si>
  <si>
    <t>8/25/1985</t>
  </si>
  <si>
    <t>RIGO</t>
  </si>
  <si>
    <t>2/24/1970</t>
  </si>
  <si>
    <t>JULHAM</t>
  </si>
  <si>
    <t>7/26/2002</t>
  </si>
  <si>
    <t>MALVAZ</t>
  </si>
  <si>
    <t>7/31/1980</t>
  </si>
  <si>
    <t>SEAWEED FARM IMPLEMENT (SUPER TWINE STRAW)</t>
  </si>
  <si>
    <t>JAPETH</t>
  </si>
  <si>
    <t>7/22/1992</t>
  </si>
  <si>
    <t>LEOPOLDO SR.</t>
  </si>
  <si>
    <t>3/15/1954</t>
  </si>
  <si>
    <t>ALFONSO XIII</t>
  </si>
  <si>
    <t>SEAWEED FARM IMPLEMENT (MONONYLON #250)</t>
  </si>
  <si>
    <t>SEAWEED FARM IMPLEMENT (MONONYLON #200)</t>
  </si>
  <si>
    <t>SARSALEJO</t>
  </si>
  <si>
    <t>BOWEN</t>
  </si>
  <si>
    <t>6/24/1961</t>
  </si>
  <si>
    <t>ALBERTO JR</t>
  </si>
  <si>
    <t>TOLEDO</t>
  </si>
  <si>
    <t>ABUNDIO</t>
  </si>
  <si>
    <t>BALAGOSA</t>
  </si>
  <si>
    <t>MARCELLANO JR</t>
  </si>
  <si>
    <t>9/18/1975</t>
  </si>
  <si>
    <t>CANQUE</t>
  </si>
  <si>
    <t>8/15/1955</t>
  </si>
  <si>
    <t>BELLISTER</t>
  </si>
  <si>
    <t>JIMBOY</t>
  </si>
  <si>
    <t>ASUTILLA</t>
  </si>
  <si>
    <t>7/15/1979</t>
  </si>
  <si>
    <t>QUIQUILES</t>
  </si>
  <si>
    <t xml:space="preserve">JOEL </t>
  </si>
  <si>
    <t>01/18/1975</t>
  </si>
  <si>
    <t>MORADILLA</t>
  </si>
  <si>
    <t>REYWARDO</t>
  </si>
  <si>
    <t>4/28/1968</t>
  </si>
  <si>
    <t>MACAPAZ</t>
  </si>
  <si>
    <t>MANSUITO</t>
  </si>
  <si>
    <t>STRIP</t>
  </si>
  <si>
    <t>SEAWEED FARM IMPLEMENT (MONONYLON #160)</t>
  </si>
  <si>
    <t>BONA</t>
  </si>
  <si>
    <t>MARIA ELENA</t>
  </si>
  <si>
    <t>10/29/1970</t>
  </si>
  <si>
    <t>AMANIA</t>
  </si>
  <si>
    <t>PRIMA</t>
  </si>
  <si>
    <t>2/19/1975</t>
  </si>
  <si>
    <t>RAMISO</t>
  </si>
  <si>
    <t>DAWTON</t>
  </si>
  <si>
    <t>6/19/1982</t>
  </si>
  <si>
    <t>CANDOLETA</t>
  </si>
  <si>
    <t>ROQUE</t>
  </si>
  <si>
    <t>1/30/1957</t>
  </si>
  <si>
    <t>GATON</t>
  </si>
  <si>
    <t>MODESTO</t>
  </si>
  <si>
    <t>7/18/1968</t>
  </si>
  <si>
    <t>CAPUA</t>
  </si>
  <si>
    <t>JUN-JUN</t>
  </si>
  <si>
    <t>9/14/1984</t>
  </si>
  <si>
    <t>7/15/1969</t>
  </si>
  <si>
    <t>JOVEN</t>
  </si>
  <si>
    <t>8/15/1993</t>
  </si>
  <si>
    <t>MILLIONA</t>
  </si>
  <si>
    <t>ERENIO</t>
  </si>
  <si>
    <t>8/30/1980</t>
  </si>
  <si>
    <t>BADOLES</t>
  </si>
  <si>
    <t>LEONER</t>
  </si>
  <si>
    <t>7/20/1997</t>
  </si>
  <si>
    <t>MELVIN</t>
  </si>
  <si>
    <t>REGIS</t>
  </si>
  <si>
    <t>ARNEL</t>
  </si>
  <si>
    <t>12/25/1990</t>
  </si>
  <si>
    <t>12/15/1971</t>
  </si>
  <si>
    <t>1/17/1979</t>
  </si>
  <si>
    <t>MABOLAY</t>
  </si>
  <si>
    <t>12/15/1989</t>
  </si>
  <si>
    <t>TOLORIO</t>
  </si>
  <si>
    <t>3/15/1964</t>
  </si>
  <si>
    <t>3/13/1990</t>
  </si>
  <si>
    <t>ELEZER</t>
  </si>
  <si>
    <t>JOLLYBOY</t>
  </si>
  <si>
    <t>7/15/1994</t>
  </si>
  <si>
    <t>3/28/2001</t>
  </si>
  <si>
    <t>2/21/1966</t>
  </si>
  <si>
    <t>2/26/1984</t>
  </si>
  <si>
    <t>LAGARE</t>
  </si>
  <si>
    <t>10/25/1999</t>
  </si>
  <si>
    <t>BULLOS</t>
  </si>
  <si>
    <t>MALIHUD</t>
  </si>
  <si>
    <t>SEAWEED FARM IMPLEMENT (MONONYLON #140)</t>
  </si>
  <si>
    <t>RIZO</t>
  </si>
  <si>
    <t>MIAGAO</t>
  </si>
  <si>
    <t>DANGAN</t>
  </si>
  <si>
    <t>TARUSAN</t>
  </si>
  <si>
    <t>BONO-BONO</t>
  </si>
  <si>
    <t>QUINONES</t>
  </si>
  <si>
    <t>ILAHAN</t>
  </si>
  <si>
    <t>PEPITO</t>
  </si>
  <si>
    <t>NOGUGNO</t>
  </si>
  <si>
    <t>4/18/1965</t>
  </si>
  <si>
    <t>MALIK</t>
  </si>
  <si>
    <t>TITING</t>
  </si>
  <si>
    <t>U</t>
  </si>
  <si>
    <t>12/28/1962</t>
  </si>
  <si>
    <t>MARANGAS</t>
  </si>
  <si>
    <t>QUINONEZ</t>
  </si>
  <si>
    <t>BUNO-BUNO</t>
  </si>
  <si>
    <t>RIYAC</t>
  </si>
  <si>
    <t>CALAPINI</t>
  </si>
  <si>
    <t>MAQUE</t>
  </si>
  <si>
    <t>JONARO</t>
  </si>
  <si>
    <t>10/19/1988</t>
  </si>
  <si>
    <t>UMANITO</t>
  </si>
  <si>
    <t>SARONG</t>
  </si>
  <si>
    <t>PASINGO</t>
  </si>
  <si>
    <t>HERNAN</t>
  </si>
  <si>
    <t>ANDAP</t>
  </si>
  <si>
    <t>MEGSON</t>
  </si>
  <si>
    <t>8/29/1974</t>
  </si>
  <si>
    <t>8/17/1979</t>
  </si>
  <si>
    <t>CRISTOBAL</t>
  </si>
  <si>
    <t>VINCENT</t>
  </si>
  <si>
    <t>PALASIGUE</t>
  </si>
  <si>
    <t>FREDERICK</t>
  </si>
  <si>
    <t>CARLOS</t>
  </si>
  <si>
    <t>JARUKAY</t>
  </si>
  <si>
    <t>12/27/1972</t>
  </si>
  <si>
    <t>FELIZARDO</t>
  </si>
  <si>
    <t>1/17/1952</t>
  </si>
  <si>
    <t>GYUYU</t>
  </si>
  <si>
    <t>ROPEZ</t>
  </si>
  <si>
    <t>DESPINA</t>
  </si>
  <si>
    <t>EDIE</t>
  </si>
  <si>
    <t>NOIL</t>
  </si>
  <si>
    <t>DONBLE</t>
  </si>
  <si>
    <t>ROSENDE</t>
  </si>
  <si>
    <t>GALLARDO</t>
  </si>
  <si>
    <t>ENRILE</t>
  </si>
  <si>
    <t>VARGAS</t>
  </si>
  <si>
    <t>ELADIE</t>
  </si>
  <si>
    <t>12/29/1957</t>
  </si>
  <si>
    <t>8/20/1977</t>
  </si>
  <si>
    <t>PAYAO</t>
  </si>
  <si>
    <t xml:space="preserve">RUBIAS </t>
  </si>
  <si>
    <t>9/23/1963</t>
  </si>
  <si>
    <t xml:space="preserve">LIBONGO </t>
  </si>
  <si>
    <t>9/14/1955</t>
  </si>
  <si>
    <t>ISTAY</t>
  </si>
  <si>
    <t>GINA</t>
  </si>
  <si>
    <t>ARTEMIS JR.</t>
  </si>
  <si>
    <t>NOEL JR.</t>
  </si>
  <si>
    <t>7/16/1970</t>
  </si>
  <si>
    <t>LAURO</t>
  </si>
  <si>
    <t>2/21/1969</t>
  </si>
  <si>
    <t>RAYMUNDO</t>
  </si>
  <si>
    <t>ANTIPUASTO</t>
  </si>
  <si>
    <t>6/17/1971</t>
  </si>
  <si>
    <t>JOYA</t>
  </si>
  <si>
    <t xml:space="preserve">MARK  </t>
  </si>
  <si>
    <t>1/25/1980</t>
  </si>
  <si>
    <t>MARINE GASOLINE ENGINE 16 HP SNs MX420-2018020100148</t>
  </si>
  <si>
    <t>MARINE GASOLINE ENGINE 16 HP SNs MX420-2018020100324</t>
  </si>
  <si>
    <t>MARINE GASOLINE ENGINE 16 HP SNs MX420-2018020100338</t>
  </si>
  <si>
    <t>MARINE GASOLINE ENGINE 16 HP SNs MX420-2018020100138</t>
  </si>
  <si>
    <t>MARINE GASOLINE ENGINE 16 HP SNs MX420-2018020100251</t>
  </si>
  <si>
    <t>MARINE GASOLINE ENGINE 16 HP SNs MX420-2018020100273</t>
  </si>
  <si>
    <t>MARINE GASOLINE ENGINE 16 HP SNs MX420-2018020100344</t>
  </si>
  <si>
    <t>MARINE GASOLINE ENGINE 16 HP SNs MX420-2018020100042</t>
  </si>
  <si>
    <t>MARINE GASOLINE ENGINE 16 HP SNs MX420-2018020100070</t>
  </si>
  <si>
    <t>MARINE GASOLINE ENGINE 16 HP SNs MX420-2018020100125</t>
  </si>
  <si>
    <t>UNIT</t>
  </si>
  <si>
    <t>TAGPAIT</t>
  </si>
  <si>
    <t>10/13/1990</t>
  </si>
  <si>
    <t>ORPANO</t>
  </si>
  <si>
    <t>ANTHONY</t>
  </si>
  <si>
    <t>8/17/1987</t>
  </si>
  <si>
    <t>URSAL</t>
  </si>
  <si>
    <t>ARSENIO</t>
  </si>
  <si>
    <t>DURAN</t>
  </si>
  <si>
    <t>NICO JOSHUA</t>
  </si>
  <si>
    <t>CABUGASON</t>
  </si>
  <si>
    <t>MARK</t>
  </si>
  <si>
    <t>4/24/1999</t>
  </si>
  <si>
    <t>MARK PRINCE</t>
  </si>
  <si>
    <t>APOLONIO</t>
  </si>
  <si>
    <t>07/19/1993</t>
  </si>
  <si>
    <t>SNOSE</t>
  </si>
  <si>
    <t>PAULITO</t>
  </si>
  <si>
    <t>5/16/1983</t>
  </si>
  <si>
    <t>JUMOLA</t>
  </si>
  <si>
    <t>7/24/1966</t>
  </si>
  <si>
    <t>MIRANDA</t>
  </si>
  <si>
    <t>ARMEZA</t>
  </si>
  <si>
    <t>9/21/1979</t>
  </si>
  <si>
    <t>BERTOS</t>
  </si>
  <si>
    <t>EDITHA</t>
  </si>
  <si>
    <t>3/22/1963</t>
  </si>
  <si>
    <t>RIVERO</t>
  </si>
  <si>
    <t>BRIAN</t>
  </si>
  <si>
    <t>05/16/1987</t>
  </si>
  <si>
    <t>DIOSO</t>
  </si>
  <si>
    <t>JUSUE</t>
  </si>
  <si>
    <t>10/29/1964</t>
  </si>
  <si>
    <t>ISLA SOMBRERO</t>
  </si>
  <si>
    <t>MARINE GASOLINE ENGINE 16 HP SNs MX420-2018020100305</t>
  </si>
  <si>
    <t>MARINE GASOLINE ENGINE 16 HP SNs MX420-2018020100049</t>
  </si>
  <si>
    <t>MARINE GASOLINE ENGINE 16 HP SNs MX420-2018020100318</t>
  </si>
  <si>
    <t>MARINE GASOLINE ENGINE 16 HP SNs MX420-2018020100086</t>
  </si>
  <si>
    <t>DANO</t>
  </si>
  <si>
    <t>4/25/1986</t>
  </si>
  <si>
    <t>ERLINDA</t>
  </si>
  <si>
    <t>MARINE GASOLINE ENGINE 16 HP SNs MX420-2018020100017</t>
  </si>
  <si>
    <t>MARINE GASOLINE ENGINE 16 HP SNs MX420-2018020100327</t>
  </si>
  <si>
    <t>UNIT (GROUP)</t>
  </si>
  <si>
    <t xml:space="preserve">MARINE GASOLINE ENGINE 16 HP SNs MX420-2018020100045,SNs MX420-2018020100078,SNs MX420-2018020100274,SNs MX420-2018020100194,SNs MX420-2018020100223, SNs MX420-2018020100333,SNs MX420-2018020100074,SNs MX420-2018020100090,SNs MX420-2018020100271, SNs MX420-2018020100279   </t>
  </si>
  <si>
    <t>UNITS</t>
  </si>
  <si>
    <t>TIMARBONG</t>
  </si>
  <si>
    <t xml:space="preserve"> MARINE GASOLINE ENGINE 16 HP SNs MX420-2018020100045</t>
  </si>
  <si>
    <t>SOFRONIO JR</t>
  </si>
  <si>
    <t>August</t>
  </si>
  <si>
    <t>CATALAN</t>
  </si>
  <si>
    <t>RENNY</t>
  </si>
  <si>
    <t>9/29/1983</t>
  </si>
  <si>
    <t>LORILLA</t>
  </si>
  <si>
    <t>4/21/1984</t>
  </si>
  <si>
    <t>CALAMPIANO</t>
  </si>
  <si>
    <t>12/20/1955</t>
  </si>
  <si>
    <t>JOEN SR</t>
  </si>
  <si>
    <t>ALAGOS</t>
  </si>
  <si>
    <t>JULITO</t>
  </si>
  <si>
    <t>4/29/2001</t>
  </si>
  <si>
    <t>BUCARE</t>
  </si>
  <si>
    <t>1/25/2000</t>
  </si>
  <si>
    <t>ARCENAS</t>
  </si>
  <si>
    <t>RASTY</t>
  </si>
  <si>
    <t>ARBIS</t>
  </si>
  <si>
    <t>1/24/1969</t>
  </si>
  <si>
    <t>BARBAJAN</t>
  </si>
  <si>
    <t>RAUL</t>
  </si>
  <si>
    <t>7/25/1968</t>
  </si>
  <si>
    <t>SITIO APLAYA</t>
  </si>
  <si>
    <t>TIGRANES</t>
  </si>
  <si>
    <t>EFRIN</t>
  </si>
  <si>
    <t>BACALSO</t>
  </si>
  <si>
    <t>ELSIE</t>
  </si>
  <si>
    <t>SUMA-OY</t>
  </si>
  <si>
    <t>PALGAN</t>
  </si>
  <si>
    <t>AUTENCIO</t>
  </si>
  <si>
    <t>KEITH MARC</t>
  </si>
  <si>
    <t>BOBETH</t>
  </si>
  <si>
    <t>MACEDA</t>
  </si>
  <si>
    <t>RUEL</t>
  </si>
  <si>
    <t>KIMRIAM</t>
  </si>
  <si>
    <t>JENELYN</t>
  </si>
  <si>
    <t>JAY</t>
  </si>
  <si>
    <t>EMMIE</t>
  </si>
  <si>
    <t>JUANITA</t>
  </si>
  <si>
    <t>KIM JOHN</t>
  </si>
  <si>
    <t>ANNIE</t>
  </si>
  <si>
    <t>7/16/1983</t>
  </si>
  <si>
    <t>10/29/1997</t>
  </si>
  <si>
    <t>10/79/1978</t>
  </si>
  <si>
    <t>9/30/1970</t>
  </si>
  <si>
    <t>9/25/1980</t>
  </si>
  <si>
    <t>3/13/1973</t>
  </si>
  <si>
    <t>7/18/1983</t>
  </si>
  <si>
    <t>10/14/1947</t>
  </si>
  <si>
    <t>CONAHITA</t>
  </si>
  <si>
    <t>4/26/1976</t>
  </si>
  <si>
    <t>6/17/1949</t>
  </si>
  <si>
    <t>KIMBERLYN</t>
  </si>
  <si>
    <t>JECELYN</t>
  </si>
  <si>
    <t>1/14/1998</t>
  </si>
  <si>
    <t xml:space="preserve">CORNELIO </t>
  </si>
  <si>
    <t>1/31/1956</t>
  </si>
  <si>
    <t xml:space="preserve">PEDRO </t>
  </si>
  <si>
    <t>CASTILLON</t>
  </si>
  <si>
    <t>ALJUNBERT</t>
  </si>
  <si>
    <t>TERESA FISHERFOLK ASSOCIATION</t>
  </si>
  <si>
    <t>CLAUD</t>
  </si>
  <si>
    <t>MARKIL</t>
  </si>
  <si>
    <t>TERESA</t>
  </si>
  <si>
    <t>CYLINDRICAL STYROFOAM (DRUM SIZE)</t>
  </si>
  <si>
    <t>P.P. ROPE #32</t>
  </si>
  <si>
    <t>P.E. ROPE #14mm X 200mm</t>
  </si>
  <si>
    <t>FABRICATED SWIVEL</t>
  </si>
  <si>
    <t>CEMENT</t>
  </si>
  <si>
    <t>SACKS</t>
  </si>
  <si>
    <t>USED TIRES</t>
  </si>
  <si>
    <t>TUMARBONG FISH AGGREGATORS ASSOCIATION</t>
  </si>
  <si>
    <t xml:space="preserve">PAYAO </t>
  </si>
  <si>
    <t>BERNAS</t>
  </si>
  <si>
    <t>RHANDY</t>
  </si>
  <si>
    <t>KIOAN</t>
  </si>
  <si>
    <t>JAENNY</t>
  </si>
  <si>
    <t>SACAMAY</t>
  </si>
  <si>
    <t>GABAYAN</t>
  </si>
  <si>
    <t>GEROME</t>
  </si>
  <si>
    <t>SOMBE</t>
  </si>
  <si>
    <t>5/17/1969</t>
  </si>
  <si>
    <t>DEL ROSARIO</t>
  </si>
  <si>
    <t>ERWIN</t>
  </si>
  <si>
    <t>REMO</t>
  </si>
  <si>
    <t>BERLIN</t>
  </si>
  <si>
    <t>ROMIL</t>
  </si>
  <si>
    <t>GUPE</t>
  </si>
  <si>
    <t>NIEGOS</t>
  </si>
  <si>
    <t>SUMMOL</t>
  </si>
  <si>
    <t>PONTIMAYOR</t>
  </si>
  <si>
    <t>ANGIE</t>
  </si>
  <si>
    <t>LUMOA-AS</t>
  </si>
  <si>
    <t>ANTONETTE</t>
  </si>
  <si>
    <t xml:space="preserve">WILLIAM  </t>
  </si>
  <si>
    <t>10/23/1990</t>
  </si>
  <si>
    <t>10/20/1992</t>
  </si>
  <si>
    <t>MONTIBON</t>
  </si>
  <si>
    <t>JOLEMER</t>
  </si>
  <si>
    <t>BALURTE</t>
  </si>
  <si>
    <t>GLENDA</t>
  </si>
  <si>
    <t>CATINGUB</t>
  </si>
  <si>
    <t>JHONVER</t>
  </si>
  <si>
    <t>DINNES</t>
  </si>
  <si>
    <t>CASTILLANSO</t>
  </si>
  <si>
    <t>MELJAN DEW</t>
  </si>
  <si>
    <t>CANTOS</t>
  </si>
  <si>
    <t>MARIANA</t>
  </si>
  <si>
    <t>SEAWEED FARM IMPLEMENT (PE ROPE #5)</t>
  </si>
  <si>
    <t>SEAWEED FARM IMPLEMENT (MONONYLON #150)</t>
  </si>
  <si>
    <t>KG</t>
  </si>
  <si>
    <t>2/18/1998</t>
  </si>
  <si>
    <t>2/19/1981</t>
  </si>
  <si>
    <t>7/18/81</t>
  </si>
  <si>
    <t>8/25/1965</t>
  </si>
  <si>
    <t>4/19/1968</t>
  </si>
  <si>
    <t>JENNY</t>
  </si>
  <si>
    <t>DELA PENA</t>
  </si>
  <si>
    <t>7/18/1977</t>
  </si>
  <si>
    <t>9/19/1970</t>
  </si>
  <si>
    <t>5/26/1958</t>
  </si>
  <si>
    <t>5/27/1965</t>
  </si>
  <si>
    <t>7/25/1987</t>
  </si>
  <si>
    <t>CASIANO</t>
  </si>
  <si>
    <t>NERVADES</t>
  </si>
  <si>
    <t>DACILLO</t>
  </si>
  <si>
    <t>10/14/1982</t>
  </si>
  <si>
    <t>12/16/1968</t>
  </si>
  <si>
    <t xml:space="preserve">GABAYAN </t>
  </si>
  <si>
    <t>1/20/1968</t>
  </si>
  <si>
    <t>ROMMEL</t>
  </si>
  <si>
    <t>HERNANDO</t>
  </si>
  <si>
    <t>AGNAS</t>
  </si>
  <si>
    <t>SIONX</t>
  </si>
  <si>
    <t xml:space="preserve">DADORES </t>
  </si>
  <si>
    <t>2/25/1998</t>
  </si>
  <si>
    <t>6/27/1949</t>
  </si>
  <si>
    <t>3/25/1996</t>
  </si>
  <si>
    <t>EDISON</t>
  </si>
  <si>
    <t>3/25/1977</t>
  </si>
  <si>
    <t>5/13/1995</t>
  </si>
  <si>
    <t>1/16/1957</t>
  </si>
  <si>
    <t xml:space="preserve">GULIMAN </t>
  </si>
  <si>
    <t>5/25/1997</t>
  </si>
  <si>
    <t>3/19/1993</t>
  </si>
  <si>
    <t>SOROSPE</t>
  </si>
  <si>
    <t>JUDEN</t>
  </si>
  <si>
    <t>9/19/1992</t>
  </si>
  <si>
    <t>JUCEL</t>
  </si>
  <si>
    <t>5/29/1963</t>
  </si>
  <si>
    <t>HONOR</t>
  </si>
  <si>
    <t>4/26/2004</t>
  </si>
  <si>
    <t>DAVID JR</t>
  </si>
  <si>
    <t>6/30/1978</t>
  </si>
  <si>
    <t>MAGALLANES</t>
  </si>
  <si>
    <t>11/23/1979</t>
  </si>
  <si>
    <t>BACOY</t>
  </si>
  <si>
    <t>PAOLO</t>
  </si>
  <si>
    <t>ALEX</t>
  </si>
  <si>
    <t>MONTECALVO</t>
  </si>
  <si>
    <t>GERRY</t>
  </si>
  <si>
    <t>9/16/1996</t>
  </si>
  <si>
    <t>SUMBE</t>
  </si>
  <si>
    <t xml:space="preserve">PALAY </t>
  </si>
  <si>
    <t>11/28/1961</t>
  </si>
  <si>
    <t>RADOL</t>
  </si>
  <si>
    <t>JARYN</t>
  </si>
  <si>
    <t>10/18/1985</t>
  </si>
  <si>
    <t>BUENAVISTA FISHERFOLK COOPERATIVE</t>
  </si>
  <si>
    <t>MARINE GASOLINE ENGINE 16 HP SNs MX420-2018020100180</t>
  </si>
  <si>
    <t>MENTOY</t>
  </si>
  <si>
    <t>REY</t>
  </si>
  <si>
    <t>05/16/1966</t>
  </si>
  <si>
    <t>ASSONCION</t>
  </si>
  <si>
    <t>LEMUEL</t>
  </si>
  <si>
    <t>12/22/1997</t>
  </si>
  <si>
    <t>07/19/1994</t>
  </si>
  <si>
    <t>DIANES</t>
  </si>
  <si>
    <t>09/28/1999</t>
  </si>
  <si>
    <t>TORMO</t>
  </si>
  <si>
    <t>08/17/1981</t>
  </si>
  <si>
    <t>SUICO</t>
  </si>
  <si>
    <t>RECHIE</t>
  </si>
  <si>
    <t>MANAIG</t>
  </si>
  <si>
    <t>OSMAN</t>
  </si>
  <si>
    <t>ACEBEROS</t>
  </si>
  <si>
    <t>05/29/1993</t>
  </si>
  <si>
    <t>WILLIAM</t>
  </si>
  <si>
    <t xml:space="preserve"> 10/09/1962</t>
  </si>
  <si>
    <t>PUNTA-BAJA</t>
  </si>
  <si>
    <t>ILLAN</t>
  </si>
  <si>
    <t>BUNOG</t>
  </si>
  <si>
    <t>CANDAWAGA</t>
  </si>
  <si>
    <t>BERNAL</t>
  </si>
  <si>
    <t xml:space="preserve">BASA </t>
  </si>
  <si>
    <t>08/22/1983</t>
  </si>
  <si>
    <t>7/27/1956</t>
  </si>
  <si>
    <t>01/26/1965</t>
  </si>
  <si>
    <t>DANDAY</t>
  </si>
  <si>
    <t>7/24/1981</t>
  </si>
  <si>
    <t>JAVARES</t>
  </si>
  <si>
    <t>RICHARD DAVE</t>
  </si>
  <si>
    <t xml:space="preserve">MAGBANUA </t>
  </si>
  <si>
    <t>DELROSARIO</t>
  </si>
  <si>
    <t>ERVIN</t>
  </si>
  <si>
    <t>10/23/1983</t>
  </si>
  <si>
    <t>12/27/1959</t>
  </si>
  <si>
    <t xml:space="preserve">MARK </t>
  </si>
  <si>
    <t>1/26/1996</t>
  </si>
  <si>
    <t>FRANCIS REY</t>
  </si>
  <si>
    <t>7/22/1987</t>
  </si>
  <si>
    <t>6/26/1995</t>
  </si>
  <si>
    <t>7/18/1979</t>
  </si>
  <si>
    <t>11/29/1972</t>
  </si>
  <si>
    <t>BARDA</t>
  </si>
  <si>
    <t>ARGIE A</t>
  </si>
  <si>
    <t>11/15/1962</t>
  </si>
  <si>
    <t>DANNY</t>
  </si>
  <si>
    <t>12/25/1980</t>
  </si>
  <si>
    <t>11/21/1972</t>
  </si>
  <si>
    <t>7/17/1968</t>
  </si>
  <si>
    <t>SAMUEL</t>
  </si>
  <si>
    <t>RADAM</t>
  </si>
  <si>
    <t>ANGELITO</t>
  </si>
  <si>
    <t>11/26/1962</t>
  </si>
  <si>
    <t>MALUNAS</t>
  </si>
  <si>
    <t>1/19/1976</t>
  </si>
  <si>
    <t xml:space="preserve"> "   "</t>
  </si>
  <si>
    <t>5/14/1973</t>
  </si>
  <si>
    <t>ZOREN</t>
  </si>
  <si>
    <t>2/25/1983</t>
  </si>
  <si>
    <t>REKTOR</t>
  </si>
  <si>
    <t>USMAN</t>
  </si>
  <si>
    <t>RAMERO</t>
  </si>
  <si>
    <t>12/21/2002</t>
  </si>
  <si>
    <t>BRANDO</t>
  </si>
  <si>
    <t>11/13/1985</t>
  </si>
  <si>
    <t>ERIC JHON</t>
  </si>
  <si>
    <t>MICHAEL JHON</t>
  </si>
  <si>
    <t>3/19/1996</t>
  </si>
  <si>
    <t>BON BON</t>
  </si>
  <si>
    <t>10/27/1978</t>
  </si>
  <si>
    <t>ABRINA</t>
  </si>
  <si>
    <t>11/26/1992</t>
  </si>
  <si>
    <t>SALVAME</t>
  </si>
  <si>
    <t>1ST DISTRICT PALAWAN</t>
  </si>
  <si>
    <t>AUGUST</t>
  </si>
  <si>
    <t>Provincial Gov't</t>
  </si>
  <si>
    <t>SEAWEED FARM IMPLEMENT (PE ROPE #10)</t>
  </si>
  <si>
    <t>CAMATAZ</t>
  </si>
  <si>
    <t>JULIA</t>
  </si>
  <si>
    <t xml:space="preserve">MARANGAS </t>
  </si>
  <si>
    <t>MARINE GASOLINE ENGINE 16 HP SNs MX420-2018020100272</t>
  </si>
  <si>
    <t>MARINE GASOLINE ENGINE 16 HP SNs MX420-2018020100246</t>
  </si>
  <si>
    <t>MARINE GASOLINE ENGINE 16 HP SNs MX420-2018020100060</t>
  </si>
  <si>
    <t>MARINE GASOLINE ENGINE 16 HP SNs MX420-2018020100147</t>
  </si>
  <si>
    <t>MARINE GASOLINE ENGINE 16 HP SNs MX420-2018020100128</t>
  </si>
  <si>
    <t>MARINE GASOLINE ENGINE 16 HP SNs MX420-2018020100026</t>
  </si>
  <si>
    <t>MARINE GASOLINE ENGINE 16 HP SNs MX420-2018020100072</t>
  </si>
  <si>
    <t>LATAWAN</t>
  </si>
  <si>
    <t>AGSALUNA</t>
  </si>
  <si>
    <t>BULALACAO</t>
  </si>
  <si>
    <t>PASTOR</t>
  </si>
  <si>
    <t>TAGNATO</t>
  </si>
  <si>
    <t>DEHIM</t>
  </si>
  <si>
    <t>IBNO</t>
  </si>
  <si>
    <t>LEIZZY</t>
  </si>
  <si>
    <t>5/22/1998</t>
  </si>
  <si>
    <t>ADJUHOY</t>
  </si>
  <si>
    <t>ALNESA</t>
  </si>
  <si>
    <t>SAMOD</t>
  </si>
  <si>
    <t>5/13/1997</t>
  </si>
  <si>
    <t xml:space="preserve">CONDE </t>
  </si>
  <si>
    <t>JUWEL</t>
  </si>
  <si>
    <t>MARIGEL</t>
  </si>
  <si>
    <t>SALOMA</t>
  </si>
  <si>
    <t>2/28/1977</t>
  </si>
  <si>
    <t>ABDA</t>
  </si>
  <si>
    <t>ADAN</t>
  </si>
  <si>
    <t>11/15/1986</t>
  </si>
  <si>
    <t>TAHIL</t>
  </si>
  <si>
    <t>ATUNG</t>
  </si>
  <si>
    <t>SAMID</t>
  </si>
  <si>
    <t>7/21/1982</t>
  </si>
  <si>
    <t>ASGANI</t>
  </si>
  <si>
    <t>ISWARI</t>
  </si>
  <si>
    <t>BADA</t>
  </si>
  <si>
    <t>BENHAR</t>
  </si>
  <si>
    <t>PASINGCO</t>
  </si>
  <si>
    <t>TAGDALUNGON</t>
  </si>
  <si>
    <t>RIO TUBA</t>
  </si>
  <si>
    <t>TABUL</t>
  </si>
  <si>
    <t>SANOG</t>
  </si>
  <si>
    <t>5/26/2000</t>
  </si>
  <si>
    <t>MARISSA</t>
  </si>
  <si>
    <t>ANA MARIE</t>
  </si>
  <si>
    <t>NUR ANUDDIN</t>
  </si>
  <si>
    <t>MARIATUL</t>
  </si>
  <si>
    <t>Hj</t>
  </si>
  <si>
    <t>RULONA</t>
  </si>
  <si>
    <t>AMELITA</t>
  </si>
  <si>
    <t>ATITONG</t>
  </si>
  <si>
    <t>SEDA</t>
  </si>
  <si>
    <t>OGIE</t>
  </si>
  <si>
    <t>UNTOLAN</t>
  </si>
  <si>
    <t>ABARO</t>
  </si>
  <si>
    <t>TAPSI</t>
  </si>
  <si>
    <t>ABDULASIS</t>
  </si>
  <si>
    <t>UDIN</t>
  </si>
  <si>
    <t>EDDONG</t>
  </si>
  <si>
    <t>RADZMI</t>
  </si>
  <si>
    <t>HARON</t>
  </si>
  <si>
    <t>FRIAS</t>
  </si>
  <si>
    <t>TABUD</t>
  </si>
  <si>
    <t>SARMU</t>
  </si>
  <si>
    <t>APOEN</t>
  </si>
  <si>
    <t>YOLANDA</t>
  </si>
  <si>
    <t>BATAS</t>
  </si>
  <si>
    <t>ADOLFO JR.</t>
  </si>
  <si>
    <t>CABALON</t>
  </si>
  <si>
    <t>SABARLE</t>
  </si>
  <si>
    <t>ROSALIA</t>
  </si>
  <si>
    <t>VILLABITO</t>
  </si>
  <si>
    <t>SARAH</t>
  </si>
  <si>
    <t xml:space="preserve">TABI </t>
  </si>
  <si>
    <t>ARMANDO</t>
  </si>
  <si>
    <t>CANOPIN</t>
  </si>
  <si>
    <t>ABIQUE</t>
  </si>
  <si>
    <t>JOMY</t>
  </si>
  <si>
    <t>ARMENIA</t>
  </si>
  <si>
    <t>PORBOSA</t>
  </si>
  <si>
    <t>EDLYN</t>
  </si>
  <si>
    <t>ALVARADO</t>
  </si>
  <si>
    <t>VALONES</t>
  </si>
  <si>
    <t>MAURO</t>
  </si>
  <si>
    <t>ALILANO</t>
  </si>
  <si>
    <t>FLORENCIO</t>
  </si>
  <si>
    <t>BUL-ANON</t>
  </si>
  <si>
    <t>OMEGAN</t>
  </si>
  <si>
    <t>JIMMY</t>
  </si>
  <si>
    <t>TUMAMPU</t>
  </si>
  <si>
    <t>TUMAMPIL</t>
  </si>
  <si>
    <t>ORTEGA</t>
  </si>
  <si>
    <t>DOMBOM</t>
  </si>
  <si>
    <t>RIZA</t>
  </si>
  <si>
    <t>PANCOL</t>
  </si>
  <si>
    <t>ALACALIAN</t>
  </si>
  <si>
    <t>CATABAN</t>
  </si>
  <si>
    <t>CANAS</t>
  </si>
  <si>
    <t>BUSYBEES</t>
  </si>
  <si>
    <t>DEHITO</t>
  </si>
  <si>
    <t>TOLITO</t>
  </si>
  <si>
    <t>LILIES</t>
  </si>
  <si>
    <t>DE LEON</t>
  </si>
  <si>
    <t>LARGADO</t>
  </si>
  <si>
    <t>RENEL</t>
  </si>
  <si>
    <t>DALINOG</t>
  </si>
  <si>
    <t>JIEGS OLIVER</t>
  </si>
  <si>
    <t>ININGO</t>
  </si>
  <si>
    <t>FONTAMILLAS</t>
  </si>
  <si>
    <t xml:space="preserve">OTIC </t>
  </si>
  <si>
    <t>ARNULFO</t>
  </si>
  <si>
    <t>CALAWAG</t>
  </si>
  <si>
    <t>METANTE</t>
  </si>
  <si>
    <t>LABAJO</t>
  </si>
  <si>
    <t>SALIMAN</t>
  </si>
  <si>
    <t>SONEX</t>
  </si>
  <si>
    <t>BOBBY</t>
  </si>
  <si>
    <t>TIBAK</t>
  </si>
  <si>
    <t>REYIE</t>
  </si>
  <si>
    <t>VELASCO</t>
  </si>
  <si>
    <t>RICARDO</t>
  </si>
  <si>
    <t>OSABEL</t>
  </si>
  <si>
    <t>LAMPAGO</t>
  </si>
  <si>
    <t>BALILA</t>
  </si>
  <si>
    <t>BUHAY</t>
  </si>
  <si>
    <t>AMATOS</t>
  </si>
  <si>
    <t>MARINE GASOLINE ENGINE 16 HP SNs KG420-1901159118</t>
  </si>
  <si>
    <t>MARINE GASOLINE ENGINE 16 HP SNs KG420-1901159332</t>
  </si>
  <si>
    <t>MARINE GASOLINE ENGINE 16 HP SNs KG420-1901159245</t>
  </si>
  <si>
    <t>MARINE GASOLINE ENGINE 16 HP SNs KG420-1901159242</t>
  </si>
  <si>
    <t>MARINE GASOLINE ENGINE 16 HP SNs GT210900625</t>
  </si>
  <si>
    <t>MARINE GASOLINE ENGINE 16 HP SNs KG420-1901159327</t>
  </si>
  <si>
    <t>MARINE GASOLINE ENGINE 16 HP SNs GT210900561420</t>
  </si>
  <si>
    <t>MARINE GASOLINE ENGINE 16 HP SNs GT210900629420</t>
  </si>
  <si>
    <t>MARINE GASOLINE ENGINE 16 HP SNs KG420-1901159248</t>
  </si>
  <si>
    <t>MARINE GASOLINE ENGINE 16 HP SNs KG420-19011593</t>
  </si>
  <si>
    <t>MARINE GASOLINE ENGINE 16 HP SNs KG420-1901159023</t>
  </si>
  <si>
    <t>MARINE GASOLINE ENGINE 16 HP SNs GT210900603</t>
  </si>
  <si>
    <t>MARINE GASOLINE ENGINE 16 HP SNs KG420-1901159268</t>
  </si>
  <si>
    <t>MARINE GASOLINE ENGINE 16 HP SNs KG420-1901159366</t>
  </si>
  <si>
    <t>MARINE GASOLINE ENGINE 16 HP SNs KG420-1901159459</t>
  </si>
  <si>
    <t>MARINE GASOLINE ENGINE 16 HP SNs KG420-1901159425</t>
  </si>
  <si>
    <t>CADENAS</t>
  </si>
  <si>
    <t>MARTERES</t>
  </si>
  <si>
    <t>BUSANO</t>
  </si>
  <si>
    <t>PONTERES</t>
  </si>
  <si>
    <t>MARIKRIS</t>
  </si>
  <si>
    <t>JADILMAN</t>
  </si>
  <si>
    <t>ELOT</t>
  </si>
  <si>
    <t>SALMERO</t>
  </si>
  <si>
    <t>TINAGSA</t>
  </si>
  <si>
    <t>ABIAN</t>
  </si>
  <si>
    <t>MAHUSAY</t>
  </si>
  <si>
    <t>SUSON</t>
  </si>
  <si>
    <t>SONER</t>
  </si>
  <si>
    <t>ABALLE</t>
  </si>
  <si>
    <t>CASIAN</t>
  </si>
  <si>
    <t>MARINE GASOLINE ENGINE 16 HP SNs KG420-1901159264</t>
  </si>
  <si>
    <t>MARINE GASOLINE ENGINE 16 HP SNs GT210900610</t>
  </si>
  <si>
    <t>MARINE GASOLINE ENGINE 16 HP SNs GT210900624</t>
  </si>
  <si>
    <t>MARINE GASOLINE ENGINE 16 HP SNs GT210900557</t>
  </si>
  <si>
    <t>MARINE GASOLINE ENGINE 16 HP SNs GT210900651</t>
  </si>
  <si>
    <t>MARINE GASOLINE ENGINE 16 HP SNs KG420-1901159132</t>
  </si>
  <si>
    <t>MARINE GASOLINE ENGINE 16 HP SNs KG420-1901159136</t>
  </si>
  <si>
    <t>MARINE GASOLINE ENGINE 16 HP SNs KG420-1901159209</t>
  </si>
  <si>
    <t>MARINE GASOLINE ENGINE 16 HP SNs KG420-1901159375</t>
  </si>
  <si>
    <t>MARINE GASOLINE ENGINE 16 HP SNs KG420-1901159130</t>
  </si>
  <si>
    <t>MARINE GASOLINE ENGINE 16 HP SNs GT210900643</t>
  </si>
  <si>
    <t>MARINE GASOLINE ENGINE 16 HP SNs KG420-1901159809</t>
  </si>
  <si>
    <t>MARINE GASOLINE ENGINE 16 HP SNs GT210900621</t>
  </si>
  <si>
    <t>MARINE GASOLINE ENGINE 16 HP SNs GT210900796</t>
  </si>
  <si>
    <t>MARINE GASOLINE ENGINE 16 HP SNs GT210900642</t>
  </si>
  <si>
    <t>LOEANO</t>
  </si>
  <si>
    <t>DE JESUS</t>
  </si>
  <si>
    <t>CAPRIANO</t>
  </si>
  <si>
    <t>CUYMO</t>
  </si>
  <si>
    <t>VILLARENDO</t>
  </si>
  <si>
    <t>LEDDEL</t>
  </si>
  <si>
    <t>MINAPLA</t>
  </si>
  <si>
    <t>SILANGA</t>
  </si>
  <si>
    <t>PATRICK</t>
  </si>
  <si>
    <t>EDENDEN</t>
  </si>
  <si>
    <t>DEDAMA</t>
  </si>
  <si>
    <t>LEODORO</t>
  </si>
  <si>
    <t>DAIRO</t>
  </si>
  <si>
    <t>ROZIN</t>
  </si>
  <si>
    <t>MORALES</t>
  </si>
  <si>
    <t>JOHANNY</t>
  </si>
  <si>
    <t xml:space="preserve">RABA </t>
  </si>
  <si>
    <t>RAMIESUN</t>
  </si>
  <si>
    <t>LUMUNGSOD</t>
  </si>
  <si>
    <t>GERONIMO JR.</t>
  </si>
  <si>
    <t>JAGMIS</t>
  </si>
  <si>
    <t>BERING</t>
  </si>
  <si>
    <t>LARIOSA</t>
  </si>
  <si>
    <t>MARCIAL JR.</t>
  </si>
  <si>
    <t>DAN JOEL</t>
  </si>
  <si>
    <t>RONITO</t>
  </si>
  <si>
    <t>JOBERT</t>
  </si>
  <si>
    <t>ROLIN</t>
  </si>
  <si>
    <t>ESTRADA</t>
  </si>
  <si>
    <t>PASCO</t>
  </si>
  <si>
    <t xml:space="preserve">MARCKWEAN </t>
  </si>
  <si>
    <t>CARCALLAS</t>
  </si>
  <si>
    <t>ADORA</t>
  </si>
  <si>
    <t>JOLITO</t>
  </si>
  <si>
    <t>POLACION</t>
  </si>
  <si>
    <t>TIMBAN</t>
  </si>
  <si>
    <t>AGUILOS</t>
  </si>
  <si>
    <t>ARTURO</t>
  </si>
  <si>
    <t>BUNAG</t>
  </si>
  <si>
    <t>JOHN SERIO</t>
  </si>
  <si>
    <t>SANGRINES</t>
  </si>
  <si>
    <t>GERALD</t>
  </si>
  <si>
    <t>JOHNNY</t>
  </si>
  <si>
    <t>LAYOSA</t>
  </si>
  <si>
    <t>ROEL</t>
  </si>
  <si>
    <t>BUNGALSO</t>
  </si>
  <si>
    <t>AZUCERA</t>
  </si>
  <si>
    <t>ABSULIO</t>
  </si>
  <si>
    <t>CAGUISAN</t>
  </si>
  <si>
    <t>BATO-BATO</t>
  </si>
  <si>
    <t>TABING DAGAT</t>
  </si>
  <si>
    <t>PUNO</t>
  </si>
  <si>
    <t>SATINIANAN</t>
  </si>
  <si>
    <t>EDDIE</t>
  </si>
  <si>
    <t>ANTONIO JR.</t>
  </si>
  <si>
    <t>MANGGA</t>
  </si>
  <si>
    <t>NATIVIDAD</t>
  </si>
  <si>
    <t>LEOVEN</t>
  </si>
  <si>
    <t>LANGOGAN</t>
  </si>
  <si>
    <t>MALCAMPO</t>
  </si>
  <si>
    <t>PAWA</t>
  </si>
  <si>
    <t>CUYO</t>
  </si>
  <si>
    <t>SAHIBOL</t>
  </si>
  <si>
    <t>MAHADER</t>
  </si>
  <si>
    <t>CHARLITE</t>
  </si>
  <si>
    <t>PULA</t>
  </si>
  <si>
    <t>CHONIE</t>
  </si>
  <si>
    <t>ONQUILLAS</t>
  </si>
  <si>
    <t>WILSON</t>
  </si>
  <si>
    <t>OLG BUNCAG</t>
  </si>
  <si>
    <t>ANGELITA</t>
  </si>
  <si>
    <t>LAMAYA</t>
  </si>
  <si>
    <t xml:space="preserve">DANILO </t>
  </si>
  <si>
    <t>CASINA</t>
  </si>
  <si>
    <t>SALVES</t>
  </si>
  <si>
    <t>RONILO</t>
  </si>
  <si>
    <t>DAGSALIO</t>
  </si>
  <si>
    <t>CHAMIE</t>
  </si>
  <si>
    <t>LAIPAN</t>
  </si>
  <si>
    <t>BUENAFE</t>
  </si>
  <si>
    <t>SHANLY</t>
  </si>
  <si>
    <t>DLOONOG</t>
  </si>
  <si>
    <t xml:space="preserve">SANDOVAL </t>
  </si>
  <si>
    <t>MIRASOL</t>
  </si>
  <si>
    <t>SARMIENTO</t>
  </si>
  <si>
    <t>GENECRIS</t>
  </si>
  <si>
    <t>LANTERNA</t>
  </si>
  <si>
    <t xml:space="preserve">MARCIANO </t>
  </si>
  <si>
    <t>APELES</t>
  </si>
  <si>
    <t>HUSAIN</t>
  </si>
  <si>
    <t>JONARD</t>
  </si>
  <si>
    <t>RAMAL</t>
  </si>
  <si>
    <t>LAURIANO JR.</t>
  </si>
  <si>
    <t>ARGELLAS</t>
  </si>
  <si>
    <t>SEM</t>
  </si>
  <si>
    <t>AMZAEADO</t>
  </si>
  <si>
    <t>PADIN</t>
  </si>
  <si>
    <t>NOLI</t>
  </si>
  <si>
    <t>ROXAS STREET</t>
  </si>
  <si>
    <t>NAVIDAD</t>
  </si>
  <si>
    <t>DANAL</t>
  </si>
  <si>
    <t>JOHN PAUL</t>
  </si>
  <si>
    <t>LAMAYAO</t>
  </si>
  <si>
    <t>CAPIITOL COMPLEX</t>
  </si>
  <si>
    <t>SILVA</t>
  </si>
  <si>
    <t>ROSALIE</t>
  </si>
  <si>
    <t xml:space="preserve">HERRERA </t>
  </si>
  <si>
    <t>FELLY JR.</t>
  </si>
  <si>
    <t>RULETE</t>
  </si>
  <si>
    <t>APOLINAR JOY</t>
  </si>
  <si>
    <t>HUNO</t>
  </si>
  <si>
    <t>LEMAR</t>
  </si>
  <si>
    <t>CALUANG</t>
  </si>
  <si>
    <t>JOL</t>
  </si>
  <si>
    <t>RIC</t>
  </si>
  <si>
    <t>ARTEZUELA</t>
  </si>
  <si>
    <t>LEBERTY</t>
  </si>
  <si>
    <t>CALASAGUEN</t>
  </si>
  <si>
    <t>VERDIN</t>
  </si>
  <si>
    <t>EMERSON</t>
  </si>
  <si>
    <t>BARALIA</t>
  </si>
  <si>
    <t>VILLA</t>
  </si>
  <si>
    <t>MARJORIE</t>
  </si>
  <si>
    <t>SAGALA</t>
  </si>
  <si>
    <t>NOVA</t>
  </si>
  <si>
    <t>JONNE</t>
  </si>
  <si>
    <t>SULAYMAN</t>
  </si>
  <si>
    <t>MARALI</t>
  </si>
  <si>
    <t>BETCO</t>
  </si>
  <si>
    <t>BLANCO</t>
  </si>
  <si>
    <t>JOHN CARIO</t>
  </si>
  <si>
    <t>SAGATA</t>
  </si>
  <si>
    <t>ELIMINADA</t>
  </si>
  <si>
    <t>BUHOL</t>
  </si>
  <si>
    <t>MELY</t>
  </si>
  <si>
    <t>ROMERO</t>
  </si>
  <si>
    <t>JHENETE</t>
  </si>
  <si>
    <t>AREVALO</t>
  </si>
  <si>
    <t>ARMENIO</t>
  </si>
  <si>
    <t>JUMALA</t>
  </si>
  <si>
    <t>ALVANEZ</t>
  </si>
  <si>
    <t>LADIA</t>
  </si>
  <si>
    <t>EPANG</t>
  </si>
  <si>
    <t>CATAIN</t>
  </si>
  <si>
    <t>MANAEG</t>
  </si>
  <si>
    <t>CARISON</t>
  </si>
  <si>
    <t>ORING-ORING</t>
  </si>
  <si>
    <t>SIBIL</t>
  </si>
  <si>
    <t xml:space="preserve">ABDUL </t>
  </si>
  <si>
    <t>ASRAMI</t>
  </si>
  <si>
    <t>ALHADJI</t>
  </si>
  <si>
    <t>MOHAMMAD DIA</t>
  </si>
  <si>
    <t>MOHAMMAD NUR</t>
  </si>
  <si>
    <t>EMBING</t>
  </si>
  <si>
    <t>IYONG</t>
  </si>
  <si>
    <t>MOLIJON</t>
  </si>
  <si>
    <t>BANCIL</t>
  </si>
  <si>
    <t>MANSUL</t>
  </si>
  <si>
    <t>ABUBAKAR</t>
  </si>
  <si>
    <t>HJ.</t>
  </si>
  <si>
    <t xml:space="preserve">MOHAMMAD  </t>
  </si>
  <si>
    <t>MOHAMMAD</t>
  </si>
  <si>
    <t>SHALIDON</t>
  </si>
  <si>
    <t>5th</t>
  </si>
  <si>
    <t>TUNGGAL</t>
  </si>
  <si>
    <t>DANHIL</t>
  </si>
  <si>
    <t>6th</t>
  </si>
  <si>
    <t>KANAING</t>
  </si>
  <si>
    <t>7th</t>
  </si>
  <si>
    <t>HIYAHIYA</t>
  </si>
  <si>
    <t>RHALY</t>
  </si>
  <si>
    <t>8th</t>
  </si>
  <si>
    <t>ALBIOS</t>
  </si>
  <si>
    <t>SIMPLECIO JR</t>
  </si>
  <si>
    <t>SALOGON</t>
  </si>
  <si>
    <t>MUYCO</t>
  </si>
  <si>
    <t>HEZIL</t>
  </si>
  <si>
    <t xml:space="preserve">LACSON </t>
  </si>
  <si>
    <t xml:space="preserve">KRISTINE </t>
  </si>
  <si>
    <t>MALIS</t>
  </si>
  <si>
    <t>BARALLA</t>
  </si>
  <si>
    <t>ALILI</t>
  </si>
  <si>
    <t>TAITAL</t>
  </si>
  <si>
    <t>NOWIL</t>
  </si>
  <si>
    <t>TOMINES</t>
  </si>
  <si>
    <t>CEASAR</t>
  </si>
  <si>
    <t>OBEN</t>
  </si>
  <si>
    <t>TAMIDAO</t>
  </si>
  <si>
    <t>IPILIAN</t>
  </si>
  <si>
    <t>PANGOBILIAN</t>
  </si>
  <si>
    <t xml:space="preserve">VILLARIN </t>
  </si>
  <si>
    <t>ANTONEATA</t>
  </si>
  <si>
    <t>MARINE GASOLINE ENGINE 16 HP SNs MX420-2018020100262</t>
  </si>
  <si>
    <t>MARINE GASOLINE ENGINE 16 HP SNs MX420-2018020100013</t>
  </si>
  <si>
    <t>MARINE GASOLINE ENGINE 16 HP SNs MX420-2018020100322</t>
  </si>
  <si>
    <t>MARINE GASOLINE ENGINE 16 HP SNs MX420-2018020100245</t>
  </si>
  <si>
    <t>MARINE GASOLINE ENGINE 16 HP SNs MX420-2018020100041</t>
  </si>
  <si>
    <t>MARINE GASOLINE ENGINE 16 HP SNs MX420-2018020100157</t>
  </si>
  <si>
    <t>TAMLANGAN</t>
  </si>
  <si>
    <t>ESTALEN</t>
  </si>
  <si>
    <t>BARONG-BARONG</t>
  </si>
  <si>
    <t>BUERLINA</t>
  </si>
  <si>
    <t>ROSEDENCE</t>
  </si>
  <si>
    <t xml:space="preserve">UBANI </t>
  </si>
  <si>
    <t>RHODORA</t>
  </si>
  <si>
    <t>RITSCHARD</t>
  </si>
  <si>
    <t>ANNABETH</t>
  </si>
  <si>
    <t>BOLEN</t>
  </si>
  <si>
    <t>ANNJISELDA</t>
  </si>
  <si>
    <t>HERBERT</t>
  </si>
  <si>
    <t>TALON</t>
  </si>
  <si>
    <t>WALLY</t>
  </si>
  <si>
    <t>IFANTA</t>
  </si>
  <si>
    <t>ERAS</t>
  </si>
  <si>
    <t>30/5/69</t>
  </si>
  <si>
    <t>REYJEN</t>
  </si>
  <si>
    <t>23/7/81</t>
  </si>
  <si>
    <t>TOGONON</t>
  </si>
  <si>
    <t>BFAR CENTRAL OFFICE</t>
  </si>
  <si>
    <t>IDICA</t>
  </si>
  <si>
    <t>DUMDA</t>
  </si>
  <si>
    <t>2ND</t>
  </si>
  <si>
    <t>TRINIDAD JR</t>
  </si>
  <si>
    <t>DEMEGILLO</t>
  </si>
  <si>
    <t>CABAGUE</t>
  </si>
  <si>
    <t>IAN CLIFF</t>
  </si>
  <si>
    <t>SIGARENO</t>
  </si>
  <si>
    <t>HARRY</t>
  </si>
  <si>
    <t>BATOON</t>
  </si>
  <si>
    <t>TRADER</t>
  </si>
  <si>
    <t>MONTICALBO</t>
  </si>
  <si>
    <t>C.</t>
  </si>
  <si>
    <t>MAJESTAD</t>
  </si>
  <si>
    <t>PRINCESS MAE</t>
  </si>
  <si>
    <t>MAGAYEN VIII MULTIPURPOSE COOPERATIVE</t>
  </si>
  <si>
    <t>GUERRERO</t>
  </si>
  <si>
    <t>SOCRATES</t>
  </si>
  <si>
    <t>GOVERNMENT EMPLOYEE</t>
  </si>
  <si>
    <t>PANELIN</t>
  </si>
  <si>
    <t>ANALINA</t>
  </si>
  <si>
    <t>ATAY</t>
  </si>
  <si>
    <t>T.</t>
  </si>
  <si>
    <t>ARQUEZA</t>
  </si>
  <si>
    <t>JAY ALVIN A.</t>
  </si>
  <si>
    <t>TOQUERO</t>
  </si>
  <si>
    <t>MELBA</t>
  </si>
  <si>
    <t>INSANI</t>
  </si>
  <si>
    <t>JALIL</t>
  </si>
  <si>
    <t>J.</t>
  </si>
  <si>
    <t>MAZA</t>
  </si>
  <si>
    <t>SANTURWIN</t>
  </si>
  <si>
    <t>KLEA</t>
  </si>
  <si>
    <t>JAPSON</t>
  </si>
  <si>
    <t>ROMEO SR</t>
  </si>
  <si>
    <t>14/3/70</t>
  </si>
  <si>
    <t>HASAN</t>
  </si>
  <si>
    <t>AVIEN</t>
  </si>
  <si>
    <t>16/10/98</t>
  </si>
  <si>
    <t>unit of measure for the assistance (i.e. set, PC, etc.)</t>
  </si>
  <si>
    <t>13/11/67</t>
  </si>
  <si>
    <t>BERBUILA</t>
  </si>
  <si>
    <t>JAN</t>
  </si>
  <si>
    <t>MATILLANO</t>
  </si>
  <si>
    <t>JAYSEE</t>
  </si>
  <si>
    <t>MACABALE</t>
  </si>
  <si>
    <t>HERRONA</t>
  </si>
  <si>
    <t>ITERBERT</t>
  </si>
  <si>
    <t>OYATON</t>
  </si>
  <si>
    <t>BONIFACIO</t>
  </si>
  <si>
    <t>NAVDES</t>
  </si>
  <si>
    <t>ZAMUDO</t>
  </si>
  <si>
    <t>RUDEN</t>
  </si>
  <si>
    <t>MA. ELENA</t>
  </si>
  <si>
    <t>RODERICK</t>
  </si>
  <si>
    <t>MALAGUM</t>
  </si>
  <si>
    <t>BENHUR</t>
  </si>
  <si>
    <t>CONDE</t>
  </si>
  <si>
    <t>ARVIL</t>
  </si>
  <si>
    <t>DUMLAO</t>
  </si>
  <si>
    <t>CARLO MARLON</t>
  </si>
  <si>
    <t>GEORGE SR</t>
  </si>
  <si>
    <t>PAGUMTALAN</t>
  </si>
  <si>
    <t>JEROMO</t>
  </si>
  <si>
    <t>VASQUEZ</t>
  </si>
  <si>
    <t>ALFRDO</t>
  </si>
  <si>
    <t xml:space="preserve">ALBERTO </t>
  </si>
  <si>
    <t>NAPIGKIT</t>
  </si>
  <si>
    <t>MARK ANTHONY</t>
  </si>
  <si>
    <t>4TH Quarter</t>
  </si>
  <si>
    <t>August/September</t>
  </si>
  <si>
    <t>GILBERTO</t>
  </si>
  <si>
    <t>AMTEZUANO</t>
  </si>
  <si>
    <t>ISRAEL</t>
  </si>
  <si>
    <t>SATURNINO</t>
  </si>
  <si>
    <t>ABAYON</t>
  </si>
  <si>
    <t>PCG</t>
  </si>
  <si>
    <t>WALKED-IN/REGULATORY</t>
  </si>
  <si>
    <t>POMELNI</t>
  </si>
  <si>
    <t>ANALUNA</t>
  </si>
  <si>
    <t>WALKED-IN/COMMERCIAL</t>
  </si>
  <si>
    <t>WARREN</t>
  </si>
  <si>
    <t>ZUSIMO</t>
  </si>
  <si>
    <t>VALENTIN</t>
  </si>
  <si>
    <t>ADRIAN CARLOS</t>
  </si>
  <si>
    <t>BRAVO</t>
  </si>
  <si>
    <t>PACITA</t>
  </si>
  <si>
    <t>WALKED-AN/MUNICIPAL</t>
  </si>
  <si>
    <t>WALKED-IN/OTHERS</t>
  </si>
  <si>
    <t>BERCAISCO</t>
  </si>
  <si>
    <t>WALKED-IN/MUNICIPAL</t>
  </si>
  <si>
    <t>SINGSON</t>
  </si>
  <si>
    <t>LEAGAN</t>
  </si>
  <si>
    <t>GRAYCA</t>
  </si>
  <si>
    <t>SAMUEL RY</t>
  </si>
  <si>
    <t>JUCSON</t>
  </si>
  <si>
    <t>JC</t>
  </si>
  <si>
    <t>September</t>
  </si>
  <si>
    <t>CARMARAN</t>
  </si>
  <si>
    <t>MIGUEL</t>
  </si>
  <si>
    <t>RABANG</t>
  </si>
  <si>
    <t>ANABELLE</t>
  </si>
  <si>
    <t>PSU</t>
  </si>
  <si>
    <t>MANISTOR</t>
  </si>
  <si>
    <t>PACILAN</t>
  </si>
  <si>
    <t>TAGMAN</t>
  </si>
  <si>
    <t>MARINE GASOLINE ENGINE 16 HP SNs MX420-2018020100118</t>
  </si>
  <si>
    <t>AMBAYEC</t>
  </si>
  <si>
    <t>ERCHIE</t>
  </si>
  <si>
    <t>SIRAD</t>
  </si>
  <si>
    <t>HADJI</t>
  </si>
  <si>
    <t>MASIPAG</t>
  </si>
  <si>
    <t>PM</t>
  </si>
  <si>
    <t>ESCUBIN</t>
  </si>
  <si>
    <t>DEX</t>
  </si>
  <si>
    <t>SANDOVAL</t>
  </si>
  <si>
    <t>RICHEL ANN</t>
  </si>
  <si>
    <t>ABONALES</t>
  </si>
  <si>
    <t>AGUSTO</t>
  </si>
  <si>
    <t>SAN ISIDRO</t>
  </si>
  <si>
    <t>BRAUDILE</t>
  </si>
  <si>
    <t>ONG</t>
  </si>
  <si>
    <t>NORMAN</t>
  </si>
  <si>
    <t>BRUALDE</t>
  </si>
  <si>
    <t>EULINAR</t>
  </si>
  <si>
    <t>COVAÑEZO</t>
  </si>
  <si>
    <t>PANONISO</t>
  </si>
  <si>
    <t>NOLO</t>
  </si>
  <si>
    <t xml:space="preserve">PENGES </t>
  </si>
  <si>
    <t xml:space="preserve">JOCELYN </t>
  </si>
  <si>
    <t>NACASI</t>
  </si>
  <si>
    <t>SHAWNEA</t>
  </si>
  <si>
    <t>QUINTAL</t>
  </si>
  <si>
    <t>GAUDENCIO</t>
  </si>
  <si>
    <t>JOLITA</t>
  </si>
  <si>
    <t>PARANGUE</t>
  </si>
  <si>
    <t>JENARD</t>
  </si>
  <si>
    <t>SEAWEED FARM IMPLEMENTS (PE ROPE #10)</t>
  </si>
  <si>
    <t>SEAWEED FARM IMPLEMENTS (PE ROPE #6)</t>
  </si>
  <si>
    <t>SHOOGER</t>
  </si>
  <si>
    <t>ALTON</t>
  </si>
  <si>
    <t>WALED-IN/OTHERS</t>
  </si>
  <si>
    <t>ISABELL</t>
  </si>
  <si>
    <t>III</t>
  </si>
  <si>
    <t>PACALDO</t>
  </si>
  <si>
    <t>ARISDON</t>
  </si>
  <si>
    <t>LEMTTA FISHERFOLK ASSOCIATION</t>
  </si>
  <si>
    <t>PONOY</t>
  </si>
  <si>
    <t>IP'S</t>
  </si>
  <si>
    <t xml:space="preserve">MARINE GASOLINE ENGINE 16 HP SNs </t>
  </si>
  <si>
    <t>COILS</t>
  </si>
  <si>
    <t>PP ROPE #16</t>
  </si>
  <si>
    <t>DUMARAL</t>
  </si>
  <si>
    <t>MARICRIS</t>
  </si>
  <si>
    <t>WEVA</t>
  </si>
  <si>
    <t>TUNERA</t>
  </si>
  <si>
    <t>CRIS</t>
  </si>
  <si>
    <t>REN</t>
  </si>
  <si>
    <t>SUMIBKAY</t>
  </si>
  <si>
    <t>ALLEN</t>
  </si>
  <si>
    <t>SALOME</t>
  </si>
  <si>
    <t>SALAGUBANG</t>
  </si>
  <si>
    <t>JHOUG</t>
  </si>
  <si>
    <t>PAPEW</t>
  </si>
  <si>
    <t>CAMAROTE</t>
  </si>
  <si>
    <t>GREGORIO JR</t>
  </si>
  <si>
    <t>ILEGADO</t>
  </si>
  <si>
    <t>ISOBELLE</t>
  </si>
  <si>
    <t>CAPADOSA</t>
  </si>
  <si>
    <t>October</t>
  </si>
  <si>
    <t>LEONILA</t>
  </si>
  <si>
    <t>BARSABA</t>
  </si>
  <si>
    <t>IRENEO JR.</t>
  </si>
  <si>
    <t>DELSON</t>
  </si>
  <si>
    <t>CUANAN</t>
  </si>
  <si>
    <t>OFIC</t>
  </si>
  <si>
    <t>BEA CHRISTINA</t>
  </si>
  <si>
    <t>ARMILO</t>
  </si>
  <si>
    <t>WELLY</t>
  </si>
  <si>
    <t>INFANTA QUEZON</t>
  </si>
  <si>
    <t>CAPSALAY</t>
  </si>
  <si>
    <t>NEW BUNCAG</t>
  </si>
  <si>
    <t>OCTOBER</t>
  </si>
  <si>
    <t>BUSINESMAN</t>
  </si>
  <si>
    <t>PLACIO</t>
  </si>
  <si>
    <t>RAGUIN</t>
  </si>
  <si>
    <t>REGALITA</t>
  </si>
  <si>
    <t>GUTIERRES</t>
  </si>
  <si>
    <t>LILIBETH</t>
  </si>
  <si>
    <t>CENON</t>
  </si>
  <si>
    <t>ELIIS</t>
  </si>
  <si>
    <t>EMALYN</t>
  </si>
  <si>
    <t>ELIS</t>
  </si>
  <si>
    <t>SAN PASCUAL</t>
  </si>
  <si>
    <t>RYLIN</t>
  </si>
  <si>
    <t>BAROTILLO</t>
  </si>
  <si>
    <t>EDGIE</t>
  </si>
  <si>
    <t>ABADEZA</t>
  </si>
  <si>
    <t>ABELLARDO</t>
  </si>
  <si>
    <t>AVANIE</t>
  </si>
  <si>
    <t>BALDORADO</t>
  </si>
  <si>
    <t>MARY</t>
  </si>
  <si>
    <t>AGUILAR</t>
  </si>
  <si>
    <t>MARINA</t>
  </si>
  <si>
    <t>EDIDA</t>
  </si>
  <si>
    <t>LORDA</t>
  </si>
  <si>
    <t>RUVELYN</t>
  </si>
  <si>
    <t>BACAS</t>
  </si>
  <si>
    <t>ZUELO</t>
  </si>
  <si>
    <t>MERGILDO</t>
  </si>
  <si>
    <t>LETECIA</t>
  </si>
  <si>
    <t>NASRIDUL</t>
  </si>
  <si>
    <t>AGUIRE</t>
  </si>
  <si>
    <t>10/30/19/2001</t>
  </si>
  <si>
    <t>ALDIMAL</t>
  </si>
  <si>
    <t>ABDIK</t>
  </si>
  <si>
    <t>BERJA</t>
  </si>
  <si>
    <t>ARLAN</t>
  </si>
  <si>
    <t>HADULLA</t>
  </si>
  <si>
    <t>ASAALI</t>
  </si>
  <si>
    <t>LADSID</t>
  </si>
  <si>
    <t>BARRIE</t>
  </si>
  <si>
    <t>BARRUGA</t>
  </si>
  <si>
    <t>AIRENE GRACE</t>
  </si>
  <si>
    <t>MERILYN</t>
  </si>
  <si>
    <t>AQUIRAL</t>
  </si>
  <si>
    <t>MELCAIDA</t>
  </si>
  <si>
    <t>TISILIN</t>
  </si>
  <si>
    <t>AMDIY</t>
  </si>
  <si>
    <t>MERHANA</t>
  </si>
  <si>
    <t>JIMANAL</t>
  </si>
  <si>
    <t>KASIM</t>
  </si>
  <si>
    <t>ARABI</t>
  </si>
  <si>
    <t>ENAYATIN</t>
  </si>
  <si>
    <t>NESTAFA</t>
  </si>
  <si>
    <t>SADSAMALI</t>
  </si>
  <si>
    <t>OLAYMAS</t>
  </si>
  <si>
    <t>DARINDAS</t>
  </si>
  <si>
    <t>ARABU</t>
  </si>
  <si>
    <t>HABIR</t>
  </si>
  <si>
    <t>HAJIHIL</t>
  </si>
  <si>
    <t xml:space="preserve">BARRUGA </t>
  </si>
  <si>
    <t>ARTHUS</t>
  </si>
  <si>
    <t>MARINE GASOLINE ENGINE 16 HP SNs MX420-2018020100218</t>
  </si>
  <si>
    <t>PACTAO</t>
  </si>
  <si>
    <t>ESTARNILO</t>
  </si>
  <si>
    <t>SEAWEED FARM IMPLEMENTS (MONONYLON #90)</t>
  </si>
  <si>
    <t>SEAWEED FARM IMPLEMENTS (MONONYLON #140)</t>
  </si>
  <si>
    <t>SEAWEED FARM IMPLEMENTS (MONONYLON #200)</t>
  </si>
  <si>
    <t>REZIEL</t>
  </si>
  <si>
    <t>JOCLAN</t>
  </si>
  <si>
    <t>September/October</t>
  </si>
  <si>
    <t>MANDAWE</t>
  </si>
  <si>
    <t>VICSON</t>
  </si>
  <si>
    <t>ANGELECIO</t>
  </si>
  <si>
    <t>EMPIC</t>
  </si>
  <si>
    <t>JIMENEZ</t>
  </si>
  <si>
    <t>EUGENE</t>
  </si>
  <si>
    <t>ROLETO</t>
  </si>
  <si>
    <t>MONTEBON</t>
  </si>
  <si>
    <t>JOESIFA</t>
  </si>
  <si>
    <t>TERO</t>
  </si>
  <si>
    <t>CERILA</t>
  </si>
  <si>
    <t>NERVADEZ</t>
  </si>
  <si>
    <t>ELUFSIDA</t>
  </si>
  <si>
    <t>JENALYN</t>
  </si>
  <si>
    <t>POLIGRARES</t>
  </si>
  <si>
    <t>MIRIAM</t>
  </si>
  <si>
    <t>LAUDAN</t>
  </si>
  <si>
    <t>ABADILLA</t>
  </si>
  <si>
    <t>RELAMPAGOS</t>
  </si>
  <si>
    <t>JORGE</t>
  </si>
  <si>
    <t>MERCADER</t>
  </si>
  <si>
    <t>ELEUTERIO</t>
  </si>
  <si>
    <t>ORCEO</t>
  </si>
  <si>
    <t>ALBERTO Sr</t>
  </si>
  <si>
    <t>OREC</t>
  </si>
  <si>
    <t>LOYOLA</t>
  </si>
  <si>
    <t>EDMON</t>
  </si>
  <si>
    <t>GREGORIO</t>
  </si>
  <si>
    <t>SOLAYAO</t>
  </si>
  <si>
    <t>ALDWIN</t>
  </si>
  <si>
    <t>REYNANTE</t>
  </si>
  <si>
    <t>JERO</t>
  </si>
  <si>
    <t>CONDES</t>
  </si>
  <si>
    <t>DORES</t>
  </si>
  <si>
    <t>ESTQUILLA</t>
  </si>
  <si>
    <t>JONNIE</t>
  </si>
  <si>
    <t>MAMENTA</t>
  </si>
  <si>
    <t>SOBREVEGA</t>
  </si>
  <si>
    <t>ARDA</t>
  </si>
  <si>
    <t>SORNITO</t>
  </si>
  <si>
    <t>VERAGUAS</t>
  </si>
  <si>
    <t>ETUCSON</t>
  </si>
  <si>
    <t>VERIDA</t>
  </si>
  <si>
    <t>DAIZ</t>
  </si>
  <si>
    <t>ESCARDA</t>
  </si>
  <si>
    <t>URDELAS</t>
  </si>
  <si>
    <t>REYNALDO Jr</t>
  </si>
  <si>
    <t>JACKIRON</t>
  </si>
  <si>
    <t>BONSINA</t>
  </si>
  <si>
    <t>MIGSAYAN</t>
  </si>
  <si>
    <t>RAEL</t>
  </si>
  <si>
    <t>MORATIN</t>
  </si>
  <si>
    <t>RELAY</t>
  </si>
  <si>
    <t>MERAPIWIG</t>
  </si>
  <si>
    <t>WILLETO</t>
  </si>
  <si>
    <t>AMBONG</t>
  </si>
  <si>
    <t>NECESSARIO</t>
  </si>
  <si>
    <t>SEVERIANO</t>
  </si>
  <si>
    <t>BALASA</t>
  </si>
  <si>
    <t>JAMES</t>
  </si>
  <si>
    <t>NICO</t>
  </si>
  <si>
    <t>CONALES</t>
  </si>
  <si>
    <t>RAYA</t>
  </si>
  <si>
    <t>ROGIE</t>
  </si>
  <si>
    <t>AUSTRIA Jr</t>
  </si>
  <si>
    <t>YAYEN</t>
  </si>
  <si>
    <t>HILMER</t>
  </si>
  <si>
    <t>CUETO</t>
  </si>
  <si>
    <t>MONTANE</t>
  </si>
  <si>
    <t>JULIE ANN</t>
  </si>
  <si>
    <t>CUON</t>
  </si>
  <si>
    <t>ERICKSON</t>
  </si>
  <si>
    <t>RICAHRD</t>
  </si>
  <si>
    <t>MURSALI</t>
  </si>
  <si>
    <t>RETAK</t>
  </si>
  <si>
    <t>BARBACAN</t>
  </si>
  <si>
    <t>MAXIDEN</t>
  </si>
  <si>
    <t>SEAWEED FARM IMPLEMENTS (MONONYLON #110)</t>
  </si>
  <si>
    <t>VERAGUA</t>
  </si>
  <si>
    <t>YAYE</t>
  </si>
  <si>
    <t>MIRAFLORES</t>
  </si>
  <si>
    <t>GONCELLO</t>
  </si>
  <si>
    <t>PERPEKTO</t>
  </si>
  <si>
    <t>SOLALO</t>
  </si>
  <si>
    <t>VICTOR</t>
  </si>
  <si>
    <t>AGA</t>
  </si>
  <si>
    <t>RODIE</t>
  </si>
  <si>
    <t>SALDIVIA</t>
  </si>
  <si>
    <t>DAMIAN</t>
  </si>
  <si>
    <t>HIAN</t>
  </si>
  <si>
    <t>HAUM</t>
  </si>
  <si>
    <t>MIATOSACIKI</t>
  </si>
  <si>
    <t>REENAN</t>
  </si>
  <si>
    <t>MACARIO</t>
  </si>
  <si>
    <t>07/22/1072</t>
  </si>
  <si>
    <t>JOLO</t>
  </si>
  <si>
    <t>ANDAYA</t>
  </si>
  <si>
    <t>REYNALD</t>
  </si>
  <si>
    <t>MACAMAY</t>
  </si>
  <si>
    <t>ANTONIETO</t>
  </si>
  <si>
    <t>SEVILLA</t>
  </si>
  <si>
    <t>HOTOHOT</t>
  </si>
  <si>
    <t>GARTAHING</t>
  </si>
  <si>
    <t>CABUENA</t>
  </si>
  <si>
    <t>DIOSING</t>
  </si>
  <si>
    <t>TACAISAN</t>
  </si>
  <si>
    <t>JOHNREY</t>
  </si>
  <si>
    <t>PADUA</t>
  </si>
  <si>
    <t>ALFREDO</t>
  </si>
  <si>
    <t>BADILLA</t>
  </si>
  <si>
    <t>JOB</t>
  </si>
  <si>
    <t>MAGDAYAO</t>
  </si>
  <si>
    <t>NHOLEY</t>
  </si>
  <si>
    <t>ARGUILLES</t>
  </si>
  <si>
    <t>JAYME</t>
  </si>
  <si>
    <t>FRED</t>
  </si>
  <si>
    <t xml:space="preserve">VALENZUELA </t>
  </si>
  <si>
    <t>SEAWEED FARM IMPLEMENTS (MONONYLON # 250)</t>
  </si>
  <si>
    <t>SEAWEED FARM IMPLEMENTS (PE ROPE # 20)</t>
  </si>
  <si>
    <t>IGLORIA</t>
  </si>
  <si>
    <t>ESPENOSA</t>
  </si>
  <si>
    <t>AMOREZA</t>
  </si>
  <si>
    <t>BINATA</t>
  </si>
  <si>
    <t>ENRIQUITA</t>
  </si>
  <si>
    <t>ENGHUG</t>
  </si>
  <si>
    <t>PATERNO Sr</t>
  </si>
  <si>
    <t>LILIBOY</t>
  </si>
  <si>
    <t>PACURZA</t>
  </si>
  <si>
    <t>ELVER</t>
  </si>
  <si>
    <t>LAGUD</t>
  </si>
  <si>
    <t>ISA</t>
  </si>
  <si>
    <t>ALONDRO</t>
  </si>
  <si>
    <t>MENDEZ</t>
  </si>
  <si>
    <t>NARCISA</t>
  </si>
  <si>
    <t>DOMIAS</t>
  </si>
  <si>
    <t>EDGARDO Jr</t>
  </si>
  <si>
    <t>LIBERATO</t>
  </si>
  <si>
    <t>SEAWEED FARM IMPLEMENTS (MONONYLON #30)</t>
  </si>
  <si>
    <t>SEAWEED FARM IMPLEMENTS (MONONYLON #40)</t>
  </si>
  <si>
    <t>REALIN</t>
  </si>
  <si>
    <t>JOHN JACOB</t>
  </si>
  <si>
    <t>SAHIBUL</t>
  </si>
  <si>
    <t>ABDUSAKUR</t>
  </si>
  <si>
    <t>VARRA</t>
  </si>
  <si>
    <t>OSWALD</t>
  </si>
  <si>
    <t>ECHANEZ</t>
  </si>
  <si>
    <t>ALLA</t>
  </si>
  <si>
    <t>TESORO</t>
  </si>
  <si>
    <t>BENJOE</t>
  </si>
  <si>
    <t>TRADULO</t>
  </si>
  <si>
    <t>STA. ANA</t>
  </si>
  <si>
    <t>BULE</t>
  </si>
  <si>
    <t>LERIT</t>
  </si>
  <si>
    <t>JERYME</t>
  </si>
  <si>
    <t xml:space="preserve">SAMONTE </t>
  </si>
  <si>
    <t>MUYANO</t>
  </si>
  <si>
    <t>DARIOS</t>
  </si>
  <si>
    <t>ADONIS</t>
  </si>
  <si>
    <t>DASCO</t>
  </si>
  <si>
    <t>ROSENDO</t>
  </si>
  <si>
    <t>6/30/</t>
  </si>
  <si>
    <t>07/05/</t>
  </si>
  <si>
    <t>06/28/</t>
  </si>
  <si>
    <t>FARIMAR</t>
  </si>
  <si>
    <t>TOMIAS</t>
  </si>
  <si>
    <t>RELATOS</t>
  </si>
  <si>
    <t>MORELA</t>
  </si>
  <si>
    <t>FURTONATO</t>
  </si>
  <si>
    <t>EUDURA</t>
  </si>
  <si>
    <t>BERNABE</t>
  </si>
  <si>
    <t>PERADO</t>
  </si>
  <si>
    <t>ARTHUR</t>
  </si>
  <si>
    <t>EREDERA</t>
  </si>
  <si>
    <t>COYOCA</t>
  </si>
  <si>
    <t>MILLABAS</t>
  </si>
  <si>
    <t>JOSEP RONIE</t>
  </si>
  <si>
    <t>MYCA</t>
  </si>
  <si>
    <t>ECHAVEZ</t>
  </si>
  <si>
    <t>EDREAN</t>
  </si>
  <si>
    <t>ADRICULA</t>
  </si>
  <si>
    <t>MAX Jr</t>
  </si>
  <si>
    <t>HISARZA</t>
  </si>
  <si>
    <t>CELESTE</t>
  </si>
  <si>
    <t>ENRIQUE</t>
  </si>
  <si>
    <t>ZAMBRANO</t>
  </si>
  <si>
    <t>NOVELITO</t>
  </si>
  <si>
    <t>ROLANDO Jr</t>
  </si>
  <si>
    <t>LUTCHAVEZ</t>
  </si>
  <si>
    <t>GOMERCINDO</t>
  </si>
  <si>
    <t>CRISALDO</t>
  </si>
  <si>
    <t>CRISMER</t>
  </si>
  <si>
    <t>EDMOND</t>
  </si>
  <si>
    <t>DINOY</t>
  </si>
  <si>
    <t>RAQUEL</t>
  </si>
  <si>
    <t>ANNALIZA</t>
  </si>
  <si>
    <t>GUARDA</t>
  </si>
  <si>
    <t>GUZAL</t>
  </si>
  <si>
    <t>MERCEDITA</t>
  </si>
  <si>
    <t>MARY CRUZ</t>
  </si>
  <si>
    <t>MOLLENO</t>
  </si>
  <si>
    <t>IRENE JOY</t>
  </si>
  <si>
    <t>APAITAN</t>
  </si>
  <si>
    <t>JOZAR</t>
  </si>
  <si>
    <t>CHERELYN</t>
  </si>
  <si>
    <t>JARAMITE</t>
  </si>
  <si>
    <t>KENETH</t>
  </si>
  <si>
    <t>EDIEY</t>
  </si>
  <si>
    <t>PELONE</t>
  </si>
  <si>
    <t>22/19/77</t>
  </si>
  <si>
    <t>ROSALITO</t>
  </si>
  <si>
    <t>MARINE GASOLINE ENGINE 16 HP SNs MX420-2018020100061</t>
  </si>
  <si>
    <t>MARINE GASOLINE ENGINE 16 HP SNs MX420-2018020100175</t>
  </si>
  <si>
    <t>MARINE GASOLINE ENGINE 16 HP SNs MX420-2018020100105</t>
  </si>
  <si>
    <t>BECIDILLA</t>
  </si>
  <si>
    <t>FELECIANO</t>
  </si>
  <si>
    <t>SAMBLINEO</t>
  </si>
  <si>
    <t>8/1/</t>
  </si>
  <si>
    <t>11/27/</t>
  </si>
  <si>
    <t>DEMOQUITA</t>
  </si>
  <si>
    <t>EDILITA</t>
  </si>
  <si>
    <t>JOREMS</t>
  </si>
  <si>
    <t>TOPALLA</t>
  </si>
  <si>
    <t>JOTUAN</t>
  </si>
  <si>
    <t>MENARD</t>
  </si>
  <si>
    <t>REDISON</t>
  </si>
  <si>
    <t>MANUELO</t>
  </si>
  <si>
    <t>BALABAC</t>
  </si>
  <si>
    <t>DEGALLO</t>
  </si>
  <si>
    <t>VIRGINA</t>
  </si>
  <si>
    <t>ERENEO</t>
  </si>
  <si>
    <t>AZAREZ</t>
  </si>
  <si>
    <t>NAMOCO</t>
  </si>
  <si>
    <t>RALY MAR</t>
  </si>
  <si>
    <t>DOMOMDOM</t>
  </si>
  <si>
    <t>DICAR</t>
  </si>
  <si>
    <t>CIARA</t>
  </si>
  <si>
    <t>TIMOTEI II</t>
  </si>
  <si>
    <t>MOZO</t>
  </si>
  <si>
    <t>MARIECHAN</t>
  </si>
  <si>
    <t>ROSOS</t>
  </si>
  <si>
    <t>JULIEBEE</t>
  </si>
  <si>
    <t>PANABO CITY</t>
  </si>
  <si>
    <t>ADVINCULA</t>
  </si>
  <si>
    <t>DAVAO DEL NORTE</t>
  </si>
  <si>
    <t>NIBROS</t>
  </si>
  <si>
    <t>GEERN</t>
  </si>
  <si>
    <t>NFRDI</t>
  </si>
  <si>
    <t>GABUAT</t>
  </si>
  <si>
    <t>KRISTLE</t>
  </si>
  <si>
    <t>MASIGLA</t>
  </si>
  <si>
    <t>CAMLA</t>
  </si>
  <si>
    <t>CHRISTINE</t>
  </si>
  <si>
    <t>LONQUE</t>
  </si>
  <si>
    <t>FACE TO FACE DIALOGUE/OTHERS</t>
  </si>
  <si>
    <t>SHERYL</t>
  </si>
  <si>
    <t>ILOILO</t>
  </si>
  <si>
    <t>JOHN DAVIZ</t>
  </si>
  <si>
    <t>ESTAÑO</t>
  </si>
  <si>
    <t>MERCEDES</t>
  </si>
  <si>
    <t>JULIAN</t>
  </si>
  <si>
    <t>OMOYON</t>
  </si>
  <si>
    <t>AMIE</t>
  </si>
  <si>
    <t>JAHADEL</t>
  </si>
  <si>
    <t>LUCERO</t>
  </si>
  <si>
    <t>JULKIA</t>
  </si>
  <si>
    <t>MOKAMMAD</t>
  </si>
  <si>
    <t>ODI</t>
  </si>
  <si>
    <t>ALIMYONG</t>
  </si>
  <si>
    <t>SALAM</t>
  </si>
  <si>
    <t>LIGO</t>
  </si>
  <si>
    <t>JENIEBOY</t>
  </si>
  <si>
    <t>TABURI</t>
  </si>
  <si>
    <t>ROBELION</t>
  </si>
  <si>
    <t>SEAWEED FARM IMPLEMENTS (PE ROPE #16)</t>
  </si>
  <si>
    <t>BOROTAN</t>
  </si>
  <si>
    <t>ALIB</t>
  </si>
  <si>
    <t>CADALINA</t>
  </si>
  <si>
    <t>ASAD</t>
  </si>
  <si>
    <t>ILAGAN</t>
  </si>
  <si>
    <t>ANDY</t>
  </si>
  <si>
    <t>AMATON</t>
  </si>
  <si>
    <t>AQUINON</t>
  </si>
  <si>
    <t>MESSED</t>
  </si>
  <si>
    <t>DEME</t>
  </si>
  <si>
    <t>NORMAN Jr</t>
  </si>
  <si>
    <t>VALINTIN Jr</t>
  </si>
  <si>
    <t>JEMAR</t>
  </si>
  <si>
    <t>NIPA NIPA</t>
  </si>
  <si>
    <t>JAKMER</t>
  </si>
  <si>
    <t>PUIG</t>
  </si>
  <si>
    <t>TONGGOL</t>
  </si>
  <si>
    <t>JULNITO</t>
  </si>
  <si>
    <t>JERICAL</t>
  </si>
  <si>
    <t>ADJOHOD</t>
  </si>
  <si>
    <t>TAYRON</t>
  </si>
  <si>
    <t>JUMRATIA</t>
  </si>
  <si>
    <t>KUWAH</t>
  </si>
  <si>
    <t>POTTOM</t>
  </si>
  <si>
    <t>ERISON</t>
  </si>
  <si>
    <t>MISUARI</t>
  </si>
  <si>
    <t>ASAMIE</t>
  </si>
  <si>
    <t>BHOYLIE</t>
  </si>
  <si>
    <t>PARI</t>
  </si>
  <si>
    <t>HAJIM</t>
  </si>
  <si>
    <t>MISURI</t>
  </si>
  <si>
    <t>NOSAL</t>
  </si>
  <si>
    <t>HECTOR</t>
  </si>
  <si>
    <t>MARINSEL</t>
  </si>
  <si>
    <t>ALARCA</t>
  </si>
  <si>
    <t>SAID</t>
  </si>
  <si>
    <t>MELHATAB</t>
  </si>
  <si>
    <t>NARCISO</t>
  </si>
  <si>
    <t>NORMELISA</t>
  </si>
  <si>
    <t>DIONESIA</t>
  </si>
  <si>
    <t>MARCIAL Jr</t>
  </si>
  <si>
    <t>LANOY</t>
  </si>
  <si>
    <t>JUDITHO Sr</t>
  </si>
  <si>
    <t>VALLEJO</t>
  </si>
  <si>
    <t>ELVIS</t>
  </si>
  <si>
    <t>SUSURAN</t>
  </si>
  <si>
    <t>NOEL Jr</t>
  </si>
  <si>
    <t>BONBON</t>
  </si>
  <si>
    <t>JOENEL</t>
  </si>
  <si>
    <t>ANALYN</t>
  </si>
  <si>
    <t>FRESNILLO</t>
  </si>
  <si>
    <t>JAKANI</t>
  </si>
  <si>
    <t>ZALDE</t>
  </si>
  <si>
    <t>NECKSON</t>
  </si>
  <si>
    <t>TARANG</t>
  </si>
  <si>
    <t>ANSAIL</t>
  </si>
  <si>
    <t>SEAWEED FARM IMPLEMENTS (PE ROPE #14)</t>
  </si>
  <si>
    <t>ARNAIZ</t>
  </si>
  <si>
    <t>JEARR</t>
  </si>
  <si>
    <t>OLJODO</t>
  </si>
  <si>
    <t>TABUTABO</t>
  </si>
  <si>
    <t>BERDOY</t>
  </si>
  <si>
    <t>JOUNIE</t>
  </si>
  <si>
    <t>DEVIO</t>
  </si>
  <si>
    <t>BILLY</t>
  </si>
  <si>
    <t>ARIZALA</t>
  </si>
  <si>
    <t>ARJAY</t>
  </si>
  <si>
    <t>JOHNMARK</t>
  </si>
  <si>
    <t>MARLO</t>
  </si>
  <si>
    <t>DAY-OAN</t>
  </si>
  <si>
    <t>SYDNEY</t>
  </si>
  <si>
    <t>ALIMANGUAN</t>
  </si>
  <si>
    <t>JUNNIE</t>
  </si>
  <si>
    <t>ABANIEL</t>
  </si>
  <si>
    <t>SEAWEED FARM IMPLEMENTS (FLOATERS)</t>
  </si>
  <si>
    <t>CLUBO</t>
  </si>
  <si>
    <t>GENIEVA</t>
  </si>
  <si>
    <t>LEO Jr</t>
  </si>
  <si>
    <t>MANASSELA</t>
  </si>
  <si>
    <t>ARSANGA</t>
  </si>
  <si>
    <t>ARTIAGA</t>
  </si>
  <si>
    <t>EUSEBIO</t>
  </si>
  <si>
    <t>PABLICO</t>
  </si>
  <si>
    <t>CORTES</t>
  </si>
  <si>
    <t>DANIEL</t>
  </si>
  <si>
    <t>BAJAR</t>
  </si>
  <si>
    <t>NOLY</t>
  </si>
  <si>
    <t>CANTIGO</t>
  </si>
  <si>
    <t>SAMMY Sr</t>
  </si>
  <si>
    <t>GORDON</t>
  </si>
  <si>
    <t>JEBREL</t>
  </si>
  <si>
    <t>ALIMANZA</t>
  </si>
  <si>
    <t>EYAK</t>
  </si>
  <si>
    <t>NOLLIE</t>
  </si>
  <si>
    <t>OREHUELA</t>
  </si>
  <si>
    <t>JULIUS</t>
  </si>
  <si>
    <t>PELLEJERA</t>
  </si>
  <si>
    <t>PEROL</t>
  </si>
  <si>
    <t>JEFFTEH</t>
  </si>
  <si>
    <t>OREBIA</t>
  </si>
  <si>
    <t>HERMES Jr</t>
  </si>
  <si>
    <t>CERILO</t>
  </si>
  <si>
    <t>BALOYOT</t>
  </si>
  <si>
    <t>ARIE</t>
  </si>
  <si>
    <t>ADELINA</t>
  </si>
  <si>
    <t>TAMPUS</t>
  </si>
  <si>
    <t>MARILOU</t>
  </si>
  <si>
    <t>JURNIE</t>
  </si>
  <si>
    <t>DEMELILLO</t>
  </si>
  <si>
    <t>HELCRIS</t>
  </si>
  <si>
    <t>BOBBY Sr</t>
  </si>
  <si>
    <t>LAWAN</t>
  </si>
  <si>
    <t>JEANIC</t>
  </si>
  <si>
    <t>GULSIHAN</t>
  </si>
  <si>
    <t>RENIER</t>
  </si>
  <si>
    <t>ABARCA</t>
  </si>
  <si>
    <t>JAIMARK</t>
  </si>
  <si>
    <t>SEAWEED FARM IMPLEMENTS (PE ROPE #8)</t>
  </si>
  <si>
    <t>POLIGRATES</t>
  </si>
  <si>
    <t>ABELITA</t>
  </si>
  <si>
    <t>MEDRINA</t>
  </si>
  <si>
    <t>DINDE</t>
  </si>
  <si>
    <t>CABATINGAN</t>
  </si>
  <si>
    <t>DIGNOL</t>
  </si>
  <si>
    <t>REMULO</t>
  </si>
  <si>
    <t>ANDINGO</t>
  </si>
  <si>
    <t>LIBANDILLA</t>
  </si>
  <si>
    <t>BONGAT</t>
  </si>
  <si>
    <t>CENOS</t>
  </si>
  <si>
    <t>CANZA</t>
  </si>
  <si>
    <t>BREN</t>
  </si>
  <si>
    <t>RODAGO</t>
  </si>
  <si>
    <t>Y</t>
  </si>
  <si>
    <t>SEBUJA</t>
  </si>
  <si>
    <t>PANCHO</t>
  </si>
  <si>
    <t>ENTOG</t>
  </si>
  <si>
    <t>EDILBERTO</t>
  </si>
  <si>
    <t>PUERTOS</t>
  </si>
  <si>
    <t>ERASMO</t>
  </si>
  <si>
    <t>CIRILO</t>
  </si>
  <si>
    <t>GUILLENA</t>
  </si>
  <si>
    <t>HERRERO</t>
  </si>
  <si>
    <t>ABARCAR</t>
  </si>
  <si>
    <t>JETTET</t>
  </si>
  <si>
    <t>CARLO</t>
  </si>
  <si>
    <t>MADARCOS</t>
  </si>
  <si>
    <t>JOREY</t>
  </si>
  <si>
    <t>MACAPIHIG</t>
  </si>
  <si>
    <t>MAYETO</t>
  </si>
  <si>
    <t>MERLIN</t>
  </si>
  <si>
    <t>RESTIFICAR</t>
  </si>
  <si>
    <t>BRYAN</t>
  </si>
  <si>
    <t>ENCIERTO</t>
  </si>
  <si>
    <t>REYMART</t>
  </si>
  <si>
    <t>ODENES</t>
  </si>
  <si>
    <t>VIRGIE</t>
  </si>
  <si>
    <t>ANDO</t>
  </si>
  <si>
    <t>WALITO Jr</t>
  </si>
  <si>
    <t>AREDO</t>
  </si>
  <si>
    <t>IMELDA</t>
  </si>
  <si>
    <t>MAGLASANG</t>
  </si>
  <si>
    <t>BALOBAL</t>
  </si>
  <si>
    <t>ARONG</t>
  </si>
  <si>
    <t>IBANEZ</t>
  </si>
  <si>
    <t>CORRE</t>
  </si>
  <si>
    <t>CAYAON</t>
  </si>
  <si>
    <t>RODNIE</t>
  </si>
  <si>
    <t>BARLAS</t>
  </si>
  <si>
    <t>JUANITO</t>
  </si>
  <si>
    <t>PENARANDA</t>
  </si>
  <si>
    <t>JENNIFER</t>
  </si>
  <si>
    <t>NERBASES</t>
  </si>
  <si>
    <t>LOBRE</t>
  </si>
  <si>
    <t>OSCAR</t>
  </si>
  <si>
    <t>CELESTINO</t>
  </si>
  <si>
    <t>CAIRO</t>
  </si>
  <si>
    <t>SANTIAGO</t>
  </si>
  <si>
    <t>ESCARAN</t>
  </si>
  <si>
    <t>LIMUEL</t>
  </si>
  <si>
    <t>JERVY</t>
  </si>
  <si>
    <t>MAGURA</t>
  </si>
  <si>
    <t>RAMIR</t>
  </si>
  <si>
    <t>MARINE GASOLINE ENGINE 16 HP SNs MX420-2018020100133</t>
  </si>
  <si>
    <t>NOEMI</t>
  </si>
  <si>
    <t>MARINE GASOLINE ENGINE 16 HP SNs MX420-2018020100008</t>
  </si>
  <si>
    <t>ISABELO</t>
  </si>
  <si>
    <t>MARINE GASOLINE ENGINE 16 HP SNs MX420-2018020100071</t>
  </si>
  <si>
    <t>ARANGAT</t>
  </si>
  <si>
    <t>ISUGUD</t>
  </si>
  <si>
    <t>MARINE GASOLINE ENGINE 16 HP SNs MX420-2018020100152</t>
  </si>
  <si>
    <t>MARINE GASOLINE ENGINE 16 HP SNs MX420-2018020100004</t>
  </si>
  <si>
    <t>30FOOTER FIBER GLASS WITH MARINE GASOLINE ENGINE 16 HP SNs MX420-2018020100053</t>
  </si>
  <si>
    <t>VIRGILO</t>
  </si>
  <si>
    <t>JOSE Sr</t>
  </si>
  <si>
    <t>AUSTRIA</t>
  </si>
  <si>
    <t>RIZAL Jr</t>
  </si>
  <si>
    <t>DEMAYO</t>
  </si>
  <si>
    <t>JINLY</t>
  </si>
  <si>
    <t>ROSETE</t>
  </si>
  <si>
    <t>BERNIE</t>
  </si>
  <si>
    <t>GUTIERREZ</t>
  </si>
  <si>
    <t>PANDAÑO</t>
  </si>
  <si>
    <t>30FOOTER FIBER GLASS WITH MARINE GASOLINE ENGINE 16 HP SNs MX420-2018020100289</t>
  </si>
  <si>
    <t>30FOOTER FIBER GLASS WITH MARINE GASOLINE ENGINE 16 HP SNs MX420-2018020100341</t>
  </si>
  <si>
    <t>30FOOTER FIBER GLASS WITH MARINE GASOLINE ENGINE 16 HP SNs MX420-2018020100091</t>
  </si>
  <si>
    <t>30FOOTER FIBER GLASS WITH MARINE GASOLINE ENGINE 16 HP SNs MX420-2018020100050</t>
  </si>
  <si>
    <t>ARLIE</t>
  </si>
  <si>
    <t>ERICSON</t>
  </si>
  <si>
    <t>RAY</t>
  </si>
  <si>
    <t>ROGINE</t>
  </si>
  <si>
    <t>MICAHEL</t>
  </si>
  <si>
    <t>MELFREN</t>
  </si>
  <si>
    <t>MACKY</t>
  </si>
  <si>
    <t>MACAPAS</t>
  </si>
  <si>
    <t>RAYMOND</t>
  </si>
  <si>
    <t>REYLAN</t>
  </si>
  <si>
    <t>NAERGA</t>
  </si>
  <si>
    <t>VON RAIN</t>
  </si>
  <si>
    <t>SARABIA</t>
  </si>
  <si>
    <t>CLAIRE</t>
  </si>
  <si>
    <t>30FOOTER FIBER GLASS WITH MARINE GASOLINE ENGINE 16 HP SNs MX420-2018020100099</t>
  </si>
  <si>
    <t>30FOOTER FIBER GLASS WITH MARINE GASOLINE ENGINE 16 HP SNs MX420-2018020100006</t>
  </si>
  <si>
    <t>30FOOTER FIBER GLASS WITH MARINE GASOLINE ENGINE 16 HP SNs MX420-2018020100306</t>
  </si>
  <si>
    <t>30FOOTER FIBER GLASS WITH MARINE GASOLINE ENGINE 16 HP SNs MX420-2018020100217</t>
  </si>
  <si>
    <t>30FOOTER FIBER GLASS WITH MARINE GASOLINE ENGINE 16 HP SNs MX420-2018020100046</t>
  </si>
  <si>
    <t>GARQUE</t>
  </si>
  <si>
    <t>CAYUPAN</t>
  </si>
  <si>
    <t>RAYMART</t>
  </si>
  <si>
    <t>VILLURDEZ</t>
  </si>
  <si>
    <t>CJ RIC</t>
  </si>
  <si>
    <t>REYNAL Jr</t>
  </si>
  <si>
    <t>BOLOHABO</t>
  </si>
  <si>
    <t>KIMBERT</t>
  </si>
  <si>
    <t>BERDANDINO</t>
  </si>
  <si>
    <t>LLOYD</t>
  </si>
  <si>
    <t>GLENMARK</t>
  </si>
  <si>
    <t xml:space="preserve">30FOOTER FIBER GLASS WITH MARINE GASOLINE ENGINE 16 HP SNs </t>
  </si>
  <si>
    <t>30FOOTER FIBER GLASS WITH MARINE GASOLINE ENGINE 16 HP SNs MX420-2018020100063</t>
  </si>
  <si>
    <t>30FOOTER FIBER GLASS WITH MARINE GASOLINE ENGINE 16 HP SNs MX420-2018020100212</t>
  </si>
  <si>
    <t>30FOOTER FIBER GLASS WITH MARINE GASOLINE ENGINE 16 HP SNs MX420-2018020100242</t>
  </si>
  <si>
    <t>30FOOTER FIBER GLASS WITH MARINE GASOLINE ENGINE 16 HP SNs MX420-2018020100221</t>
  </si>
  <si>
    <t>CONDESA</t>
  </si>
  <si>
    <t>REYLIN</t>
  </si>
  <si>
    <t>HARO</t>
  </si>
  <si>
    <t>HAYDE</t>
  </si>
  <si>
    <t xml:space="preserve">RAYA </t>
  </si>
  <si>
    <t>APOLINARIO Jr</t>
  </si>
  <si>
    <t>MONTANTE</t>
  </si>
  <si>
    <t>ORUDENCIO Jr</t>
  </si>
  <si>
    <t>30FOOTER FIBER GLASS WITH MARINE GASOLINE ENGINE 16 HP SNs MX420-2018020100167</t>
  </si>
  <si>
    <t>30FOOTER FIBER GLASS WITH MARINE GASOLINE ENGINE 16 HP SNs MX420-2018020100332</t>
  </si>
  <si>
    <t>30FOOTER FIBER GLASS WITH MARINE GASOLINE ENGINE 16 HP SNs MX420-2018020100144</t>
  </si>
  <si>
    <t>30FOOTER FIBER GLASS WITH MARINE GASOLINE ENGINE 16 HP SNs MX420-2018020100308</t>
  </si>
  <si>
    <t>30FOOTER FIBER GLASS WITH MARINE GASOLINE ENGINE 16 HP SNs MX420-2018020100236</t>
  </si>
  <si>
    <t>ANACLETO</t>
  </si>
  <si>
    <t>ENDIAPE</t>
  </si>
  <si>
    <t>30FOOTER FIBER GLASS WITH MARINE GASOLINE ENGINE 16 HP SNs MX420-2018020100249</t>
  </si>
  <si>
    <t>CANDINATO</t>
  </si>
  <si>
    <t>JOAS</t>
  </si>
  <si>
    <t>ANNA MORENA</t>
  </si>
  <si>
    <t>OLAJE</t>
  </si>
  <si>
    <t>ROSAURO</t>
  </si>
  <si>
    <t>GELLY</t>
  </si>
  <si>
    <t>JUMANTOC</t>
  </si>
  <si>
    <t>WILLER</t>
  </si>
  <si>
    <t>BURGOS</t>
  </si>
  <si>
    <t>SERAPIO</t>
  </si>
  <si>
    <t>GOLBEN</t>
  </si>
  <si>
    <t>CAMLON</t>
  </si>
  <si>
    <t>SALAZAR Sr</t>
  </si>
  <si>
    <t>CABOQUIN</t>
  </si>
  <si>
    <t>OSAYAN</t>
  </si>
  <si>
    <t>BUENAVENTURA</t>
  </si>
  <si>
    <t>30FOOTER FIBER GLASS WITH MARINE GASOLINE ENGINE 16 HP SNs MX420-2018020100138</t>
  </si>
  <si>
    <t>30FOOTER FIBER GLASS WITH MARINE GASOLINE ENGINE 16 HP SNs MX420-2018020100036</t>
  </si>
  <si>
    <t>30FOOTER FIBER GLASS WITH MARINE GASOLINE ENGINE 16 HP SNs MX420-2018020100118</t>
  </si>
  <si>
    <t>30FOOTER FIBER GLASS WITH MARINE GASOLINE ENGINE 16 HP SNs MX420-2018020100827</t>
  </si>
  <si>
    <t>30FOOTER FIBER GLASS WITH MARINE GASOLINE ENGINE 16 HP SNs MX420-2018020100052</t>
  </si>
  <si>
    <t>RIMBAO</t>
  </si>
  <si>
    <t>VERBO</t>
  </si>
  <si>
    <t>30FOOTER FIBER GLASS WITH MARINE GASOLINE ENGINE 16 HP SNs MX420-2018020100264</t>
  </si>
  <si>
    <t>MABANTA</t>
  </si>
  <si>
    <t>ESCARO</t>
  </si>
  <si>
    <t>TISMO</t>
  </si>
  <si>
    <t>30FOOTER FIBER GLASS WITH MARINE GASOLINE ENGINE 16 HP SNs MX420-2018020100170</t>
  </si>
  <si>
    <t>ALFONSO Jr</t>
  </si>
  <si>
    <t>MARK PRING</t>
  </si>
  <si>
    <t>CABUNGASON</t>
  </si>
  <si>
    <t>TERRY</t>
  </si>
  <si>
    <t>BUBUSAWIN</t>
  </si>
  <si>
    <t>30FOOTER FIBER GLASS WITH MARINE GASOLINE ENGINE 16 HP SNs MX420-2018020100305</t>
  </si>
  <si>
    <t>30FOOTER FIBER GLASS WITH MARINE GASOLINE ENGINE 16 HP SNs MX420-2018020100049</t>
  </si>
  <si>
    <t>30FOOTER FIBER GLASS WITH MARINE GASOLINE ENGINE 16 HP SNs MX420-2018020100318</t>
  </si>
  <si>
    <t>30FOOTER FIBER GLASS WITH MARINE GASOLINE ENGINE 16 HP SNs MX420-2018020100086</t>
  </si>
  <si>
    <t>30FOOTER FIBER GLASS WITH MARINE GASOLINE ENGINE 16 HP SNs MX420-2018020100327</t>
  </si>
  <si>
    <t>30FOOTER FIBER GLASS WITH MARINE GASOLINE ENGINE 16 HP SNs MX420-2018020100017</t>
  </si>
  <si>
    <t>AMADO Jr</t>
  </si>
  <si>
    <t>CARLO MARCON</t>
  </si>
  <si>
    <t>PAGUNTALAN</t>
  </si>
  <si>
    <t>MARSHALL</t>
  </si>
  <si>
    <t>DANDO</t>
  </si>
  <si>
    <t>SANITO</t>
  </si>
  <si>
    <t>MANALO</t>
  </si>
  <si>
    <t>30FOOTER FIBER GLASS WITH MARINE GASOLINE ENGINE 16 HP SNs MX420-2018020100239</t>
  </si>
  <si>
    <t>30FOOTER FIBER GLASS WITH MARINE GASOLINE ENGINE 16 HP SNs MX420-2018020100302</t>
  </si>
  <si>
    <t>30FOOTER FIBER GLASS WITH MARINE GASOLINE ENGINE 16 HP SNs MX420-2018020100169</t>
  </si>
  <si>
    <t>30FOOTER FIBER GLASS WITH MARINE GASOLINE ENGINE 16 HP SNs MX420-2018020100183</t>
  </si>
  <si>
    <t>30FOOTER FIBER GLASS WITH MARINE GASOLINE ENGINE 16 HP SNs MX420-2018020100347</t>
  </si>
  <si>
    <t>30FOOTER FIBER GLASS WITH MARINE GASOLINE ENGINE 16 HP SNs MX420-2018020100081</t>
  </si>
  <si>
    <t>JEROME</t>
  </si>
  <si>
    <t>CONCEPTO</t>
  </si>
  <si>
    <t>30FOOTER FIBER GLASS WITH MARINE GASOLINE ENGINE 16 HP SNs MX420-2018020100130</t>
  </si>
  <si>
    <t>NORBERT</t>
  </si>
  <si>
    <t>CAMASO</t>
  </si>
  <si>
    <t>JABAGAT</t>
  </si>
  <si>
    <t>30FOOTER FIBER GLASS WITH MARINE GASOLINE ENGINE 16 HP SNs MX420-2018020100254</t>
  </si>
  <si>
    <t>SOLITA</t>
  </si>
  <si>
    <t>DADANSUE</t>
  </si>
  <si>
    <t>QUINAL</t>
  </si>
  <si>
    <t>30FOOTER FIBER GLASS WITH MARINE GASOLINE ENGINE 16 HP SNs MX420-2018020100190</t>
  </si>
  <si>
    <t>30FOOTER FIBER GLASS WITH MARINE GASOLINE ENGINE 16 HP SNs MX420-2018020100309</t>
  </si>
  <si>
    <t>MATARONG</t>
  </si>
  <si>
    <t>LIASO</t>
  </si>
  <si>
    <t>RENZALES</t>
  </si>
  <si>
    <t>MARTINA</t>
  </si>
  <si>
    <t>OLINARES</t>
  </si>
  <si>
    <t>BARANGGAN</t>
  </si>
  <si>
    <t>PATIÑO</t>
  </si>
  <si>
    <t>VEVENCIO</t>
  </si>
  <si>
    <t>CADIZ</t>
  </si>
  <si>
    <t>GERLY</t>
  </si>
  <si>
    <t>MAQUIRANG</t>
  </si>
  <si>
    <t>CULASIAN</t>
  </si>
  <si>
    <t>30FOOTER FIBER GLASS WITH MARINE GASOLINE ENGINE 16 HP SNs MX420-2018020100279</t>
  </si>
  <si>
    <t>30FOOTER FIBER GLASS WITH MARINE GASOLINE ENGINE 16 HP SNs MX420-2018020100223</t>
  </si>
  <si>
    <t>30FOOTER FIBER GLASS WITH MARINE GASOLINE ENGINE 16 HP SNs MX420-2018020100078</t>
  </si>
  <si>
    <t>30FOOTER FIBER GLASS WITH MARINE GASOLINE ENGINE 16 HP SNs MX420-2018020100045</t>
  </si>
  <si>
    <t>30FOOTER FIBER GLASS WITH MARINE GASOLINE ENGINE 16 HP SNs MX420-2018020100074</t>
  </si>
  <si>
    <t>30FOOTER FIBER GLASS WITH MARINE GASOLINE ENGINE 16 HP SNs MX420-2018020100194</t>
  </si>
  <si>
    <t>SIEGA</t>
  </si>
  <si>
    <t>FADERAN</t>
  </si>
  <si>
    <t>DESPE</t>
  </si>
  <si>
    <t>VALDERAMA</t>
  </si>
  <si>
    <t>ALDIN</t>
  </si>
  <si>
    <t>BANGGERO</t>
  </si>
  <si>
    <t>ENRICO</t>
  </si>
  <si>
    <t>BARING</t>
  </si>
  <si>
    <t>MONICO</t>
  </si>
  <si>
    <t>NICANOR</t>
  </si>
  <si>
    <t>SERVANDO</t>
  </si>
  <si>
    <t>NADAYAO</t>
  </si>
  <si>
    <t>NORMELITA</t>
  </si>
  <si>
    <t>30FOOTER FIBER GLASS WITH MARINE GASOLINE ENGINE 16 HP SNs MX420-2018020100333</t>
  </si>
  <si>
    <t>30FOOTER FIBER GLASS WITH MARINE GASOLINE ENGINE 16 HP SNs MX420-2018020100274</t>
  </si>
  <si>
    <t>30FOOTER FIBER GLASS WITH MARINE GASOLINE ENGINE 16 HP SNs MX420-2018020100271</t>
  </si>
  <si>
    <t>EDUARDO SR</t>
  </si>
  <si>
    <t>MILLARES</t>
  </si>
  <si>
    <t>LUIS</t>
  </si>
  <si>
    <t>30FOOTER FIBER GLASS WITH MARINE GASOLINE ENGINE 16 HP SNs MX420-2018020100090</t>
  </si>
  <si>
    <t>NANGGO</t>
  </si>
  <si>
    <t>ORHILINO</t>
  </si>
  <si>
    <t>TABAS</t>
  </si>
  <si>
    <t>ABLECIO</t>
  </si>
  <si>
    <t>DARIEK</t>
  </si>
  <si>
    <t>BERSINIO</t>
  </si>
  <si>
    <t>LAGUAS</t>
  </si>
  <si>
    <t>AMACAN</t>
  </si>
  <si>
    <t>ELMO</t>
  </si>
  <si>
    <t>LUNAY</t>
  </si>
  <si>
    <t>SAMPOR</t>
  </si>
  <si>
    <t>LOBINO</t>
  </si>
  <si>
    <t>BASIO</t>
  </si>
  <si>
    <t>DINGGO</t>
  </si>
  <si>
    <t>JOLINO</t>
  </si>
  <si>
    <t>BADAC</t>
  </si>
  <si>
    <t>BATOLITO</t>
  </si>
  <si>
    <t>SARASA</t>
  </si>
  <si>
    <t>GAIT</t>
  </si>
  <si>
    <t>LAAGAY</t>
  </si>
  <si>
    <t>FIDER</t>
  </si>
  <si>
    <t>ABNER</t>
  </si>
  <si>
    <t>SEAWEED FARM IMPLEMENTS (MONONYLON #250)</t>
  </si>
  <si>
    <t>REYMOND</t>
  </si>
  <si>
    <t>KIBWAT</t>
  </si>
  <si>
    <t>HISONA</t>
  </si>
  <si>
    <t>ISING</t>
  </si>
  <si>
    <t>HYDEN</t>
  </si>
  <si>
    <t>PANDOD</t>
  </si>
  <si>
    <t>SOTERO</t>
  </si>
  <si>
    <t>SIGKAT</t>
  </si>
  <si>
    <t>DOANO</t>
  </si>
  <si>
    <t>DANGLONG</t>
  </si>
  <si>
    <t>MAMUAS</t>
  </si>
  <si>
    <t>POLSINO</t>
  </si>
  <si>
    <t>DUCOL</t>
  </si>
  <si>
    <t>MARLITO</t>
  </si>
  <si>
    <t>DELNAS</t>
  </si>
  <si>
    <t>CARMELO</t>
  </si>
  <si>
    <t>ANESA</t>
  </si>
  <si>
    <t>FLORCELITA</t>
  </si>
  <si>
    <t>12/75/74</t>
  </si>
  <si>
    <t>PACIONES</t>
  </si>
  <si>
    <t>ROSINO</t>
  </si>
  <si>
    <t>FEDELINA</t>
  </si>
  <si>
    <t>ANER</t>
  </si>
  <si>
    <t>JEREBOY</t>
  </si>
  <si>
    <t>MYLINO</t>
  </si>
  <si>
    <t>JANEE</t>
  </si>
  <si>
    <t>JONER</t>
  </si>
  <si>
    <t>CONG</t>
  </si>
  <si>
    <t>TENIO</t>
  </si>
  <si>
    <t>LONGWA</t>
  </si>
  <si>
    <t>JACKELIE</t>
  </si>
  <si>
    <t>CANSING</t>
  </si>
  <si>
    <t>LABAN</t>
  </si>
  <si>
    <t>BESENARIO</t>
  </si>
  <si>
    <t>ACABADO</t>
  </si>
  <si>
    <t>AGOSTO</t>
  </si>
  <si>
    <t>LEOCADIO</t>
  </si>
  <si>
    <t>ELINER</t>
  </si>
  <si>
    <t>REBOY</t>
  </si>
  <si>
    <t>LINSAT</t>
  </si>
  <si>
    <t>BERNILO</t>
  </si>
  <si>
    <t>JOSEFINO</t>
  </si>
  <si>
    <t>NEPHY</t>
  </si>
  <si>
    <t>MYDINO</t>
  </si>
  <si>
    <t>BATOTINO</t>
  </si>
  <si>
    <t>SACLING</t>
  </si>
  <si>
    <t>CLARITO</t>
  </si>
  <si>
    <t>RANNY BOY</t>
  </si>
  <si>
    <t>ALISTO</t>
  </si>
  <si>
    <t>SALVINO</t>
  </si>
  <si>
    <t>JOSINO</t>
  </si>
  <si>
    <t>JEMROD</t>
  </si>
  <si>
    <t>GARRY BOY</t>
  </si>
  <si>
    <t>DANESIO</t>
  </si>
  <si>
    <t>COPONG</t>
  </si>
  <si>
    <t>NONO</t>
  </si>
  <si>
    <t>JIM</t>
  </si>
  <si>
    <t>LLAVAN</t>
  </si>
  <si>
    <t>UBAY</t>
  </si>
  <si>
    <t>CERNA</t>
  </si>
  <si>
    <t>INVENTOR</t>
  </si>
  <si>
    <t>MANLAVI</t>
  </si>
  <si>
    <t>PAODDO</t>
  </si>
  <si>
    <t>NAVARO</t>
  </si>
  <si>
    <t>CABATE</t>
  </si>
  <si>
    <t>MARISA</t>
  </si>
  <si>
    <t>RODERO</t>
  </si>
  <si>
    <t>NEW CUYO</t>
  </si>
  <si>
    <t>PANES</t>
  </si>
  <si>
    <t>JHON</t>
  </si>
  <si>
    <t>TORIQUINADA</t>
  </si>
  <si>
    <t>JORY</t>
  </si>
  <si>
    <t>ULDARICO</t>
  </si>
  <si>
    <t>MARTISANO</t>
  </si>
  <si>
    <t>JOAN</t>
  </si>
  <si>
    <t>LAGAN</t>
  </si>
  <si>
    <t>CLARO Jr</t>
  </si>
  <si>
    <t>MARJORICO</t>
  </si>
  <si>
    <t>ESTIVERSON Sr</t>
  </si>
  <si>
    <t>OSANATRE</t>
  </si>
  <si>
    <t>JUANDRILLO</t>
  </si>
  <si>
    <t>SOFRONIO</t>
  </si>
  <si>
    <t>PABLITO Jr</t>
  </si>
  <si>
    <t>SUNIO</t>
  </si>
  <si>
    <t>TINITIAN</t>
  </si>
  <si>
    <t>GREEN ISLAND</t>
  </si>
  <si>
    <t>RACONA</t>
  </si>
  <si>
    <t>ROSELLER</t>
  </si>
  <si>
    <t>TEOFILO</t>
  </si>
  <si>
    <t>REGGIE</t>
  </si>
  <si>
    <t>NERBADES</t>
  </si>
  <si>
    <t>ROBELYN</t>
  </si>
  <si>
    <t>RICA</t>
  </si>
  <si>
    <t>CABOLAO</t>
  </si>
  <si>
    <t>CARCELLER</t>
  </si>
  <si>
    <t>BRAVANTE</t>
  </si>
  <si>
    <t>PETER</t>
  </si>
  <si>
    <t>JANELIA</t>
  </si>
  <si>
    <t>SUNNY</t>
  </si>
  <si>
    <t>DACOR</t>
  </si>
  <si>
    <t>AMELIA</t>
  </si>
  <si>
    <t>CASSILSLEE</t>
  </si>
  <si>
    <t>CALAW</t>
  </si>
  <si>
    <t>ELIZEM</t>
  </si>
  <si>
    <t>LGU-BATARAZA</t>
  </si>
  <si>
    <t>BARARAZA</t>
  </si>
  <si>
    <t>RAMIYCO</t>
  </si>
  <si>
    <t>GUIMER</t>
  </si>
  <si>
    <t>BUNCAG</t>
  </si>
  <si>
    <t>DACUAN</t>
  </si>
  <si>
    <t>WALKED-IN/FACE TO FACE DIALOUGE</t>
  </si>
  <si>
    <t>TEROYZ</t>
  </si>
  <si>
    <t>JAYVE</t>
  </si>
  <si>
    <t>CABUNGAPAY</t>
  </si>
  <si>
    <t>BENMARK</t>
  </si>
  <si>
    <t>MACANAS</t>
  </si>
  <si>
    <t>JAIME Jr.</t>
  </si>
  <si>
    <t>DEGAMO</t>
  </si>
  <si>
    <t>LIBERTY</t>
  </si>
  <si>
    <t>LGU-RIZAL</t>
  </si>
  <si>
    <t>TIBURCIO</t>
  </si>
  <si>
    <t>433-2643</t>
  </si>
  <si>
    <t>PACHERO</t>
  </si>
  <si>
    <t>LORDE</t>
  </si>
  <si>
    <t>OSTERNO</t>
  </si>
  <si>
    <t>JAYCE MARK</t>
  </si>
  <si>
    <t>RONALD Sr</t>
  </si>
  <si>
    <t>ARALIN</t>
  </si>
  <si>
    <t>BRIZELL</t>
  </si>
  <si>
    <t>ROSTICO</t>
  </si>
  <si>
    <t>AHUBAKAR</t>
  </si>
  <si>
    <t>PHILIP</t>
  </si>
  <si>
    <t>TAGHOY</t>
  </si>
  <si>
    <t>MELCHAR</t>
  </si>
  <si>
    <t>MARIA CRISTINA</t>
  </si>
  <si>
    <t>VILLANAR</t>
  </si>
  <si>
    <t>ROBENSON</t>
  </si>
  <si>
    <t>LGU-KALAYAAN</t>
  </si>
  <si>
    <t>LGU-SAN VICENTE</t>
  </si>
  <si>
    <t>NESOR</t>
  </si>
  <si>
    <t>ANALOZ</t>
  </si>
  <si>
    <t>ELDA</t>
  </si>
  <si>
    <t>MANCERA</t>
  </si>
  <si>
    <t>APOHIN</t>
  </si>
  <si>
    <t>November</t>
  </si>
  <si>
    <t>RADAMIALIN</t>
  </si>
  <si>
    <t>MAMDEZ</t>
  </si>
  <si>
    <t>PAULA</t>
  </si>
  <si>
    <t>8/5/23/93</t>
  </si>
  <si>
    <t>ZAOR</t>
  </si>
  <si>
    <t>PRIVATE</t>
  </si>
  <si>
    <t>SUMBLENITE</t>
  </si>
  <si>
    <t>RITCHIE</t>
  </si>
  <si>
    <t>VALERO</t>
  </si>
  <si>
    <t>MYLINE</t>
  </si>
  <si>
    <t>ABDURAKMAN</t>
  </si>
  <si>
    <t>VECNUIN</t>
  </si>
  <si>
    <t>MABUAN</t>
  </si>
  <si>
    <t>PAWE</t>
  </si>
  <si>
    <t>GOVERNMENT EMPLOYE</t>
  </si>
  <si>
    <t>CAVITY</t>
  </si>
  <si>
    <t>PURTO PRINCESA</t>
  </si>
  <si>
    <t>ANA LEA</t>
  </si>
  <si>
    <t>WALKED-IN/FACE TO FACE</t>
  </si>
  <si>
    <t>ZERRUDO</t>
  </si>
  <si>
    <t>VILLANO</t>
  </si>
  <si>
    <t>SOFRONIO ESPANIOLA</t>
  </si>
  <si>
    <t>BERCASIO</t>
  </si>
  <si>
    <t>`</t>
  </si>
  <si>
    <t>ANACALA</t>
  </si>
  <si>
    <t>STEFF</t>
  </si>
  <si>
    <t>ANDRADA</t>
  </si>
  <si>
    <t>BARBIE</t>
  </si>
  <si>
    <t>JINONES</t>
  </si>
  <si>
    <t>DAVE</t>
  </si>
  <si>
    <t>CASTIPON</t>
  </si>
  <si>
    <t>SUMILLA</t>
  </si>
  <si>
    <t>NICANOR ZABALA</t>
  </si>
  <si>
    <t>ORDAS</t>
  </si>
  <si>
    <t>AJAY</t>
  </si>
  <si>
    <t>November/December</t>
  </si>
  <si>
    <t>ALONSAGAY</t>
  </si>
  <si>
    <t>SUMIBHAY</t>
  </si>
  <si>
    <t>ALENA</t>
  </si>
  <si>
    <t>TANABAG</t>
  </si>
  <si>
    <t>QUICO</t>
  </si>
  <si>
    <t>PALUAY</t>
  </si>
  <si>
    <t>TEREN</t>
  </si>
  <si>
    <t>MARONEZ</t>
  </si>
  <si>
    <t>BEN</t>
  </si>
  <si>
    <t>MATICE</t>
  </si>
  <si>
    <t>HERMIL</t>
  </si>
  <si>
    <t>DELGADO</t>
  </si>
  <si>
    <t>RELLO</t>
  </si>
  <si>
    <t>IVANN</t>
  </si>
  <si>
    <t>OLEJAIRE</t>
  </si>
  <si>
    <t>ERAROIS</t>
  </si>
  <si>
    <t>NAVARRO</t>
  </si>
  <si>
    <t>ANGEL ANN</t>
  </si>
  <si>
    <t>CAÑONERO</t>
  </si>
  <si>
    <t>MILES</t>
  </si>
  <si>
    <t>ABES</t>
  </si>
  <si>
    <t>ABREA FAITH</t>
  </si>
  <si>
    <t>SIMBLANTO</t>
  </si>
  <si>
    <t>INSIQUE</t>
  </si>
  <si>
    <t>JAPHET JAMES</t>
  </si>
  <si>
    <t>JAMAICA</t>
  </si>
  <si>
    <t>CARDIJON</t>
  </si>
  <si>
    <t>MALY</t>
  </si>
  <si>
    <t>LIPOT</t>
  </si>
  <si>
    <t>DARLA FAY</t>
  </si>
  <si>
    <t>MOLID</t>
  </si>
  <si>
    <t>KAWAMURA</t>
  </si>
  <si>
    <t>ANGELI</t>
  </si>
  <si>
    <t>PAL</t>
  </si>
  <si>
    <t>CABELLA</t>
  </si>
  <si>
    <t>LEAH MORA</t>
  </si>
  <si>
    <t>LEGASPI</t>
  </si>
  <si>
    <t>LEVARDO</t>
  </si>
  <si>
    <t>CHONA</t>
  </si>
  <si>
    <t>JOVITA</t>
  </si>
  <si>
    <t>ELLU</t>
  </si>
  <si>
    <t>JERICHO</t>
  </si>
  <si>
    <t>OJA</t>
  </si>
  <si>
    <t>IVAN</t>
  </si>
  <si>
    <t>PADON</t>
  </si>
  <si>
    <t>JOHN KEVIN</t>
  </si>
  <si>
    <t>PENCEYLA</t>
  </si>
  <si>
    <t>MATTHEWS</t>
  </si>
  <si>
    <t>OPA</t>
  </si>
  <si>
    <t>VELICIO</t>
  </si>
  <si>
    <t>BROOKES POINT</t>
  </si>
  <si>
    <t>PNNI</t>
  </si>
  <si>
    <t>GOLDEN SEA</t>
  </si>
  <si>
    <t>December</t>
  </si>
  <si>
    <t>AMELITO</t>
  </si>
  <si>
    <t>DAHLIA</t>
  </si>
  <si>
    <t>GALVEZ</t>
  </si>
  <si>
    <t>GAJARDO</t>
  </si>
  <si>
    <t>IBANG IBANG</t>
  </si>
  <si>
    <t>GURAIZ</t>
  </si>
  <si>
    <t>JESIE BOY</t>
  </si>
  <si>
    <t>ABEJO</t>
  </si>
  <si>
    <t>MAERIGRIS</t>
  </si>
  <si>
    <t>PAGUIA</t>
  </si>
  <si>
    <t>BELLETA</t>
  </si>
  <si>
    <t>AILYN</t>
  </si>
  <si>
    <t>LIZARDO</t>
  </si>
  <si>
    <t>MAJELITA</t>
  </si>
  <si>
    <t>JEROS</t>
  </si>
  <si>
    <t>RESPY</t>
  </si>
  <si>
    <t>LOREBELE</t>
  </si>
  <si>
    <t>SONORON</t>
  </si>
  <si>
    <t>PAULINO</t>
  </si>
  <si>
    <t>ANTONITA</t>
  </si>
  <si>
    <t>BANTOG</t>
  </si>
  <si>
    <t>MELCHOR</t>
  </si>
  <si>
    <t>REYNAND</t>
  </si>
  <si>
    <t>PEDRITO</t>
  </si>
  <si>
    <t>ROSELYN</t>
  </si>
  <si>
    <t>BALTAZAR</t>
  </si>
  <si>
    <t>JERLYN</t>
  </si>
  <si>
    <t>DELATORRE</t>
  </si>
  <si>
    <t>BARMONTE</t>
  </si>
  <si>
    <t>IGLECETO</t>
  </si>
  <si>
    <t>AURORA</t>
  </si>
  <si>
    <t>ANALIZA</t>
  </si>
  <si>
    <t>JILYA</t>
  </si>
  <si>
    <t>EMELYN</t>
  </si>
  <si>
    <t>LUMOGDANG</t>
  </si>
  <si>
    <t>NERIO</t>
  </si>
  <si>
    <t>PRESCILA</t>
  </si>
  <si>
    <t>LOIDA</t>
  </si>
  <si>
    <t>BELLEZA</t>
  </si>
  <si>
    <t>AIVEY</t>
  </si>
  <si>
    <t>SONNY BOY</t>
  </si>
  <si>
    <t>ENFEMYO</t>
  </si>
  <si>
    <t>LEONIDO</t>
  </si>
  <si>
    <t>ALLOCA</t>
  </si>
  <si>
    <t>LEODEL</t>
  </si>
  <si>
    <t>EDELIZA</t>
  </si>
  <si>
    <t>BALMONTE</t>
  </si>
  <si>
    <t>ELSA</t>
  </si>
  <si>
    <t>RONETO</t>
  </si>
  <si>
    <t>SUPRESENCIA</t>
  </si>
  <si>
    <t>ARGILYN</t>
  </si>
  <si>
    <t>SACIOMAN</t>
  </si>
  <si>
    <t>JOHN ERICK</t>
  </si>
  <si>
    <t>SINAGPULO</t>
  </si>
  <si>
    <t>PERLITA</t>
  </si>
  <si>
    <t>ARTICULO</t>
  </si>
  <si>
    <t>ELPIDIO</t>
  </si>
  <si>
    <t>CANTIBAR</t>
  </si>
  <si>
    <t>QUIRANTE</t>
  </si>
  <si>
    <t>NICSAN</t>
  </si>
  <si>
    <t>LAGAREJO</t>
  </si>
  <si>
    <t>INSIGNE</t>
  </si>
  <si>
    <t>LODEVIN</t>
  </si>
  <si>
    <t>LLAMO</t>
  </si>
  <si>
    <t>NEO</t>
  </si>
  <si>
    <t>MYLENE</t>
  </si>
  <si>
    <t>SIGNO</t>
  </si>
  <si>
    <t>EDNA</t>
  </si>
  <si>
    <t>HERBUELA</t>
  </si>
  <si>
    <t>MENDEWILCA</t>
  </si>
  <si>
    <t>PABLITO</t>
  </si>
  <si>
    <t>DEL BARMO</t>
  </si>
  <si>
    <t>DACULAN</t>
  </si>
  <si>
    <t>MARCOS</t>
  </si>
  <si>
    <t>MENDENILLA</t>
  </si>
  <si>
    <t>MARITES</t>
  </si>
  <si>
    <t>SANNY</t>
  </si>
  <si>
    <t>ATSARIN</t>
  </si>
  <si>
    <t>OTTO</t>
  </si>
  <si>
    <t>ABDULHAMID</t>
  </si>
  <si>
    <t>ROMANDE</t>
  </si>
  <si>
    <t>ADON</t>
  </si>
  <si>
    <t>MATADOS</t>
  </si>
  <si>
    <t>JAPILO</t>
  </si>
  <si>
    <t>TONY</t>
  </si>
  <si>
    <t>CALBE</t>
  </si>
  <si>
    <t>HAMIL HAMJA</t>
  </si>
  <si>
    <t>RANNIE</t>
  </si>
  <si>
    <t>AGBINI</t>
  </si>
  <si>
    <t>HAM-H</t>
  </si>
  <si>
    <t>CALAPAO</t>
  </si>
  <si>
    <t>JOVILO</t>
  </si>
  <si>
    <t>ALBATIHA</t>
  </si>
  <si>
    <t>DASALAM</t>
  </si>
  <si>
    <t>MAILUDEN</t>
  </si>
  <si>
    <t>MATADOSE</t>
  </si>
  <si>
    <t>JELEMEN</t>
  </si>
  <si>
    <t>SAHARON</t>
  </si>
  <si>
    <t>RAMANDE</t>
  </si>
  <si>
    <t>JAJAP</t>
  </si>
  <si>
    <t>AMRAN</t>
  </si>
  <si>
    <t>BEDORE</t>
  </si>
  <si>
    <t>MESQUINAN</t>
  </si>
  <si>
    <t>JONALD</t>
  </si>
  <si>
    <t>RANILO</t>
  </si>
  <si>
    <t>NORHAMED</t>
  </si>
  <si>
    <t>MADI</t>
  </si>
  <si>
    <t>SARAPAN</t>
  </si>
  <si>
    <t>PETING</t>
  </si>
  <si>
    <t>ARREL</t>
  </si>
  <si>
    <t>SABTORI</t>
  </si>
  <si>
    <t>ALBANI</t>
  </si>
  <si>
    <t>JAYLOREN</t>
  </si>
  <si>
    <t>JORED</t>
  </si>
  <si>
    <t>JEFRIL</t>
  </si>
  <si>
    <t>ADAM</t>
  </si>
  <si>
    <t>AHAB</t>
  </si>
  <si>
    <t>LINCRON</t>
  </si>
  <si>
    <t>JIMREN</t>
  </si>
  <si>
    <t>MONA</t>
  </si>
  <si>
    <t>ROSAD</t>
  </si>
  <si>
    <t>FEBRIO</t>
  </si>
  <si>
    <t>EXUDUER</t>
  </si>
  <si>
    <t>NORILLOS</t>
  </si>
  <si>
    <t>HERBERT JHON</t>
  </si>
  <si>
    <t>DEMIN</t>
  </si>
  <si>
    <t>PILARIO</t>
  </si>
  <si>
    <t>MANNY JR</t>
  </si>
  <si>
    <t>BARTOLATA</t>
  </si>
  <si>
    <t>TAPIL</t>
  </si>
  <si>
    <t>CABILI</t>
  </si>
  <si>
    <t>JAY-AR</t>
  </si>
  <si>
    <t>KILYN</t>
  </si>
  <si>
    <t>REEMDIOS</t>
  </si>
  <si>
    <t>SALLEH</t>
  </si>
  <si>
    <t>HAJI MARALI</t>
  </si>
  <si>
    <t>SEAWEED FARM IMPLEMENTS (PP ROPE #24)</t>
  </si>
  <si>
    <t>GACOT</t>
  </si>
  <si>
    <t xml:space="preserve">HAJI </t>
  </si>
  <si>
    <t>BELEN</t>
  </si>
  <si>
    <t>FAVILLA</t>
  </si>
  <si>
    <t>GURAMUED</t>
  </si>
  <si>
    <t>HASIM</t>
  </si>
  <si>
    <t>BAYRA</t>
  </si>
  <si>
    <t>ELNIDO</t>
  </si>
  <si>
    <t xml:space="preserve">MAHILUM </t>
  </si>
  <si>
    <t>MARICLAIRE</t>
  </si>
  <si>
    <t>POSUGA</t>
  </si>
  <si>
    <t>SAMUEL Jr.</t>
  </si>
  <si>
    <t>NGO NETWORK INC</t>
  </si>
  <si>
    <t>DIOR</t>
  </si>
  <si>
    <t>ROBERTA</t>
  </si>
  <si>
    <t>OLD BUNCAG</t>
  </si>
  <si>
    <t>LUY</t>
  </si>
  <si>
    <t>ALDREN</t>
  </si>
  <si>
    <t>NELIZA</t>
  </si>
  <si>
    <t>CARTINO</t>
  </si>
  <si>
    <t>ANNALIZA REYCE</t>
  </si>
  <si>
    <t>ALEGRE</t>
  </si>
  <si>
    <t>BROOKES POIÑT</t>
  </si>
  <si>
    <t>CAYANAN</t>
  </si>
  <si>
    <t>MALARAM</t>
  </si>
  <si>
    <t>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</si>
</sst>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(* #,##0_);_(* \(#,##0\);_(* &quot;-&quot;??_);_(@_)"/>
    <numFmt numFmtId="165" formatCode="mm/dd/yyyy;@"/>
    <numFmt numFmtId="166" formatCode="m/d/yyyy;@"/>
    <numFmt numFmtId="167" formatCode="mm/dd/yy;@"/>
    <numFmt numFmtId="168" formatCode="_(* #,##0.0_);_(* \(#,##0.0\);_(* &quot;-&quot;??_);_(@_)"/>
    <numFmt numFmtId="169" formatCode="[$-3409]mmmm\ dd\,\ yyyy;@"/>
  </numFmts>
  <fonts count="34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 Light"/>
      <family val="1"/>
      <scheme val="maj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 Light"/>
      <family val="2"/>
      <scheme val="major"/>
    </font>
    <font>
      <i/>
      <sz val="12"/>
      <color rgb="FFC00000"/>
      <name val="Calibri Light"/>
      <family val="2"/>
      <scheme val="major"/>
    </font>
    <font>
      <sz val="12"/>
      <color rgb="FFC0000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00B050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sz val="6"/>
      <name val="Yu Gothic"/>
      <family val="2"/>
      <charset val="128"/>
    </font>
    <font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8338BC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theme="6" tint="0.7999816888943144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 style="thin">
        <color theme="6" tint="0.39997558519241921"/>
      </right>
      <top style="thin">
        <color auto="1"/>
      </top>
      <bottom style="thin">
        <color theme="6" tint="0.3999755851924192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" fillId="15" borderId="0" applyNumberFormat="0" applyBorder="0" applyAlignment="0" applyProtection="0"/>
  </cellStyleXfs>
  <cellXfs count="297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4" fillId="5" borderId="4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6" borderId="8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8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right" vertical="top" wrapText="1"/>
    </xf>
    <xf numFmtId="164" fontId="0" fillId="0" borderId="1" xfId="1" applyNumberFormat="1" applyFont="1" applyBorder="1" applyAlignment="1">
      <alignment vertical="top" wrapText="1"/>
    </xf>
    <xf numFmtId="164" fontId="6" fillId="0" borderId="1" xfId="1" applyNumberFormat="1" applyFont="1" applyBorder="1" applyAlignment="1">
      <alignment vertical="top" wrapText="1"/>
    </xf>
    <xf numFmtId="0" fontId="4" fillId="8" borderId="7" xfId="0" applyFont="1" applyFill="1" applyBorder="1" applyAlignment="1">
      <alignment horizontal="center" vertical="top" wrapText="1"/>
    </xf>
    <xf numFmtId="14" fontId="5" fillId="0" borderId="1" xfId="0" applyNumberFormat="1" applyFont="1" applyBorder="1" applyAlignment="1">
      <alignment vertical="top" wrapText="1"/>
    </xf>
    <xf numFmtId="14" fontId="6" fillId="6" borderId="1" xfId="0" applyNumberFormat="1" applyFont="1" applyFill="1" applyBorder="1" applyAlignment="1">
      <alignment vertical="top" wrapText="1"/>
    </xf>
    <xf numFmtId="164" fontId="6" fillId="6" borderId="1" xfId="1" applyNumberFormat="1" applyFont="1" applyFill="1" applyBorder="1" applyAlignment="1">
      <alignment vertical="top" wrapText="1"/>
    </xf>
    <xf numFmtId="14" fontId="6" fillId="7" borderId="1" xfId="0" applyNumberFormat="1" applyFont="1" applyFill="1" applyBorder="1" applyAlignment="1">
      <alignment vertical="top" wrapText="1"/>
    </xf>
    <xf numFmtId="164" fontId="6" fillId="7" borderId="1" xfId="1" applyNumberFormat="1" applyFont="1" applyFill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7" fillId="8" borderId="7" xfId="0" applyFont="1" applyFill="1" applyBorder="1" applyAlignment="1">
      <alignment horizontal="center" vertical="top" wrapText="1"/>
    </xf>
    <xf numFmtId="0" fontId="4" fillId="9" borderId="7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4" fillId="10" borderId="7" xfId="0" applyFont="1" applyFill="1" applyBorder="1" applyAlignment="1">
      <alignment horizontal="center" vertical="top" wrapText="1"/>
    </xf>
    <xf numFmtId="0" fontId="4" fillId="11" borderId="7" xfId="0" applyFont="1" applyFill="1" applyBorder="1" applyAlignment="1">
      <alignment horizontal="center" vertical="top" wrapText="1"/>
    </xf>
    <xf numFmtId="0" fontId="4" fillId="11" borderId="10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4" fillId="13" borderId="7" xfId="0" applyFont="1" applyFill="1" applyBorder="1" applyAlignment="1">
      <alignment horizontal="center" vertical="top" wrapText="1"/>
    </xf>
    <xf numFmtId="0" fontId="7" fillId="13" borderId="7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top" wrapText="1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horizontal="right" vertical="top" wrapText="1"/>
    </xf>
    <xf numFmtId="0" fontId="11" fillId="0" borderId="1" xfId="0" applyFont="1" applyBorder="1" applyAlignment="1">
      <alignment vertical="top" wrapText="1"/>
    </xf>
    <xf numFmtId="164" fontId="11" fillId="0" borderId="1" xfId="1" applyNumberFormat="1" applyFont="1" applyBorder="1" applyAlignment="1">
      <alignment vertical="top" wrapText="1"/>
    </xf>
    <xf numFmtId="165" fontId="13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/>
    </xf>
    <xf numFmtId="164" fontId="14" fillId="0" borderId="1" xfId="1" applyNumberFormat="1" applyFont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14" fontId="14" fillId="0" borderId="1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164" fontId="9" fillId="0" borderId="1" xfId="1" applyNumberFormat="1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64" fontId="0" fillId="0" borderId="1" xfId="1" applyNumberFormat="1" applyFont="1" applyBorder="1" applyAlignment="1">
      <alignment vertical="center" wrapText="1"/>
    </xf>
    <xf numFmtId="0" fontId="20" fillId="0" borderId="8" xfId="0" applyFont="1" applyBorder="1" applyAlignment="1">
      <alignment vertical="top" wrapText="1"/>
    </xf>
    <xf numFmtId="164" fontId="20" fillId="0" borderId="1" xfId="1" applyNumberFormat="1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1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164" fontId="0" fillId="0" borderId="9" xfId="1" applyNumberFormat="1" applyFont="1" applyBorder="1" applyAlignment="1">
      <alignment vertical="top" wrapText="1"/>
    </xf>
    <xf numFmtId="164" fontId="0" fillId="0" borderId="9" xfId="1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164" fontId="0" fillId="0" borderId="7" xfId="1" applyNumberFormat="1" applyFont="1" applyBorder="1" applyAlignment="1">
      <alignment vertical="top" wrapText="1"/>
    </xf>
    <xf numFmtId="164" fontId="0" fillId="0" borderId="7" xfId="1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164" fontId="14" fillId="0" borderId="1" xfId="1" applyNumberFormat="1" applyFont="1" applyBorder="1" applyAlignment="1">
      <alignment vertical="center" wrapText="1"/>
    </xf>
    <xf numFmtId="164" fontId="2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right" vertical="top" wrapText="1"/>
    </xf>
    <xf numFmtId="164" fontId="0" fillId="0" borderId="1" xfId="1" applyNumberFormat="1" applyFont="1" applyBorder="1" applyAlignment="1">
      <alignment horizontal="right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" xfId="1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right" vertical="center" wrapText="1"/>
    </xf>
    <xf numFmtId="164" fontId="0" fillId="0" borderId="1" xfId="1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164" fontId="6" fillId="6" borderId="1" xfId="1" applyNumberFormat="1" applyFont="1" applyFill="1" applyBorder="1" applyAlignment="1">
      <alignment horizontal="right" vertical="top" wrapText="1"/>
    </xf>
    <xf numFmtId="164" fontId="6" fillId="7" borderId="1" xfId="1" applyNumberFormat="1" applyFont="1" applyFill="1" applyBorder="1" applyAlignment="1">
      <alignment horizontal="right" vertical="top" wrapText="1"/>
    </xf>
    <xf numFmtId="14" fontId="8" fillId="0" borderId="1" xfId="0" applyNumberFormat="1" applyFont="1" applyBorder="1" applyAlignment="1">
      <alignment horizontal="right" vertical="top" wrapText="1"/>
    </xf>
    <xf numFmtId="14" fontId="6" fillId="6" borderId="1" xfId="0" applyNumberFormat="1" applyFont="1" applyFill="1" applyBorder="1" applyAlignment="1">
      <alignment horizontal="right" vertical="top" wrapText="1"/>
    </xf>
    <xf numFmtId="14" fontId="6" fillId="7" borderId="1" xfId="0" applyNumberFormat="1" applyFont="1" applyFill="1" applyBorder="1" applyAlignment="1">
      <alignment horizontal="right" vertical="top" wrapText="1"/>
    </xf>
    <xf numFmtId="166" fontId="11" fillId="0" borderId="1" xfId="0" applyNumberFormat="1" applyFont="1" applyBorder="1" applyAlignment="1">
      <alignment horizontal="right" vertical="top" wrapText="1"/>
    </xf>
    <xf numFmtId="165" fontId="12" fillId="0" borderId="1" xfId="0" applyNumberFormat="1" applyFont="1" applyBorder="1" applyAlignment="1">
      <alignment horizontal="right" vertical="center" wrapText="1"/>
    </xf>
    <xf numFmtId="14" fontId="12" fillId="0" borderId="1" xfId="0" applyNumberFormat="1" applyFont="1" applyBorder="1" applyAlignment="1">
      <alignment horizontal="right" vertical="center" wrapText="1"/>
    </xf>
    <xf numFmtId="14" fontId="13" fillId="0" borderId="1" xfId="0" applyNumberFormat="1" applyFont="1" applyBorder="1" applyAlignment="1">
      <alignment horizontal="right" vertical="center" wrapText="1"/>
    </xf>
    <xf numFmtId="14" fontId="13" fillId="0" borderId="1" xfId="0" applyNumberFormat="1" applyFont="1" applyBorder="1" applyAlignment="1">
      <alignment horizontal="right" vertical="top" wrapText="1"/>
    </xf>
    <xf numFmtId="14" fontId="20" fillId="0" borderId="1" xfId="0" applyNumberFormat="1" applyFont="1" applyBorder="1" applyAlignment="1">
      <alignment horizontal="right" vertical="center" wrapText="1"/>
    </xf>
    <xf numFmtId="14" fontId="0" fillId="0" borderId="9" xfId="0" applyNumberFormat="1" applyBorder="1" applyAlignment="1">
      <alignment horizontal="right" vertical="center" wrapText="1"/>
    </xf>
    <xf numFmtId="14" fontId="0" fillId="0" borderId="7" xfId="0" applyNumberFormat="1" applyBorder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3" fillId="0" borderId="8" xfId="0" applyFont="1" applyBorder="1" applyAlignment="1">
      <alignment vertical="top" wrapText="1"/>
    </xf>
    <xf numFmtId="0" fontId="24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4" fillId="0" borderId="2" xfId="0" applyFont="1" applyBorder="1" applyAlignment="1">
      <alignment vertical="top" wrapText="1"/>
    </xf>
    <xf numFmtId="0" fontId="26" fillId="6" borderId="8" xfId="0" applyFont="1" applyFill="1" applyBorder="1" applyAlignment="1">
      <alignment vertical="top" wrapText="1"/>
    </xf>
    <xf numFmtId="0" fontId="26" fillId="6" borderId="1" xfId="0" applyFont="1" applyFill="1" applyBorder="1" applyAlignment="1">
      <alignment vertical="top" wrapText="1"/>
    </xf>
    <xf numFmtId="164" fontId="26" fillId="6" borderId="1" xfId="1" applyNumberFormat="1" applyFont="1" applyFill="1" applyBorder="1" applyAlignment="1">
      <alignment vertical="top" wrapText="1"/>
    </xf>
    <xf numFmtId="0" fontId="26" fillId="6" borderId="2" xfId="0" applyFont="1" applyFill="1" applyBorder="1" applyAlignment="1">
      <alignment vertical="top" wrapText="1"/>
    </xf>
    <xf numFmtId="0" fontId="26" fillId="7" borderId="8" xfId="0" applyFont="1" applyFill="1" applyBorder="1" applyAlignment="1">
      <alignment vertical="top" wrapText="1"/>
    </xf>
    <xf numFmtId="0" fontId="26" fillId="7" borderId="1" xfId="0" applyFont="1" applyFill="1" applyBorder="1" applyAlignment="1">
      <alignment vertical="top" wrapText="1"/>
    </xf>
    <xf numFmtId="164" fontId="26" fillId="7" borderId="1" xfId="1" applyNumberFormat="1" applyFont="1" applyFill="1" applyBorder="1" applyAlignment="1">
      <alignment vertical="top" wrapText="1"/>
    </xf>
    <xf numFmtId="0" fontId="26" fillId="7" borderId="2" xfId="0" applyFont="1" applyFill="1" applyBorder="1" applyAlignment="1">
      <alignment vertical="top" wrapText="1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right" vertical="top" wrapText="1"/>
    </xf>
    <xf numFmtId="164" fontId="23" fillId="0" borderId="1" xfId="1" applyNumberFormat="1" applyFont="1" applyBorder="1" applyAlignment="1">
      <alignment vertical="top" wrapText="1"/>
    </xf>
    <xf numFmtId="0" fontId="2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vertical="top" wrapText="1"/>
    </xf>
    <xf numFmtId="0" fontId="23" fillId="0" borderId="2" xfId="0" applyFont="1" applyBorder="1" applyAlignment="1">
      <alignment vertical="top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right" vertical="top"/>
    </xf>
    <xf numFmtId="0" fontId="28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vertical="top"/>
    </xf>
    <xf numFmtId="0" fontId="2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top" wrapText="1"/>
    </xf>
    <xf numFmtId="0" fontId="27" fillId="0" borderId="1" xfId="0" applyFont="1" applyBorder="1" applyAlignment="1">
      <alignment horizontal="right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164" fontId="28" fillId="0" borderId="1" xfId="1" applyNumberFormat="1" applyFont="1" applyBorder="1" applyAlignment="1">
      <alignment vertical="top" wrapText="1"/>
    </xf>
    <xf numFmtId="164" fontId="23" fillId="0" borderId="1" xfId="1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right" vertical="center" wrapText="1"/>
    </xf>
    <xf numFmtId="0" fontId="30" fillId="0" borderId="1" xfId="0" applyFont="1" applyBorder="1" applyAlignment="1">
      <alignment horizontal="right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8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164" fontId="28" fillId="0" borderId="1" xfId="1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left" vertical="top" wrapText="1"/>
    </xf>
    <xf numFmtId="0" fontId="28" fillId="0" borderId="2" xfId="0" applyFont="1" applyBorder="1" applyAlignment="1">
      <alignment vertical="top" wrapText="1"/>
    </xf>
    <xf numFmtId="164" fontId="23" fillId="0" borderId="1" xfId="1" applyNumberFormat="1" applyFont="1" applyBorder="1" applyAlignment="1">
      <alignment horizontal="right" vertical="center" wrapText="1"/>
    </xf>
    <xf numFmtId="0" fontId="23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right" vertical="center" wrapText="1"/>
    </xf>
    <xf numFmtId="0" fontId="23" fillId="7" borderId="1" xfId="0" applyFont="1" applyFill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1" xfId="0" applyFont="1" applyBorder="1" applyAlignment="1">
      <alignment horizontal="left" vertical="center" wrapText="1"/>
    </xf>
    <xf numFmtId="0" fontId="29" fillId="0" borderId="8" xfId="0" applyFont="1" applyBorder="1" applyAlignment="1">
      <alignment vertical="top" wrapText="1"/>
    </xf>
    <xf numFmtId="164" fontId="29" fillId="0" borderId="1" xfId="1" applyNumberFormat="1" applyFont="1" applyBorder="1" applyAlignment="1">
      <alignment vertical="top" wrapText="1"/>
    </xf>
    <xf numFmtId="0" fontId="29" fillId="0" borderId="2" xfId="0" applyFont="1" applyBorder="1" applyAlignment="1">
      <alignment vertical="top" wrapText="1"/>
    </xf>
    <xf numFmtId="0" fontId="23" fillId="0" borderId="1" xfId="0" applyFont="1" applyBorder="1" applyAlignment="1">
      <alignment horizontal="center" vertical="top" wrapText="1"/>
    </xf>
    <xf numFmtId="164" fontId="29" fillId="0" borderId="1" xfId="1" applyNumberFormat="1" applyFont="1" applyBorder="1" applyAlignment="1">
      <alignment horizontal="right" vertical="center" wrapText="1"/>
    </xf>
    <xf numFmtId="0" fontId="29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vertical="center" wrapText="1"/>
    </xf>
    <xf numFmtId="164" fontId="30" fillId="0" borderId="1" xfId="1" applyNumberFormat="1" applyFont="1" applyBorder="1" applyAlignment="1">
      <alignment vertical="top" wrapText="1"/>
    </xf>
    <xf numFmtId="14" fontId="23" fillId="0" borderId="1" xfId="0" applyNumberFormat="1" applyFont="1" applyBorder="1" applyAlignment="1">
      <alignment vertical="top" wrapText="1"/>
    </xf>
    <xf numFmtId="14" fontId="23" fillId="0" borderId="1" xfId="0" applyNumberFormat="1" applyFont="1" applyBorder="1" applyAlignment="1">
      <alignment horizontal="right" vertical="top" wrapText="1"/>
    </xf>
    <xf numFmtId="14" fontId="23" fillId="0" borderId="1" xfId="0" applyNumberFormat="1" applyFont="1" applyBorder="1" applyAlignment="1">
      <alignment horizontal="right" vertical="center" wrapText="1"/>
    </xf>
    <xf numFmtId="164" fontId="23" fillId="0" borderId="1" xfId="1" applyNumberFormat="1" applyFont="1" applyBorder="1" applyAlignment="1">
      <alignment horizontal="center" vertical="center" wrapText="1"/>
    </xf>
    <xf numFmtId="164" fontId="23" fillId="0" borderId="1" xfId="1" applyNumberFormat="1" applyFont="1" applyFill="1" applyBorder="1" applyAlignment="1">
      <alignment vertical="top" wrapText="1"/>
    </xf>
    <xf numFmtId="164" fontId="23" fillId="0" borderId="1" xfId="1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top" wrapText="1"/>
    </xf>
    <xf numFmtId="0" fontId="0" fillId="14" borderId="8" xfId="0" applyFill="1" applyBorder="1" applyAlignment="1">
      <alignment vertical="top" wrapText="1"/>
    </xf>
    <xf numFmtId="164" fontId="0" fillId="14" borderId="1" xfId="1" applyNumberFormat="1" applyFont="1" applyFill="1" applyBorder="1" applyAlignment="1">
      <alignment vertical="top" wrapText="1"/>
    </xf>
    <xf numFmtId="0" fontId="0" fillId="14" borderId="2" xfId="0" applyFill="1" applyBorder="1" applyAlignment="1">
      <alignment vertical="top" wrapText="1"/>
    </xf>
    <xf numFmtId="0" fontId="0" fillId="14" borderId="0" xfId="0" applyFill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164" fontId="0" fillId="7" borderId="1" xfId="1" applyNumberFormat="1" applyFont="1" applyFill="1" applyBorder="1" applyAlignment="1">
      <alignment vertical="top" wrapText="1"/>
    </xf>
    <xf numFmtId="0" fontId="13" fillId="7" borderId="1" xfId="0" applyFont="1" applyFill="1" applyBorder="1" applyAlignment="1">
      <alignment horizontal="right" vertical="top" wrapText="1"/>
    </xf>
    <xf numFmtId="166" fontId="0" fillId="0" borderId="1" xfId="0" applyNumberFormat="1" applyBorder="1" applyAlignment="1">
      <alignment horizontal="right" vertical="top" wrapText="1"/>
    </xf>
    <xf numFmtId="166" fontId="6" fillId="7" borderId="1" xfId="0" applyNumberFormat="1" applyFont="1" applyFill="1" applyBorder="1" applyAlignment="1">
      <alignment horizontal="right" vertical="top" wrapText="1"/>
    </xf>
    <xf numFmtId="166" fontId="14" fillId="0" borderId="1" xfId="0" applyNumberFormat="1" applyFont="1" applyBorder="1" applyAlignment="1">
      <alignment horizontal="right" vertical="top" wrapText="1"/>
    </xf>
    <xf numFmtId="14" fontId="14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horizontal="right" vertical="top" wrapText="1"/>
    </xf>
    <xf numFmtId="166" fontId="6" fillId="6" borderId="1" xfId="0" applyNumberFormat="1" applyFont="1" applyFill="1" applyBorder="1" applyAlignment="1">
      <alignment horizontal="right" vertical="top" wrapText="1"/>
    </xf>
    <xf numFmtId="166" fontId="0" fillId="0" borderId="0" xfId="0" applyNumberFormat="1" applyAlignment="1">
      <alignment horizontal="right" vertical="top" wrapText="1"/>
    </xf>
    <xf numFmtId="166" fontId="0" fillId="0" borderId="1" xfId="0" applyNumberFormat="1" applyBorder="1" applyAlignment="1">
      <alignment horizontal="right" vertical="center" wrapText="1"/>
    </xf>
    <xf numFmtId="166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horizontal="right" vertical="top" wrapText="1"/>
    </xf>
    <xf numFmtId="165" fontId="0" fillId="0" borderId="1" xfId="0" applyNumberFormat="1" applyBorder="1" applyAlignment="1">
      <alignment horizontal="right" vertical="top" wrapText="1"/>
    </xf>
    <xf numFmtId="165" fontId="14" fillId="0" borderId="1" xfId="0" applyNumberFormat="1" applyFont="1" applyBorder="1" applyAlignment="1">
      <alignment horizontal="right" vertical="top" wrapText="1"/>
    </xf>
    <xf numFmtId="0" fontId="14" fillId="0" borderId="8" xfId="0" applyFont="1" applyBorder="1" applyAlignment="1">
      <alignment vertical="top" wrapText="1"/>
    </xf>
    <xf numFmtId="166" fontId="9" fillId="0" borderId="1" xfId="0" applyNumberFormat="1" applyFont="1" applyBorder="1" applyAlignment="1">
      <alignment horizontal="right" vertical="top" wrapText="1"/>
    </xf>
    <xf numFmtId="168" fontId="0" fillId="0" borderId="1" xfId="1" applyNumberFormat="1" applyFont="1" applyBorder="1" applyAlignment="1">
      <alignment vertical="top" wrapText="1"/>
    </xf>
    <xf numFmtId="169" fontId="23" fillId="0" borderId="1" xfId="0" applyNumberFormat="1" applyFont="1" applyBorder="1" applyAlignment="1">
      <alignment horizontal="left" vertical="top" wrapText="1"/>
    </xf>
    <xf numFmtId="14" fontId="27" fillId="0" borderId="1" xfId="0" applyNumberFormat="1" applyFont="1" applyBorder="1" applyAlignment="1">
      <alignment horizontal="right" vertical="center" wrapText="1"/>
    </xf>
    <xf numFmtId="169" fontId="23" fillId="0" borderId="1" xfId="0" applyNumberFormat="1" applyFont="1" applyBorder="1" applyAlignment="1">
      <alignment vertical="top" wrapText="1"/>
    </xf>
    <xf numFmtId="164" fontId="32" fillId="0" borderId="1" xfId="1" applyNumberFormat="1" applyFont="1" applyBorder="1" applyAlignment="1">
      <alignment vertical="top" wrapText="1"/>
    </xf>
    <xf numFmtId="0" fontId="32" fillId="0" borderId="1" xfId="0" applyFont="1" applyBorder="1" applyAlignment="1">
      <alignment vertical="top" wrapText="1"/>
    </xf>
    <xf numFmtId="0" fontId="32" fillId="0" borderId="8" xfId="0" applyFont="1" applyBorder="1" applyAlignment="1">
      <alignment vertical="top" wrapText="1"/>
    </xf>
    <xf numFmtId="14" fontId="32" fillId="0" borderId="1" xfId="0" applyNumberFormat="1" applyFont="1" applyBorder="1" applyAlignment="1">
      <alignment horizontal="right" vertical="top" wrapText="1"/>
    </xf>
    <xf numFmtId="0" fontId="32" fillId="0" borderId="2" xfId="0" applyFont="1" applyBorder="1" applyAlignment="1">
      <alignment vertical="top" wrapText="1"/>
    </xf>
    <xf numFmtId="0" fontId="32" fillId="0" borderId="1" xfId="0" applyFont="1" applyBorder="1" applyAlignment="1">
      <alignment vertical="top"/>
    </xf>
    <xf numFmtId="14" fontId="24" fillId="0" borderId="1" xfId="0" applyNumberFormat="1" applyFont="1" applyBorder="1" applyAlignment="1">
      <alignment horizontal="right" vertical="top" wrapText="1"/>
    </xf>
    <xf numFmtId="14" fontId="26" fillId="6" borderId="1" xfId="0" applyNumberFormat="1" applyFont="1" applyFill="1" applyBorder="1" applyAlignment="1">
      <alignment horizontal="right" vertical="top" wrapText="1"/>
    </xf>
    <xf numFmtId="14" fontId="26" fillId="7" borderId="1" xfId="0" applyNumberFormat="1" applyFont="1" applyFill="1" applyBorder="1" applyAlignment="1">
      <alignment horizontal="right" vertical="top" wrapText="1"/>
    </xf>
    <xf numFmtId="14" fontId="28" fillId="0" borderId="1" xfId="0" applyNumberFormat="1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 wrapText="1"/>
    </xf>
    <xf numFmtId="14" fontId="29" fillId="0" borderId="1" xfId="0" applyNumberFormat="1" applyFont="1" applyBorder="1" applyAlignment="1">
      <alignment horizontal="right" vertical="center" wrapText="1"/>
    </xf>
    <xf numFmtId="14" fontId="23" fillId="0" borderId="0" xfId="0" applyNumberFormat="1" applyFont="1" applyAlignment="1">
      <alignment horizontal="right" vertical="top" wrapText="1"/>
    </xf>
    <xf numFmtId="166" fontId="23" fillId="0" borderId="1" xfId="0" applyNumberFormat="1" applyFont="1" applyBorder="1" applyAlignment="1">
      <alignment horizontal="right" vertical="top" wrapText="1"/>
    </xf>
    <xf numFmtId="0" fontId="1" fillId="15" borderId="0" xfId="2" applyAlignment="1">
      <alignment vertical="top" wrapText="1"/>
    </xf>
    <xf numFmtId="166" fontId="1" fillId="15" borderId="0" xfId="2" applyNumberFormat="1" applyAlignment="1">
      <alignment horizontal="right" vertical="top" wrapText="1"/>
    </xf>
    <xf numFmtId="164" fontId="1" fillId="15" borderId="0" xfId="2" applyNumberFormat="1" applyAlignment="1">
      <alignment vertical="top" wrapText="1"/>
    </xf>
    <xf numFmtId="0" fontId="6" fillId="7" borderId="0" xfId="0" applyFont="1" applyFill="1" applyAlignment="1">
      <alignment vertical="top" wrapText="1"/>
    </xf>
    <xf numFmtId="166" fontId="0" fillId="0" borderId="9" xfId="0" applyNumberFormat="1" applyBorder="1" applyAlignment="1">
      <alignment horizontal="right" vertical="top" wrapText="1"/>
    </xf>
    <xf numFmtId="14" fontId="0" fillId="0" borderId="9" xfId="0" applyNumberFormat="1" applyBorder="1" applyAlignment="1">
      <alignment vertical="top" wrapText="1"/>
    </xf>
    <xf numFmtId="14" fontId="14" fillId="0" borderId="9" xfId="0" applyNumberFormat="1" applyFont="1" applyBorder="1" applyAlignment="1">
      <alignment vertical="top" wrapText="1"/>
    </xf>
    <xf numFmtId="166" fontId="14" fillId="0" borderId="9" xfId="0" applyNumberFormat="1" applyFont="1" applyBorder="1" applyAlignment="1">
      <alignment horizontal="right" vertical="top" wrapText="1"/>
    </xf>
    <xf numFmtId="166" fontId="9" fillId="0" borderId="9" xfId="0" applyNumberFormat="1" applyFont="1" applyBorder="1" applyAlignment="1">
      <alignment horizontal="right" vertical="top" wrapText="1"/>
    </xf>
    <xf numFmtId="164" fontId="9" fillId="0" borderId="9" xfId="1" applyNumberFormat="1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23" fillId="0" borderId="5" xfId="0" applyFont="1" applyBorder="1" applyAlignment="1">
      <alignment vertical="top" wrapText="1"/>
    </xf>
    <xf numFmtId="0" fontId="23" fillId="0" borderId="9" xfId="0" applyFont="1" applyBorder="1" applyAlignment="1">
      <alignment vertical="top" wrapText="1"/>
    </xf>
    <xf numFmtId="14" fontId="23" fillId="0" borderId="9" xfId="0" applyNumberFormat="1" applyFont="1" applyBorder="1" applyAlignment="1">
      <alignment horizontal="right" vertical="top" wrapText="1"/>
    </xf>
    <xf numFmtId="164" fontId="23" fillId="0" borderId="9" xfId="1" applyNumberFormat="1" applyFont="1" applyBorder="1" applyAlignment="1">
      <alignment vertical="top" wrapText="1"/>
    </xf>
    <xf numFmtId="0" fontId="23" fillId="0" borderId="3" xfId="0" applyFont="1" applyBorder="1" applyAlignment="1">
      <alignment vertical="top" wrapText="1"/>
    </xf>
    <xf numFmtId="164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vertical="top" wrapText="1"/>
    </xf>
    <xf numFmtId="0" fontId="9" fillId="16" borderId="1" xfId="0" applyFont="1" applyFill="1" applyBorder="1" applyAlignment="1">
      <alignment vertical="top" wrapText="1"/>
    </xf>
    <xf numFmtId="0" fontId="14" fillId="16" borderId="1" xfId="0" applyFont="1" applyFill="1" applyBorder="1" applyAlignment="1">
      <alignment vertical="top" wrapText="1"/>
    </xf>
    <xf numFmtId="14" fontId="0" fillId="0" borderId="0" xfId="0" applyNumberFormat="1" applyAlignment="1">
      <alignment horizontal="right" vertical="top" wrapText="1"/>
    </xf>
    <xf numFmtId="12" fontId="0" fillId="0" borderId="9" xfId="0" applyNumberFormat="1" applyBorder="1" applyAlignment="1">
      <alignment vertical="top" wrapText="1"/>
    </xf>
    <xf numFmtId="2" fontId="0" fillId="0" borderId="9" xfId="0" applyNumberFormat="1" applyBorder="1" applyAlignment="1">
      <alignment vertical="top" wrapText="1"/>
    </xf>
    <xf numFmtId="0" fontId="33" fillId="0" borderId="5" xfId="0" applyFont="1" applyBorder="1" applyAlignment="1">
      <alignment vertical="top" wrapText="1"/>
    </xf>
    <xf numFmtId="0" fontId="33" fillId="0" borderId="9" xfId="0" applyFont="1" applyBorder="1" applyAlignment="1">
      <alignment vertical="top" wrapText="1"/>
    </xf>
    <xf numFmtId="14" fontId="33" fillId="0" borderId="9" xfId="0" applyNumberFormat="1" applyFont="1" applyBorder="1" applyAlignment="1">
      <alignment horizontal="right" vertical="top" wrapText="1"/>
    </xf>
    <xf numFmtId="164" fontId="33" fillId="0" borderId="9" xfId="1" applyNumberFormat="1" applyFont="1" applyBorder="1" applyAlignment="1">
      <alignment vertical="top" wrapText="1"/>
    </xf>
    <xf numFmtId="0" fontId="33" fillId="0" borderId="3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3" fillId="16" borderId="11" xfId="0" applyFont="1" applyFill="1" applyBorder="1" applyAlignment="1">
      <alignment vertical="top" wrapText="1"/>
    </xf>
    <xf numFmtId="14" fontId="23" fillId="16" borderId="11" xfId="0" applyNumberFormat="1" applyFont="1" applyFill="1" applyBorder="1" applyAlignment="1">
      <alignment horizontal="right" vertical="top" wrapText="1"/>
    </xf>
    <xf numFmtId="164" fontId="23" fillId="16" borderId="11" xfId="1" applyNumberFormat="1" applyFont="1" applyFill="1" applyBorder="1" applyAlignment="1">
      <alignment vertical="top" wrapText="1"/>
    </xf>
    <xf numFmtId="0" fontId="23" fillId="16" borderId="12" xfId="0" applyFont="1" applyFill="1" applyBorder="1" applyAlignment="1">
      <alignment vertical="top" wrapText="1"/>
    </xf>
    <xf numFmtId="0" fontId="23" fillId="16" borderId="1" xfId="0" applyFont="1" applyFill="1" applyBorder="1" applyAlignment="1">
      <alignment vertical="top" wrapText="1"/>
    </xf>
    <xf numFmtId="14" fontId="23" fillId="16" borderId="1" xfId="0" applyNumberFormat="1" applyFont="1" applyFill="1" applyBorder="1" applyAlignment="1">
      <alignment horizontal="right" vertical="top" wrapText="1"/>
    </xf>
    <xf numFmtId="164" fontId="23" fillId="16" borderId="1" xfId="1" applyNumberFormat="1" applyFont="1" applyFill="1" applyBorder="1" applyAlignment="1">
      <alignment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top" wrapText="1"/>
    </xf>
    <xf numFmtId="0" fontId="4" fillId="9" borderId="3" xfId="0" applyFont="1" applyFill="1" applyBorder="1" applyAlignment="1">
      <alignment horizontal="center" vertical="top" wrapText="1"/>
    </xf>
    <xf numFmtId="0" fontId="4" fillId="9" borderId="4" xfId="0" applyFont="1" applyFill="1" applyBorder="1" applyAlignment="1">
      <alignment horizontal="center" vertical="top" wrapText="1"/>
    </xf>
    <xf numFmtId="0" fontId="4" fillId="9" borderId="5" xfId="0" applyFont="1" applyFill="1" applyBorder="1" applyAlignment="1">
      <alignment horizontal="center" vertical="top" wrapText="1"/>
    </xf>
    <xf numFmtId="0" fontId="4" fillId="10" borderId="3" xfId="0" applyFont="1" applyFill="1" applyBorder="1" applyAlignment="1">
      <alignment horizontal="center" vertical="top" wrapText="1"/>
    </xf>
    <xf numFmtId="0" fontId="4" fillId="10" borderId="4" xfId="0" applyFont="1" applyFill="1" applyBorder="1" applyAlignment="1">
      <alignment horizontal="center" vertical="top" wrapText="1"/>
    </xf>
    <xf numFmtId="0" fontId="4" fillId="10" borderId="5" xfId="0" applyFont="1" applyFill="1" applyBorder="1" applyAlignment="1">
      <alignment horizontal="center" vertical="top" wrapText="1"/>
    </xf>
    <xf numFmtId="0" fontId="4" fillId="11" borderId="9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right" vertical="top" wrapText="1"/>
    </xf>
    <xf numFmtId="0" fontId="6" fillId="3" borderId="8" xfId="0" applyFont="1" applyFill="1" applyBorder="1" applyAlignment="1">
      <alignment horizontal="right" vertical="top" wrapText="1"/>
    </xf>
  </cellXfs>
  <cellStyles count="3">
    <cellStyle name="40% - Accent2" xfId="2" builtinId="35"/>
    <cellStyle name="Comma" xfId="1" builtinId="3"/>
    <cellStyle name="Normal" xfId="0" builtinId="0"/>
  </cellStyles>
  <dxfs count="438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  <numFmt numFmtId="19" formatCode="m/d/yyyy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scheme val="major"/>
      </font>
    </dxf>
    <dxf>
      <border outline="0">
        <left style="thin">
          <color auto="1"/>
        </left>
      </border>
    </dxf>
    <dxf>
      <alignment horizontal="right" textRotation="0" wrapText="1" indent="0" justifyLastLine="0" shrinkToFit="0" readingOrder="0"/>
      <border outline="0">
        <left style="thin">
          <color auto="1"/>
        </left>
      </border>
    </dxf>
    <dxf>
      <alignment horizontal="right" textRotation="0" indent="0" justifyLastLine="0" shrinkToFit="0" readingOrder="0"/>
      <border outline="0">
        <right style="thin">
          <color auto="1"/>
        </right>
      </border>
    </dxf>
    <dxf>
      <border outline="0">
        <right style="thin">
          <color auto="1"/>
        </right>
      </border>
    </dxf>
    <dxf>
      <border outline="0">
        <left style="thin">
          <color auto="1"/>
        </left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righ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righ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_(* #,##0_);_(* \(#,##0\);_(* &quot;-&quot;??_);_(@_)"/>
      <alignment horizontal="righ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m/d/yyyy;@"/>
      <alignment horizontal="righ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6" formatCode="m/d/yyyy;@"/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</font>
    </dxf>
    <dxf>
      <alignment horizontal="right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C/Users/user/Downloads/Users/Lenovo/Downloads/C/F/E/DOCUME~1/RICE/LOCALS~1/TEMP/Palay/PALAY-DR.xlw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C/Users/calviela/Desktop/SAAD%20BAR1_Rev2/Projects_FY%202017%20BED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C/Users/micahjonahvillamayor-lao/Library/Application%20Support/Microsoft/Office/Office%202011%20AutoRecovery/PDS_2014_2015%20New%20S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C/task%20force%20rice%20may%2027/Backup%20of%20E/BUDGET/MCP2004-BSW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C/F/E/Final%20files/C/C/CY%202017/2017%20Client%20Satisfaction%20Feedback%20-%20Summ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C/F/J/Users/iYasuo.xD/Desktop/PPMP_APP%20FORMAT%20-%20TANAY_PARTIALFINAL2%20romy_nestor1%20revised%20ate%20fely_finalacee_boss_rom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Users/renzp/Downloads/MIMAROPA%202022%20WFP%20Monthly%20Acc%20Report%20%20and%20List%20of%20Be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LSOMIN"/>
      <sheetName val="CROPYEAR"/>
      <sheetName val="TABLE1"/>
      <sheetName val="TABLE1.1"/>
      <sheetName val="TABLE1.1CV"/>
      <sheetName val="TABLE1.1DC"/>
      <sheetName val="TABLE1.1DN"/>
      <sheetName val="TABLE1.1DO"/>
      <sheetName val="TABLE1.1DS"/>
      <sheetName val="TABLE1.2"/>
      <sheetName val="List of Provi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"/>
      <sheetName val="Sheet1"/>
      <sheetName val="Sheet3"/>
      <sheetName val="Sheet4"/>
      <sheetName val="Projects"/>
      <sheetName val="POLICY"/>
      <sheetName val="PRODUCTION"/>
      <sheetName val="MARKETING"/>
      <sheetName val="ESETS"/>
      <sheetName val="FMR"/>
      <sheetName val="AFMEF"/>
      <sheetName val="IRRIGATION"/>
      <sheetName val="SA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5_New Li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P-sum"/>
      <sheetName val="2003prestn"/>
      <sheetName val="2003-PAP"/>
      <sheetName val="MCP-2003(JUNE-DEC)"/>
      <sheetName val="2003-res"/>
      <sheetName val="2004-PPA"/>
      <sheetName val="ABM"/>
      <sheetName val="ABM (AUTO)"/>
      <sheetName val="MCP-(cont)ppa "/>
      <sheetName val="MCP-(cur)ppa "/>
      <sheetName val="MCP-autoa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 list"/>
      <sheetName val="January"/>
      <sheetName val="February"/>
      <sheetName val="March"/>
      <sheetName val="Sheet3"/>
      <sheetName val="Apr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_METHOD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WFP 2022"/>
      <sheetName val="S"/>
      <sheetName val="R4B"/>
      <sheetName val="DOWNLOADED"/>
      <sheetName val="INITIATIVES"/>
      <sheetName val="E"/>
      <sheetName val="CONTINUING"/>
      <sheetName val="Fishing Gear"/>
      <sheetName val="Broodstock Distributed"/>
      <sheetName val="Fingerling Distributed"/>
      <sheetName val="Seaweed Propagules"/>
      <sheetName val="SW Farm Implements"/>
      <sheetName val="SW Nurseries establsihed"/>
      <sheetName val="Cages"/>
      <sheetName val="Trainings"/>
      <sheetName val="TA"/>
      <sheetName val="TechnoDemo"/>
      <sheetName val="IEC Materials Distributed"/>
    </sheetNames>
    <sheetDataSet>
      <sheetData sheetId="0">
        <row r="52">
          <cell r="VM52">
            <v>0</v>
          </cell>
          <cell r="VX52">
            <v>0</v>
          </cell>
          <cell r="VY52">
            <v>0</v>
          </cell>
          <cell r="VZ52">
            <v>0</v>
          </cell>
        </row>
        <row r="75">
          <cell r="VM75">
            <v>0</v>
          </cell>
          <cell r="VX75">
            <v>0</v>
          </cell>
          <cell r="VY75">
            <v>0</v>
          </cell>
          <cell r="WA75">
            <v>0</v>
          </cell>
        </row>
        <row r="87">
          <cell r="VM87">
            <v>0</v>
          </cell>
          <cell r="VX87">
            <v>0</v>
          </cell>
          <cell r="VY87">
            <v>0</v>
          </cell>
          <cell r="WA87">
            <v>0</v>
          </cell>
        </row>
        <row r="91">
          <cell r="VM91">
            <v>0</v>
          </cell>
          <cell r="VX91">
            <v>0</v>
          </cell>
          <cell r="VY91">
            <v>0</v>
          </cell>
          <cell r="WA91">
            <v>0</v>
          </cell>
        </row>
        <row r="213">
          <cell r="VM213">
            <v>0</v>
          </cell>
          <cell r="VX213">
            <v>0</v>
          </cell>
          <cell r="VY213">
            <v>0</v>
          </cell>
          <cell r="WA213">
            <v>0</v>
          </cell>
        </row>
        <row r="220">
          <cell r="VM220">
            <v>0</v>
          </cell>
          <cell r="VX220">
            <v>0</v>
          </cell>
          <cell r="VY220">
            <v>0</v>
          </cell>
          <cell r="WA220">
            <v>0</v>
          </cell>
        </row>
        <row r="228">
          <cell r="VM228">
            <v>0</v>
          </cell>
          <cell r="VX228">
            <v>0</v>
          </cell>
          <cell r="VY228">
            <v>0</v>
          </cell>
          <cell r="WA228">
            <v>0</v>
          </cell>
        </row>
        <row r="234">
          <cell r="VM234">
            <v>0</v>
          </cell>
          <cell r="VX234">
            <v>0</v>
          </cell>
          <cell r="VY234">
            <v>0</v>
          </cell>
          <cell r="WA23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id="1" name="Table4467891011" displayName="Table4467891011" ref="A11:AI738" totalsRowShown="0">
  <autoFilter ref="A11:AI738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 dataDxfId="4379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44678910111213" displayName="Table44678910111213" ref="A11:AI61" totalsRowShown="0">
  <autoFilter ref="A11:AI61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4467891011121314" displayName="Table4467891011121314" ref="A11:AI1058" totalsRowShown="0" totalsRowDxfId="4378">
  <autoFilter ref="A11:AI1058"/>
  <tableColumns count="35">
    <tableColumn id="1" name="REGION/ OFFICE" totalsRowDxfId="4377"/>
    <tableColumn id="2" name="FUNDING SOURCE" totalsRowDxfId="4376"/>
    <tableColumn id="3" name="MONTH " totalsRowDxfId="4375"/>
    <tableColumn id="4" name="TYPE" totalsRowDxfId="4374"/>
    <tableColumn id="5" name="NAME OF ASSOCIATION/ GROUP" totalsRowDxfId="4373"/>
    <tableColumn id="6" name="LAST NAME" totalsRowDxfId="4372"/>
    <tableColumn id="7" name="FIRST NAME" totalsRowDxfId="4371"/>
    <tableColumn id="8" name="MIDDLE NAME" totalsRowDxfId="4370"/>
    <tableColumn id="9" name="BIRTHDAY" dataDxfId="4369" totalsRowDxfId="4368"/>
    <tableColumn id="10" name="MALE" dataDxfId="4367" totalsRowDxfId="4366"/>
    <tableColumn id="11" name="FEMALE" totalsRowDxfId="4365"/>
    <tableColumn id="12" name="FISHERFOLK" totalsRowDxfId="4364"/>
    <tableColumn id="13" name="SENIOR CITIZEN" totalsRowDxfId="4363"/>
    <tableColumn id="14" name="INDIGENOUS PEOPLE" totalsRowDxfId="4362"/>
    <tableColumn id="15" name="IP GROUP" totalsRowDxfId="4361"/>
    <tableColumn id="16" name="PWD" totalsRowDxfId="4360"/>
    <tableColumn id="17" name="OTHERS" totalsRowDxfId="4359"/>
    <tableColumn id="18" name="DETAILS" totalsRowDxfId="4358"/>
    <tableColumn id="19" name="GROUP" totalsRowDxfId="4357"/>
    <tableColumn id="20" name="NUMBER OF MEMBERS FOR GROUP BENEFICIARIES" totalsRowDxfId="4356"/>
    <tableColumn id="21" name="BARANGAY" totalsRowDxfId="4355"/>
    <tableColumn id="22" name="MUNICIPALITY/CITY" totalsRowDxfId="4354"/>
    <tableColumn id="23" name="DISTRICT" totalsRowDxfId="4353"/>
    <tableColumn id="24" name="PROVINCE" totalsRowDxfId="4352"/>
    <tableColumn id="25" name="CONTACT NUMBER (IF ANY)" totalsRowDxfId="4351"/>
    <tableColumn id="26" name="EMAIL ADDRESS (IF ANY)" totalsRowDxfId="4350"/>
    <tableColumn id="27" name="TYPE OF GOODS AND SERVICES PROVIDED" totalsRowDxfId="4349"/>
    <tableColumn id="28" name="UNIT OF MEASURE/DETAILS" totalsRowDxfId="4348"/>
    <tableColumn id="29" name="QUANTITY PROVIDED" totalsRowDxfId="4347"/>
    <tableColumn id="30" name="ESTIMATED COST" totalsRowDxfId="4346"/>
    <tableColumn id="31" name="QUANTITY" totalsRowDxfId="4345"/>
    <tableColumn id="32" name="QUALITY" totalsRowDxfId="4344"/>
    <tableColumn id="33" name="TIMELINESS" totalsRowDxfId="4343"/>
    <tableColumn id="34" name="IF NOT SATISFIED, WHY?" totalsRowDxfId="4342"/>
    <tableColumn id="35" name="RECOMMENDATION" totalsRowDxfId="4341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able446789101116" displayName="Table446789101116" ref="A11:AI81" totalsRowShown="0">
  <autoFilter ref="A11:AI81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 dataDxfId="4340"/>
    <tableColumn id="9" name="BIRTHDAY"/>
    <tableColumn id="10" name="MALE" dataDxfId="4339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9" name="Table446789101116_10" displayName="Table446789101116_10" ref="A11:AI61" totalsRowShown="0">
  <autoFilter ref="A11:AI61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10" name="Table446789101116_1011" displayName="Table446789101116_1011" ref="A11:AI61" totalsRowShown="0">
  <autoFilter ref="A11:AI61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12" name="Table446789101116_10111213" displayName="Table446789101116_10111213" ref="A11:AI138" totalsRowShown="0">
  <autoFilter ref="A11:AI138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 dataDxfId="4338"/>
    <tableColumn id="10" name="MALE" dataDxfId="4337"/>
    <tableColumn id="11" name="FEMALE" dataDxfId="4336"/>
    <tableColumn id="12" name="FISHERFOLK" dataDxfId="4335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11" name="Table446789101116_101112" displayName="Table446789101116_101112" ref="A11:AI61" totalsRowShown="0">
  <autoFilter ref="A11:AI61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5" name="Table4467891011161718" displayName="Table4467891011161718" ref="A11:AI63" totalsRowShown="0">
  <autoFilter ref="A11:AI63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6" name="Table446789101116171819" displayName="Table446789101116171819" ref="A11:AI1057" totalsRowShown="0" dataDxfId="4334">
  <autoFilter ref="A11:AI1057"/>
  <tableColumns count="35">
    <tableColumn id="1" name="REGION/ OFFICE" dataDxfId="4333"/>
    <tableColumn id="2" name="FUNDING SOURCE" dataDxfId="4332"/>
    <tableColumn id="3" name="MONTH " dataDxfId="4331"/>
    <tableColumn id="4" name="TYPE" dataDxfId="4330"/>
    <tableColumn id="5" name="NAME OF ASSOCIATION/ GROUP" dataDxfId="4329"/>
    <tableColumn id="6" name="LAST NAME" dataDxfId="4328"/>
    <tableColumn id="7" name="FIRST NAME" dataDxfId="4327"/>
    <tableColumn id="8" name="MIDDLE NAME" dataDxfId="4326"/>
    <tableColumn id="9" name="BIRTHDAY" dataDxfId="4325"/>
    <tableColumn id="10" name="MALE" dataDxfId="4324"/>
    <tableColumn id="11" name="FEMALE" dataDxfId="4323"/>
    <tableColumn id="12" name="FISHERFOLK" dataDxfId="4322"/>
    <tableColumn id="13" name="SENIOR CITIZEN" dataDxfId="4321"/>
    <tableColumn id="14" name="INDIGENOUS PEOPLE" dataDxfId="4320"/>
    <tableColumn id="15" name="IP GROUP" dataDxfId="4319"/>
    <tableColumn id="16" name="PWD" dataDxfId="4318"/>
    <tableColumn id="17" name="OTHERS" dataDxfId="4317"/>
    <tableColumn id="18" name="DETAILS" dataDxfId="4316"/>
    <tableColumn id="19" name="GROUP" dataDxfId="4315"/>
    <tableColumn id="20" name="NUMBER OF MEMBERS FOR GROUP BENEFICIARIES" dataDxfId="4314"/>
    <tableColumn id="21" name="BARANGAY" dataDxfId="4313"/>
    <tableColumn id="22" name="MUNICIPALITY/CITY" dataDxfId="4312"/>
    <tableColumn id="23" name="DISTRICT" dataDxfId="4311"/>
    <tableColumn id="24" name="PROVINCE" dataDxfId="4310"/>
    <tableColumn id="25" name="CONTACT NUMBER (IF ANY)" dataDxfId="4309"/>
    <tableColumn id="26" name="EMAIL ADDRESS (IF ANY)" dataDxfId="4308"/>
    <tableColumn id="27" name="TYPE OF GOODS AND SERVICES PROVIDED" dataDxfId="4307"/>
    <tableColumn id="28" name="UNIT OF MEASURE/DETAILS" dataDxfId="4306"/>
    <tableColumn id="29" name="QUANTITY PROVIDED" dataDxfId="4305"/>
    <tableColumn id="30" name="ESTIMATED COST" dataDxfId="4304"/>
    <tableColumn id="31" name="QUANTITY" dataDxfId="4303"/>
    <tableColumn id="32" name="QUALITY" dataDxfId="4302"/>
    <tableColumn id="33" name="TIMELINESS" dataDxfId="4301"/>
    <tableColumn id="34" name="IF NOT SATISFIED, WHY?" dataDxfId="4300"/>
    <tableColumn id="35" name="RECOMMENDATION" dataDxfId="4299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7" name="Table44678910111617181920" displayName="Table44678910111617181920" ref="A11:AI61" totalsRowShown="0">
  <autoFilter ref="A11:AI61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8" name="Table4467891011161718192021" displayName="Table4467891011161718192021" ref="A11:AI61" totalsRowShown="0">
  <autoFilter ref="A11:AI61"/>
  <tableColumns count="35">
    <tableColumn id="1" name="REGION/ OFFICE"/>
    <tableColumn id="2" name="FUNDING SOURCE"/>
    <tableColumn id="3" name="MONTH "/>
    <tableColumn id="4" name="TYPE"/>
    <tableColumn id="5" name="NAME OF ASSOCIATION/ GROUP"/>
    <tableColumn id="6" name="LAST NAME"/>
    <tableColumn id="7" name="FIRST NAME"/>
    <tableColumn id="8" name="MIDDLE NAME"/>
    <tableColumn id="9" name="BIRTHDAY"/>
    <tableColumn id="10" name="MALE"/>
    <tableColumn id="11" name="FEMALE"/>
    <tableColumn id="12" name="FISHERFOLK"/>
    <tableColumn id="13" name="SENIOR CITIZEN"/>
    <tableColumn id="14" name="INDIGENOUS PEOPLE"/>
    <tableColumn id="15" name="IP GROUP"/>
    <tableColumn id="16" name="PWD"/>
    <tableColumn id="17" name="OTHERS"/>
    <tableColumn id="18" name="DETAILS"/>
    <tableColumn id="19" name="GROUP"/>
    <tableColumn id="20" name="NUMBER OF MEMBERS FOR GROUP BENEFICIARIES"/>
    <tableColumn id="21" name="BARANGAY"/>
    <tableColumn id="22" name="MUNICIPALITY/CITY"/>
    <tableColumn id="23" name="DISTRICT"/>
    <tableColumn id="24" name="PROVINCE"/>
    <tableColumn id="25" name="CONTACT NUMBER (IF ANY)"/>
    <tableColumn id="26" name="EMAIL ADDRESS (IF ANY)"/>
    <tableColumn id="27" name="TYPE OF GOODS AND SERVICES PROVIDED"/>
    <tableColumn id="28" name="UNIT OF MEASURE/DETAILS"/>
    <tableColumn id="29" name="QUANTITY PROVIDED"/>
    <tableColumn id="30" name="ESTIMATED COST"/>
    <tableColumn id="31" name="QUANTITY"/>
    <tableColumn id="32" name="QUALITY"/>
    <tableColumn id="33" name="TIMELINESS"/>
    <tableColumn id="34" name="IF NOT SATISFIED, WHY?"/>
    <tableColumn id="35" name="RECOMMENDA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797"/>
  <sheetViews>
    <sheetView topLeftCell="W536" zoomScale="70" zoomScaleNormal="70" workbookViewId="0">
      <selection activeCell="AA551" sqref="AA551"/>
    </sheetView>
  </sheetViews>
  <sheetFormatPr defaultColWidth="10.875" defaultRowHeight="15.75"/>
  <cols>
    <col min="1" max="1" width="18.625" style="7" customWidth="1"/>
    <col min="2" max="2" width="21.375" style="7" bestFit="1" customWidth="1"/>
    <col min="3" max="3" width="13.375" style="7" bestFit="1" customWidth="1"/>
    <col min="4" max="4" width="16.125" style="7" bestFit="1" customWidth="1"/>
    <col min="5" max="5" width="40.25" style="7" bestFit="1" customWidth="1"/>
    <col min="6" max="8" width="21.25" style="7" bestFit="1" customWidth="1"/>
    <col min="9" max="9" width="15.5" style="7" bestFit="1" customWidth="1"/>
    <col min="10" max="10" width="11.75" style="7" bestFit="1" customWidth="1"/>
    <col min="11" max="11" width="13.5" style="7" bestFit="1" customWidth="1"/>
    <col min="12" max="12" width="17.2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68.625" style="7" bestFit="1" customWidth="1"/>
    <col min="28" max="28" width="18.5" style="7" customWidth="1"/>
    <col min="29" max="29" width="24.875" style="7" customWidth="1"/>
    <col min="30" max="30" width="18.125" style="7" customWidth="1"/>
    <col min="31" max="31" width="12.125" style="7" customWidth="1"/>
    <col min="32" max="32" width="11.375" style="7" customWidth="1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1</v>
      </c>
    </row>
    <row r="3" spans="1:35">
      <c r="H3" s="8"/>
      <c r="I3" s="8"/>
      <c r="J3" s="22" t="s">
        <v>2</v>
      </c>
      <c r="K3" s="22" t="s">
        <v>3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689</v>
      </c>
      <c r="K4" s="24">
        <f>'[7]SUMMARY WFP 2022'!VX52</f>
        <v>0</v>
      </c>
      <c r="L4" s="25">
        <f>J4-K4</f>
        <v>689</v>
      </c>
    </row>
    <row r="5" spans="1:35">
      <c r="A5" s="9" t="s">
        <v>8</v>
      </c>
      <c r="B5" s="9"/>
      <c r="C5" s="9"/>
      <c r="D5" s="9"/>
      <c r="E5" s="9"/>
      <c r="F5" s="9"/>
      <c r="H5" s="294"/>
      <c r="I5" s="23" t="s">
        <v>9</v>
      </c>
      <c r="J5" s="24">
        <f>K13</f>
        <v>72</v>
      </c>
      <c r="K5" s="24">
        <f>'[7]SUMMARY WFP 2022'!VY52</f>
        <v>0</v>
      </c>
      <c r="L5" s="25">
        <f>J5-K5</f>
        <v>72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761</v>
      </c>
      <c r="K6" s="25">
        <f>SUM(K4:K5)</f>
        <v>0</v>
      </c>
      <c r="L6" s="25">
        <f>J6-K6</f>
        <v>761</v>
      </c>
    </row>
    <row r="7" spans="1:35" ht="15.95" customHeight="1">
      <c r="A7" s="9" t="s">
        <v>12</v>
      </c>
      <c r="B7" s="9"/>
      <c r="C7" s="9"/>
      <c r="D7" s="9"/>
      <c r="E7" s="9"/>
      <c r="F7" s="9"/>
      <c r="H7" s="295" t="s">
        <v>13</v>
      </c>
      <c r="I7" s="296"/>
      <c r="J7" s="24">
        <f>S13</f>
        <v>11</v>
      </c>
      <c r="K7" s="24">
        <f>'[7]SUMMARY WFP 2022'!VZ52</f>
        <v>0</v>
      </c>
      <c r="L7" s="25">
        <f>J7-K7</f>
        <v>11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1309</v>
      </c>
      <c r="K8" s="24">
        <f>'[7]SUMMARY WFP 2022'!VM52</f>
        <v>0</v>
      </c>
      <c r="L8" s="25">
        <f>J8-K8</f>
        <v>1309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6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36" t="s">
        <v>32</v>
      </c>
      <c r="O11" s="36" t="s">
        <v>33</v>
      </c>
      <c r="P11" s="26" t="s">
        <v>34</v>
      </c>
      <c r="Q11" s="45" t="s">
        <v>35</v>
      </c>
      <c r="R11" s="46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44" customFormat="1" ht="84.75" customHeight="1">
      <c r="A12" s="14" t="s">
        <v>54</v>
      </c>
      <c r="B12" s="35" t="s">
        <v>55</v>
      </c>
      <c r="C12" s="35"/>
      <c r="D12" s="35" t="s">
        <v>56</v>
      </c>
      <c r="E12" s="35" t="s">
        <v>57</v>
      </c>
      <c r="F12" s="35" t="s">
        <v>58</v>
      </c>
      <c r="G12" s="35" t="s">
        <v>59</v>
      </c>
      <c r="H12" s="35" t="s">
        <v>60</v>
      </c>
      <c r="I12" s="127"/>
      <c r="J12" s="35" t="s">
        <v>61</v>
      </c>
      <c r="K12" s="35" t="s">
        <v>62</v>
      </c>
      <c r="L12" s="35" t="s">
        <v>63</v>
      </c>
      <c r="M12" s="35" t="s">
        <v>64</v>
      </c>
      <c r="N12" s="35" t="s">
        <v>65</v>
      </c>
      <c r="O12" s="35" t="s">
        <v>66</v>
      </c>
      <c r="P12" s="35" t="s">
        <v>67</v>
      </c>
      <c r="Q12" s="35" t="s">
        <v>68</v>
      </c>
      <c r="R12" s="35" t="s">
        <v>69</v>
      </c>
      <c r="S12" s="35" t="s">
        <v>70</v>
      </c>
      <c r="T12" s="35" t="s">
        <v>71</v>
      </c>
      <c r="U12" s="35"/>
      <c r="V12" s="35"/>
      <c r="W12" s="35"/>
      <c r="X12" s="35"/>
      <c r="Y12" s="35"/>
      <c r="Z12" s="35"/>
      <c r="AA12" s="35" t="s">
        <v>72</v>
      </c>
      <c r="AB12" s="35" t="s">
        <v>73</v>
      </c>
      <c r="AC12" s="35" t="s">
        <v>74</v>
      </c>
      <c r="AD12" s="35" t="s">
        <v>75</v>
      </c>
      <c r="AE12" s="20" t="s">
        <v>76</v>
      </c>
      <c r="AF12" s="20" t="s">
        <v>76</v>
      </c>
      <c r="AG12" s="20" t="s">
        <v>76</v>
      </c>
      <c r="AH12" s="35"/>
      <c r="AI12" s="47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128"/>
      <c r="J13" s="29">
        <f>SUM(J14,J101,J185,J566)</f>
        <v>689</v>
      </c>
      <c r="K13" s="29">
        <f>SUM(K14,K101,K185,K566)</f>
        <v>72</v>
      </c>
      <c r="L13" s="29">
        <f>SUM(L14,L101,L185,L566)</f>
        <v>728</v>
      </c>
      <c r="M13" s="29">
        <f>SUM(M14,M101,M185,M566)</f>
        <v>50</v>
      </c>
      <c r="N13" s="29">
        <f>SUM(N14,N101,N185,N566)</f>
        <v>20</v>
      </c>
      <c r="O13" s="29"/>
      <c r="P13" s="29">
        <f>SUM(P14,P101,P185,P566)</f>
        <v>3</v>
      </c>
      <c r="Q13" s="29">
        <f>SUM(Q14,Q101,Q185,Q566)</f>
        <v>15</v>
      </c>
      <c r="R13" s="29"/>
      <c r="S13" s="29">
        <f>SUM(S14,S101,S185,S566)</f>
        <v>11</v>
      </c>
      <c r="T13" s="29">
        <f>SUM(T14,T101,T185,T566)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SUM(AC14,AC101,AC185,AC566)</f>
        <v>1309</v>
      </c>
      <c r="AD13" s="29">
        <f>SUM(AD14,AD101,AD185,AD566)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129"/>
      <c r="J14" s="31">
        <f>SUM(J15:J100)</f>
        <v>78</v>
      </c>
      <c r="K14" s="31">
        <f>SUM(K15:K100)</f>
        <v>7</v>
      </c>
      <c r="L14" s="31">
        <f>SUM(L15:L100)</f>
        <v>85</v>
      </c>
      <c r="M14" s="31">
        <f>SUM(M15:M100)</f>
        <v>13</v>
      </c>
      <c r="N14" s="31">
        <f>SUM(N15:N100)</f>
        <v>1</v>
      </c>
      <c r="O14" s="31"/>
      <c r="P14" s="31">
        <f>SUM(P15:P100)</f>
        <v>1</v>
      </c>
      <c r="Q14" s="31">
        <f>SUM(Q15:Q100)</f>
        <v>0</v>
      </c>
      <c r="R14" s="31"/>
      <c r="S14" s="31">
        <f>SUM(S15:S100)</f>
        <v>0</v>
      </c>
      <c r="T14" s="31">
        <f>SUM(T15:T100)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SUM(AC15:AC100)</f>
        <v>85</v>
      </c>
      <c r="AD14" s="31">
        <f>SUM(AD15:AD100)</f>
        <v>0</v>
      </c>
      <c r="AE14" s="31" t="e">
        <f>AVERAGE(AE15:AE100)</f>
        <v>#DIV/0!</v>
      </c>
      <c r="AF14" s="31" t="e">
        <f>AVERAGE(AF15:AF100)</f>
        <v>#DIV/0!</v>
      </c>
      <c r="AG14" s="31" t="e">
        <f>AVERAGE(AG15:AG100)</f>
        <v>#DIV/0!</v>
      </c>
      <c r="AH14" s="19"/>
      <c r="AI14" s="41"/>
    </row>
    <row r="15" spans="1:35">
      <c r="A15" s="14"/>
      <c r="B15" s="20"/>
      <c r="C15" s="20" t="s">
        <v>78</v>
      </c>
      <c r="D15" s="20" t="s">
        <v>79</v>
      </c>
      <c r="E15" s="20" t="s">
        <v>80</v>
      </c>
      <c r="F15" s="20" t="s">
        <v>106</v>
      </c>
      <c r="G15" s="20" t="s">
        <v>112</v>
      </c>
      <c r="H15" s="20" t="s">
        <v>113</v>
      </c>
      <c r="I15" s="130" t="s">
        <v>215</v>
      </c>
      <c r="J15" s="24">
        <v>1</v>
      </c>
      <c r="K15" s="24"/>
      <c r="L15" s="24">
        <v>1</v>
      </c>
      <c r="M15" s="24"/>
      <c r="N15" s="24"/>
      <c r="O15" s="24"/>
      <c r="P15" s="24"/>
      <c r="Q15" s="24"/>
      <c r="R15" s="24"/>
      <c r="S15" s="24"/>
      <c r="T15" s="24"/>
      <c r="U15" s="53" t="s">
        <v>216</v>
      </c>
      <c r="V15" s="53" t="s">
        <v>218</v>
      </c>
      <c r="W15" s="53" t="s">
        <v>279</v>
      </c>
      <c r="X15" s="53" t="s">
        <v>227</v>
      </c>
      <c r="Y15" s="59">
        <v>9555230104</v>
      </c>
      <c r="Z15" s="20"/>
      <c r="AA15" s="52" t="s">
        <v>229</v>
      </c>
      <c r="AB15" s="53" t="s">
        <v>228</v>
      </c>
      <c r="AC15" s="24">
        <v>1</v>
      </c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 t="s">
        <v>78</v>
      </c>
      <c r="D16" s="20" t="s">
        <v>79</v>
      </c>
      <c r="E16" s="20" t="s">
        <v>80</v>
      </c>
      <c r="F16" s="20" t="s">
        <v>107</v>
      </c>
      <c r="G16" s="20" t="s">
        <v>114</v>
      </c>
      <c r="H16" s="21" t="s">
        <v>115</v>
      </c>
      <c r="I16" s="116">
        <v>27243</v>
      </c>
      <c r="J16" s="24">
        <v>1</v>
      </c>
      <c r="K16" s="24"/>
      <c r="L16" s="24">
        <v>1</v>
      </c>
      <c r="M16" s="24"/>
      <c r="N16" s="24"/>
      <c r="O16" s="24"/>
      <c r="P16" s="24"/>
      <c r="Q16" s="24"/>
      <c r="R16" s="24"/>
      <c r="S16" s="24"/>
      <c r="T16" s="24"/>
      <c r="U16" s="54" t="s">
        <v>217</v>
      </c>
      <c r="V16" s="54" t="s">
        <v>218</v>
      </c>
      <c r="W16" s="53" t="s">
        <v>279</v>
      </c>
      <c r="X16" s="53" t="s">
        <v>227</v>
      </c>
      <c r="Y16" s="59">
        <v>9552536836</v>
      </c>
      <c r="Z16" s="20"/>
      <c r="AA16" s="52" t="s">
        <v>230</v>
      </c>
      <c r="AB16" s="53" t="s">
        <v>228</v>
      </c>
      <c r="AC16" s="24">
        <v>1</v>
      </c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 t="s">
        <v>78</v>
      </c>
      <c r="D17" s="20" t="s">
        <v>79</v>
      </c>
      <c r="E17" s="20" t="s">
        <v>80</v>
      </c>
      <c r="F17" s="20" t="s">
        <v>108</v>
      </c>
      <c r="G17" s="20" t="s">
        <v>116</v>
      </c>
      <c r="H17" s="20" t="s">
        <v>117</v>
      </c>
      <c r="I17" s="131">
        <v>26412</v>
      </c>
      <c r="J17" s="24">
        <v>1</v>
      </c>
      <c r="K17" s="24"/>
      <c r="L17" s="24">
        <v>1</v>
      </c>
      <c r="M17" s="24"/>
      <c r="N17" s="24"/>
      <c r="O17" s="24"/>
      <c r="P17" s="24"/>
      <c r="Q17" s="24"/>
      <c r="R17" s="24"/>
      <c r="S17" s="24"/>
      <c r="T17" s="24"/>
      <c r="U17" s="54" t="s">
        <v>216</v>
      </c>
      <c r="V17" s="54" t="s">
        <v>218</v>
      </c>
      <c r="W17" s="53" t="s">
        <v>279</v>
      </c>
      <c r="X17" s="53" t="s">
        <v>227</v>
      </c>
      <c r="Y17" s="59">
        <v>9972001226</v>
      </c>
      <c r="Z17" s="20"/>
      <c r="AA17" s="52" t="s">
        <v>231</v>
      </c>
      <c r="AB17" s="53" t="s">
        <v>228</v>
      </c>
      <c r="AC17" s="24">
        <v>1</v>
      </c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 t="s">
        <v>78</v>
      </c>
      <c r="D18" s="20" t="s">
        <v>79</v>
      </c>
      <c r="E18" s="20" t="s">
        <v>80</v>
      </c>
      <c r="F18" s="48" t="s">
        <v>109</v>
      </c>
      <c r="G18" s="48" t="s">
        <v>118</v>
      </c>
      <c r="H18" s="48" t="s">
        <v>115</v>
      </c>
      <c r="I18" s="131">
        <v>17478</v>
      </c>
      <c r="J18" s="52">
        <v>1</v>
      </c>
      <c r="K18" s="49"/>
      <c r="L18" s="24">
        <v>1</v>
      </c>
      <c r="M18" s="24">
        <v>1</v>
      </c>
      <c r="N18" s="24"/>
      <c r="O18" s="24"/>
      <c r="P18" s="24"/>
      <c r="Q18" s="24"/>
      <c r="R18" s="24"/>
      <c r="S18" s="24"/>
      <c r="T18" s="24"/>
      <c r="U18" s="54" t="s">
        <v>216</v>
      </c>
      <c r="V18" s="54" t="s">
        <v>218</v>
      </c>
      <c r="W18" s="53" t="s">
        <v>279</v>
      </c>
      <c r="X18" s="53" t="s">
        <v>227</v>
      </c>
      <c r="Y18" s="59">
        <v>9757838665</v>
      </c>
      <c r="Z18" s="20"/>
      <c r="AA18" s="52" t="s">
        <v>232</v>
      </c>
      <c r="AB18" s="53" t="s">
        <v>228</v>
      </c>
      <c r="AC18" s="24">
        <v>1</v>
      </c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 t="s">
        <v>78</v>
      </c>
      <c r="D19" s="20" t="s">
        <v>79</v>
      </c>
      <c r="E19" s="20" t="s">
        <v>80</v>
      </c>
      <c r="F19" s="48" t="s">
        <v>110</v>
      </c>
      <c r="G19" s="48" t="s">
        <v>119</v>
      </c>
      <c r="H19" s="48" t="s">
        <v>120</v>
      </c>
      <c r="I19" s="131">
        <v>27886</v>
      </c>
      <c r="J19" s="50">
        <v>1</v>
      </c>
      <c r="K19" s="49"/>
      <c r="L19" s="24">
        <v>1</v>
      </c>
      <c r="M19" s="24"/>
      <c r="N19" s="24"/>
      <c r="O19" s="24"/>
      <c r="P19" s="24"/>
      <c r="Q19" s="24"/>
      <c r="R19" s="24"/>
      <c r="S19" s="24"/>
      <c r="T19" s="24"/>
      <c r="U19" s="54" t="s">
        <v>216</v>
      </c>
      <c r="V19" s="54" t="s">
        <v>218</v>
      </c>
      <c r="W19" s="53" t="s">
        <v>279</v>
      </c>
      <c r="X19" s="53" t="s">
        <v>227</v>
      </c>
      <c r="Y19" s="59">
        <v>9262305308</v>
      </c>
      <c r="Z19" s="20"/>
      <c r="AA19" s="52" t="s">
        <v>233</v>
      </c>
      <c r="AB19" s="53" t="s">
        <v>228</v>
      </c>
      <c r="AC19" s="24">
        <v>1</v>
      </c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 t="s">
        <v>78</v>
      </c>
      <c r="D20" s="20" t="s">
        <v>79</v>
      </c>
      <c r="E20" s="20" t="s">
        <v>80</v>
      </c>
      <c r="F20" s="48" t="s">
        <v>111</v>
      </c>
      <c r="G20" s="48" t="s">
        <v>121</v>
      </c>
      <c r="H20" s="48"/>
      <c r="I20" s="131">
        <v>29698</v>
      </c>
      <c r="J20" s="49">
        <v>1</v>
      </c>
      <c r="K20" s="49"/>
      <c r="L20" s="24">
        <v>1</v>
      </c>
      <c r="M20" s="24"/>
      <c r="N20" s="24"/>
      <c r="O20" s="24"/>
      <c r="P20" s="24"/>
      <c r="Q20" s="24"/>
      <c r="R20" s="24"/>
      <c r="S20" s="24"/>
      <c r="T20" s="24"/>
      <c r="U20" s="54" t="s">
        <v>217</v>
      </c>
      <c r="V20" s="54" t="s">
        <v>218</v>
      </c>
      <c r="W20" s="53" t="s">
        <v>279</v>
      </c>
      <c r="X20" s="53" t="s">
        <v>227</v>
      </c>
      <c r="Y20" s="59">
        <v>9972000590</v>
      </c>
      <c r="Z20" s="20"/>
      <c r="AA20" s="52" t="s">
        <v>234</v>
      </c>
      <c r="AB20" s="53" t="s">
        <v>228</v>
      </c>
      <c r="AC20" s="24">
        <v>1</v>
      </c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 t="s">
        <v>78</v>
      </c>
      <c r="D21" s="20" t="s">
        <v>79</v>
      </c>
      <c r="E21" s="20" t="s">
        <v>80</v>
      </c>
      <c r="F21" s="48" t="s">
        <v>122</v>
      </c>
      <c r="G21" s="48" t="s">
        <v>123</v>
      </c>
      <c r="H21" s="48"/>
      <c r="I21" s="131">
        <v>27476</v>
      </c>
      <c r="J21" s="49">
        <v>1</v>
      </c>
      <c r="K21" s="49"/>
      <c r="L21" s="24">
        <v>1</v>
      </c>
      <c r="M21" s="24"/>
      <c r="N21" s="24"/>
      <c r="O21" s="24"/>
      <c r="P21" s="24"/>
      <c r="Q21" s="24"/>
      <c r="R21" s="24"/>
      <c r="S21" s="24"/>
      <c r="T21" s="24"/>
      <c r="U21" s="54" t="s">
        <v>217</v>
      </c>
      <c r="V21" s="54" t="s">
        <v>218</v>
      </c>
      <c r="W21" s="53" t="s">
        <v>279</v>
      </c>
      <c r="X21" s="53" t="s">
        <v>227</v>
      </c>
      <c r="Y21" s="59"/>
      <c r="Z21" s="20"/>
      <c r="AA21" s="52" t="s">
        <v>235</v>
      </c>
      <c r="AB21" s="53" t="s">
        <v>228</v>
      </c>
      <c r="AC21" s="24">
        <v>1</v>
      </c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 t="s">
        <v>78</v>
      </c>
      <c r="D22" s="20" t="s">
        <v>79</v>
      </c>
      <c r="E22" s="20" t="s">
        <v>80</v>
      </c>
      <c r="F22" s="48" t="s">
        <v>124</v>
      </c>
      <c r="G22" s="48" t="s">
        <v>125</v>
      </c>
      <c r="H22" s="48" t="s">
        <v>126</v>
      </c>
      <c r="I22" s="131">
        <v>22535</v>
      </c>
      <c r="J22" s="49">
        <v>1</v>
      </c>
      <c r="K22" s="49"/>
      <c r="L22" s="24">
        <v>1</v>
      </c>
      <c r="M22" s="24">
        <v>1</v>
      </c>
      <c r="N22" s="24"/>
      <c r="O22" s="24"/>
      <c r="P22" s="24"/>
      <c r="Q22" s="24"/>
      <c r="R22" s="24"/>
      <c r="S22" s="24"/>
      <c r="T22" s="24"/>
      <c r="U22" s="54" t="s">
        <v>81</v>
      </c>
      <c r="V22" s="54" t="s">
        <v>218</v>
      </c>
      <c r="W22" s="53" t="s">
        <v>279</v>
      </c>
      <c r="X22" s="53" t="s">
        <v>227</v>
      </c>
      <c r="Y22" s="59">
        <v>9979833751</v>
      </c>
      <c r="Z22" s="20"/>
      <c r="AA22" s="52" t="s">
        <v>236</v>
      </c>
      <c r="AB22" s="53" t="s">
        <v>228</v>
      </c>
      <c r="AC22" s="24">
        <v>1</v>
      </c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 t="s">
        <v>78</v>
      </c>
      <c r="D23" s="20" t="s">
        <v>79</v>
      </c>
      <c r="E23" s="20" t="s">
        <v>80</v>
      </c>
      <c r="F23" s="48" t="s">
        <v>127</v>
      </c>
      <c r="G23" s="48" t="s">
        <v>128</v>
      </c>
      <c r="H23" s="48"/>
      <c r="I23" s="131">
        <v>35329</v>
      </c>
      <c r="J23" s="49">
        <v>1</v>
      </c>
      <c r="K23" s="49"/>
      <c r="L23" s="24">
        <v>1</v>
      </c>
      <c r="M23" s="24"/>
      <c r="N23" s="24"/>
      <c r="O23" s="24"/>
      <c r="P23" s="24"/>
      <c r="Q23" s="24"/>
      <c r="R23" s="24"/>
      <c r="S23" s="24"/>
      <c r="T23" s="24"/>
      <c r="U23" s="54" t="s">
        <v>219</v>
      </c>
      <c r="V23" s="54" t="s">
        <v>218</v>
      </c>
      <c r="W23" s="53" t="s">
        <v>279</v>
      </c>
      <c r="X23" s="53" t="s">
        <v>227</v>
      </c>
      <c r="Y23" s="59">
        <v>9309772960</v>
      </c>
      <c r="Z23" s="20"/>
      <c r="AA23" s="52" t="s">
        <v>237</v>
      </c>
      <c r="AB23" s="53" t="s">
        <v>228</v>
      </c>
      <c r="AC23" s="24">
        <v>1</v>
      </c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 t="s">
        <v>78</v>
      </c>
      <c r="D24" s="20" t="s">
        <v>79</v>
      </c>
      <c r="E24" s="20" t="s">
        <v>80</v>
      </c>
      <c r="F24" s="48" t="s">
        <v>129</v>
      </c>
      <c r="G24" s="48" t="s">
        <v>130</v>
      </c>
      <c r="H24" s="48"/>
      <c r="I24" s="131">
        <v>23665</v>
      </c>
      <c r="J24" s="49"/>
      <c r="K24" s="49">
        <v>1</v>
      </c>
      <c r="L24" s="24">
        <v>1</v>
      </c>
      <c r="M24" s="24"/>
      <c r="N24" s="24"/>
      <c r="O24" s="24"/>
      <c r="P24" s="24"/>
      <c r="Q24" s="24"/>
      <c r="R24" s="24"/>
      <c r="S24" s="24"/>
      <c r="T24" s="24"/>
      <c r="U24" s="54" t="s">
        <v>219</v>
      </c>
      <c r="V24" s="54" t="s">
        <v>218</v>
      </c>
      <c r="W24" s="53" t="s">
        <v>279</v>
      </c>
      <c r="X24" s="53" t="s">
        <v>227</v>
      </c>
      <c r="Y24" s="59">
        <v>9633966506</v>
      </c>
      <c r="Z24" s="20"/>
      <c r="AA24" s="52" t="s">
        <v>238</v>
      </c>
      <c r="AB24" s="53" t="s">
        <v>228</v>
      </c>
      <c r="AC24" s="24">
        <v>1</v>
      </c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 t="s">
        <v>78</v>
      </c>
      <c r="D25" s="20" t="s">
        <v>79</v>
      </c>
      <c r="E25" s="20" t="s">
        <v>80</v>
      </c>
      <c r="F25" s="48" t="s">
        <v>131</v>
      </c>
      <c r="G25" s="48" t="s">
        <v>132</v>
      </c>
      <c r="H25" s="48" t="s">
        <v>133</v>
      </c>
      <c r="I25" s="131">
        <v>32677</v>
      </c>
      <c r="J25" s="49">
        <v>1</v>
      </c>
      <c r="K25" s="49"/>
      <c r="L25" s="24">
        <v>1</v>
      </c>
      <c r="M25" s="24"/>
      <c r="N25" s="24"/>
      <c r="O25" s="24"/>
      <c r="P25" s="24"/>
      <c r="Q25" s="24"/>
      <c r="R25" s="24"/>
      <c r="S25" s="24"/>
      <c r="T25" s="24"/>
      <c r="U25" s="54" t="s">
        <v>219</v>
      </c>
      <c r="V25" s="54" t="s">
        <v>218</v>
      </c>
      <c r="W25" s="53" t="s">
        <v>279</v>
      </c>
      <c r="X25" s="53" t="s">
        <v>227</v>
      </c>
      <c r="Y25" s="59">
        <v>9631622696</v>
      </c>
      <c r="Z25" s="20"/>
      <c r="AA25" s="52" t="s">
        <v>239</v>
      </c>
      <c r="AB25" s="53" t="s">
        <v>228</v>
      </c>
      <c r="AC25" s="24">
        <v>1</v>
      </c>
      <c r="AD25" s="24"/>
      <c r="AE25" s="24"/>
      <c r="AF25" s="24"/>
      <c r="AG25" s="24"/>
      <c r="AH25" s="20"/>
      <c r="AI25" s="42"/>
    </row>
    <row r="26" spans="1:35">
      <c r="A26" s="14"/>
      <c r="B26" s="20"/>
      <c r="C26" s="20" t="s">
        <v>78</v>
      </c>
      <c r="D26" s="20" t="s">
        <v>79</v>
      </c>
      <c r="E26" s="20" t="s">
        <v>80</v>
      </c>
      <c r="F26" s="48" t="s">
        <v>134</v>
      </c>
      <c r="G26" s="48" t="s">
        <v>135</v>
      </c>
      <c r="H26" s="48" t="s">
        <v>136</v>
      </c>
      <c r="I26" s="131">
        <v>20447</v>
      </c>
      <c r="J26" s="49">
        <v>1</v>
      </c>
      <c r="K26" s="49"/>
      <c r="L26" s="24">
        <v>1</v>
      </c>
      <c r="M26" s="24">
        <v>1</v>
      </c>
      <c r="N26" s="24"/>
      <c r="O26" s="24"/>
      <c r="P26" s="24"/>
      <c r="Q26" s="24"/>
      <c r="R26" s="24"/>
      <c r="S26" s="24"/>
      <c r="T26" s="24"/>
      <c r="U26" s="54" t="s">
        <v>216</v>
      </c>
      <c r="V26" s="54" t="s">
        <v>218</v>
      </c>
      <c r="W26" s="53" t="s">
        <v>279</v>
      </c>
      <c r="X26" s="53" t="s">
        <v>227</v>
      </c>
      <c r="Y26" s="59"/>
      <c r="Z26" s="20"/>
      <c r="AA26" s="52" t="s">
        <v>240</v>
      </c>
      <c r="AB26" s="53" t="s">
        <v>228</v>
      </c>
      <c r="AC26" s="24">
        <v>1</v>
      </c>
      <c r="AD26" s="24"/>
      <c r="AE26" s="24"/>
      <c r="AF26" s="24"/>
      <c r="AG26" s="24"/>
      <c r="AH26" s="20"/>
      <c r="AI26" s="42"/>
    </row>
    <row r="27" spans="1:35">
      <c r="A27" s="14"/>
      <c r="B27" s="20"/>
      <c r="C27" s="20" t="s">
        <v>78</v>
      </c>
      <c r="D27" s="20" t="s">
        <v>79</v>
      </c>
      <c r="E27" s="20" t="s">
        <v>80</v>
      </c>
      <c r="F27" s="48" t="s">
        <v>137</v>
      </c>
      <c r="G27" s="48" t="s">
        <v>138</v>
      </c>
      <c r="H27" s="48" t="s">
        <v>113</v>
      </c>
      <c r="I27" s="131">
        <v>27076</v>
      </c>
      <c r="J27" s="49">
        <v>1</v>
      </c>
      <c r="K27" s="49"/>
      <c r="L27" s="24">
        <v>1</v>
      </c>
      <c r="M27" s="24"/>
      <c r="N27" s="24"/>
      <c r="O27" s="24"/>
      <c r="P27" s="24"/>
      <c r="Q27" s="24"/>
      <c r="R27" s="24"/>
      <c r="S27" s="24"/>
      <c r="T27" s="24"/>
      <c r="U27" s="54" t="s">
        <v>217</v>
      </c>
      <c r="V27" s="54" t="s">
        <v>218</v>
      </c>
      <c r="W27" s="53" t="s">
        <v>279</v>
      </c>
      <c r="X27" s="53" t="s">
        <v>227</v>
      </c>
      <c r="Y27" s="59"/>
      <c r="Z27" s="20"/>
      <c r="AA27" s="52" t="s">
        <v>241</v>
      </c>
      <c r="AB27" s="53" t="s">
        <v>228</v>
      </c>
      <c r="AC27" s="24">
        <v>1</v>
      </c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 t="s">
        <v>78</v>
      </c>
      <c r="D28" s="20" t="s">
        <v>79</v>
      </c>
      <c r="E28" s="20" t="s">
        <v>80</v>
      </c>
      <c r="F28" s="48" t="s">
        <v>139</v>
      </c>
      <c r="G28" s="48" t="s">
        <v>140</v>
      </c>
      <c r="H28" s="48" t="s">
        <v>115</v>
      </c>
      <c r="I28" s="131">
        <v>23173</v>
      </c>
      <c r="J28" s="49">
        <v>1</v>
      </c>
      <c r="K28" s="49"/>
      <c r="L28" s="24">
        <v>1</v>
      </c>
      <c r="M28" s="24"/>
      <c r="N28" s="24"/>
      <c r="O28" s="24"/>
      <c r="P28" s="24"/>
      <c r="Q28" s="24"/>
      <c r="R28" s="24"/>
      <c r="S28" s="24"/>
      <c r="T28" s="24"/>
      <c r="U28" s="54" t="s">
        <v>217</v>
      </c>
      <c r="V28" s="54" t="s">
        <v>218</v>
      </c>
      <c r="W28" s="53" t="s">
        <v>279</v>
      </c>
      <c r="X28" s="53" t="s">
        <v>227</v>
      </c>
      <c r="Y28" s="59"/>
      <c r="Z28" s="20"/>
      <c r="AA28" s="52" t="s">
        <v>242</v>
      </c>
      <c r="AB28" s="53" t="s">
        <v>228</v>
      </c>
      <c r="AC28" s="24">
        <v>1</v>
      </c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 t="s">
        <v>78</v>
      </c>
      <c r="D29" s="20" t="s">
        <v>79</v>
      </c>
      <c r="E29" s="20" t="s">
        <v>80</v>
      </c>
      <c r="F29" s="48" t="s">
        <v>141</v>
      </c>
      <c r="G29" s="48" t="s">
        <v>142</v>
      </c>
      <c r="H29" s="48"/>
      <c r="I29" s="131">
        <v>24022</v>
      </c>
      <c r="J29" s="49">
        <v>1</v>
      </c>
      <c r="K29" s="49"/>
      <c r="L29" s="24">
        <v>1</v>
      </c>
      <c r="M29" s="24"/>
      <c r="N29" s="24"/>
      <c r="O29" s="24"/>
      <c r="P29" s="24"/>
      <c r="Q29" s="24"/>
      <c r="R29" s="24"/>
      <c r="S29" s="24"/>
      <c r="T29" s="24"/>
      <c r="U29" s="54" t="s">
        <v>216</v>
      </c>
      <c r="V29" s="54" t="s">
        <v>218</v>
      </c>
      <c r="W29" s="53" t="s">
        <v>279</v>
      </c>
      <c r="X29" s="53" t="s">
        <v>227</v>
      </c>
      <c r="Y29" s="59"/>
      <c r="Z29" s="20"/>
      <c r="AA29" s="52" t="s">
        <v>243</v>
      </c>
      <c r="AB29" s="53" t="s">
        <v>228</v>
      </c>
      <c r="AC29" s="24">
        <v>1</v>
      </c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 t="s">
        <v>78</v>
      </c>
      <c r="D30" s="20" t="s">
        <v>79</v>
      </c>
      <c r="E30" s="20" t="s">
        <v>80</v>
      </c>
      <c r="F30" s="48" t="s">
        <v>129</v>
      </c>
      <c r="G30" s="48" t="s">
        <v>143</v>
      </c>
      <c r="H30" s="48" t="s">
        <v>144</v>
      </c>
      <c r="I30" s="131">
        <v>28403</v>
      </c>
      <c r="J30" s="49">
        <v>1</v>
      </c>
      <c r="K30" s="49"/>
      <c r="L30" s="24">
        <v>1</v>
      </c>
      <c r="M30" s="24"/>
      <c r="N30" s="24"/>
      <c r="O30" s="24"/>
      <c r="P30" s="24"/>
      <c r="Q30" s="24"/>
      <c r="R30" s="24"/>
      <c r="S30" s="24"/>
      <c r="T30" s="24"/>
      <c r="U30" s="54" t="s">
        <v>220</v>
      </c>
      <c r="V30" s="54" t="s">
        <v>218</v>
      </c>
      <c r="W30" s="53" t="s">
        <v>279</v>
      </c>
      <c r="X30" s="53" t="s">
        <v>227</v>
      </c>
      <c r="Y30" s="59"/>
      <c r="Z30" s="20"/>
      <c r="AA30" s="52" t="s">
        <v>244</v>
      </c>
      <c r="AB30" s="53" t="s">
        <v>228</v>
      </c>
      <c r="AC30" s="24">
        <v>1</v>
      </c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 t="s">
        <v>78</v>
      </c>
      <c r="D31" s="20" t="s">
        <v>79</v>
      </c>
      <c r="E31" s="20" t="s">
        <v>80</v>
      </c>
      <c r="F31" s="48" t="s">
        <v>145</v>
      </c>
      <c r="G31" s="48" t="s">
        <v>146</v>
      </c>
      <c r="H31" s="48" t="s">
        <v>113</v>
      </c>
      <c r="I31" s="131">
        <v>32196</v>
      </c>
      <c r="J31" s="49">
        <v>1</v>
      </c>
      <c r="K31" s="49"/>
      <c r="L31" s="24">
        <v>1</v>
      </c>
      <c r="M31" s="24"/>
      <c r="N31" s="24"/>
      <c r="O31" s="24"/>
      <c r="P31" s="24"/>
      <c r="Q31" s="24"/>
      <c r="R31" s="24"/>
      <c r="S31" s="24"/>
      <c r="T31" s="24"/>
      <c r="U31" s="54" t="s">
        <v>217</v>
      </c>
      <c r="V31" s="54" t="s">
        <v>218</v>
      </c>
      <c r="W31" s="53" t="s">
        <v>279</v>
      </c>
      <c r="X31" s="53" t="s">
        <v>227</v>
      </c>
      <c r="Y31" s="59"/>
      <c r="Z31" s="20"/>
      <c r="AA31" s="52" t="s">
        <v>245</v>
      </c>
      <c r="AB31" s="53" t="s">
        <v>228</v>
      </c>
      <c r="AC31" s="24">
        <v>1</v>
      </c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 t="s">
        <v>78</v>
      </c>
      <c r="D32" s="20" t="s">
        <v>79</v>
      </c>
      <c r="E32" s="20" t="s">
        <v>80</v>
      </c>
      <c r="F32" s="48" t="s">
        <v>147</v>
      </c>
      <c r="G32" s="48" t="s">
        <v>148</v>
      </c>
      <c r="H32" s="48" t="s">
        <v>136</v>
      </c>
      <c r="I32" s="131">
        <v>29125</v>
      </c>
      <c r="J32" s="49">
        <v>1</v>
      </c>
      <c r="K32" s="49"/>
      <c r="L32" s="24">
        <v>1</v>
      </c>
      <c r="M32" s="24"/>
      <c r="N32" s="24"/>
      <c r="O32" s="24"/>
      <c r="P32" s="24"/>
      <c r="Q32" s="24"/>
      <c r="R32" s="24"/>
      <c r="S32" s="24"/>
      <c r="T32" s="24"/>
      <c r="U32" s="54" t="s">
        <v>217</v>
      </c>
      <c r="V32" s="54" t="s">
        <v>218</v>
      </c>
      <c r="W32" s="53" t="s">
        <v>279</v>
      </c>
      <c r="X32" s="53" t="s">
        <v>227</v>
      </c>
      <c r="Y32" s="59"/>
      <c r="Z32" s="20"/>
      <c r="AA32" s="52" t="s">
        <v>246</v>
      </c>
      <c r="AB32" s="53" t="s">
        <v>228</v>
      </c>
      <c r="AC32" s="24">
        <v>1</v>
      </c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 t="s">
        <v>78</v>
      </c>
      <c r="D33" s="20" t="s">
        <v>79</v>
      </c>
      <c r="E33" s="20" t="s">
        <v>80</v>
      </c>
      <c r="F33" s="48" t="s">
        <v>149</v>
      </c>
      <c r="G33" s="48" t="s">
        <v>150</v>
      </c>
      <c r="H33" s="48"/>
      <c r="I33" s="131">
        <v>24175</v>
      </c>
      <c r="J33" s="49">
        <v>1</v>
      </c>
      <c r="K33" s="49"/>
      <c r="L33" s="24">
        <v>1</v>
      </c>
      <c r="M33" s="24"/>
      <c r="N33" s="24"/>
      <c r="O33" s="24"/>
      <c r="P33" s="24"/>
      <c r="Q33" s="24"/>
      <c r="R33" s="24"/>
      <c r="S33" s="24"/>
      <c r="T33" s="24"/>
      <c r="U33" s="54" t="s">
        <v>216</v>
      </c>
      <c r="V33" s="54" t="s">
        <v>218</v>
      </c>
      <c r="W33" s="53" t="s">
        <v>279</v>
      </c>
      <c r="X33" s="53" t="s">
        <v>227</v>
      </c>
      <c r="Y33" s="59"/>
      <c r="Z33" s="20"/>
      <c r="AA33" s="52" t="s">
        <v>247</v>
      </c>
      <c r="AB33" s="53" t="s">
        <v>228</v>
      </c>
      <c r="AC33" s="24">
        <v>1</v>
      </c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 t="s">
        <v>78</v>
      </c>
      <c r="D34" s="20" t="s">
        <v>79</v>
      </c>
      <c r="E34" s="20" t="s">
        <v>80</v>
      </c>
      <c r="F34" s="48" t="s">
        <v>151</v>
      </c>
      <c r="G34" s="48" t="s">
        <v>152</v>
      </c>
      <c r="H34" s="48"/>
      <c r="I34" s="131">
        <v>31264</v>
      </c>
      <c r="J34" s="49"/>
      <c r="K34" s="49">
        <v>1</v>
      </c>
      <c r="L34" s="24">
        <v>1</v>
      </c>
      <c r="M34" s="24"/>
      <c r="N34" s="24"/>
      <c r="O34" s="24"/>
      <c r="P34" s="24"/>
      <c r="Q34" s="24"/>
      <c r="R34" s="24"/>
      <c r="S34" s="24"/>
      <c r="T34" s="24"/>
      <c r="U34" s="54" t="s">
        <v>219</v>
      </c>
      <c r="V34" s="54" t="s">
        <v>218</v>
      </c>
      <c r="W34" s="53" t="s">
        <v>279</v>
      </c>
      <c r="X34" s="53" t="s">
        <v>227</v>
      </c>
      <c r="Y34" s="59">
        <v>9504951235</v>
      </c>
      <c r="Z34" s="20"/>
      <c r="AA34" s="52" t="s">
        <v>248</v>
      </c>
      <c r="AB34" s="53" t="s">
        <v>228</v>
      </c>
      <c r="AC34" s="24">
        <v>1</v>
      </c>
      <c r="AD34" s="24"/>
      <c r="AE34" s="24"/>
      <c r="AF34" s="24"/>
      <c r="AG34" s="24"/>
      <c r="AH34" s="20"/>
      <c r="AI34" s="42"/>
    </row>
    <row r="35" spans="1:35" ht="15.75" customHeight="1">
      <c r="A35" s="14"/>
      <c r="B35" s="20"/>
      <c r="C35" s="20" t="s">
        <v>78</v>
      </c>
      <c r="D35" s="20" t="s">
        <v>79</v>
      </c>
      <c r="E35" s="20" t="s">
        <v>80</v>
      </c>
      <c r="F35" s="48" t="s">
        <v>153</v>
      </c>
      <c r="G35" s="48" t="s">
        <v>154</v>
      </c>
      <c r="H35" s="48" t="s">
        <v>113</v>
      </c>
      <c r="I35" s="131">
        <v>27296</v>
      </c>
      <c r="J35" s="49">
        <v>1</v>
      </c>
      <c r="K35" s="49"/>
      <c r="L35" s="24">
        <v>1</v>
      </c>
      <c r="M35" s="24"/>
      <c r="N35" s="24"/>
      <c r="O35" s="24"/>
      <c r="P35" s="24"/>
      <c r="Q35" s="24"/>
      <c r="R35" s="24"/>
      <c r="S35" s="24"/>
      <c r="T35" s="24"/>
      <c r="U35" s="54" t="s">
        <v>221</v>
      </c>
      <c r="V35" s="54" t="s">
        <v>218</v>
      </c>
      <c r="W35" s="53" t="s">
        <v>279</v>
      </c>
      <c r="X35" s="53" t="s">
        <v>227</v>
      </c>
      <c r="Y35" s="59"/>
      <c r="Z35" s="20"/>
      <c r="AA35" s="52" t="s">
        <v>249</v>
      </c>
      <c r="AB35" s="53" t="s">
        <v>228</v>
      </c>
      <c r="AC35" s="24">
        <v>1</v>
      </c>
      <c r="AD35" s="24"/>
      <c r="AE35" s="24"/>
      <c r="AF35" s="24"/>
      <c r="AG35" s="24"/>
      <c r="AH35" s="20"/>
      <c r="AI35" s="42"/>
    </row>
    <row r="36" spans="1:35" ht="15.75" customHeight="1">
      <c r="A36" s="14"/>
      <c r="B36" s="20"/>
      <c r="C36" s="20" t="s">
        <v>78</v>
      </c>
      <c r="D36" s="20" t="s">
        <v>79</v>
      </c>
      <c r="E36" s="20" t="s">
        <v>80</v>
      </c>
      <c r="F36" s="48" t="s">
        <v>155</v>
      </c>
      <c r="G36" s="48" t="s">
        <v>156</v>
      </c>
      <c r="H36" s="48" t="s">
        <v>157</v>
      </c>
      <c r="I36" s="131">
        <v>25830</v>
      </c>
      <c r="J36" s="49">
        <v>1</v>
      </c>
      <c r="K36" s="49"/>
      <c r="L36" s="24">
        <v>1</v>
      </c>
      <c r="M36" s="24"/>
      <c r="N36" s="24"/>
      <c r="O36" s="24"/>
      <c r="P36" s="24"/>
      <c r="Q36" s="24"/>
      <c r="R36" s="24"/>
      <c r="S36" s="24"/>
      <c r="T36" s="24"/>
      <c r="U36" s="54" t="s">
        <v>221</v>
      </c>
      <c r="V36" s="54" t="s">
        <v>218</v>
      </c>
      <c r="W36" s="53" t="s">
        <v>279</v>
      </c>
      <c r="X36" s="53" t="s">
        <v>227</v>
      </c>
      <c r="Y36" s="59"/>
      <c r="Z36" s="20"/>
      <c r="AA36" s="52" t="s">
        <v>250</v>
      </c>
      <c r="AB36" s="53" t="s">
        <v>228</v>
      </c>
      <c r="AC36" s="24">
        <v>1</v>
      </c>
      <c r="AD36" s="24"/>
      <c r="AE36" s="24"/>
      <c r="AF36" s="24"/>
      <c r="AG36" s="24"/>
      <c r="AH36" s="20"/>
      <c r="AI36" s="42"/>
    </row>
    <row r="37" spans="1:35" ht="15.75" customHeight="1">
      <c r="A37" s="14"/>
      <c r="B37" s="20"/>
      <c r="C37" s="20" t="s">
        <v>78</v>
      </c>
      <c r="D37" s="20" t="s">
        <v>79</v>
      </c>
      <c r="E37" s="20" t="s">
        <v>80</v>
      </c>
      <c r="F37" s="48" t="s">
        <v>158</v>
      </c>
      <c r="G37" s="48" t="s">
        <v>159</v>
      </c>
      <c r="H37" s="48" t="s">
        <v>160</v>
      </c>
      <c r="I37" s="131">
        <v>22197</v>
      </c>
      <c r="J37" s="49">
        <v>1</v>
      </c>
      <c r="K37" s="49"/>
      <c r="L37" s="24">
        <v>1</v>
      </c>
      <c r="M37" s="24">
        <v>1</v>
      </c>
      <c r="N37" s="24"/>
      <c r="O37" s="24"/>
      <c r="P37" s="24"/>
      <c r="Q37" s="24"/>
      <c r="R37" s="24"/>
      <c r="S37" s="24"/>
      <c r="T37" s="24"/>
      <c r="U37" s="54" t="s">
        <v>221</v>
      </c>
      <c r="V37" s="54" t="s">
        <v>218</v>
      </c>
      <c r="W37" s="53" t="s">
        <v>279</v>
      </c>
      <c r="X37" s="53" t="s">
        <v>227</v>
      </c>
      <c r="Y37" s="59"/>
      <c r="Z37" s="20"/>
      <c r="AA37" s="52" t="s">
        <v>251</v>
      </c>
      <c r="AB37" s="53" t="s">
        <v>228</v>
      </c>
      <c r="AC37" s="24">
        <v>1</v>
      </c>
      <c r="AD37" s="24"/>
      <c r="AE37" s="24"/>
      <c r="AF37" s="24"/>
      <c r="AG37" s="24"/>
      <c r="AH37" s="20"/>
      <c r="AI37" s="42"/>
    </row>
    <row r="38" spans="1:35" ht="15.75" customHeight="1">
      <c r="A38" s="14"/>
      <c r="B38" s="20"/>
      <c r="C38" s="20" t="s">
        <v>78</v>
      </c>
      <c r="D38" s="20" t="s">
        <v>79</v>
      </c>
      <c r="E38" s="20" t="s">
        <v>80</v>
      </c>
      <c r="F38" s="48" t="s">
        <v>161</v>
      </c>
      <c r="G38" s="48" t="s">
        <v>162</v>
      </c>
      <c r="H38" s="48" t="s">
        <v>147</v>
      </c>
      <c r="I38" s="131">
        <v>25905</v>
      </c>
      <c r="J38" s="49">
        <v>1</v>
      </c>
      <c r="K38" s="49"/>
      <c r="L38" s="24">
        <v>1</v>
      </c>
      <c r="M38" s="24"/>
      <c r="N38" s="24"/>
      <c r="O38" s="24"/>
      <c r="P38" s="24"/>
      <c r="Q38" s="24"/>
      <c r="R38" s="24"/>
      <c r="S38" s="24"/>
      <c r="T38" s="24"/>
      <c r="U38" s="54" t="s">
        <v>221</v>
      </c>
      <c r="V38" s="54" t="s">
        <v>218</v>
      </c>
      <c r="W38" s="53" t="s">
        <v>279</v>
      </c>
      <c r="X38" s="53" t="s">
        <v>227</v>
      </c>
      <c r="Y38" s="59">
        <v>9354535761</v>
      </c>
      <c r="Z38" s="20"/>
      <c r="AA38" s="52" t="s">
        <v>252</v>
      </c>
      <c r="AB38" s="53" t="s">
        <v>228</v>
      </c>
      <c r="AC38" s="24">
        <v>1</v>
      </c>
      <c r="AD38" s="24"/>
      <c r="AE38" s="24"/>
      <c r="AF38" s="24"/>
      <c r="AG38" s="24"/>
      <c r="AH38" s="20"/>
      <c r="AI38" s="42"/>
    </row>
    <row r="39" spans="1:35" ht="15.75" customHeight="1">
      <c r="A39" s="14"/>
      <c r="B39" s="20"/>
      <c r="C39" s="20" t="s">
        <v>78</v>
      </c>
      <c r="D39" s="20" t="s">
        <v>79</v>
      </c>
      <c r="E39" s="20" t="s">
        <v>80</v>
      </c>
      <c r="F39" s="48" t="s">
        <v>163</v>
      </c>
      <c r="G39" s="48" t="s">
        <v>164</v>
      </c>
      <c r="H39" s="48" t="s">
        <v>165</v>
      </c>
      <c r="I39" s="131">
        <v>28491</v>
      </c>
      <c r="J39" s="49">
        <v>1</v>
      </c>
      <c r="K39" s="49"/>
      <c r="L39" s="24">
        <v>1</v>
      </c>
      <c r="M39" s="24"/>
      <c r="N39" s="24"/>
      <c r="O39" s="24"/>
      <c r="P39" s="24"/>
      <c r="Q39" s="24"/>
      <c r="R39" s="24"/>
      <c r="S39" s="24"/>
      <c r="T39" s="24"/>
      <c r="U39" s="54" t="s">
        <v>221</v>
      </c>
      <c r="V39" s="54" t="s">
        <v>218</v>
      </c>
      <c r="W39" s="53" t="s">
        <v>279</v>
      </c>
      <c r="X39" s="53" t="s">
        <v>227</v>
      </c>
      <c r="Y39" s="59"/>
      <c r="Z39" s="20"/>
      <c r="AA39" s="52" t="s">
        <v>253</v>
      </c>
      <c r="AB39" s="53" t="s">
        <v>228</v>
      </c>
      <c r="AC39" s="24">
        <v>1</v>
      </c>
      <c r="AD39" s="24"/>
      <c r="AE39" s="24"/>
      <c r="AF39" s="24"/>
      <c r="AG39" s="24"/>
      <c r="AH39" s="20"/>
      <c r="AI39" s="42"/>
    </row>
    <row r="40" spans="1:35" ht="15.75" customHeight="1">
      <c r="A40" s="14"/>
      <c r="B40" s="20"/>
      <c r="C40" s="20" t="s">
        <v>78</v>
      </c>
      <c r="D40" s="20" t="s">
        <v>79</v>
      </c>
      <c r="E40" s="20" t="s">
        <v>80</v>
      </c>
      <c r="F40" s="48" t="s">
        <v>166</v>
      </c>
      <c r="G40" s="48" t="s">
        <v>167</v>
      </c>
      <c r="H40" s="48" t="s">
        <v>158</v>
      </c>
      <c r="I40" s="131">
        <v>37560</v>
      </c>
      <c r="J40" s="49">
        <v>1</v>
      </c>
      <c r="K40" s="49"/>
      <c r="L40" s="24">
        <v>1</v>
      </c>
      <c r="M40" s="24"/>
      <c r="N40" s="24"/>
      <c r="O40" s="24"/>
      <c r="P40" s="24"/>
      <c r="Q40" s="24"/>
      <c r="R40" s="24"/>
      <c r="S40" s="24"/>
      <c r="T40" s="24"/>
      <c r="U40" s="54" t="s">
        <v>221</v>
      </c>
      <c r="V40" s="54" t="s">
        <v>218</v>
      </c>
      <c r="W40" s="53" t="s">
        <v>279</v>
      </c>
      <c r="X40" s="53" t="s">
        <v>227</v>
      </c>
      <c r="Y40" s="59">
        <v>9457901673</v>
      </c>
      <c r="Z40" s="20"/>
      <c r="AA40" s="52" t="s">
        <v>254</v>
      </c>
      <c r="AB40" s="53" t="s">
        <v>228</v>
      </c>
      <c r="AC40" s="24">
        <v>1</v>
      </c>
      <c r="AD40" s="24"/>
      <c r="AE40" s="24"/>
      <c r="AF40" s="24"/>
      <c r="AG40" s="24"/>
      <c r="AH40" s="20"/>
      <c r="AI40" s="42"/>
    </row>
    <row r="41" spans="1:35" ht="15.75" customHeight="1">
      <c r="A41" s="14"/>
      <c r="B41" s="20"/>
      <c r="C41" s="20" t="s">
        <v>78</v>
      </c>
      <c r="D41" s="20" t="s">
        <v>79</v>
      </c>
      <c r="E41" s="20" t="s">
        <v>80</v>
      </c>
      <c r="F41" s="48" t="s">
        <v>168</v>
      </c>
      <c r="G41" s="48" t="s">
        <v>169</v>
      </c>
      <c r="H41" s="48" t="s">
        <v>170</v>
      </c>
      <c r="I41" s="131">
        <v>23874</v>
      </c>
      <c r="J41" s="49">
        <v>1</v>
      </c>
      <c r="K41" s="49"/>
      <c r="L41" s="24">
        <v>1</v>
      </c>
      <c r="M41" s="24"/>
      <c r="N41" s="24"/>
      <c r="O41" s="24"/>
      <c r="P41" s="24"/>
      <c r="Q41" s="24"/>
      <c r="R41" s="24"/>
      <c r="S41" s="24"/>
      <c r="T41" s="24"/>
      <c r="U41" s="54" t="s">
        <v>221</v>
      </c>
      <c r="V41" s="54" t="s">
        <v>218</v>
      </c>
      <c r="W41" s="53" t="s">
        <v>279</v>
      </c>
      <c r="X41" s="53" t="s">
        <v>227</v>
      </c>
      <c r="Y41" s="59"/>
      <c r="Z41" s="20"/>
      <c r="AA41" s="52" t="s">
        <v>255</v>
      </c>
      <c r="AB41" s="53" t="s">
        <v>228</v>
      </c>
      <c r="AC41" s="24">
        <v>1</v>
      </c>
      <c r="AD41" s="24"/>
      <c r="AE41" s="24"/>
      <c r="AF41" s="24"/>
      <c r="AG41" s="24"/>
      <c r="AH41" s="20"/>
      <c r="AI41" s="42"/>
    </row>
    <row r="42" spans="1:35" ht="15.75" customHeight="1">
      <c r="A42" s="14"/>
      <c r="B42" s="20"/>
      <c r="C42" s="20" t="s">
        <v>78</v>
      </c>
      <c r="D42" s="20" t="s">
        <v>79</v>
      </c>
      <c r="E42" s="20" t="s">
        <v>80</v>
      </c>
      <c r="F42" s="48" t="s">
        <v>171</v>
      </c>
      <c r="G42" s="48" t="s">
        <v>172</v>
      </c>
      <c r="H42" s="48" t="s">
        <v>173</v>
      </c>
      <c r="I42" s="131">
        <v>35149</v>
      </c>
      <c r="J42" s="49">
        <v>1</v>
      </c>
      <c r="K42" s="49"/>
      <c r="L42" s="24">
        <v>1</v>
      </c>
      <c r="M42" s="24"/>
      <c r="N42" s="24"/>
      <c r="O42" s="24"/>
      <c r="P42" s="24"/>
      <c r="Q42" s="24"/>
      <c r="R42" s="24"/>
      <c r="S42" s="24"/>
      <c r="T42" s="24"/>
      <c r="U42" s="54" t="s">
        <v>221</v>
      </c>
      <c r="V42" s="54" t="s">
        <v>218</v>
      </c>
      <c r="W42" s="53" t="s">
        <v>279</v>
      </c>
      <c r="X42" s="53" t="s">
        <v>227</v>
      </c>
      <c r="Y42" s="59">
        <v>9977119445</v>
      </c>
      <c r="Z42" s="20"/>
      <c r="AA42" s="52" t="s">
        <v>256</v>
      </c>
      <c r="AB42" s="53" t="s">
        <v>228</v>
      </c>
      <c r="AC42" s="24">
        <v>1</v>
      </c>
      <c r="AD42" s="24"/>
      <c r="AE42" s="24"/>
      <c r="AF42" s="24"/>
      <c r="AG42" s="24"/>
      <c r="AH42" s="20"/>
      <c r="AI42" s="42"/>
    </row>
    <row r="43" spans="1:35" ht="15.75" customHeight="1">
      <c r="A43" s="14"/>
      <c r="B43" s="20"/>
      <c r="C43" s="20" t="s">
        <v>78</v>
      </c>
      <c r="D43" s="20" t="s">
        <v>79</v>
      </c>
      <c r="E43" s="20" t="s">
        <v>80</v>
      </c>
      <c r="F43" s="48" t="s">
        <v>174</v>
      </c>
      <c r="G43" s="48" t="s">
        <v>175</v>
      </c>
      <c r="H43" s="48" t="s">
        <v>176</v>
      </c>
      <c r="I43" s="131">
        <v>27583</v>
      </c>
      <c r="J43" s="49">
        <v>1</v>
      </c>
      <c r="K43" s="49"/>
      <c r="L43" s="24">
        <v>1</v>
      </c>
      <c r="M43" s="24"/>
      <c r="N43" s="24"/>
      <c r="O43" s="24"/>
      <c r="P43" s="24"/>
      <c r="Q43" s="24"/>
      <c r="R43" s="24"/>
      <c r="S43" s="24"/>
      <c r="T43" s="24"/>
      <c r="U43" s="54" t="s">
        <v>221</v>
      </c>
      <c r="V43" s="54" t="s">
        <v>218</v>
      </c>
      <c r="W43" s="53" t="s">
        <v>279</v>
      </c>
      <c r="X43" s="53" t="s">
        <v>227</v>
      </c>
      <c r="Y43" s="59"/>
      <c r="Z43" s="20"/>
      <c r="AA43" s="52" t="s">
        <v>257</v>
      </c>
      <c r="AB43" s="53" t="s">
        <v>228</v>
      </c>
      <c r="AC43" s="24">
        <v>1</v>
      </c>
      <c r="AD43" s="24"/>
      <c r="AE43" s="24"/>
      <c r="AF43" s="24"/>
      <c r="AG43" s="24"/>
      <c r="AH43" s="20"/>
      <c r="AI43" s="42"/>
    </row>
    <row r="44" spans="1:35" ht="15.75" customHeight="1">
      <c r="A44" s="14"/>
      <c r="B44" s="20"/>
      <c r="C44" s="20" t="s">
        <v>78</v>
      </c>
      <c r="D44" s="20" t="s">
        <v>79</v>
      </c>
      <c r="E44" s="20" t="s">
        <v>80</v>
      </c>
      <c r="F44" s="48" t="s">
        <v>161</v>
      </c>
      <c r="G44" s="48" t="s">
        <v>177</v>
      </c>
      <c r="H44" s="48" t="s">
        <v>178</v>
      </c>
      <c r="I44" s="131">
        <v>24724</v>
      </c>
      <c r="J44" s="49">
        <v>1</v>
      </c>
      <c r="K44" s="49"/>
      <c r="L44" s="24">
        <v>1</v>
      </c>
      <c r="M44" s="24"/>
      <c r="N44" s="24"/>
      <c r="O44" s="24"/>
      <c r="P44" s="24"/>
      <c r="Q44" s="24"/>
      <c r="R44" s="24"/>
      <c r="S44" s="24"/>
      <c r="T44" s="24"/>
      <c r="U44" s="54" t="s">
        <v>221</v>
      </c>
      <c r="V44" s="54" t="s">
        <v>218</v>
      </c>
      <c r="W44" s="53" t="s">
        <v>279</v>
      </c>
      <c r="X44" s="53" t="s">
        <v>227</v>
      </c>
      <c r="Y44" s="59"/>
      <c r="Z44" s="20"/>
      <c r="AA44" s="52" t="s">
        <v>258</v>
      </c>
      <c r="AB44" s="53" t="s">
        <v>228</v>
      </c>
      <c r="AC44" s="24">
        <v>1</v>
      </c>
      <c r="AD44" s="24"/>
      <c r="AE44" s="24"/>
      <c r="AF44" s="24"/>
      <c r="AG44" s="24"/>
      <c r="AH44" s="20"/>
      <c r="AI44" s="42"/>
    </row>
    <row r="45" spans="1:35" ht="15.75" customHeight="1">
      <c r="A45" s="14"/>
      <c r="B45" s="20"/>
      <c r="C45" s="20" t="s">
        <v>78</v>
      </c>
      <c r="D45" s="20" t="s">
        <v>79</v>
      </c>
      <c r="E45" s="20" t="s">
        <v>80</v>
      </c>
      <c r="F45" s="48" t="s">
        <v>179</v>
      </c>
      <c r="G45" s="48" t="s">
        <v>150</v>
      </c>
      <c r="H45" s="48" t="s">
        <v>113</v>
      </c>
      <c r="I45" s="131">
        <v>20105</v>
      </c>
      <c r="J45" s="49">
        <v>1</v>
      </c>
      <c r="K45" s="49"/>
      <c r="L45" s="24">
        <v>1</v>
      </c>
      <c r="M45" s="24">
        <v>1</v>
      </c>
      <c r="N45" s="24"/>
      <c r="O45" s="24"/>
      <c r="P45" s="24"/>
      <c r="Q45" s="24"/>
      <c r="R45" s="24"/>
      <c r="S45" s="24"/>
      <c r="T45" s="24"/>
      <c r="U45" s="54" t="s">
        <v>221</v>
      </c>
      <c r="V45" s="54" t="s">
        <v>218</v>
      </c>
      <c r="W45" s="53" t="s">
        <v>279</v>
      </c>
      <c r="X45" s="53" t="s">
        <v>227</v>
      </c>
      <c r="Y45" s="59"/>
      <c r="Z45" s="20"/>
      <c r="AA45" s="52" t="s">
        <v>259</v>
      </c>
      <c r="AB45" s="53" t="s">
        <v>228</v>
      </c>
      <c r="AC45" s="24">
        <v>1</v>
      </c>
      <c r="AD45" s="24"/>
      <c r="AE45" s="24"/>
      <c r="AF45" s="24"/>
      <c r="AG45" s="24"/>
      <c r="AH45" s="20"/>
      <c r="AI45" s="42"/>
    </row>
    <row r="46" spans="1:35" ht="15.75" customHeight="1">
      <c r="A46" s="14"/>
      <c r="B46" s="20"/>
      <c r="C46" s="20" t="s">
        <v>78</v>
      </c>
      <c r="D46" s="20" t="s">
        <v>79</v>
      </c>
      <c r="E46" s="20" t="s">
        <v>80</v>
      </c>
      <c r="F46" s="48" t="s">
        <v>180</v>
      </c>
      <c r="G46" s="48" t="s">
        <v>181</v>
      </c>
      <c r="H46" s="48"/>
      <c r="I46" s="131">
        <v>29885</v>
      </c>
      <c r="J46" s="49">
        <v>1</v>
      </c>
      <c r="K46" s="49"/>
      <c r="L46" s="24">
        <v>1</v>
      </c>
      <c r="M46" s="24"/>
      <c r="N46" s="24"/>
      <c r="O46" s="24"/>
      <c r="P46" s="24"/>
      <c r="Q46" s="24"/>
      <c r="R46" s="24"/>
      <c r="S46" s="24"/>
      <c r="T46" s="24"/>
      <c r="U46" s="54" t="s">
        <v>221</v>
      </c>
      <c r="V46" s="54" t="s">
        <v>218</v>
      </c>
      <c r="W46" s="53" t="s">
        <v>279</v>
      </c>
      <c r="X46" s="53" t="s">
        <v>227</v>
      </c>
      <c r="Y46" s="59">
        <v>9051918973</v>
      </c>
      <c r="Z46" s="20"/>
      <c r="AA46" s="52" t="s">
        <v>260</v>
      </c>
      <c r="AB46" s="53" t="s">
        <v>228</v>
      </c>
      <c r="AC46" s="24">
        <v>1</v>
      </c>
      <c r="AD46" s="24"/>
      <c r="AE46" s="24"/>
      <c r="AF46" s="24"/>
      <c r="AG46" s="24"/>
      <c r="AH46" s="20"/>
      <c r="AI46" s="42"/>
    </row>
    <row r="47" spans="1:35" ht="15.75" customHeight="1">
      <c r="A47" s="14"/>
      <c r="B47" s="20"/>
      <c r="C47" s="20" t="s">
        <v>78</v>
      </c>
      <c r="D47" s="20" t="s">
        <v>79</v>
      </c>
      <c r="E47" s="20" t="s">
        <v>80</v>
      </c>
      <c r="F47" s="48" t="s">
        <v>106</v>
      </c>
      <c r="G47" s="48" t="s">
        <v>121</v>
      </c>
      <c r="H47" s="48"/>
      <c r="I47" s="131">
        <v>30368</v>
      </c>
      <c r="J47" s="49">
        <v>1</v>
      </c>
      <c r="K47" s="49"/>
      <c r="L47" s="24">
        <v>1</v>
      </c>
      <c r="M47" s="24"/>
      <c r="N47" s="24"/>
      <c r="O47" s="24"/>
      <c r="P47" s="24"/>
      <c r="Q47" s="24"/>
      <c r="R47" s="24"/>
      <c r="S47" s="24"/>
      <c r="T47" s="24"/>
      <c r="U47" s="54" t="s">
        <v>221</v>
      </c>
      <c r="V47" s="54" t="s">
        <v>218</v>
      </c>
      <c r="W47" s="53" t="s">
        <v>279</v>
      </c>
      <c r="X47" s="53" t="s">
        <v>227</v>
      </c>
      <c r="Y47" s="59"/>
      <c r="Z47" s="20"/>
      <c r="AA47" s="52" t="s">
        <v>261</v>
      </c>
      <c r="AB47" s="53" t="s">
        <v>228</v>
      </c>
      <c r="AC47" s="24">
        <v>1</v>
      </c>
      <c r="AD47" s="24"/>
      <c r="AE47" s="24"/>
      <c r="AF47" s="24"/>
      <c r="AG47" s="24"/>
      <c r="AH47" s="20"/>
      <c r="AI47" s="42"/>
    </row>
    <row r="48" spans="1:35" ht="15.75" customHeight="1">
      <c r="A48" s="14"/>
      <c r="B48" s="20"/>
      <c r="C48" s="20" t="s">
        <v>78</v>
      </c>
      <c r="D48" s="20" t="s">
        <v>79</v>
      </c>
      <c r="E48" s="20" t="s">
        <v>80</v>
      </c>
      <c r="F48" s="48" t="s">
        <v>182</v>
      </c>
      <c r="G48" s="48" t="s">
        <v>183</v>
      </c>
      <c r="H48" s="48"/>
      <c r="I48" s="131">
        <v>25610</v>
      </c>
      <c r="J48" s="49">
        <v>1</v>
      </c>
      <c r="K48" s="49"/>
      <c r="L48" s="24">
        <v>1</v>
      </c>
      <c r="M48" s="24"/>
      <c r="N48" s="24"/>
      <c r="O48" s="24"/>
      <c r="P48" s="24"/>
      <c r="Q48" s="24"/>
      <c r="R48" s="24"/>
      <c r="S48" s="24"/>
      <c r="T48" s="24"/>
      <c r="U48" s="54" t="s">
        <v>221</v>
      </c>
      <c r="V48" s="54" t="s">
        <v>218</v>
      </c>
      <c r="W48" s="53" t="s">
        <v>279</v>
      </c>
      <c r="X48" s="53" t="s">
        <v>227</v>
      </c>
      <c r="Y48" s="59">
        <v>9057404471</v>
      </c>
      <c r="Z48" s="20"/>
      <c r="AA48" s="52" t="s">
        <v>262</v>
      </c>
      <c r="AB48" s="53" t="s">
        <v>228</v>
      </c>
      <c r="AC48" s="24">
        <v>1</v>
      </c>
      <c r="AD48" s="24"/>
      <c r="AE48" s="24"/>
      <c r="AF48" s="24"/>
      <c r="AG48" s="24"/>
      <c r="AH48" s="20"/>
      <c r="AI48" s="42"/>
    </row>
    <row r="49" spans="1:35" ht="15.75" customHeight="1">
      <c r="A49" s="14"/>
      <c r="B49" s="20"/>
      <c r="C49" s="20" t="s">
        <v>78</v>
      </c>
      <c r="D49" s="20" t="s">
        <v>79</v>
      </c>
      <c r="E49" s="20" t="s">
        <v>80</v>
      </c>
      <c r="F49" s="48" t="s">
        <v>184</v>
      </c>
      <c r="G49" s="48" t="s">
        <v>185</v>
      </c>
      <c r="H49" s="48"/>
      <c r="I49" s="131">
        <v>25901</v>
      </c>
      <c r="J49" s="49">
        <v>1</v>
      </c>
      <c r="K49" s="49"/>
      <c r="L49" s="24">
        <v>1</v>
      </c>
      <c r="M49" s="24"/>
      <c r="N49" s="24"/>
      <c r="O49" s="24"/>
      <c r="P49" s="24"/>
      <c r="Q49" s="24"/>
      <c r="R49" s="24"/>
      <c r="S49" s="24"/>
      <c r="T49" s="24"/>
      <c r="U49" s="54" t="s">
        <v>221</v>
      </c>
      <c r="V49" s="54" t="s">
        <v>218</v>
      </c>
      <c r="W49" s="53" t="s">
        <v>279</v>
      </c>
      <c r="X49" s="53" t="s">
        <v>227</v>
      </c>
      <c r="Y49" s="59"/>
      <c r="Z49" s="20"/>
      <c r="AA49" s="52" t="s">
        <v>263</v>
      </c>
      <c r="AB49" s="53" t="s">
        <v>228</v>
      </c>
      <c r="AC49" s="24">
        <v>1</v>
      </c>
      <c r="AD49" s="24"/>
      <c r="AE49" s="24"/>
      <c r="AF49" s="24"/>
      <c r="AG49" s="24"/>
      <c r="AH49" s="20"/>
      <c r="AI49" s="42"/>
    </row>
    <row r="50" spans="1:35" ht="15.75" customHeight="1">
      <c r="A50" s="14"/>
      <c r="B50" s="20"/>
      <c r="C50" s="20" t="s">
        <v>78</v>
      </c>
      <c r="D50" s="20" t="s">
        <v>79</v>
      </c>
      <c r="E50" s="20" t="s">
        <v>80</v>
      </c>
      <c r="F50" s="48" t="s">
        <v>186</v>
      </c>
      <c r="G50" s="48" t="s">
        <v>187</v>
      </c>
      <c r="H50" s="48"/>
      <c r="I50" s="131">
        <v>21643</v>
      </c>
      <c r="J50" s="49">
        <v>1</v>
      </c>
      <c r="K50" s="49"/>
      <c r="L50" s="24">
        <v>1</v>
      </c>
      <c r="M50" s="24">
        <v>1</v>
      </c>
      <c r="N50" s="24"/>
      <c r="O50" s="24"/>
      <c r="P50" s="24"/>
      <c r="Q50" s="24"/>
      <c r="R50" s="24"/>
      <c r="S50" s="24"/>
      <c r="T50" s="24"/>
      <c r="U50" s="54" t="s">
        <v>221</v>
      </c>
      <c r="V50" s="54" t="s">
        <v>218</v>
      </c>
      <c r="W50" s="53" t="s">
        <v>279</v>
      </c>
      <c r="X50" s="53" t="s">
        <v>227</v>
      </c>
      <c r="Y50" s="59"/>
      <c r="Z50" s="20"/>
      <c r="AA50" s="52" t="s">
        <v>264</v>
      </c>
      <c r="AB50" s="53" t="s">
        <v>228</v>
      </c>
      <c r="AC50" s="24">
        <v>1</v>
      </c>
      <c r="AD50" s="24"/>
      <c r="AE50" s="24"/>
      <c r="AF50" s="24"/>
      <c r="AG50" s="24"/>
      <c r="AH50" s="20"/>
      <c r="AI50" s="42"/>
    </row>
    <row r="51" spans="1:35" ht="15.75" customHeight="1">
      <c r="A51" s="14"/>
      <c r="B51" s="20"/>
      <c r="C51" s="20" t="s">
        <v>78</v>
      </c>
      <c r="D51" s="20" t="s">
        <v>79</v>
      </c>
      <c r="E51" s="20" t="s">
        <v>80</v>
      </c>
      <c r="F51" s="48" t="s">
        <v>184</v>
      </c>
      <c r="G51" s="48" t="s">
        <v>188</v>
      </c>
      <c r="H51" s="48"/>
      <c r="I51" s="131">
        <v>28340</v>
      </c>
      <c r="J51" s="49">
        <v>1</v>
      </c>
      <c r="K51" s="49"/>
      <c r="L51" s="24">
        <v>1</v>
      </c>
      <c r="M51" s="24"/>
      <c r="N51" s="24"/>
      <c r="O51" s="24"/>
      <c r="P51" s="24"/>
      <c r="Q51" s="24"/>
      <c r="R51" s="24"/>
      <c r="S51" s="24"/>
      <c r="T51" s="24"/>
      <c r="U51" s="54" t="s">
        <v>221</v>
      </c>
      <c r="V51" s="54" t="s">
        <v>218</v>
      </c>
      <c r="W51" s="53" t="s">
        <v>279</v>
      </c>
      <c r="X51" s="53" t="s">
        <v>227</v>
      </c>
      <c r="Y51" s="59"/>
      <c r="Z51" s="20"/>
      <c r="AA51" s="52" t="s">
        <v>265</v>
      </c>
      <c r="AB51" s="53" t="s">
        <v>228</v>
      </c>
      <c r="AC51" s="24">
        <v>1</v>
      </c>
      <c r="AD51" s="24"/>
      <c r="AE51" s="24"/>
      <c r="AF51" s="24"/>
      <c r="AG51" s="24"/>
      <c r="AH51" s="20"/>
      <c r="AI51" s="42"/>
    </row>
    <row r="52" spans="1:35" ht="15.75" customHeight="1">
      <c r="A52" s="14"/>
      <c r="B52" s="20"/>
      <c r="C52" s="20" t="s">
        <v>78</v>
      </c>
      <c r="D52" s="20" t="s">
        <v>79</v>
      </c>
      <c r="E52" s="20" t="s">
        <v>80</v>
      </c>
      <c r="F52" s="48" t="s">
        <v>189</v>
      </c>
      <c r="G52" s="48" t="s">
        <v>190</v>
      </c>
      <c r="H52" s="48" t="s">
        <v>191</v>
      </c>
      <c r="I52" s="131">
        <v>26552</v>
      </c>
      <c r="J52" s="49"/>
      <c r="K52" s="49">
        <v>1</v>
      </c>
      <c r="L52" s="24">
        <v>1</v>
      </c>
      <c r="M52" s="24"/>
      <c r="N52" s="24"/>
      <c r="O52" s="24"/>
      <c r="P52" s="24"/>
      <c r="Q52" s="24"/>
      <c r="R52" s="24"/>
      <c r="S52" s="24"/>
      <c r="T52" s="24"/>
      <c r="U52" s="54" t="s">
        <v>221</v>
      </c>
      <c r="V52" s="54" t="s">
        <v>218</v>
      </c>
      <c r="W52" s="53" t="s">
        <v>279</v>
      </c>
      <c r="X52" s="53" t="s">
        <v>227</v>
      </c>
      <c r="Y52" s="59">
        <v>9659663178</v>
      </c>
      <c r="Z52" s="20"/>
      <c r="AA52" s="52" t="s">
        <v>266</v>
      </c>
      <c r="AB52" s="53" t="s">
        <v>228</v>
      </c>
      <c r="AC52" s="24">
        <v>1</v>
      </c>
      <c r="AD52" s="24"/>
      <c r="AE52" s="24"/>
      <c r="AF52" s="24"/>
      <c r="AG52" s="24"/>
      <c r="AH52" s="20"/>
      <c r="AI52" s="42"/>
    </row>
    <row r="53" spans="1:35" ht="15.75" customHeight="1">
      <c r="A53" s="14"/>
      <c r="B53" s="20"/>
      <c r="C53" s="20" t="s">
        <v>78</v>
      </c>
      <c r="D53" s="20" t="s">
        <v>79</v>
      </c>
      <c r="E53" s="20" t="s">
        <v>80</v>
      </c>
      <c r="F53" s="48" t="s">
        <v>182</v>
      </c>
      <c r="G53" s="48" t="s">
        <v>192</v>
      </c>
      <c r="H53" s="48"/>
      <c r="I53" s="131">
        <v>28292</v>
      </c>
      <c r="J53" s="49">
        <v>1</v>
      </c>
      <c r="K53" s="49"/>
      <c r="L53" s="24">
        <v>1</v>
      </c>
      <c r="M53" s="24"/>
      <c r="N53" s="24"/>
      <c r="O53" s="24"/>
      <c r="P53" s="24"/>
      <c r="Q53" s="24"/>
      <c r="R53" s="24"/>
      <c r="S53" s="24"/>
      <c r="T53" s="24"/>
      <c r="U53" s="54" t="s">
        <v>221</v>
      </c>
      <c r="V53" s="54" t="s">
        <v>218</v>
      </c>
      <c r="W53" s="53" t="s">
        <v>279</v>
      </c>
      <c r="X53" s="53" t="s">
        <v>227</v>
      </c>
      <c r="Y53" s="59">
        <v>9103526226</v>
      </c>
      <c r="Z53" s="20"/>
      <c r="AA53" s="52" t="s">
        <v>267</v>
      </c>
      <c r="AB53" s="53" t="s">
        <v>228</v>
      </c>
      <c r="AC53" s="24">
        <v>1</v>
      </c>
      <c r="AD53" s="24"/>
      <c r="AE53" s="24"/>
      <c r="AF53" s="24"/>
      <c r="AG53" s="24"/>
      <c r="AH53" s="20"/>
      <c r="AI53" s="42"/>
    </row>
    <row r="54" spans="1:35" ht="15.75" customHeight="1">
      <c r="A54" s="14"/>
      <c r="B54" s="20"/>
      <c r="C54" s="20" t="s">
        <v>78</v>
      </c>
      <c r="D54" s="20" t="s">
        <v>79</v>
      </c>
      <c r="E54" s="20" t="s">
        <v>80</v>
      </c>
      <c r="F54" s="48" t="s">
        <v>193</v>
      </c>
      <c r="G54" s="48" t="s">
        <v>194</v>
      </c>
      <c r="H54" s="48"/>
      <c r="I54" s="131"/>
      <c r="J54" s="49">
        <v>1</v>
      </c>
      <c r="K54" s="49"/>
      <c r="L54" s="24">
        <v>1</v>
      </c>
      <c r="M54" s="24"/>
      <c r="N54" s="24"/>
      <c r="O54" s="24"/>
      <c r="P54" s="24"/>
      <c r="Q54" s="24"/>
      <c r="R54" s="24"/>
      <c r="S54" s="24"/>
      <c r="T54" s="24"/>
      <c r="U54" s="54" t="s">
        <v>221</v>
      </c>
      <c r="V54" s="54" t="s">
        <v>218</v>
      </c>
      <c r="W54" s="53" t="s">
        <v>279</v>
      </c>
      <c r="X54" s="53" t="s">
        <v>227</v>
      </c>
      <c r="Y54" s="59"/>
      <c r="Z54" s="20"/>
      <c r="AA54" s="52" t="s">
        <v>268</v>
      </c>
      <c r="AB54" s="53" t="s">
        <v>228</v>
      </c>
      <c r="AC54" s="24">
        <v>1</v>
      </c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 t="s">
        <v>78</v>
      </c>
      <c r="D55" s="20" t="s">
        <v>79</v>
      </c>
      <c r="E55" s="20" t="s">
        <v>80</v>
      </c>
      <c r="F55" s="48" t="s">
        <v>195</v>
      </c>
      <c r="G55" s="48" t="s">
        <v>196</v>
      </c>
      <c r="H55" s="48"/>
      <c r="I55" s="131">
        <v>33577</v>
      </c>
      <c r="J55" s="49">
        <v>1</v>
      </c>
      <c r="K55" s="49"/>
      <c r="L55" s="24">
        <v>1</v>
      </c>
      <c r="M55" s="24"/>
      <c r="N55" s="24"/>
      <c r="O55" s="24"/>
      <c r="P55" s="24"/>
      <c r="Q55" s="24"/>
      <c r="R55" s="24"/>
      <c r="S55" s="24"/>
      <c r="T55" s="24"/>
      <c r="U55" s="54" t="s">
        <v>222</v>
      </c>
      <c r="V55" s="54" t="s">
        <v>223</v>
      </c>
      <c r="W55" s="53" t="s">
        <v>279</v>
      </c>
      <c r="X55" s="53" t="s">
        <v>227</v>
      </c>
      <c r="Y55" s="59">
        <v>9758428323</v>
      </c>
      <c r="Z55" s="20"/>
      <c r="AA55" s="52" t="s">
        <v>269</v>
      </c>
      <c r="AB55" s="53" t="s">
        <v>228</v>
      </c>
      <c r="AC55" s="24">
        <v>1</v>
      </c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 t="s">
        <v>78</v>
      </c>
      <c r="D56" s="20" t="s">
        <v>79</v>
      </c>
      <c r="E56" s="20" t="s">
        <v>80</v>
      </c>
      <c r="F56" s="48" t="s">
        <v>197</v>
      </c>
      <c r="G56" s="48" t="s">
        <v>198</v>
      </c>
      <c r="H56" s="48"/>
      <c r="I56" s="131">
        <v>27453</v>
      </c>
      <c r="J56" s="49">
        <v>1</v>
      </c>
      <c r="K56" s="49"/>
      <c r="L56" s="24">
        <v>1</v>
      </c>
      <c r="M56" s="24"/>
      <c r="N56" s="24"/>
      <c r="O56" s="24"/>
      <c r="P56" s="24"/>
      <c r="Q56" s="24"/>
      <c r="R56" s="24"/>
      <c r="S56" s="24"/>
      <c r="T56" s="24"/>
      <c r="U56" s="54" t="s">
        <v>224</v>
      </c>
      <c r="V56" s="54" t="s">
        <v>223</v>
      </c>
      <c r="W56" s="53" t="s">
        <v>279</v>
      </c>
      <c r="X56" s="53" t="s">
        <v>227</v>
      </c>
      <c r="Y56" s="59">
        <v>9659242499</v>
      </c>
      <c r="Z56" s="20"/>
      <c r="AA56" s="52" t="s">
        <v>270</v>
      </c>
      <c r="AB56" s="53" t="s">
        <v>228</v>
      </c>
      <c r="AC56" s="24">
        <v>1</v>
      </c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 t="s">
        <v>78</v>
      </c>
      <c r="D57" s="20" t="s">
        <v>79</v>
      </c>
      <c r="E57" s="20" t="s">
        <v>80</v>
      </c>
      <c r="F57" s="48" t="s">
        <v>199</v>
      </c>
      <c r="G57" s="48" t="s">
        <v>200</v>
      </c>
      <c r="H57" s="48"/>
      <c r="I57" s="131">
        <v>32819</v>
      </c>
      <c r="J57" s="49">
        <v>1</v>
      </c>
      <c r="K57" s="49"/>
      <c r="L57" s="24">
        <v>1</v>
      </c>
      <c r="M57" s="24"/>
      <c r="N57" s="24"/>
      <c r="O57" s="24"/>
      <c r="P57" s="24"/>
      <c r="Q57" s="24"/>
      <c r="R57" s="24"/>
      <c r="S57" s="24"/>
      <c r="T57" s="24"/>
      <c r="U57" s="54" t="s">
        <v>225</v>
      </c>
      <c r="V57" s="54" t="s">
        <v>223</v>
      </c>
      <c r="W57" s="53" t="s">
        <v>279</v>
      </c>
      <c r="X57" s="53" t="s">
        <v>227</v>
      </c>
      <c r="Y57" s="59">
        <v>9655072344</v>
      </c>
      <c r="Z57" s="20"/>
      <c r="AA57" s="52" t="s">
        <v>271</v>
      </c>
      <c r="AB57" s="53" t="s">
        <v>228</v>
      </c>
      <c r="AC57" s="24">
        <v>1</v>
      </c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 t="s">
        <v>78</v>
      </c>
      <c r="D58" s="20" t="s">
        <v>79</v>
      </c>
      <c r="E58" s="20" t="s">
        <v>80</v>
      </c>
      <c r="F58" s="48" t="s">
        <v>201</v>
      </c>
      <c r="G58" s="48" t="s">
        <v>119</v>
      </c>
      <c r="H58" s="48" t="s">
        <v>202</v>
      </c>
      <c r="I58" s="131">
        <v>32961</v>
      </c>
      <c r="J58" s="49">
        <v>1</v>
      </c>
      <c r="K58" s="49"/>
      <c r="L58" s="24">
        <v>1</v>
      </c>
      <c r="M58" s="24"/>
      <c r="N58" s="24"/>
      <c r="O58" s="24"/>
      <c r="P58" s="24"/>
      <c r="Q58" s="24"/>
      <c r="R58" s="24"/>
      <c r="S58" s="24"/>
      <c r="T58" s="24"/>
      <c r="U58" s="54" t="s">
        <v>224</v>
      </c>
      <c r="V58" s="54" t="s">
        <v>223</v>
      </c>
      <c r="W58" s="53" t="s">
        <v>279</v>
      </c>
      <c r="X58" s="53" t="s">
        <v>227</v>
      </c>
      <c r="Y58" s="59">
        <v>9757270804</v>
      </c>
      <c r="Z58" s="20"/>
      <c r="AA58" s="52" t="s">
        <v>272</v>
      </c>
      <c r="AB58" s="53" t="s">
        <v>228</v>
      </c>
      <c r="AC58" s="24">
        <v>1</v>
      </c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 t="s">
        <v>78</v>
      </c>
      <c r="D59" s="20" t="s">
        <v>79</v>
      </c>
      <c r="E59" s="20" t="s">
        <v>80</v>
      </c>
      <c r="F59" s="48" t="s">
        <v>203</v>
      </c>
      <c r="G59" s="48" t="s">
        <v>204</v>
      </c>
      <c r="H59" s="48" t="s">
        <v>202</v>
      </c>
      <c r="I59" s="131">
        <v>22423</v>
      </c>
      <c r="J59" s="49"/>
      <c r="K59" s="49">
        <v>1</v>
      </c>
      <c r="L59" s="24">
        <v>1</v>
      </c>
      <c r="M59" s="24">
        <v>1</v>
      </c>
      <c r="N59" s="24"/>
      <c r="O59" s="24"/>
      <c r="P59" s="24"/>
      <c r="Q59" s="24"/>
      <c r="R59" s="24"/>
      <c r="S59" s="24"/>
      <c r="T59" s="24"/>
      <c r="U59" s="54" t="s">
        <v>226</v>
      </c>
      <c r="V59" s="54" t="s">
        <v>223</v>
      </c>
      <c r="W59" s="53" t="s">
        <v>279</v>
      </c>
      <c r="X59" s="53" t="s">
        <v>227</v>
      </c>
      <c r="Y59" s="59">
        <v>9462860717</v>
      </c>
      <c r="Z59" s="20"/>
      <c r="AA59" s="52" t="s">
        <v>273</v>
      </c>
      <c r="AB59" s="53" t="s">
        <v>228</v>
      </c>
      <c r="AC59" s="24">
        <v>1</v>
      </c>
      <c r="AD59" s="24"/>
      <c r="AE59" s="24"/>
      <c r="AF59" s="24"/>
      <c r="AG59" s="24"/>
      <c r="AH59" s="20"/>
      <c r="AI59" s="42"/>
    </row>
    <row r="60" spans="1:35" ht="15.75" customHeight="1">
      <c r="A60" s="14"/>
      <c r="B60" s="20"/>
      <c r="C60" s="20" t="s">
        <v>78</v>
      </c>
      <c r="D60" s="20" t="s">
        <v>79</v>
      </c>
      <c r="E60" s="20" t="s">
        <v>80</v>
      </c>
      <c r="F60" s="48" t="s">
        <v>205</v>
      </c>
      <c r="G60" s="48" t="s">
        <v>206</v>
      </c>
      <c r="H60" s="48" t="s">
        <v>160</v>
      </c>
      <c r="I60" s="131">
        <v>19850</v>
      </c>
      <c r="J60" s="49">
        <v>1</v>
      </c>
      <c r="K60" s="49"/>
      <c r="L60" s="24">
        <v>1</v>
      </c>
      <c r="M60" s="24">
        <v>1</v>
      </c>
      <c r="N60" s="24"/>
      <c r="O60" s="24"/>
      <c r="P60" s="24"/>
      <c r="Q60" s="24"/>
      <c r="R60" s="24"/>
      <c r="S60" s="24"/>
      <c r="T60" s="24"/>
      <c r="U60" s="54" t="s">
        <v>226</v>
      </c>
      <c r="V60" s="54" t="s">
        <v>223</v>
      </c>
      <c r="W60" s="53" t="s">
        <v>279</v>
      </c>
      <c r="X60" s="53" t="s">
        <v>227</v>
      </c>
      <c r="Y60" s="59">
        <v>9266090607</v>
      </c>
      <c r="Z60" s="20"/>
      <c r="AA60" s="52" t="s">
        <v>278</v>
      </c>
      <c r="AB60" s="53" t="s">
        <v>228</v>
      </c>
      <c r="AC60" s="24">
        <v>1</v>
      </c>
      <c r="AD60" s="24"/>
      <c r="AE60" s="24"/>
      <c r="AF60" s="24"/>
      <c r="AG60" s="24"/>
      <c r="AH60" s="20"/>
      <c r="AI60" s="42"/>
    </row>
    <row r="61" spans="1:35" ht="15.75" customHeight="1">
      <c r="A61" s="14"/>
      <c r="B61" s="20"/>
      <c r="C61" s="20" t="s">
        <v>78</v>
      </c>
      <c r="D61" s="20" t="s">
        <v>79</v>
      </c>
      <c r="E61" s="20" t="s">
        <v>80</v>
      </c>
      <c r="F61" s="48" t="s">
        <v>207</v>
      </c>
      <c r="G61" s="48" t="s">
        <v>208</v>
      </c>
      <c r="H61" s="48" t="s">
        <v>126</v>
      </c>
      <c r="I61" s="131">
        <v>25673</v>
      </c>
      <c r="J61" s="49">
        <v>1</v>
      </c>
      <c r="K61" s="49"/>
      <c r="L61" s="24">
        <v>1</v>
      </c>
      <c r="M61" s="24"/>
      <c r="N61" s="24"/>
      <c r="O61" s="24"/>
      <c r="P61" s="24"/>
      <c r="Q61" s="24"/>
      <c r="R61" s="24"/>
      <c r="S61" s="24"/>
      <c r="T61" s="24"/>
      <c r="U61" s="54" t="s">
        <v>224</v>
      </c>
      <c r="V61" s="54" t="s">
        <v>223</v>
      </c>
      <c r="W61" s="53" t="s">
        <v>279</v>
      </c>
      <c r="X61" s="53" t="s">
        <v>227</v>
      </c>
      <c r="Y61" s="59">
        <v>9502146311</v>
      </c>
      <c r="Z61" s="20"/>
      <c r="AA61" s="52" t="s">
        <v>274</v>
      </c>
      <c r="AB61" s="53" t="s">
        <v>228</v>
      </c>
      <c r="AC61" s="24">
        <v>1</v>
      </c>
      <c r="AD61" s="24"/>
      <c r="AE61" s="24"/>
      <c r="AF61" s="24"/>
      <c r="AG61" s="24"/>
      <c r="AH61" s="20"/>
      <c r="AI61" s="42"/>
    </row>
    <row r="62" spans="1:35" ht="15.75" customHeight="1">
      <c r="A62" s="14"/>
      <c r="B62" s="20"/>
      <c r="C62" s="20" t="s">
        <v>78</v>
      </c>
      <c r="D62" s="20" t="s">
        <v>79</v>
      </c>
      <c r="E62" s="20" t="s">
        <v>80</v>
      </c>
      <c r="F62" s="48" t="s">
        <v>209</v>
      </c>
      <c r="G62" s="48" t="s">
        <v>210</v>
      </c>
      <c r="H62" s="48" t="s">
        <v>144</v>
      </c>
      <c r="I62" s="131">
        <v>28830</v>
      </c>
      <c r="J62" s="49">
        <v>1</v>
      </c>
      <c r="K62" s="49"/>
      <c r="L62" s="24">
        <v>1</v>
      </c>
      <c r="M62" s="24"/>
      <c r="N62" s="24"/>
      <c r="O62" s="24"/>
      <c r="P62" s="24"/>
      <c r="Q62" s="24"/>
      <c r="R62" s="24"/>
      <c r="S62" s="24"/>
      <c r="T62" s="24"/>
      <c r="U62" s="54" t="s">
        <v>222</v>
      </c>
      <c r="V62" s="54" t="s">
        <v>223</v>
      </c>
      <c r="W62" s="53" t="s">
        <v>279</v>
      </c>
      <c r="X62" s="53" t="s">
        <v>227</v>
      </c>
      <c r="Y62" s="59">
        <v>9078135049</v>
      </c>
      <c r="Z62" s="20"/>
      <c r="AA62" s="52" t="s">
        <v>275</v>
      </c>
      <c r="AB62" s="53" t="s">
        <v>228</v>
      </c>
      <c r="AC62" s="24">
        <v>1</v>
      </c>
      <c r="AD62" s="24"/>
      <c r="AE62" s="24"/>
      <c r="AF62" s="24"/>
      <c r="AG62" s="24"/>
      <c r="AH62" s="20"/>
      <c r="AI62" s="42"/>
    </row>
    <row r="63" spans="1:35" ht="15.75" customHeight="1">
      <c r="A63" s="14"/>
      <c r="B63" s="20"/>
      <c r="C63" s="20" t="s">
        <v>78</v>
      </c>
      <c r="D63" s="20" t="s">
        <v>79</v>
      </c>
      <c r="E63" s="20" t="s">
        <v>80</v>
      </c>
      <c r="F63" s="48" t="s">
        <v>211</v>
      </c>
      <c r="G63" s="48" t="s">
        <v>212</v>
      </c>
      <c r="H63" s="48"/>
      <c r="I63" s="132"/>
      <c r="J63" s="49">
        <v>1</v>
      </c>
      <c r="K63" s="49"/>
      <c r="L63" s="24">
        <v>1</v>
      </c>
      <c r="M63" s="24"/>
      <c r="N63" s="24"/>
      <c r="O63" s="24"/>
      <c r="P63" s="24"/>
      <c r="Q63" s="24"/>
      <c r="R63" s="24"/>
      <c r="S63" s="24"/>
      <c r="T63" s="24"/>
      <c r="U63" s="54" t="s">
        <v>226</v>
      </c>
      <c r="V63" s="54" t="s">
        <v>223</v>
      </c>
      <c r="W63" s="53" t="s">
        <v>279</v>
      </c>
      <c r="X63" s="53" t="s">
        <v>227</v>
      </c>
      <c r="Y63" s="61"/>
      <c r="Z63" s="20"/>
      <c r="AA63" s="52" t="s">
        <v>276</v>
      </c>
      <c r="AB63" s="53" t="s">
        <v>228</v>
      </c>
      <c r="AC63" s="24">
        <v>1</v>
      </c>
      <c r="AD63" s="24"/>
      <c r="AE63" s="24"/>
      <c r="AF63" s="24"/>
      <c r="AG63" s="24"/>
      <c r="AH63" s="20"/>
      <c r="AI63" s="42"/>
    </row>
    <row r="64" spans="1:35" ht="15.75" customHeight="1">
      <c r="A64" s="14"/>
      <c r="B64" s="20"/>
      <c r="C64" s="20" t="s">
        <v>78</v>
      </c>
      <c r="D64" s="20" t="s">
        <v>79</v>
      </c>
      <c r="E64" s="20" t="s">
        <v>80</v>
      </c>
      <c r="F64" s="48" t="s">
        <v>213</v>
      </c>
      <c r="G64" s="48" t="s">
        <v>214</v>
      </c>
      <c r="H64" s="48"/>
      <c r="I64" s="132"/>
      <c r="J64" s="49">
        <v>1</v>
      </c>
      <c r="K64" s="49"/>
      <c r="L64" s="24">
        <v>1</v>
      </c>
      <c r="M64" s="24"/>
      <c r="N64" s="24"/>
      <c r="O64" s="24"/>
      <c r="P64" s="24"/>
      <c r="Q64" s="24"/>
      <c r="R64" s="24"/>
      <c r="S64" s="24"/>
      <c r="T64" s="24"/>
      <c r="U64" s="54" t="s">
        <v>224</v>
      </c>
      <c r="V64" s="54" t="s">
        <v>223</v>
      </c>
      <c r="W64" s="53" t="s">
        <v>279</v>
      </c>
      <c r="X64" s="53" t="s">
        <v>227</v>
      </c>
      <c r="Y64" s="61"/>
      <c r="Z64" s="20"/>
      <c r="AA64" s="52" t="s">
        <v>277</v>
      </c>
      <c r="AB64" s="53" t="s">
        <v>228</v>
      </c>
      <c r="AC64" s="24">
        <v>1</v>
      </c>
      <c r="AD64" s="24"/>
      <c r="AE64" s="24"/>
      <c r="AF64" s="24"/>
      <c r="AG64" s="24"/>
      <c r="AH64" s="20"/>
      <c r="AI64" s="42"/>
    </row>
    <row r="65" spans="1:35">
      <c r="A65" s="14"/>
      <c r="B65" s="20"/>
      <c r="C65" s="20" t="s">
        <v>78</v>
      </c>
      <c r="D65" s="20" t="s">
        <v>79</v>
      </c>
      <c r="E65" s="20" t="s">
        <v>80</v>
      </c>
      <c r="F65" s="55" t="s">
        <v>281</v>
      </c>
      <c r="G65" s="55" t="s">
        <v>282</v>
      </c>
      <c r="H65" s="55" t="s">
        <v>283</v>
      </c>
      <c r="I65" s="133">
        <v>25771</v>
      </c>
      <c r="J65" s="24">
        <v>1</v>
      </c>
      <c r="K65" s="24"/>
      <c r="L65" s="24">
        <v>1</v>
      </c>
      <c r="M65" s="24"/>
      <c r="N65" s="24"/>
      <c r="O65" s="24"/>
      <c r="P65" s="24"/>
      <c r="Q65" s="24"/>
      <c r="R65" s="24"/>
      <c r="S65" s="24"/>
      <c r="T65" s="24"/>
      <c r="U65" s="54" t="s">
        <v>292</v>
      </c>
      <c r="V65" s="54" t="s">
        <v>293</v>
      </c>
      <c r="W65" s="53" t="s">
        <v>298</v>
      </c>
      <c r="X65" s="53" t="s">
        <v>227</v>
      </c>
      <c r="Y65" s="59">
        <v>9995343224</v>
      </c>
      <c r="Z65" s="20"/>
      <c r="AA65" s="52" t="s">
        <v>299</v>
      </c>
      <c r="AB65" s="53" t="s">
        <v>228</v>
      </c>
      <c r="AC65" s="24">
        <v>1</v>
      </c>
      <c r="AD65" s="24"/>
      <c r="AE65" s="24"/>
      <c r="AF65" s="24"/>
      <c r="AG65" s="24"/>
      <c r="AH65" s="20"/>
      <c r="AI65" s="42"/>
    </row>
    <row r="66" spans="1:35">
      <c r="A66" s="14"/>
      <c r="B66" s="20"/>
      <c r="C66" s="20" t="s">
        <v>78</v>
      </c>
      <c r="D66" s="20" t="s">
        <v>79</v>
      </c>
      <c r="E66" s="20" t="s">
        <v>80</v>
      </c>
      <c r="F66" s="55" t="s">
        <v>284</v>
      </c>
      <c r="G66" s="55" t="s">
        <v>285</v>
      </c>
      <c r="H66" s="55" t="s">
        <v>286</v>
      </c>
      <c r="I66" s="133">
        <v>25120</v>
      </c>
      <c r="J66" s="24">
        <v>1</v>
      </c>
      <c r="K66" s="24"/>
      <c r="L66" s="24">
        <v>1</v>
      </c>
      <c r="M66" s="24"/>
      <c r="N66" s="24"/>
      <c r="O66" s="24"/>
      <c r="P66" s="24"/>
      <c r="Q66" s="24"/>
      <c r="R66" s="24"/>
      <c r="S66" s="24"/>
      <c r="T66" s="24"/>
      <c r="U66" s="54" t="s">
        <v>294</v>
      </c>
      <c r="V66" s="54" t="s">
        <v>293</v>
      </c>
      <c r="W66" s="53" t="s">
        <v>298</v>
      </c>
      <c r="X66" s="53" t="s">
        <v>227</v>
      </c>
      <c r="Y66" s="59">
        <v>9557009308</v>
      </c>
      <c r="Z66" s="20"/>
      <c r="AA66" s="52" t="s">
        <v>300</v>
      </c>
      <c r="AB66" s="53" t="s">
        <v>228</v>
      </c>
      <c r="AC66" s="24">
        <v>1</v>
      </c>
      <c r="AD66" s="24"/>
      <c r="AE66" s="24"/>
      <c r="AF66" s="24"/>
      <c r="AG66" s="24"/>
      <c r="AH66" s="20"/>
      <c r="AI66" s="42"/>
    </row>
    <row r="67" spans="1:35">
      <c r="A67" s="14"/>
      <c r="B67" s="20"/>
      <c r="C67" s="20" t="s">
        <v>78</v>
      </c>
      <c r="D67" s="20" t="s">
        <v>79</v>
      </c>
      <c r="E67" s="20" t="s">
        <v>80</v>
      </c>
      <c r="F67" s="55" t="s">
        <v>287</v>
      </c>
      <c r="G67" s="55" t="s">
        <v>288</v>
      </c>
      <c r="H67" s="55" t="s">
        <v>126</v>
      </c>
      <c r="I67" s="133">
        <v>29115</v>
      </c>
      <c r="J67" s="24"/>
      <c r="K67" s="24">
        <v>1</v>
      </c>
      <c r="L67" s="24">
        <v>1</v>
      </c>
      <c r="M67" s="24"/>
      <c r="N67" s="24"/>
      <c r="O67" s="24"/>
      <c r="P67" s="24"/>
      <c r="Q67" s="24"/>
      <c r="R67" s="24"/>
      <c r="S67" s="24"/>
      <c r="T67" s="24"/>
      <c r="U67" s="54" t="s">
        <v>295</v>
      </c>
      <c r="V67" s="54" t="s">
        <v>293</v>
      </c>
      <c r="W67" s="53" t="s">
        <v>298</v>
      </c>
      <c r="X67" s="53" t="s">
        <v>227</v>
      </c>
      <c r="Y67" s="59">
        <v>9069697326</v>
      </c>
      <c r="Z67" s="20"/>
      <c r="AA67" s="52" t="s">
        <v>301</v>
      </c>
      <c r="AB67" s="53" t="s">
        <v>228</v>
      </c>
      <c r="AC67" s="24">
        <v>1</v>
      </c>
      <c r="AD67" s="24"/>
      <c r="AE67" s="24"/>
      <c r="AF67" s="24"/>
      <c r="AG67" s="24"/>
      <c r="AH67" s="20"/>
      <c r="AI67" s="42"/>
    </row>
    <row r="68" spans="1:35">
      <c r="A68" s="14"/>
      <c r="B68" s="20"/>
      <c r="C68" s="20" t="s">
        <v>78</v>
      </c>
      <c r="D68" s="20" t="s">
        <v>79</v>
      </c>
      <c r="E68" s="20" t="s">
        <v>80</v>
      </c>
      <c r="F68" s="55" t="s">
        <v>184</v>
      </c>
      <c r="G68" s="55" t="s">
        <v>289</v>
      </c>
      <c r="H68" s="55"/>
      <c r="I68" s="133">
        <v>27269</v>
      </c>
      <c r="J68" s="24">
        <v>1</v>
      </c>
      <c r="K68" s="24"/>
      <c r="L68" s="24">
        <v>1</v>
      </c>
      <c r="M68" s="24"/>
      <c r="N68" s="24"/>
      <c r="O68" s="24"/>
      <c r="P68" s="24"/>
      <c r="Q68" s="24"/>
      <c r="R68" s="24"/>
      <c r="S68" s="24"/>
      <c r="T68" s="24"/>
      <c r="U68" s="54" t="s">
        <v>296</v>
      </c>
      <c r="V68" s="54" t="s">
        <v>293</v>
      </c>
      <c r="W68" s="53" t="s">
        <v>298</v>
      </c>
      <c r="X68" s="53" t="s">
        <v>227</v>
      </c>
      <c r="Y68" s="59">
        <v>9559306624</v>
      </c>
      <c r="Z68" s="20"/>
      <c r="AA68" s="52" t="s">
        <v>302</v>
      </c>
      <c r="AB68" s="53" t="s">
        <v>228</v>
      </c>
      <c r="AC68" s="24">
        <v>1</v>
      </c>
      <c r="AD68" s="24"/>
      <c r="AE68" s="24"/>
      <c r="AF68" s="24"/>
      <c r="AG68" s="24"/>
      <c r="AH68" s="20"/>
      <c r="AI68" s="42"/>
    </row>
    <row r="69" spans="1:35">
      <c r="A69" s="14"/>
      <c r="B69" s="20"/>
      <c r="C69" s="20" t="s">
        <v>78</v>
      </c>
      <c r="D69" s="20" t="s">
        <v>79</v>
      </c>
      <c r="E69" s="20" t="s">
        <v>80</v>
      </c>
      <c r="F69" s="55" t="s">
        <v>290</v>
      </c>
      <c r="G69" s="55" t="s">
        <v>291</v>
      </c>
      <c r="H69" s="55" t="s">
        <v>115</v>
      </c>
      <c r="I69" s="133"/>
      <c r="J69" s="24">
        <v>1</v>
      </c>
      <c r="K69" s="24"/>
      <c r="L69" s="24">
        <v>1</v>
      </c>
      <c r="M69" s="24"/>
      <c r="N69" s="24"/>
      <c r="O69" s="24"/>
      <c r="P69" s="24"/>
      <c r="Q69" s="24"/>
      <c r="R69" s="24"/>
      <c r="S69" s="24"/>
      <c r="T69" s="24"/>
      <c r="U69" s="54" t="s">
        <v>297</v>
      </c>
      <c r="V69" s="54" t="s">
        <v>293</v>
      </c>
      <c r="W69" s="53" t="s">
        <v>298</v>
      </c>
      <c r="X69" s="53" t="s">
        <v>227</v>
      </c>
      <c r="Y69" s="59">
        <v>9789345527</v>
      </c>
      <c r="Z69" s="20"/>
      <c r="AA69" s="52" t="s">
        <v>303</v>
      </c>
      <c r="AB69" s="53" t="s">
        <v>228</v>
      </c>
      <c r="AC69" s="24">
        <v>1</v>
      </c>
      <c r="AD69" s="24"/>
      <c r="AE69" s="24"/>
      <c r="AF69" s="24"/>
      <c r="AG69" s="24"/>
      <c r="AH69" s="20"/>
      <c r="AI69" s="42"/>
    </row>
    <row r="70" spans="1:35">
      <c r="A70" s="14"/>
      <c r="B70" s="20"/>
      <c r="C70" s="53" t="s">
        <v>105</v>
      </c>
      <c r="D70" s="20" t="s">
        <v>79</v>
      </c>
      <c r="E70" s="20" t="s">
        <v>80</v>
      </c>
      <c r="F70" s="52" t="s">
        <v>304</v>
      </c>
      <c r="G70" s="52" t="s">
        <v>305</v>
      </c>
      <c r="H70" s="52"/>
      <c r="I70" s="134">
        <v>25502</v>
      </c>
      <c r="J70" s="57">
        <v>1</v>
      </c>
      <c r="K70" s="58"/>
      <c r="L70" s="24">
        <v>1</v>
      </c>
      <c r="M70" s="24"/>
      <c r="N70" s="24"/>
      <c r="O70" s="24"/>
      <c r="P70" s="24"/>
      <c r="Q70" s="24"/>
      <c r="R70" s="24"/>
      <c r="S70" s="24"/>
      <c r="T70" s="24"/>
      <c r="U70" s="56" t="s">
        <v>349</v>
      </c>
      <c r="V70" s="56" t="s">
        <v>350</v>
      </c>
      <c r="W70" s="53" t="s">
        <v>279</v>
      </c>
      <c r="X70" s="53" t="s">
        <v>227</v>
      </c>
      <c r="Y70" s="59"/>
      <c r="Z70" s="20"/>
      <c r="AA70" s="50" t="s">
        <v>356</v>
      </c>
      <c r="AB70" s="53" t="s">
        <v>228</v>
      </c>
      <c r="AC70" s="24">
        <v>1</v>
      </c>
      <c r="AD70" s="24"/>
      <c r="AE70" s="24"/>
      <c r="AF70" s="24"/>
      <c r="AG70" s="24"/>
      <c r="AH70" s="20"/>
      <c r="AI70" s="42"/>
    </row>
    <row r="71" spans="1:35">
      <c r="A71" s="14"/>
      <c r="B71" s="20"/>
      <c r="C71" s="53" t="s">
        <v>105</v>
      </c>
      <c r="D71" s="20" t="s">
        <v>79</v>
      </c>
      <c r="E71" s="20" t="s">
        <v>80</v>
      </c>
      <c r="F71" s="52" t="s">
        <v>306</v>
      </c>
      <c r="G71" s="52" t="s">
        <v>307</v>
      </c>
      <c r="H71" s="52"/>
      <c r="I71" s="134">
        <v>20159</v>
      </c>
      <c r="J71" s="57">
        <v>1</v>
      </c>
      <c r="K71" s="58"/>
      <c r="L71" s="24">
        <v>1</v>
      </c>
      <c r="M71" s="24">
        <v>1</v>
      </c>
      <c r="N71" s="24"/>
      <c r="O71" s="24"/>
      <c r="P71" s="24"/>
      <c r="Q71" s="24"/>
      <c r="R71" s="24"/>
      <c r="S71" s="24"/>
      <c r="T71" s="24"/>
      <c r="U71" s="56" t="s">
        <v>349</v>
      </c>
      <c r="V71" s="56" t="s">
        <v>350</v>
      </c>
      <c r="W71" s="53" t="s">
        <v>279</v>
      </c>
      <c r="X71" s="53" t="s">
        <v>227</v>
      </c>
      <c r="Y71" s="59"/>
      <c r="Z71" s="20"/>
      <c r="AA71" s="50" t="s">
        <v>357</v>
      </c>
      <c r="AB71" s="53" t="s">
        <v>228</v>
      </c>
      <c r="AC71" s="24">
        <v>1</v>
      </c>
      <c r="AD71" s="24"/>
      <c r="AE71" s="24"/>
      <c r="AF71" s="24"/>
      <c r="AG71" s="24"/>
      <c r="AH71" s="20"/>
      <c r="AI71" s="42"/>
    </row>
    <row r="72" spans="1:35">
      <c r="A72" s="14"/>
      <c r="B72" s="20"/>
      <c r="C72" s="53" t="s">
        <v>105</v>
      </c>
      <c r="D72" s="20" t="s">
        <v>79</v>
      </c>
      <c r="E72" s="20" t="s">
        <v>80</v>
      </c>
      <c r="F72" s="52" t="s">
        <v>308</v>
      </c>
      <c r="G72" s="52" t="s">
        <v>309</v>
      </c>
      <c r="H72" s="52"/>
      <c r="I72" s="134">
        <v>32930</v>
      </c>
      <c r="J72" s="57">
        <v>1</v>
      </c>
      <c r="K72" s="58"/>
      <c r="L72" s="24">
        <v>1</v>
      </c>
      <c r="M72" s="24"/>
      <c r="N72" s="24"/>
      <c r="O72" s="24"/>
      <c r="P72" s="24"/>
      <c r="Q72" s="24"/>
      <c r="R72" s="24"/>
      <c r="S72" s="24"/>
      <c r="T72" s="24"/>
      <c r="U72" s="56" t="s">
        <v>351</v>
      </c>
      <c r="V72" s="56" t="s">
        <v>350</v>
      </c>
      <c r="W72" s="53" t="s">
        <v>279</v>
      </c>
      <c r="X72" s="53" t="s">
        <v>227</v>
      </c>
      <c r="Y72" s="59">
        <v>9262243570</v>
      </c>
      <c r="Z72" s="20"/>
      <c r="AA72" s="50" t="s">
        <v>358</v>
      </c>
      <c r="AB72" s="53" t="s">
        <v>228</v>
      </c>
      <c r="AC72" s="24">
        <v>1</v>
      </c>
      <c r="AD72" s="24"/>
      <c r="AE72" s="24"/>
      <c r="AF72" s="24"/>
      <c r="AG72" s="24"/>
      <c r="AH72" s="20"/>
      <c r="AI72" s="42"/>
    </row>
    <row r="73" spans="1:35">
      <c r="A73" s="14"/>
      <c r="B73" s="20"/>
      <c r="C73" s="53" t="s">
        <v>105</v>
      </c>
      <c r="D73" s="20" t="s">
        <v>79</v>
      </c>
      <c r="E73" s="20" t="s">
        <v>80</v>
      </c>
      <c r="F73" s="52" t="s">
        <v>310</v>
      </c>
      <c r="G73" s="52" t="s">
        <v>311</v>
      </c>
      <c r="H73" s="52"/>
      <c r="I73" s="134">
        <v>29089</v>
      </c>
      <c r="J73" s="57">
        <v>1</v>
      </c>
      <c r="K73" s="58"/>
      <c r="L73" s="24">
        <v>1</v>
      </c>
      <c r="M73" s="24"/>
      <c r="N73" s="24"/>
      <c r="O73" s="24"/>
      <c r="P73" s="24"/>
      <c r="Q73" s="24"/>
      <c r="R73" s="24"/>
      <c r="S73" s="24"/>
      <c r="T73" s="24"/>
      <c r="U73" s="56" t="s">
        <v>351</v>
      </c>
      <c r="V73" s="56" t="s">
        <v>350</v>
      </c>
      <c r="W73" s="53" t="s">
        <v>279</v>
      </c>
      <c r="X73" s="53" t="s">
        <v>227</v>
      </c>
      <c r="Y73" s="59">
        <v>9755575404</v>
      </c>
      <c r="Z73" s="20"/>
      <c r="AA73" s="50" t="s">
        <v>359</v>
      </c>
      <c r="AB73" s="53" t="s">
        <v>228</v>
      </c>
      <c r="AC73" s="24">
        <v>1</v>
      </c>
      <c r="AD73" s="24"/>
      <c r="AE73" s="24"/>
      <c r="AF73" s="24"/>
      <c r="AG73" s="24"/>
      <c r="AH73" s="20"/>
      <c r="AI73" s="42"/>
    </row>
    <row r="74" spans="1:35">
      <c r="A74" s="14"/>
      <c r="B74" s="20"/>
      <c r="C74" s="53" t="s">
        <v>105</v>
      </c>
      <c r="D74" s="20" t="s">
        <v>79</v>
      </c>
      <c r="E74" s="20" t="s">
        <v>80</v>
      </c>
      <c r="F74" s="52" t="s">
        <v>312</v>
      </c>
      <c r="G74" s="52" t="s">
        <v>313</v>
      </c>
      <c r="H74" s="52"/>
      <c r="I74" s="134">
        <v>30267</v>
      </c>
      <c r="J74" s="57">
        <v>1</v>
      </c>
      <c r="K74" s="58"/>
      <c r="L74" s="24">
        <v>1</v>
      </c>
      <c r="M74" s="24"/>
      <c r="N74" s="24"/>
      <c r="O74" s="24"/>
      <c r="P74" s="24"/>
      <c r="Q74" s="24"/>
      <c r="R74" s="24"/>
      <c r="S74" s="24"/>
      <c r="T74" s="24"/>
      <c r="U74" s="56" t="s">
        <v>351</v>
      </c>
      <c r="V74" s="56" t="s">
        <v>350</v>
      </c>
      <c r="W74" s="53" t="s">
        <v>279</v>
      </c>
      <c r="X74" s="53" t="s">
        <v>227</v>
      </c>
      <c r="Y74" s="59"/>
      <c r="Z74" s="20"/>
      <c r="AA74" s="50" t="s">
        <v>360</v>
      </c>
      <c r="AB74" s="53" t="s">
        <v>228</v>
      </c>
      <c r="AC74" s="24">
        <v>1</v>
      </c>
      <c r="AD74" s="24"/>
      <c r="AE74" s="24"/>
      <c r="AF74" s="24"/>
      <c r="AG74" s="24"/>
      <c r="AH74" s="20"/>
      <c r="AI74" s="42"/>
    </row>
    <row r="75" spans="1:35">
      <c r="A75" s="14"/>
      <c r="B75" s="20"/>
      <c r="C75" s="53" t="s">
        <v>105</v>
      </c>
      <c r="D75" s="20" t="s">
        <v>79</v>
      </c>
      <c r="E75" s="20" t="s">
        <v>80</v>
      </c>
      <c r="F75" s="52" t="s">
        <v>314</v>
      </c>
      <c r="G75" s="52" t="s">
        <v>315</v>
      </c>
      <c r="H75" s="52"/>
      <c r="I75" s="134">
        <v>27925</v>
      </c>
      <c r="J75" s="57">
        <v>1</v>
      </c>
      <c r="K75" s="58"/>
      <c r="L75" s="24">
        <v>1</v>
      </c>
      <c r="M75" s="24"/>
      <c r="N75" s="24"/>
      <c r="O75" s="24"/>
      <c r="P75" s="24"/>
      <c r="Q75" s="24"/>
      <c r="R75" s="24"/>
      <c r="S75" s="24"/>
      <c r="T75" s="24"/>
      <c r="U75" s="56" t="s">
        <v>352</v>
      </c>
      <c r="V75" s="56" t="s">
        <v>350</v>
      </c>
      <c r="W75" s="53" t="s">
        <v>279</v>
      </c>
      <c r="X75" s="53" t="s">
        <v>227</v>
      </c>
      <c r="Y75" s="59">
        <v>9387936763</v>
      </c>
      <c r="Z75" s="20"/>
      <c r="AA75" s="52" t="s">
        <v>361</v>
      </c>
      <c r="AB75" s="53" t="s">
        <v>228</v>
      </c>
      <c r="AC75" s="24">
        <v>1</v>
      </c>
      <c r="AD75" s="24"/>
      <c r="AE75" s="24"/>
      <c r="AF75" s="24"/>
      <c r="AG75" s="24"/>
      <c r="AH75" s="20"/>
      <c r="AI75" s="42"/>
    </row>
    <row r="76" spans="1:35">
      <c r="A76" s="14"/>
      <c r="B76" s="20"/>
      <c r="C76" s="53" t="s">
        <v>105</v>
      </c>
      <c r="D76" s="20" t="s">
        <v>79</v>
      </c>
      <c r="E76" s="20" t="s">
        <v>80</v>
      </c>
      <c r="F76" s="52" t="s">
        <v>316</v>
      </c>
      <c r="G76" s="52" t="s">
        <v>317</v>
      </c>
      <c r="H76" s="52"/>
      <c r="I76" s="134">
        <v>30159</v>
      </c>
      <c r="J76" s="57">
        <v>1</v>
      </c>
      <c r="K76" s="58"/>
      <c r="L76" s="24">
        <v>1</v>
      </c>
      <c r="M76" s="24"/>
      <c r="N76" s="24"/>
      <c r="O76" s="24"/>
      <c r="P76" s="24"/>
      <c r="Q76" s="24"/>
      <c r="R76" s="24"/>
      <c r="S76" s="24"/>
      <c r="T76" s="24"/>
      <c r="U76" s="56" t="s">
        <v>352</v>
      </c>
      <c r="V76" s="56" t="s">
        <v>350</v>
      </c>
      <c r="W76" s="53" t="s">
        <v>279</v>
      </c>
      <c r="X76" s="53" t="s">
        <v>227</v>
      </c>
      <c r="Y76" s="59"/>
      <c r="Z76" s="20"/>
      <c r="AA76" s="52" t="s">
        <v>362</v>
      </c>
      <c r="AB76" s="53" t="s">
        <v>228</v>
      </c>
      <c r="AC76" s="24">
        <v>1</v>
      </c>
      <c r="AD76" s="24"/>
      <c r="AE76" s="24"/>
      <c r="AF76" s="24"/>
      <c r="AG76" s="24"/>
      <c r="AH76" s="20"/>
      <c r="AI76" s="42"/>
    </row>
    <row r="77" spans="1:35">
      <c r="A77" s="14"/>
      <c r="B77" s="20"/>
      <c r="C77" s="53" t="s">
        <v>105</v>
      </c>
      <c r="D77" s="20" t="s">
        <v>79</v>
      </c>
      <c r="E77" s="20" t="s">
        <v>80</v>
      </c>
      <c r="F77" s="52" t="s">
        <v>318</v>
      </c>
      <c r="G77" s="52" t="s">
        <v>319</v>
      </c>
      <c r="H77" s="52"/>
      <c r="I77" s="134">
        <v>30849</v>
      </c>
      <c r="J77" s="57"/>
      <c r="K77" s="57">
        <v>1</v>
      </c>
      <c r="L77" s="24">
        <v>1</v>
      </c>
      <c r="M77" s="24"/>
      <c r="N77" s="24"/>
      <c r="O77" s="24"/>
      <c r="P77" s="24"/>
      <c r="Q77" s="24"/>
      <c r="R77" s="24"/>
      <c r="S77" s="24"/>
      <c r="T77" s="24"/>
      <c r="U77" s="56" t="s">
        <v>352</v>
      </c>
      <c r="V77" s="56" t="s">
        <v>350</v>
      </c>
      <c r="W77" s="53" t="s">
        <v>279</v>
      </c>
      <c r="X77" s="53" t="s">
        <v>227</v>
      </c>
      <c r="Y77" s="59">
        <v>9467441699</v>
      </c>
      <c r="Z77" s="20"/>
      <c r="AA77" s="52" t="s">
        <v>363</v>
      </c>
      <c r="AB77" s="53" t="s">
        <v>228</v>
      </c>
      <c r="AC77" s="24">
        <v>1</v>
      </c>
      <c r="AD77" s="24"/>
      <c r="AE77" s="24"/>
      <c r="AF77" s="24"/>
      <c r="AG77" s="24"/>
      <c r="AH77" s="20"/>
      <c r="AI77" s="42"/>
    </row>
    <row r="78" spans="1:35">
      <c r="A78" s="14"/>
      <c r="B78" s="20"/>
      <c r="C78" s="53" t="s">
        <v>105</v>
      </c>
      <c r="D78" s="20" t="s">
        <v>79</v>
      </c>
      <c r="E78" s="20" t="s">
        <v>80</v>
      </c>
      <c r="F78" s="52" t="s">
        <v>320</v>
      </c>
      <c r="G78" s="52" t="s">
        <v>321</v>
      </c>
      <c r="H78" s="52"/>
      <c r="I78" s="134">
        <v>30771</v>
      </c>
      <c r="J78" s="57">
        <v>1</v>
      </c>
      <c r="K78" s="58"/>
      <c r="L78" s="24">
        <v>1</v>
      </c>
      <c r="M78" s="24"/>
      <c r="N78" s="24"/>
      <c r="O78" s="24"/>
      <c r="P78" s="24"/>
      <c r="Q78" s="24"/>
      <c r="R78" s="24"/>
      <c r="S78" s="24"/>
      <c r="T78" s="24"/>
      <c r="U78" s="56" t="s">
        <v>352</v>
      </c>
      <c r="V78" s="56" t="s">
        <v>350</v>
      </c>
      <c r="W78" s="53" t="s">
        <v>279</v>
      </c>
      <c r="X78" s="53" t="s">
        <v>227</v>
      </c>
      <c r="Y78" s="59">
        <v>9184187446</v>
      </c>
      <c r="Z78" s="20"/>
      <c r="AA78" s="52" t="s">
        <v>364</v>
      </c>
      <c r="AB78" s="53" t="s">
        <v>228</v>
      </c>
      <c r="AC78" s="24">
        <v>1</v>
      </c>
      <c r="AD78" s="24"/>
      <c r="AE78" s="24"/>
      <c r="AF78" s="24"/>
      <c r="AG78" s="24"/>
      <c r="AH78" s="20"/>
      <c r="AI78" s="42"/>
    </row>
    <row r="79" spans="1:35">
      <c r="A79" s="14"/>
      <c r="B79" s="20"/>
      <c r="C79" s="53" t="s">
        <v>105</v>
      </c>
      <c r="D79" s="20" t="s">
        <v>79</v>
      </c>
      <c r="E79" s="20" t="s">
        <v>80</v>
      </c>
      <c r="F79" s="52" t="s">
        <v>322</v>
      </c>
      <c r="G79" s="52" t="s">
        <v>323</v>
      </c>
      <c r="H79" s="52"/>
      <c r="I79" s="134">
        <v>26121</v>
      </c>
      <c r="J79" s="57">
        <v>1</v>
      </c>
      <c r="K79" s="58"/>
      <c r="L79" s="24">
        <v>1</v>
      </c>
      <c r="M79" s="24"/>
      <c r="N79" s="24"/>
      <c r="O79" s="24"/>
      <c r="P79" s="24"/>
      <c r="Q79" s="24"/>
      <c r="R79" s="24"/>
      <c r="S79" s="24"/>
      <c r="T79" s="24"/>
      <c r="U79" s="56" t="s">
        <v>353</v>
      </c>
      <c r="V79" s="56" t="s">
        <v>350</v>
      </c>
      <c r="W79" s="53" t="s">
        <v>279</v>
      </c>
      <c r="X79" s="53" t="s">
        <v>227</v>
      </c>
      <c r="Y79" s="59">
        <v>9061938602</v>
      </c>
      <c r="Z79" s="20"/>
      <c r="AA79" s="52" t="s">
        <v>365</v>
      </c>
      <c r="AB79" s="53" t="s">
        <v>228</v>
      </c>
      <c r="AC79" s="24">
        <v>1</v>
      </c>
      <c r="AD79" s="24"/>
      <c r="AE79" s="24"/>
      <c r="AF79" s="24"/>
      <c r="AG79" s="24"/>
      <c r="AH79" s="20"/>
      <c r="AI79" s="42"/>
    </row>
    <row r="80" spans="1:35">
      <c r="A80" s="14"/>
      <c r="B80" s="20"/>
      <c r="C80" s="53" t="s">
        <v>105</v>
      </c>
      <c r="D80" s="20" t="s">
        <v>79</v>
      </c>
      <c r="E80" s="20" t="s">
        <v>80</v>
      </c>
      <c r="F80" s="52" t="s">
        <v>324</v>
      </c>
      <c r="G80" s="52" t="s">
        <v>325</v>
      </c>
      <c r="H80" s="52" t="s">
        <v>326</v>
      </c>
      <c r="I80" s="134">
        <v>20834</v>
      </c>
      <c r="J80" s="57">
        <v>1</v>
      </c>
      <c r="K80" s="58"/>
      <c r="L80" s="24">
        <v>1</v>
      </c>
      <c r="M80" s="24">
        <v>1</v>
      </c>
      <c r="N80" s="24"/>
      <c r="O80" s="24"/>
      <c r="P80" s="24"/>
      <c r="Q80" s="24"/>
      <c r="R80" s="24"/>
      <c r="S80" s="24"/>
      <c r="T80" s="24"/>
      <c r="U80" s="56" t="s">
        <v>354</v>
      </c>
      <c r="V80" s="56" t="s">
        <v>355</v>
      </c>
      <c r="W80" s="53" t="s">
        <v>298</v>
      </c>
      <c r="X80" s="53" t="s">
        <v>227</v>
      </c>
      <c r="Y80" s="59">
        <v>9709350266</v>
      </c>
      <c r="Z80" s="20"/>
      <c r="AA80" s="50" t="s">
        <v>366</v>
      </c>
      <c r="AB80" s="53" t="s">
        <v>228</v>
      </c>
      <c r="AC80" s="24">
        <v>1</v>
      </c>
      <c r="AD80" s="24"/>
      <c r="AE80" s="24"/>
      <c r="AF80" s="24"/>
      <c r="AG80" s="24"/>
      <c r="AH80" s="20"/>
      <c r="AI80" s="42"/>
    </row>
    <row r="81" spans="1:35">
      <c r="A81" s="14"/>
      <c r="B81" s="20"/>
      <c r="C81" s="53" t="s">
        <v>105</v>
      </c>
      <c r="D81" s="20" t="s">
        <v>79</v>
      </c>
      <c r="E81" s="20" t="s">
        <v>80</v>
      </c>
      <c r="F81" s="52" t="s">
        <v>327</v>
      </c>
      <c r="G81" s="52" t="s">
        <v>328</v>
      </c>
      <c r="H81" s="52" t="s">
        <v>329</v>
      </c>
      <c r="I81" s="134">
        <v>31794</v>
      </c>
      <c r="J81" s="57">
        <v>1</v>
      </c>
      <c r="K81" s="58"/>
      <c r="L81" s="24">
        <v>1</v>
      </c>
      <c r="M81" s="24"/>
      <c r="N81" s="24"/>
      <c r="O81" s="24"/>
      <c r="P81" s="24"/>
      <c r="Q81" s="24"/>
      <c r="R81" s="24"/>
      <c r="S81" s="24"/>
      <c r="T81" s="24"/>
      <c r="U81" s="56" t="s">
        <v>354</v>
      </c>
      <c r="V81" s="56" t="s">
        <v>355</v>
      </c>
      <c r="W81" s="53" t="s">
        <v>298</v>
      </c>
      <c r="X81" s="53" t="s">
        <v>227</v>
      </c>
      <c r="Y81" s="59"/>
      <c r="Z81" s="20"/>
      <c r="AA81" s="50" t="s">
        <v>367</v>
      </c>
      <c r="AB81" s="53" t="s">
        <v>228</v>
      </c>
      <c r="AC81" s="24">
        <v>1</v>
      </c>
      <c r="AD81" s="24"/>
      <c r="AE81" s="24"/>
      <c r="AF81" s="24"/>
      <c r="AG81" s="24"/>
      <c r="AH81" s="20"/>
      <c r="AI81" s="42"/>
    </row>
    <row r="82" spans="1:35">
      <c r="A82" s="14"/>
      <c r="B82" s="20"/>
      <c r="C82" s="53" t="s">
        <v>105</v>
      </c>
      <c r="D82" s="20" t="s">
        <v>79</v>
      </c>
      <c r="E82" s="20" t="s">
        <v>80</v>
      </c>
      <c r="F82" s="52" t="s">
        <v>330</v>
      </c>
      <c r="G82" s="52" t="s">
        <v>331</v>
      </c>
      <c r="H82" s="52" t="s">
        <v>332</v>
      </c>
      <c r="I82" s="134">
        <v>33280</v>
      </c>
      <c r="J82" s="57">
        <v>1</v>
      </c>
      <c r="K82" s="58"/>
      <c r="L82" s="24">
        <v>1</v>
      </c>
      <c r="M82" s="24"/>
      <c r="N82" s="24"/>
      <c r="O82" s="24"/>
      <c r="P82" s="24"/>
      <c r="Q82" s="24"/>
      <c r="R82" s="24"/>
      <c r="S82" s="24"/>
      <c r="T82" s="24"/>
      <c r="U82" s="56" t="s">
        <v>354</v>
      </c>
      <c r="V82" s="56" t="s">
        <v>355</v>
      </c>
      <c r="W82" s="53" t="s">
        <v>298</v>
      </c>
      <c r="X82" s="53" t="s">
        <v>227</v>
      </c>
      <c r="Y82" s="59">
        <v>9124175847</v>
      </c>
      <c r="Z82" s="20"/>
      <c r="AA82" s="50" t="s">
        <v>368</v>
      </c>
      <c r="AB82" s="53" t="s">
        <v>228</v>
      </c>
      <c r="AC82" s="24">
        <v>1</v>
      </c>
      <c r="AD82" s="24"/>
      <c r="AE82" s="24"/>
      <c r="AF82" s="24"/>
      <c r="AG82" s="24"/>
      <c r="AH82" s="20"/>
      <c r="AI82" s="42"/>
    </row>
    <row r="83" spans="1:35">
      <c r="A83" s="14"/>
      <c r="B83" s="20"/>
      <c r="C83" s="53" t="s">
        <v>105</v>
      </c>
      <c r="D83" s="20" t="s">
        <v>79</v>
      </c>
      <c r="E83" s="20" t="s">
        <v>80</v>
      </c>
      <c r="F83" s="52" t="s">
        <v>333</v>
      </c>
      <c r="G83" s="52" t="s">
        <v>334</v>
      </c>
      <c r="H83" s="52" t="s">
        <v>335</v>
      </c>
      <c r="I83" s="134">
        <v>30258</v>
      </c>
      <c r="J83" s="57">
        <v>1</v>
      </c>
      <c r="K83" s="58"/>
      <c r="L83" s="24">
        <v>1</v>
      </c>
      <c r="M83" s="24"/>
      <c r="N83" s="24"/>
      <c r="O83" s="24"/>
      <c r="P83" s="24"/>
      <c r="Q83" s="24"/>
      <c r="R83" s="24"/>
      <c r="S83" s="24"/>
      <c r="T83" s="24"/>
      <c r="U83" s="56" t="s">
        <v>354</v>
      </c>
      <c r="V83" s="56" t="s">
        <v>355</v>
      </c>
      <c r="W83" s="53" t="s">
        <v>298</v>
      </c>
      <c r="X83" s="53" t="s">
        <v>227</v>
      </c>
      <c r="Y83" s="59"/>
      <c r="Z83" s="20"/>
      <c r="AA83" s="50" t="s">
        <v>369</v>
      </c>
      <c r="AB83" s="53" t="s">
        <v>228</v>
      </c>
      <c r="AC83" s="24">
        <v>1</v>
      </c>
      <c r="AD83" s="24"/>
      <c r="AE83" s="24"/>
      <c r="AF83" s="24"/>
      <c r="AG83" s="24"/>
      <c r="AH83" s="20"/>
      <c r="AI83" s="42"/>
    </row>
    <row r="84" spans="1:35">
      <c r="A84" s="14"/>
      <c r="B84" s="20"/>
      <c r="C84" s="53" t="s">
        <v>105</v>
      </c>
      <c r="D84" s="20" t="s">
        <v>79</v>
      </c>
      <c r="E84" s="20" t="s">
        <v>80</v>
      </c>
      <c r="F84" s="52" t="s">
        <v>336</v>
      </c>
      <c r="G84" s="52" t="s">
        <v>169</v>
      </c>
      <c r="H84" s="52" t="s">
        <v>326</v>
      </c>
      <c r="I84" s="134">
        <v>28999</v>
      </c>
      <c r="J84" s="57">
        <v>1</v>
      </c>
      <c r="K84" s="58"/>
      <c r="L84" s="24">
        <v>1</v>
      </c>
      <c r="M84" s="24"/>
      <c r="N84" s="24"/>
      <c r="O84" s="24"/>
      <c r="P84" s="24"/>
      <c r="Q84" s="24"/>
      <c r="R84" s="24"/>
      <c r="S84" s="24"/>
      <c r="T84" s="24"/>
      <c r="U84" s="56" t="s">
        <v>354</v>
      </c>
      <c r="V84" s="56" t="s">
        <v>355</v>
      </c>
      <c r="W84" s="53" t="s">
        <v>298</v>
      </c>
      <c r="X84" s="53" t="s">
        <v>227</v>
      </c>
      <c r="Y84" s="59">
        <v>9293808990</v>
      </c>
      <c r="Z84" s="20"/>
      <c r="AA84" s="50" t="s">
        <v>370</v>
      </c>
      <c r="AB84" s="53" t="s">
        <v>228</v>
      </c>
      <c r="AC84" s="24">
        <v>1</v>
      </c>
      <c r="AD84" s="24"/>
      <c r="AE84" s="24"/>
      <c r="AF84" s="24"/>
      <c r="AG84" s="24"/>
      <c r="AH84" s="20"/>
      <c r="AI84" s="42"/>
    </row>
    <row r="85" spans="1:35">
      <c r="A85" s="14"/>
      <c r="B85" s="20"/>
      <c r="C85" s="53" t="s">
        <v>105</v>
      </c>
      <c r="D85" s="20" t="s">
        <v>79</v>
      </c>
      <c r="E85" s="20" t="s">
        <v>80</v>
      </c>
      <c r="F85" s="52" t="s">
        <v>337</v>
      </c>
      <c r="G85" s="52" t="s">
        <v>338</v>
      </c>
      <c r="H85" s="52" t="s">
        <v>339</v>
      </c>
      <c r="I85" s="134">
        <v>20188</v>
      </c>
      <c r="J85" s="57">
        <v>1</v>
      </c>
      <c r="K85" s="58"/>
      <c r="L85" s="24">
        <v>1</v>
      </c>
      <c r="M85" s="24">
        <v>1</v>
      </c>
      <c r="N85" s="24"/>
      <c r="O85" s="24"/>
      <c r="P85" s="24"/>
      <c r="Q85" s="24"/>
      <c r="R85" s="24"/>
      <c r="S85" s="24"/>
      <c r="T85" s="24"/>
      <c r="U85" s="56" t="s">
        <v>354</v>
      </c>
      <c r="V85" s="56" t="s">
        <v>355</v>
      </c>
      <c r="W85" s="53" t="s">
        <v>298</v>
      </c>
      <c r="X85" s="53" t="s">
        <v>227</v>
      </c>
      <c r="Y85" s="59">
        <v>9304958233</v>
      </c>
      <c r="Z85" s="20"/>
      <c r="AA85" s="52" t="s">
        <v>371</v>
      </c>
      <c r="AB85" s="53" t="s">
        <v>228</v>
      </c>
      <c r="AC85" s="24">
        <v>1</v>
      </c>
      <c r="AD85" s="24"/>
      <c r="AE85" s="24"/>
      <c r="AF85" s="24"/>
      <c r="AG85" s="24"/>
      <c r="AH85" s="20"/>
      <c r="AI85" s="42"/>
    </row>
    <row r="86" spans="1:35">
      <c r="A86" s="14"/>
      <c r="B86" s="20"/>
      <c r="C86" s="53" t="s">
        <v>105</v>
      </c>
      <c r="D86" s="20" t="s">
        <v>79</v>
      </c>
      <c r="E86" s="20" t="s">
        <v>80</v>
      </c>
      <c r="F86" s="52" t="s">
        <v>340</v>
      </c>
      <c r="G86" s="52" t="s">
        <v>341</v>
      </c>
      <c r="H86" s="52" t="s">
        <v>218</v>
      </c>
      <c r="I86" s="134">
        <v>21831</v>
      </c>
      <c r="J86" s="57">
        <v>1</v>
      </c>
      <c r="K86" s="58"/>
      <c r="L86" s="24">
        <v>1</v>
      </c>
      <c r="M86" s="24">
        <v>1</v>
      </c>
      <c r="N86" s="24"/>
      <c r="O86" s="24"/>
      <c r="P86" s="24"/>
      <c r="Q86" s="24"/>
      <c r="R86" s="24"/>
      <c r="S86" s="24"/>
      <c r="T86" s="24"/>
      <c r="U86" s="56" t="s">
        <v>354</v>
      </c>
      <c r="V86" s="56" t="s">
        <v>355</v>
      </c>
      <c r="W86" s="53" t="s">
        <v>298</v>
      </c>
      <c r="X86" s="53" t="s">
        <v>227</v>
      </c>
      <c r="Y86" s="59"/>
      <c r="Z86" s="20"/>
      <c r="AA86" s="52" t="s">
        <v>372</v>
      </c>
      <c r="AB86" s="53" t="s">
        <v>228</v>
      </c>
      <c r="AC86" s="24">
        <v>1</v>
      </c>
      <c r="AD86" s="24"/>
      <c r="AE86" s="24"/>
      <c r="AF86" s="24"/>
      <c r="AG86" s="24"/>
      <c r="AH86" s="20"/>
      <c r="AI86" s="42"/>
    </row>
    <row r="87" spans="1:35">
      <c r="A87" s="14"/>
      <c r="B87" s="20"/>
      <c r="C87" s="53" t="s">
        <v>105</v>
      </c>
      <c r="D87" s="20" t="s">
        <v>79</v>
      </c>
      <c r="E87" s="20" t="s">
        <v>80</v>
      </c>
      <c r="F87" s="52" t="s">
        <v>342</v>
      </c>
      <c r="G87" s="52" t="s">
        <v>343</v>
      </c>
      <c r="H87" s="52" t="s">
        <v>344</v>
      </c>
      <c r="I87" s="134">
        <v>34401</v>
      </c>
      <c r="J87" s="57">
        <v>1</v>
      </c>
      <c r="K87" s="58"/>
      <c r="L87" s="24">
        <v>1</v>
      </c>
      <c r="M87" s="24"/>
      <c r="N87" s="24"/>
      <c r="O87" s="24"/>
      <c r="P87" s="24"/>
      <c r="Q87" s="24"/>
      <c r="R87" s="24"/>
      <c r="S87" s="24"/>
      <c r="T87" s="24"/>
      <c r="U87" s="56" t="s">
        <v>354</v>
      </c>
      <c r="V87" s="56" t="s">
        <v>355</v>
      </c>
      <c r="W87" s="53" t="s">
        <v>298</v>
      </c>
      <c r="X87" s="53" t="s">
        <v>227</v>
      </c>
      <c r="Y87" s="59">
        <v>9318859254</v>
      </c>
      <c r="Z87" s="20"/>
      <c r="AA87" s="52" t="s">
        <v>373</v>
      </c>
      <c r="AB87" s="53" t="s">
        <v>228</v>
      </c>
      <c r="AC87" s="24">
        <v>1</v>
      </c>
      <c r="AD87" s="24"/>
      <c r="AE87" s="24"/>
      <c r="AF87" s="24"/>
      <c r="AG87" s="24"/>
      <c r="AH87" s="20"/>
      <c r="AI87" s="42"/>
    </row>
    <row r="88" spans="1:35">
      <c r="A88" s="14"/>
      <c r="B88" s="20"/>
      <c r="C88" s="53" t="s">
        <v>105</v>
      </c>
      <c r="D88" s="20" t="s">
        <v>79</v>
      </c>
      <c r="E88" s="20" t="s">
        <v>80</v>
      </c>
      <c r="F88" s="52" t="s">
        <v>327</v>
      </c>
      <c r="G88" s="52" t="s">
        <v>345</v>
      </c>
      <c r="H88" s="52" t="s">
        <v>329</v>
      </c>
      <c r="I88" s="134">
        <v>30430</v>
      </c>
      <c r="J88" s="57">
        <v>1</v>
      </c>
      <c r="K88" s="58"/>
      <c r="L88" s="24">
        <v>1</v>
      </c>
      <c r="M88" s="24"/>
      <c r="N88" s="24"/>
      <c r="O88" s="24"/>
      <c r="P88" s="24"/>
      <c r="Q88" s="24"/>
      <c r="R88" s="24"/>
      <c r="S88" s="24"/>
      <c r="T88" s="24"/>
      <c r="U88" s="56" t="s">
        <v>354</v>
      </c>
      <c r="V88" s="56" t="s">
        <v>355</v>
      </c>
      <c r="W88" s="53" t="s">
        <v>298</v>
      </c>
      <c r="X88" s="53" t="s">
        <v>227</v>
      </c>
      <c r="Y88" s="59">
        <v>9567214597</v>
      </c>
      <c r="Z88" s="20"/>
      <c r="AA88" s="52" t="s">
        <v>374</v>
      </c>
      <c r="AB88" s="53" t="s">
        <v>228</v>
      </c>
      <c r="AC88" s="24">
        <v>1</v>
      </c>
      <c r="AD88" s="24"/>
      <c r="AE88" s="24"/>
      <c r="AF88" s="24"/>
      <c r="AG88" s="24"/>
      <c r="AH88" s="20"/>
      <c r="AI88" s="42"/>
    </row>
    <row r="89" spans="1:35">
      <c r="A89" s="14"/>
      <c r="B89" s="20"/>
      <c r="C89" s="53" t="s">
        <v>105</v>
      </c>
      <c r="D89" s="20" t="s">
        <v>79</v>
      </c>
      <c r="E89" s="20" t="s">
        <v>80</v>
      </c>
      <c r="F89" s="52" t="s">
        <v>346</v>
      </c>
      <c r="G89" s="52" t="s">
        <v>347</v>
      </c>
      <c r="H89" s="52" t="s">
        <v>348</v>
      </c>
      <c r="I89" s="134">
        <v>30549</v>
      </c>
      <c r="J89" s="57">
        <v>1</v>
      </c>
      <c r="K89" s="58"/>
      <c r="L89" s="24">
        <v>1</v>
      </c>
      <c r="M89" s="24"/>
      <c r="N89" s="24"/>
      <c r="O89" s="24"/>
      <c r="P89" s="24"/>
      <c r="Q89" s="24"/>
      <c r="R89" s="24"/>
      <c r="S89" s="24"/>
      <c r="T89" s="24"/>
      <c r="U89" s="56" t="s">
        <v>354</v>
      </c>
      <c r="V89" s="56" t="s">
        <v>355</v>
      </c>
      <c r="W89" s="53" t="s">
        <v>298</v>
      </c>
      <c r="X89" s="53" t="s">
        <v>227</v>
      </c>
      <c r="Y89" s="59"/>
      <c r="Z89" s="20"/>
      <c r="AA89" s="52" t="s">
        <v>375</v>
      </c>
      <c r="AB89" s="53" t="s">
        <v>228</v>
      </c>
      <c r="AC89" s="24">
        <v>1</v>
      </c>
      <c r="AD89" s="24"/>
      <c r="AE89" s="24"/>
      <c r="AF89" s="24"/>
      <c r="AG89" s="24"/>
      <c r="AH89" s="20"/>
      <c r="AI89" s="42"/>
    </row>
    <row r="90" spans="1:35">
      <c r="A90" s="14"/>
      <c r="B90" s="20"/>
      <c r="C90" s="53" t="s">
        <v>963</v>
      </c>
      <c r="D90" s="20" t="s">
        <v>79</v>
      </c>
      <c r="E90" s="20" t="s">
        <v>80</v>
      </c>
      <c r="F90" s="52" t="s">
        <v>964</v>
      </c>
      <c r="G90" s="52" t="s">
        <v>389</v>
      </c>
      <c r="H90" s="52" t="s">
        <v>965</v>
      </c>
      <c r="I90" s="134">
        <v>25031</v>
      </c>
      <c r="J90" s="57">
        <v>1</v>
      </c>
      <c r="K90" s="58"/>
      <c r="L90" s="24">
        <v>1</v>
      </c>
      <c r="M90" s="24"/>
      <c r="N90" s="24"/>
      <c r="O90" s="24"/>
      <c r="P90" s="24"/>
      <c r="Q90" s="24"/>
      <c r="R90" s="24"/>
      <c r="S90" s="24"/>
      <c r="T90" s="24"/>
      <c r="U90" s="56" t="s">
        <v>966</v>
      </c>
      <c r="V90" s="56" t="s">
        <v>873</v>
      </c>
      <c r="W90" s="53" t="s">
        <v>279</v>
      </c>
      <c r="X90" s="53" t="s">
        <v>227</v>
      </c>
      <c r="Y90" s="59">
        <v>9061968410</v>
      </c>
      <c r="Z90" s="20"/>
      <c r="AA90" s="50" t="s">
        <v>967</v>
      </c>
      <c r="AB90" s="53" t="s">
        <v>228</v>
      </c>
      <c r="AC90" s="24">
        <v>1</v>
      </c>
      <c r="AD90" s="24"/>
      <c r="AE90" s="24"/>
      <c r="AF90" s="24"/>
      <c r="AG90" s="24"/>
      <c r="AH90" s="20"/>
      <c r="AI90" s="42"/>
    </row>
    <row r="91" spans="1:35">
      <c r="A91" s="14"/>
      <c r="B91" s="20"/>
      <c r="C91" s="53" t="s">
        <v>963</v>
      </c>
      <c r="D91" s="20" t="s">
        <v>79</v>
      </c>
      <c r="E91" s="20" t="s">
        <v>80</v>
      </c>
      <c r="F91" s="52" t="s">
        <v>971</v>
      </c>
      <c r="G91" s="52" t="s">
        <v>755</v>
      </c>
      <c r="H91" s="52" t="s">
        <v>126</v>
      </c>
      <c r="I91" s="134">
        <v>25248</v>
      </c>
      <c r="J91" s="57">
        <v>1</v>
      </c>
      <c r="K91" s="58"/>
      <c r="L91" s="24">
        <v>1</v>
      </c>
      <c r="M91" s="24"/>
      <c r="N91" s="24">
        <v>1</v>
      </c>
      <c r="O91" s="24" t="s">
        <v>981</v>
      </c>
      <c r="P91" s="24"/>
      <c r="Q91" s="24"/>
      <c r="R91" s="24"/>
      <c r="S91" s="24"/>
      <c r="T91" s="24"/>
      <c r="U91" s="56" t="s">
        <v>972</v>
      </c>
      <c r="V91" s="56" t="s">
        <v>873</v>
      </c>
      <c r="W91" s="53" t="s">
        <v>279</v>
      </c>
      <c r="X91" s="53" t="s">
        <v>227</v>
      </c>
      <c r="Y91" s="59">
        <v>9506114931</v>
      </c>
      <c r="Z91" s="20"/>
      <c r="AA91" s="50" t="s">
        <v>973</v>
      </c>
      <c r="AB91" s="53" t="s">
        <v>228</v>
      </c>
      <c r="AC91" s="24">
        <v>1</v>
      </c>
      <c r="AD91" s="24"/>
      <c r="AE91" s="24"/>
      <c r="AF91" s="24"/>
      <c r="AG91" s="24"/>
      <c r="AH91" s="20"/>
      <c r="AI91" s="42"/>
    </row>
    <row r="92" spans="1:35">
      <c r="A92" s="14"/>
      <c r="B92" s="20"/>
      <c r="C92" s="53" t="s">
        <v>963</v>
      </c>
      <c r="D92" s="20" t="s">
        <v>79</v>
      </c>
      <c r="E92" s="20" t="s">
        <v>80</v>
      </c>
      <c r="F92" s="52" t="s">
        <v>974</v>
      </c>
      <c r="G92" s="52" t="s">
        <v>321</v>
      </c>
      <c r="H92" s="52"/>
      <c r="I92" s="134">
        <v>32138</v>
      </c>
      <c r="J92" s="57">
        <v>1</v>
      </c>
      <c r="K92" s="58"/>
      <c r="L92" s="24">
        <v>1</v>
      </c>
      <c r="M92" s="24"/>
      <c r="N92" s="24"/>
      <c r="O92" s="24"/>
      <c r="P92" s="24"/>
      <c r="Q92" s="24"/>
      <c r="R92" s="24"/>
      <c r="S92" s="24"/>
      <c r="T92" s="24"/>
      <c r="U92" s="56" t="s">
        <v>222</v>
      </c>
      <c r="V92" s="56" t="s">
        <v>873</v>
      </c>
      <c r="W92" s="53" t="s">
        <v>279</v>
      </c>
      <c r="X92" s="53" t="s">
        <v>227</v>
      </c>
      <c r="Y92" s="59"/>
      <c r="Z92" s="20"/>
      <c r="AA92" s="50" t="s">
        <v>968</v>
      </c>
      <c r="AB92" s="53" t="s">
        <v>228</v>
      </c>
      <c r="AC92" s="24">
        <v>1</v>
      </c>
      <c r="AD92" s="24"/>
      <c r="AE92" s="24"/>
      <c r="AF92" s="24"/>
      <c r="AG92" s="24"/>
      <c r="AH92" s="20"/>
      <c r="AI92" s="42"/>
    </row>
    <row r="93" spans="1:35">
      <c r="A93" s="14"/>
      <c r="B93" s="20"/>
      <c r="C93" s="53" t="s">
        <v>963</v>
      </c>
      <c r="D93" s="20" t="s">
        <v>79</v>
      </c>
      <c r="E93" s="20" t="s">
        <v>80</v>
      </c>
      <c r="F93" s="52" t="s">
        <v>975</v>
      </c>
      <c r="G93" s="52" t="s">
        <v>976</v>
      </c>
      <c r="H93" s="52" t="s">
        <v>977</v>
      </c>
      <c r="I93" s="134">
        <v>22165</v>
      </c>
      <c r="J93" s="57">
        <v>1</v>
      </c>
      <c r="K93" s="58"/>
      <c r="L93" s="24">
        <v>1</v>
      </c>
      <c r="M93" s="24">
        <v>1</v>
      </c>
      <c r="N93" s="24"/>
      <c r="O93" s="24"/>
      <c r="P93" s="24"/>
      <c r="Q93" s="24"/>
      <c r="R93" s="24"/>
      <c r="S93" s="24"/>
      <c r="T93" s="24"/>
      <c r="U93" s="56" t="s">
        <v>978</v>
      </c>
      <c r="V93" s="56" t="s">
        <v>873</v>
      </c>
      <c r="W93" s="53" t="s">
        <v>279</v>
      </c>
      <c r="X93" s="53" t="s">
        <v>227</v>
      </c>
      <c r="Y93" s="59"/>
      <c r="Z93" s="20"/>
      <c r="AA93" s="50" t="s">
        <v>969</v>
      </c>
      <c r="AB93" s="53" t="s">
        <v>228</v>
      </c>
      <c r="AC93" s="24">
        <v>1</v>
      </c>
      <c r="AD93" s="24"/>
      <c r="AE93" s="24"/>
      <c r="AF93" s="24"/>
      <c r="AG93" s="24"/>
      <c r="AH93" s="20"/>
      <c r="AI93" s="42"/>
    </row>
    <row r="94" spans="1:35">
      <c r="A94" s="14"/>
      <c r="B94" s="20"/>
      <c r="C94" s="53" t="s">
        <v>963</v>
      </c>
      <c r="D94" s="20" t="s">
        <v>79</v>
      </c>
      <c r="E94" s="20" t="s">
        <v>80</v>
      </c>
      <c r="F94" s="52" t="s">
        <v>979</v>
      </c>
      <c r="G94" s="52" t="s">
        <v>198</v>
      </c>
      <c r="H94" s="52" t="s">
        <v>136</v>
      </c>
      <c r="I94" s="134">
        <v>24960</v>
      </c>
      <c r="J94" s="57">
        <v>1</v>
      </c>
      <c r="K94" s="58"/>
      <c r="L94" s="24">
        <v>1</v>
      </c>
      <c r="M94" s="24"/>
      <c r="N94" s="24"/>
      <c r="O94" s="24"/>
      <c r="P94" s="24"/>
      <c r="Q94" s="24"/>
      <c r="R94" s="24"/>
      <c r="S94" s="24"/>
      <c r="T94" s="24"/>
      <c r="U94" s="56" t="s">
        <v>980</v>
      </c>
      <c r="V94" s="56" t="s">
        <v>873</v>
      </c>
      <c r="W94" s="53" t="s">
        <v>279</v>
      </c>
      <c r="X94" s="53" t="s">
        <v>227</v>
      </c>
      <c r="Y94" s="59"/>
      <c r="Z94" s="20"/>
      <c r="AA94" s="50" t="s">
        <v>970</v>
      </c>
      <c r="AB94" s="53" t="s">
        <v>228</v>
      </c>
      <c r="AC94" s="24">
        <v>1</v>
      </c>
      <c r="AD94" s="24"/>
      <c r="AE94" s="24"/>
      <c r="AF94" s="24"/>
      <c r="AG94" s="24"/>
      <c r="AH94" s="20"/>
      <c r="AI94" s="42"/>
    </row>
    <row r="95" spans="1:35">
      <c r="A95" s="14"/>
      <c r="B95" s="20"/>
      <c r="C95" s="53" t="s">
        <v>963</v>
      </c>
      <c r="D95" s="20" t="s">
        <v>79</v>
      </c>
      <c r="E95" s="20" t="s">
        <v>80</v>
      </c>
      <c r="F95" s="52" t="s">
        <v>982</v>
      </c>
      <c r="G95" s="52" t="s">
        <v>845</v>
      </c>
      <c r="H95" s="52" t="s">
        <v>283</v>
      </c>
      <c r="I95" s="134">
        <v>30932</v>
      </c>
      <c r="J95" s="57"/>
      <c r="K95" s="58">
        <v>1</v>
      </c>
      <c r="L95" s="24">
        <v>1</v>
      </c>
      <c r="M95" s="24"/>
      <c r="N95" s="24"/>
      <c r="O95" s="24"/>
      <c r="P95" s="24"/>
      <c r="Q95" s="24"/>
      <c r="R95" s="24"/>
      <c r="S95" s="24"/>
      <c r="T95" s="24"/>
      <c r="U95" s="56" t="s">
        <v>972</v>
      </c>
      <c r="V95" s="56" t="s">
        <v>873</v>
      </c>
      <c r="W95" s="53" t="s">
        <v>279</v>
      </c>
      <c r="X95" s="53" t="s">
        <v>227</v>
      </c>
      <c r="Y95" s="59">
        <v>9164873978</v>
      </c>
      <c r="Z95" s="20"/>
      <c r="AA95" s="52" t="s">
        <v>983</v>
      </c>
      <c r="AB95" s="53" t="s">
        <v>228</v>
      </c>
      <c r="AC95" s="24">
        <v>1</v>
      </c>
      <c r="AD95" s="24"/>
      <c r="AE95" s="24"/>
      <c r="AF95" s="24"/>
      <c r="AG95" s="24"/>
      <c r="AH95" s="20"/>
      <c r="AI95" s="42"/>
    </row>
    <row r="96" spans="1:35">
      <c r="A96" s="14"/>
      <c r="B96" s="20"/>
      <c r="C96" s="53" t="s">
        <v>963</v>
      </c>
      <c r="D96" s="20" t="s">
        <v>79</v>
      </c>
      <c r="E96" s="20" t="s">
        <v>80</v>
      </c>
      <c r="F96" s="52" t="s">
        <v>988</v>
      </c>
      <c r="G96" s="52" t="s">
        <v>989</v>
      </c>
      <c r="H96" s="52" t="s">
        <v>990</v>
      </c>
      <c r="I96" s="134">
        <v>28724</v>
      </c>
      <c r="J96" s="57">
        <v>1</v>
      </c>
      <c r="K96" s="58"/>
      <c r="L96" s="24">
        <v>1</v>
      </c>
      <c r="M96" s="24"/>
      <c r="N96" s="24"/>
      <c r="O96" s="24"/>
      <c r="P96" s="24"/>
      <c r="Q96" s="24"/>
      <c r="R96" s="24"/>
      <c r="S96" s="24"/>
      <c r="T96" s="24"/>
      <c r="U96" s="56" t="s">
        <v>222</v>
      </c>
      <c r="V96" s="56" t="s">
        <v>873</v>
      </c>
      <c r="W96" s="53" t="s">
        <v>279</v>
      </c>
      <c r="X96" s="53" t="s">
        <v>227</v>
      </c>
      <c r="Y96" s="59">
        <v>9567216008</v>
      </c>
      <c r="Z96" s="20"/>
      <c r="AA96" s="52" t="s">
        <v>984</v>
      </c>
      <c r="AB96" s="53" t="s">
        <v>228</v>
      </c>
      <c r="AC96" s="24">
        <v>1</v>
      </c>
      <c r="AD96" s="24"/>
      <c r="AE96" s="24"/>
      <c r="AF96" s="24"/>
      <c r="AG96" s="24"/>
      <c r="AH96" s="20"/>
      <c r="AI96" s="42"/>
    </row>
    <row r="97" spans="1:35">
      <c r="A97" s="14"/>
      <c r="B97" s="20"/>
      <c r="C97" s="53" t="s">
        <v>963</v>
      </c>
      <c r="D97" s="20" t="s">
        <v>79</v>
      </c>
      <c r="E97" s="20" t="s">
        <v>80</v>
      </c>
      <c r="F97" s="52" t="s">
        <v>548</v>
      </c>
      <c r="G97" s="52" t="s">
        <v>991</v>
      </c>
      <c r="H97" s="52" t="s">
        <v>283</v>
      </c>
      <c r="I97" s="134">
        <v>26666</v>
      </c>
      <c r="J97" s="57">
        <v>1</v>
      </c>
      <c r="K97" s="58"/>
      <c r="L97" s="24">
        <v>1</v>
      </c>
      <c r="M97" s="24"/>
      <c r="N97" s="24"/>
      <c r="O97" s="24"/>
      <c r="P97" s="24"/>
      <c r="Q97" s="24"/>
      <c r="R97" s="24"/>
      <c r="S97" s="24"/>
      <c r="T97" s="24"/>
      <c r="U97" s="56" t="s">
        <v>980</v>
      </c>
      <c r="V97" s="56" t="s">
        <v>873</v>
      </c>
      <c r="W97" s="53" t="s">
        <v>279</v>
      </c>
      <c r="X97" s="53" t="s">
        <v>227</v>
      </c>
      <c r="Y97" s="59">
        <v>9076926632</v>
      </c>
      <c r="Z97" s="20"/>
      <c r="AA97" s="52" t="s">
        <v>985</v>
      </c>
      <c r="AB97" s="53" t="s">
        <v>228</v>
      </c>
      <c r="AC97" s="24">
        <v>1</v>
      </c>
      <c r="AD97" s="24"/>
      <c r="AE97" s="24"/>
      <c r="AF97" s="24"/>
      <c r="AG97" s="24"/>
      <c r="AH97" s="20"/>
      <c r="AI97" s="42"/>
    </row>
    <row r="98" spans="1:35">
      <c r="A98" s="14"/>
      <c r="B98" s="20"/>
      <c r="C98" s="53" t="s">
        <v>963</v>
      </c>
      <c r="D98" s="20" t="s">
        <v>79</v>
      </c>
      <c r="E98" s="20" t="s">
        <v>80</v>
      </c>
      <c r="F98" s="52" t="s">
        <v>992</v>
      </c>
      <c r="G98" s="52" t="s">
        <v>905</v>
      </c>
      <c r="H98" s="52" t="s">
        <v>120</v>
      </c>
      <c r="I98" s="134">
        <v>24535</v>
      </c>
      <c r="J98" s="57">
        <v>1</v>
      </c>
      <c r="K98" s="58"/>
      <c r="L98" s="24">
        <v>1</v>
      </c>
      <c r="M98" s="24"/>
      <c r="N98" s="24"/>
      <c r="O98" s="24"/>
      <c r="P98" s="24">
        <v>1</v>
      </c>
      <c r="Q98" s="24"/>
      <c r="R98" s="24"/>
      <c r="S98" s="24"/>
      <c r="T98" s="24"/>
      <c r="U98" s="56" t="s">
        <v>980</v>
      </c>
      <c r="V98" s="56" t="s">
        <v>873</v>
      </c>
      <c r="W98" s="53" t="s">
        <v>279</v>
      </c>
      <c r="X98" s="53" t="s">
        <v>227</v>
      </c>
      <c r="Y98" s="59">
        <v>9197909338</v>
      </c>
      <c r="Z98" s="20"/>
      <c r="AA98" s="52" t="s">
        <v>986</v>
      </c>
      <c r="AB98" s="53" t="s">
        <v>228</v>
      </c>
      <c r="AC98" s="24">
        <v>1</v>
      </c>
      <c r="AD98" s="24"/>
      <c r="AE98" s="24"/>
      <c r="AF98" s="24"/>
      <c r="AG98" s="24"/>
      <c r="AH98" s="20"/>
      <c r="AI98" s="42"/>
    </row>
    <row r="99" spans="1:35">
      <c r="A99" s="14"/>
      <c r="B99" s="20"/>
      <c r="C99" s="53" t="s">
        <v>963</v>
      </c>
      <c r="D99" s="20" t="s">
        <v>79</v>
      </c>
      <c r="E99" s="20" t="s">
        <v>80</v>
      </c>
      <c r="F99" s="52" t="s">
        <v>993</v>
      </c>
      <c r="G99" s="52" t="s">
        <v>994</v>
      </c>
      <c r="H99" s="52" t="s">
        <v>136</v>
      </c>
      <c r="I99" s="134">
        <v>29553</v>
      </c>
      <c r="J99" s="57">
        <v>1</v>
      </c>
      <c r="K99" s="58"/>
      <c r="L99" s="24">
        <v>1</v>
      </c>
      <c r="M99" s="24"/>
      <c r="N99" s="24"/>
      <c r="O99" s="24"/>
      <c r="P99" s="24"/>
      <c r="Q99" s="24"/>
      <c r="R99" s="24"/>
      <c r="S99" s="24"/>
      <c r="T99" s="24"/>
      <c r="U99" s="56" t="s">
        <v>980</v>
      </c>
      <c r="V99" s="56" t="s">
        <v>873</v>
      </c>
      <c r="W99" s="53" t="s">
        <v>279</v>
      </c>
      <c r="X99" s="53" t="s">
        <v>227</v>
      </c>
      <c r="Y99" s="59">
        <v>9096058460</v>
      </c>
      <c r="Z99" s="20"/>
      <c r="AA99" s="52" t="s">
        <v>987</v>
      </c>
      <c r="AB99" s="53" t="s">
        <v>228</v>
      </c>
      <c r="AC99" s="24">
        <v>1</v>
      </c>
      <c r="AD99" s="24"/>
      <c r="AE99" s="24"/>
      <c r="AF99" s="24"/>
      <c r="AG99" s="24"/>
      <c r="AH99" s="20"/>
      <c r="AI99" s="42"/>
    </row>
    <row r="100" spans="1:35">
      <c r="A100" s="14"/>
      <c r="B100" s="20"/>
      <c r="C100" s="20"/>
      <c r="D100" s="20"/>
      <c r="E100" s="20"/>
      <c r="F100" s="20"/>
      <c r="G100" s="20"/>
      <c r="H100" s="20"/>
      <c r="I100" s="116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0"/>
      <c r="V100" s="20"/>
      <c r="W100" s="53"/>
      <c r="X100" s="20"/>
      <c r="Y100" s="61"/>
      <c r="Z100" s="20"/>
      <c r="AA100" s="20"/>
      <c r="AB100" s="20"/>
      <c r="AC100" s="24"/>
      <c r="AD100" s="24"/>
      <c r="AE100" s="24"/>
      <c r="AF100" s="24"/>
      <c r="AG100" s="24"/>
      <c r="AH100" s="20"/>
      <c r="AI100" s="42"/>
    </row>
    <row r="101" spans="1:35" s="6" customFormat="1">
      <c r="A101" s="18"/>
      <c r="B101" s="19"/>
      <c r="C101" s="19" t="s">
        <v>82</v>
      </c>
      <c r="D101" s="19"/>
      <c r="E101" s="19"/>
      <c r="F101" s="19"/>
      <c r="G101" s="19"/>
      <c r="H101" s="19"/>
      <c r="I101" s="129"/>
      <c r="J101" s="31">
        <f>SUM(J102:J250)</f>
        <v>357</v>
      </c>
      <c r="K101" s="31">
        <f>SUM(K102:K250)</f>
        <v>45</v>
      </c>
      <c r="L101" s="31">
        <f>SUM(L102:L250)</f>
        <v>373</v>
      </c>
      <c r="M101" s="31">
        <f>SUM(M102:M250)</f>
        <v>25</v>
      </c>
      <c r="N101" s="31">
        <f>SUM(N102:N250)</f>
        <v>18</v>
      </c>
      <c r="O101" s="31"/>
      <c r="P101" s="31">
        <f>SUM(P102:P250)</f>
        <v>1</v>
      </c>
      <c r="Q101" s="31">
        <f>SUM(Q102:Q250)</f>
        <v>12</v>
      </c>
      <c r="R101" s="31"/>
      <c r="S101" s="31">
        <f>SUM(S102:S250)</f>
        <v>10</v>
      </c>
      <c r="T101" s="31">
        <f>SUM(T102:T250)</f>
        <v>0</v>
      </c>
      <c r="U101" s="19"/>
      <c r="V101" s="19"/>
      <c r="W101" s="80"/>
      <c r="X101" s="19"/>
      <c r="Y101" s="19"/>
      <c r="Z101" s="19"/>
      <c r="AA101" s="19"/>
      <c r="AB101" s="19"/>
      <c r="AC101" s="31">
        <f>SUM(AC102:AC250)</f>
        <v>799</v>
      </c>
      <c r="AD101" s="31">
        <f>SUM(AD102:AD250)</f>
        <v>0</v>
      </c>
      <c r="AE101" s="31" t="e">
        <f>AVERAGE(AE102:AE250)</f>
        <v>#DIV/0!</v>
      </c>
      <c r="AF101" s="31" t="e">
        <f>AVERAGE(AF102:AF250)</f>
        <v>#DIV/0!</v>
      </c>
      <c r="AG101" s="31" t="e">
        <f>AVERAGE(AG102:AG250)</f>
        <v>#DIV/0!</v>
      </c>
      <c r="AH101" s="19"/>
      <c r="AI101" s="41"/>
    </row>
    <row r="102" spans="1:35">
      <c r="A102" s="14"/>
      <c r="B102" s="20"/>
      <c r="C102" s="20" t="s">
        <v>1103</v>
      </c>
      <c r="D102" s="20" t="s">
        <v>79</v>
      </c>
      <c r="E102" s="20" t="s">
        <v>80</v>
      </c>
      <c r="F102" s="20" t="s">
        <v>1133</v>
      </c>
      <c r="G102" s="20" t="s">
        <v>1134</v>
      </c>
      <c r="H102" s="20"/>
      <c r="I102" s="122">
        <v>28644</v>
      </c>
      <c r="J102" s="24">
        <v>1</v>
      </c>
      <c r="K102" s="24"/>
      <c r="L102" s="24">
        <v>1</v>
      </c>
      <c r="M102" s="24"/>
      <c r="N102" s="24">
        <v>1</v>
      </c>
      <c r="O102" s="79" t="s">
        <v>1135</v>
      </c>
      <c r="P102" s="24"/>
      <c r="Q102" s="24"/>
      <c r="R102" s="24"/>
      <c r="S102" s="24"/>
      <c r="T102" s="24"/>
      <c r="U102" s="20" t="s">
        <v>1136</v>
      </c>
      <c r="V102" s="20" t="s">
        <v>513</v>
      </c>
      <c r="W102" s="53" t="s">
        <v>279</v>
      </c>
      <c r="X102" s="20" t="s">
        <v>227</v>
      </c>
      <c r="Y102" s="20">
        <v>9059510021</v>
      </c>
      <c r="Z102" s="20"/>
      <c r="AA102" s="50" t="s">
        <v>1137</v>
      </c>
      <c r="AB102" s="53" t="s">
        <v>228</v>
      </c>
      <c r="AC102" s="24">
        <v>1</v>
      </c>
      <c r="AD102" s="24"/>
      <c r="AE102" s="24"/>
      <c r="AF102" s="24"/>
      <c r="AG102" s="24"/>
      <c r="AH102" s="20"/>
      <c r="AI102" s="42"/>
    </row>
    <row r="103" spans="1:35">
      <c r="A103" s="14"/>
      <c r="B103" s="20"/>
      <c r="C103" s="20" t="s">
        <v>1103</v>
      </c>
      <c r="D103" s="20" t="s">
        <v>79</v>
      </c>
      <c r="E103" s="20" t="s">
        <v>80</v>
      </c>
      <c r="F103" s="20" t="s">
        <v>914</v>
      </c>
      <c r="G103" s="20" t="s">
        <v>183</v>
      </c>
      <c r="H103" s="20"/>
      <c r="I103" s="122">
        <v>27789</v>
      </c>
      <c r="J103" s="24">
        <v>1</v>
      </c>
      <c r="K103" s="24"/>
      <c r="L103" s="24">
        <v>1</v>
      </c>
      <c r="M103" s="24"/>
      <c r="N103" s="24">
        <v>1</v>
      </c>
      <c r="O103" s="79" t="s">
        <v>1135</v>
      </c>
      <c r="P103" s="24"/>
      <c r="Q103" s="24"/>
      <c r="R103" s="24"/>
      <c r="S103" s="24"/>
      <c r="T103" s="24"/>
      <c r="U103" s="20" t="s">
        <v>1136</v>
      </c>
      <c r="V103" s="20" t="s">
        <v>513</v>
      </c>
      <c r="W103" s="53" t="s">
        <v>279</v>
      </c>
      <c r="X103" s="20" t="s">
        <v>227</v>
      </c>
      <c r="Y103" s="20"/>
      <c r="Z103" s="20"/>
      <c r="AA103" s="50" t="s">
        <v>1138</v>
      </c>
      <c r="AB103" s="53" t="s">
        <v>228</v>
      </c>
      <c r="AC103" s="24">
        <v>1</v>
      </c>
      <c r="AD103" s="24"/>
      <c r="AE103" s="24"/>
      <c r="AF103" s="24"/>
      <c r="AG103" s="24"/>
      <c r="AH103" s="20"/>
      <c r="AI103" s="42"/>
    </row>
    <row r="104" spans="1:35">
      <c r="A104" s="14"/>
      <c r="B104" s="20"/>
      <c r="C104" s="20" t="s">
        <v>1103</v>
      </c>
      <c r="D104" s="20" t="s">
        <v>79</v>
      </c>
      <c r="E104" s="20" t="s">
        <v>80</v>
      </c>
      <c r="F104" s="20" t="s">
        <v>1144</v>
      </c>
      <c r="G104" s="20" t="s">
        <v>470</v>
      </c>
      <c r="H104" s="20"/>
      <c r="I104" s="122">
        <v>27749</v>
      </c>
      <c r="J104" s="24">
        <v>1</v>
      </c>
      <c r="K104" s="24"/>
      <c r="L104" s="24">
        <v>1</v>
      </c>
      <c r="M104" s="24"/>
      <c r="N104" s="24">
        <v>1</v>
      </c>
      <c r="O104" s="79" t="s">
        <v>1135</v>
      </c>
      <c r="P104" s="24"/>
      <c r="Q104" s="24"/>
      <c r="R104" s="24"/>
      <c r="S104" s="24"/>
      <c r="T104" s="24"/>
      <c r="U104" s="20" t="s">
        <v>1136</v>
      </c>
      <c r="V104" s="20" t="s">
        <v>513</v>
      </c>
      <c r="W104" s="53" t="s">
        <v>279</v>
      </c>
      <c r="X104" s="20" t="s">
        <v>227</v>
      </c>
      <c r="Y104" s="20"/>
      <c r="Z104" s="20"/>
      <c r="AA104" s="50" t="s">
        <v>1139</v>
      </c>
      <c r="AB104" s="53" t="s">
        <v>228</v>
      </c>
      <c r="AC104" s="24">
        <v>1</v>
      </c>
      <c r="AD104" s="24"/>
      <c r="AE104" s="24"/>
      <c r="AF104" s="24"/>
      <c r="AG104" s="24"/>
      <c r="AH104" s="20"/>
      <c r="AI104" s="42"/>
    </row>
    <row r="105" spans="1:35">
      <c r="A105" s="14"/>
      <c r="B105" s="20"/>
      <c r="C105" s="20" t="s">
        <v>1103</v>
      </c>
      <c r="D105" s="20" t="s">
        <v>79</v>
      </c>
      <c r="E105" s="20" t="s">
        <v>80</v>
      </c>
      <c r="F105" s="20" t="s">
        <v>1032</v>
      </c>
      <c r="G105" s="20" t="s">
        <v>837</v>
      </c>
      <c r="H105" s="20"/>
      <c r="I105" s="122">
        <v>31423</v>
      </c>
      <c r="J105" s="24">
        <v>1</v>
      </c>
      <c r="K105" s="24"/>
      <c r="L105" s="24">
        <v>1</v>
      </c>
      <c r="M105" s="24"/>
      <c r="N105" s="24">
        <v>1</v>
      </c>
      <c r="O105" s="79" t="s">
        <v>1135</v>
      </c>
      <c r="P105" s="24"/>
      <c r="Q105" s="24"/>
      <c r="R105" s="24"/>
      <c r="S105" s="24"/>
      <c r="T105" s="24"/>
      <c r="U105" s="20" t="s">
        <v>1142</v>
      </c>
      <c r="V105" s="20" t="s">
        <v>513</v>
      </c>
      <c r="W105" s="53" t="s">
        <v>279</v>
      </c>
      <c r="X105" s="20" t="s">
        <v>227</v>
      </c>
      <c r="Y105" s="20">
        <v>9635262206</v>
      </c>
      <c r="Z105" s="20"/>
      <c r="AA105" s="50" t="s">
        <v>1140</v>
      </c>
      <c r="AB105" s="53" t="s">
        <v>228</v>
      </c>
      <c r="AC105" s="24">
        <v>1</v>
      </c>
      <c r="AD105" s="24"/>
      <c r="AE105" s="24"/>
      <c r="AF105" s="24"/>
      <c r="AG105" s="24"/>
      <c r="AH105" s="20"/>
      <c r="AI105" s="42"/>
    </row>
    <row r="106" spans="1:35">
      <c r="A106" s="14"/>
      <c r="B106" s="20"/>
      <c r="C106" s="20" t="s">
        <v>1103</v>
      </c>
      <c r="D106" s="20" t="s">
        <v>79</v>
      </c>
      <c r="E106" s="20" t="s">
        <v>80</v>
      </c>
      <c r="F106" s="20" t="s">
        <v>549</v>
      </c>
      <c r="G106" s="20" t="s">
        <v>1145</v>
      </c>
      <c r="H106" s="20"/>
      <c r="I106" s="122">
        <v>31039</v>
      </c>
      <c r="J106" s="24">
        <v>1</v>
      </c>
      <c r="K106" s="24"/>
      <c r="L106" s="24">
        <v>1</v>
      </c>
      <c r="M106" s="24"/>
      <c r="N106" s="24">
        <v>1</v>
      </c>
      <c r="O106" s="79" t="s">
        <v>1135</v>
      </c>
      <c r="P106" s="24"/>
      <c r="Q106" s="24"/>
      <c r="R106" s="24"/>
      <c r="S106" s="24"/>
      <c r="T106" s="24"/>
      <c r="U106" s="20" t="s">
        <v>1143</v>
      </c>
      <c r="V106" s="20" t="s">
        <v>513</v>
      </c>
      <c r="W106" s="53" t="s">
        <v>279</v>
      </c>
      <c r="X106" s="20" t="s">
        <v>227</v>
      </c>
      <c r="Y106" s="20"/>
      <c r="Z106" s="20"/>
      <c r="AA106" s="50" t="s">
        <v>1141</v>
      </c>
      <c r="AB106" s="53" t="s">
        <v>228</v>
      </c>
      <c r="AC106" s="24">
        <v>1</v>
      </c>
      <c r="AD106" s="24"/>
      <c r="AE106" s="24"/>
      <c r="AF106" s="24"/>
      <c r="AG106" s="24"/>
      <c r="AH106" s="20"/>
      <c r="AI106" s="42"/>
    </row>
    <row r="107" spans="1:35">
      <c r="A107" s="14"/>
      <c r="B107" s="20"/>
      <c r="C107" s="20" t="s">
        <v>1103</v>
      </c>
      <c r="D107" s="20" t="s">
        <v>79</v>
      </c>
      <c r="E107" s="20" t="s">
        <v>80</v>
      </c>
      <c r="F107" s="20" t="s">
        <v>1146</v>
      </c>
      <c r="G107" s="20" t="s">
        <v>1004</v>
      </c>
      <c r="H107" s="20"/>
      <c r="I107" s="122">
        <v>21951</v>
      </c>
      <c r="J107" s="24">
        <v>1</v>
      </c>
      <c r="K107" s="24"/>
      <c r="L107" s="24">
        <v>1</v>
      </c>
      <c r="M107" s="24">
        <v>1</v>
      </c>
      <c r="N107" s="24"/>
      <c r="O107" s="79"/>
      <c r="P107" s="24"/>
      <c r="Q107" s="24"/>
      <c r="R107" s="24"/>
      <c r="S107" s="24"/>
      <c r="T107" s="24"/>
      <c r="U107" s="20" t="s">
        <v>1136</v>
      </c>
      <c r="V107" s="20" t="s">
        <v>513</v>
      </c>
      <c r="W107" s="53" t="s">
        <v>279</v>
      </c>
      <c r="X107" s="20" t="s">
        <v>227</v>
      </c>
      <c r="Y107" s="20"/>
      <c r="Z107" s="20"/>
      <c r="AA107" s="52" t="s">
        <v>1162</v>
      </c>
      <c r="AB107" s="53" t="s">
        <v>228</v>
      </c>
      <c r="AC107" s="24">
        <v>1</v>
      </c>
      <c r="AD107" s="24"/>
      <c r="AE107" s="24"/>
      <c r="AF107" s="24"/>
      <c r="AG107" s="24"/>
      <c r="AH107" s="20"/>
      <c r="AI107" s="42"/>
    </row>
    <row r="108" spans="1:35">
      <c r="A108" s="14"/>
      <c r="B108" s="20"/>
      <c r="C108" s="20" t="s">
        <v>1103</v>
      </c>
      <c r="D108" s="20" t="s">
        <v>79</v>
      </c>
      <c r="E108" s="20" t="s">
        <v>80</v>
      </c>
      <c r="F108" s="20" t="s">
        <v>1147</v>
      </c>
      <c r="G108" s="20" t="s">
        <v>1148</v>
      </c>
      <c r="H108" s="20"/>
      <c r="I108" s="122">
        <v>25153</v>
      </c>
      <c r="J108" s="24">
        <v>1</v>
      </c>
      <c r="K108" s="24"/>
      <c r="L108" s="24">
        <v>1</v>
      </c>
      <c r="M108" s="24"/>
      <c r="N108" s="24">
        <v>1</v>
      </c>
      <c r="O108" s="79" t="s">
        <v>1135</v>
      </c>
      <c r="P108" s="24"/>
      <c r="Q108" s="24"/>
      <c r="R108" s="24"/>
      <c r="S108" s="24"/>
      <c r="T108" s="24"/>
      <c r="U108" s="20" t="s">
        <v>868</v>
      </c>
      <c r="V108" s="20" t="s">
        <v>513</v>
      </c>
      <c r="W108" s="53" t="s">
        <v>279</v>
      </c>
      <c r="X108" s="20" t="s">
        <v>227</v>
      </c>
      <c r="Y108" s="20">
        <v>9517669153</v>
      </c>
      <c r="Z108" s="20"/>
      <c r="AA108" s="52" t="s">
        <v>1163</v>
      </c>
      <c r="AB108" s="53" t="s">
        <v>228</v>
      </c>
      <c r="AC108" s="24">
        <v>1</v>
      </c>
      <c r="AD108" s="24"/>
      <c r="AE108" s="24"/>
      <c r="AF108" s="24"/>
      <c r="AG108" s="24"/>
      <c r="AH108" s="20"/>
      <c r="AI108" s="42"/>
    </row>
    <row r="109" spans="1:35">
      <c r="A109" s="14"/>
      <c r="B109" s="20"/>
      <c r="C109" s="20" t="s">
        <v>1103</v>
      </c>
      <c r="D109" s="20" t="s">
        <v>79</v>
      </c>
      <c r="E109" s="20" t="s">
        <v>80</v>
      </c>
      <c r="F109" s="20" t="s">
        <v>1149</v>
      </c>
      <c r="G109" s="20" t="s">
        <v>1150</v>
      </c>
      <c r="H109" s="20"/>
      <c r="I109" s="122"/>
      <c r="J109" s="24">
        <v>1</v>
      </c>
      <c r="K109" s="24"/>
      <c r="L109" s="24">
        <v>1</v>
      </c>
      <c r="M109" s="24"/>
      <c r="N109" s="24">
        <v>1</v>
      </c>
      <c r="O109" s="79" t="s">
        <v>1135</v>
      </c>
      <c r="P109" s="24"/>
      <c r="Q109" s="24"/>
      <c r="R109" s="24"/>
      <c r="S109" s="24"/>
      <c r="T109" s="24"/>
      <c r="U109" s="20" t="s">
        <v>868</v>
      </c>
      <c r="V109" s="20" t="s">
        <v>513</v>
      </c>
      <c r="W109" s="53" t="s">
        <v>279</v>
      </c>
      <c r="X109" s="20" t="s">
        <v>227</v>
      </c>
      <c r="Y109" s="20">
        <v>9093498072</v>
      </c>
      <c r="Z109" s="20"/>
      <c r="AA109" s="52" t="s">
        <v>1164</v>
      </c>
      <c r="AB109" s="53" t="s">
        <v>228</v>
      </c>
      <c r="AC109" s="24">
        <v>1</v>
      </c>
      <c r="AD109" s="24"/>
      <c r="AE109" s="24"/>
      <c r="AF109" s="24"/>
      <c r="AG109" s="24"/>
      <c r="AH109" s="20"/>
      <c r="AI109" s="42"/>
    </row>
    <row r="110" spans="1:35">
      <c r="A110" s="14"/>
      <c r="B110" s="20"/>
      <c r="C110" s="20" t="s">
        <v>1103</v>
      </c>
      <c r="D110" s="20" t="s">
        <v>79</v>
      </c>
      <c r="E110" s="20" t="s">
        <v>80</v>
      </c>
      <c r="F110" s="20" t="s">
        <v>1151</v>
      </c>
      <c r="G110" s="20" t="s">
        <v>1152</v>
      </c>
      <c r="H110" s="20" t="s">
        <v>283</v>
      </c>
      <c r="I110" s="122">
        <v>32952</v>
      </c>
      <c r="J110" s="24">
        <v>1</v>
      </c>
      <c r="K110" s="24"/>
      <c r="L110" s="24">
        <v>1</v>
      </c>
      <c r="M110" s="24"/>
      <c r="N110" s="24">
        <v>1</v>
      </c>
      <c r="O110" s="79" t="s">
        <v>1135</v>
      </c>
      <c r="P110" s="24"/>
      <c r="Q110" s="24"/>
      <c r="R110" s="24"/>
      <c r="S110" s="24"/>
      <c r="T110" s="24"/>
      <c r="U110" s="20" t="s">
        <v>1143</v>
      </c>
      <c r="V110" s="20" t="s">
        <v>513</v>
      </c>
      <c r="W110" s="53" t="s">
        <v>279</v>
      </c>
      <c r="X110" s="20" t="s">
        <v>227</v>
      </c>
      <c r="Y110" s="20">
        <v>9307089390</v>
      </c>
      <c r="Z110" s="20"/>
      <c r="AA110" s="52" t="s">
        <v>1165</v>
      </c>
      <c r="AB110" s="53" t="s">
        <v>228</v>
      </c>
      <c r="AC110" s="24">
        <v>1</v>
      </c>
      <c r="AD110" s="24"/>
      <c r="AE110" s="24"/>
      <c r="AF110" s="24"/>
      <c r="AG110" s="24"/>
      <c r="AH110" s="20"/>
      <c r="AI110" s="42"/>
    </row>
    <row r="111" spans="1:35">
      <c r="A111" s="14"/>
      <c r="B111" s="20"/>
      <c r="C111" s="20" t="s">
        <v>1103</v>
      </c>
      <c r="D111" s="20" t="s">
        <v>79</v>
      </c>
      <c r="E111" s="20" t="s">
        <v>80</v>
      </c>
      <c r="F111" s="20" t="s">
        <v>633</v>
      </c>
      <c r="G111" s="20" t="s">
        <v>1153</v>
      </c>
      <c r="H111" s="20" t="s">
        <v>126</v>
      </c>
      <c r="I111" s="122">
        <v>19230</v>
      </c>
      <c r="J111" s="24">
        <v>1</v>
      </c>
      <c r="K111" s="24"/>
      <c r="L111" s="24">
        <v>1</v>
      </c>
      <c r="M111" s="24">
        <v>1</v>
      </c>
      <c r="N111" s="24">
        <v>1</v>
      </c>
      <c r="O111" s="79" t="s">
        <v>1135</v>
      </c>
      <c r="P111" s="24"/>
      <c r="Q111" s="24"/>
      <c r="R111" s="24"/>
      <c r="S111" s="24"/>
      <c r="T111" s="24"/>
      <c r="U111" s="20" t="s">
        <v>1143</v>
      </c>
      <c r="V111" s="20" t="s">
        <v>513</v>
      </c>
      <c r="W111" s="53" t="s">
        <v>279</v>
      </c>
      <c r="X111" s="20" t="s">
        <v>227</v>
      </c>
      <c r="Y111" s="20"/>
      <c r="Z111" s="20"/>
      <c r="AA111" s="52" t="s">
        <v>1166</v>
      </c>
      <c r="AB111" s="53" t="s">
        <v>228</v>
      </c>
      <c r="AC111" s="24">
        <v>1</v>
      </c>
      <c r="AD111" s="24"/>
      <c r="AE111" s="24"/>
      <c r="AF111" s="24"/>
      <c r="AG111" s="24"/>
      <c r="AH111" s="20"/>
      <c r="AI111" s="42"/>
    </row>
    <row r="112" spans="1:35">
      <c r="A112" s="14"/>
      <c r="B112" s="20"/>
      <c r="C112" s="20" t="s">
        <v>1103</v>
      </c>
      <c r="D112" s="20" t="s">
        <v>79</v>
      </c>
      <c r="E112" s="20" t="s">
        <v>80</v>
      </c>
      <c r="F112" s="20" t="s">
        <v>1154</v>
      </c>
      <c r="G112" s="20" t="s">
        <v>632</v>
      </c>
      <c r="H112" s="20" t="s">
        <v>120</v>
      </c>
      <c r="I112" s="122">
        <v>19337</v>
      </c>
      <c r="J112" s="24"/>
      <c r="K112" s="24">
        <v>1</v>
      </c>
      <c r="L112" s="24">
        <v>1</v>
      </c>
      <c r="M112" s="24">
        <v>1</v>
      </c>
      <c r="N112" s="24">
        <v>1</v>
      </c>
      <c r="O112" s="79" t="s">
        <v>1135</v>
      </c>
      <c r="P112" s="24"/>
      <c r="Q112" s="24"/>
      <c r="R112" s="24"/>
      <c r="S112" s="24"/>
      <c r="T112" s="24"/>
      <c r="U112" s="20" t="s">
        <v>1143</v>
      </c>
      <c r="V112" s="20" t="s">
        <v>513</v>
      </c>
      <c r="W112" s="53" t="s">
        <v>279</v>
      </c>
      <c r="X112" s="20" t="s">
        <v>227</v>
      </c>
      <c r="Y112" s="20">
        <v>9071766456</v>
      </c>
      <c r="Z112" s="20"/>
      <c r="AA112" s="52" t="s">
        <v>1167</v>
      </c>
      <c r="AB112" s="53" t="s">
        <v>228</v>
      </c>
      <c r="AC112" s="24">
        <v>1</v>
      </c>
      <c r="AD112" s="24"/>
      <c r="AE112" s="24"/>
      <c r="AF112" s="24"/>
      <c r="AG112" s="24"/>
      <c r="AH112" s="20"/>
      <c r="AI112" s="42"/>
    </row>
    <row r="113" spans="1:35">
      <c r="A113" s="14"/>
      <c r="B113" s="20"/>
      <c r="C113" s="20" t="s">
        <v>1103</v>
      </c>
      <c r="D113" s="20" t="s">
        <v>79</v>
      </c>
      <c r="E113" s="20" t="s">
        <v>80</v>
      </c>
      <c r="F113" s="20" t="s">
        <v>1155</v>
      </c>
      <c r="G113" s="20" t="s">
        <v>1156</v>
      </c>
      <c r="H113" s="20" t="s">
        <v>1040</v>
      </c>
      <c r="I113" s="122">
        <v>27662</v>
      </c>
      <c r="J113" s="24">
        <v>1</v>
      </c>
      <c r="K113" s="24"/>
      <c r="L113" s="24">
        <v>1</v>
      </c>
      <c r="M113" s="24"/>
      <c r="N113" s="24">
        <v>1</v>
      </c>
      <c r="O113" s="79" t="s">
        <v>1135</v>
      </c>
      <c r="P113" s="24"/>
      <c r="Q113" s="24"/>
      <c r="R113" s="24"/>
      <c r="S113" s="24"/>
      <c r="T113" s="24"/>
      <c r="U113" s="20" t="s">
        <v>868</v>
      </c>
      <c r="V113" s="20" t="s">
        <v>513</v>
      </c>
      <c r="W113" s="53" t="s">
        <v>279</v>
      </c>
      <c r="X113" s="20" t="s">
        <v>227</v>
      </c>
      <c r="Y113" s="20"/>
      <c r="Z113" s="20"/>
      <c r="AA113" s="52" t="s">
        <v>1168</v>
      </c>
      <c r="AB113" s="53" t="s">
        <v>228</v>
      </c>
      <c r="AC113" s="24">
        <v>1</v>
      </c>
      <c r="AD113" s="24"/>
      <c r="AE113" s="24"/>
      <c r="AF113" s="24"/>
      <c r="AG113" s="24"/>
      <c r="AH113" s="20"/>
      <c r="AI113" s="42"/>
    </row>
    <row r="114" spans="1:35">
      <c r="A114" s="14"/>
      <c r="B114" s="20"/>
      <c r="C114" s="20" t="s">
        <v>1103</v>
      </c>
      <c r="D114" s="20" t="s">
        <v>79</v>
      </c>
      <c r="E114" s="20" t="s">
        <v>80</v>
      </c>
      <c r="F114" s="20" t="s">
        <v>1157</v>
      </c>
      <c r="G114" s="20" t="s">
        <v>1158</v>
      </c>
      <c r="H114" s="20"/>
      <c r="I114" s="122">
        <v>28705</v>
      </c>
      <c r="J114" s="24">
        <v>1</v>
      </c>
      <c r="K114" s="24"/>
      <c r="L114" s="24">
        <v>1</v>
      </c>
      <c r="M114" s="24"/>
      <c r="N114" s="24"/>
      <c r="O114" s="79"/>
      <c r="P114" s="24"/>
      <c r="Q114" s="24"/>
      <c r="R114" s="24"/>
      <c r="S114" s="24"/>
      <c r="T114" s="24"/>
      <c r="U114" s="20" t="s">
        <v>947</v>
      </c>
      <c r="V114" s="20" t="s">
        <v>513</v>
      </c>
      <c r="W114" s="53" t="s">
        <v>279</v>
      </c>
      <c r="X114" s="20" t="s">
        <v>227</v>
      </c>
      <c r="Y114" s="20"/>
      <c r="Z114" s="20"/>
      <c r="AA114" s="52" t="s">
        <v>1169</v>
      </c>
      <c r="AB114" s="53" t="s">
        <v>228</v>
      </c>
      <c r="AC114" s="24">
        <v>1</v>
      </c>
      <c r="AD114" s="24"/>
      <c r="AE114" s="24"/>
      <c r="AF114" s="24"/>
      <c r="AG114" s="24"/>
      <c r="AH114" s="20"/>
      <c r="AI114" s="42"/>
    </row>
    <row r="115" spans="1:35">
      <c r="A115" s="14"/>
      <c r="B115" s="20"/>
      <c r="C115" s="20" t="s">
        <v>1103</v>
      </c>
      <c r="D115" s="20" t="s">
        <v>79</v>
      </c>
      <c r="E115" s="20" t="s">
        <v>80</v>
      </c>
      <c r="F115" s="20" t="s">
        <v>1159</v>
      </c>
      <c r="G115" s="20" t="s">
        <v>1160</v>
      </c>
      <c r="H115" s="20" t="s">
        <v>202</v>
      </c>
      <c r="I115" s="122">
        <v>29079</v>
      </c>
      <c r="J115" s="24">
        <v>1</v>
      </c>
      <c r="K115" s="24"/>
      <c r="L115" s="24">
        <v>1</v>
      </c>
      <c r="M115" s="24"/>
      <c r="N115" s="24"/>
      <c r="O115" s="79"/>
      <c r="P115" s="24"/>
      <c r="Q115" s="24"/>
      <c r="R115" s="24"/>
      <c r="S115" s="24"/>
      <c r="T115" s="24"/>
      <c r="U115" s="20" t="s">
        <v>868</v>
      </c>
      <c r="V115" s="20" t="s">
        <v>513</v>
      </c>
      <c r="W115" s="53" t="s">
        <v>279</v>
      </c>
      <c r="X115" s="20" t="s">
        <v>227</v>
      </c>
      <c r="Y115" s="20">
        <v>9701601160</v>
      </c>
      <c r="Z115" s="20"/>
      <c r="AA115" s="52" t="s">
        <v>1170</v>
      </c>
      <c r="AB115" s="53" t="s">
        <v>228</v>
      </c>
      <c r="AC115" s="24">
        <v>1</v>
      </c>
      <c r="AD115" s="24"/>
      <c r="AE115" s="24"/>
      <c r="AF115" s="24"/>
      <c r="AG115" s="24"/>
      <c r="AH115" s="20"/>
      <c r="AI115" s="42"/>
    </row>
    <row r="116" spans="1:35">
      <c r="A116" s="14"/>
      <c r="B116" s="20"/>
      <c r="C116" s="20" t="s">
        <v>1103</v>
      </c>
      <c r="D116" s="20" t="s">
        <v>79</v>
      </c>
      <c r="E116" s="20" t="s">
        <v>80</v>
      </c>
      <c r="F116" s="20" t="s">
        <v>1161</v>
      </c>
      <c r="G116" s="20" t="s">
        <v>800</v>
      </c>
      <c r="H116" s="20" t="s">
        <v>113</v>
      </c>
      <c r="I116" s="122">
        <v>27153</v>
      </c>
      <c r="J116" s="24">
        <v>1</v>
      </c>
      <c r="K116" s="24"/>
      <c r="L116" s="24">
        <v>1</v>
      </c>
      <c r="M116" s="24"/>
      <c r="N116" s="24"/>
      <c r="O116" s="79"/>
      <c r="P116" s="24"/>
      <c r="Q116" s="24"/>
      <c r="R116" s="24"/>
      <c r="S116" s="24"/>
      <c r="T116" s="24"/>
      <c r="U116" s="20" t="s">
        <v>1143</v>
      </c>
      <c r="V116" s="20" t="s">
        <v>513</v>
      </c>
      <c r="W116" s="53" t="s">
        <v>279</v>
      </c>
      <c r="X116" s="20" t="s">
        <v>227</v>
      </c>
      <c r="Y116" s="20"/>
      <c r="Z116" s="20"/>
      <c r="AA116" s="52" t="s">
        <v>1171</v>
      </c>
      <c r="AB116" s="53" t="s">
        <v>228</v>
      </c>
      <c r="AC116" s="24">
        <v>1</v>
      </c>
      <c r="AD116" s="24"/>
      <c r="AE116" s="24"/>
      <c r="AF116" s="24"/>
      <c r="AG116" s="24"/>
      <c r="AH116" s="20"/>
      <c r="AI116" s="42"/>
    </row>
    <row r="117" spans="1:35" s="94" customFormat="1">
      <c r="A117" s="91"/>
      <c r="B117" s="86"/>
      <c r="C117" s="86" t="s">
        <v>1432</v>
      </c>
      <c r="D117" s="86" t="s">
        <v>79</v>
      </c>
      <c r="E117" s="86" t="s">
        <v>80</v>
      </c>
      <c r="F117" s="86" t="s">
        <v>1433</v>
      </c>
      <c r="G117" s="86" t="s">
        <v>1434</v>
      </c>
      <c r="H117" s="86" t="s">
        <v>1435</v>
      </c>
      <c r="I117" s="135">
        <v>23357</v>
      </c>
      <c r="J117" s="92">
        <v>1</v>
      </c>
      <c r="K117" s="92"/>
      <c r="L117" s="92">
        <v>1</v>
      </c>
      <c r="M117" s="92"/>
      <c r="N117" s="92">
        <v>1</v>
      </c>
      <c r="O117" s="114"/>
      <c r="P117" s="92"/>
      <c r="Q117" s="92"/>
      <c r="R117" s="92"/>
      <c r="S117" s="92"/>
      <c r="T117" s="92"/>
      <c r="U117" s="86" t="s">
        <v>1437</v>
      </c>
      <c r="V117" s="86" t="s">
        <v>949</v>
      </c>
      <c r="W117" s="86" t="s">
        <v>280</v>
      </c>
      <c r="X117" s="86" t="s">
        <v>227</v>
      </c>
      <c r="Y117" s="86">
        <v>9659157761</v>
      </c>
      <c r="Z117" s="86"/>
      <c r="AA117" s="86" t="s">
        <v>1438</v>
      </c>
      <c r="AB117" s="86" t="s">
        <v>228</v>
      </c>
      <c r="AC117" s="92">
        <v>1</v>
      </c>
      <c r="AD117" s="92"/>
      <c r="AE117" s="92"/>
      <c r="AF117" s="92"/>
      <c r="AG117" s="92"/>
      <c r="AH117" s="86"/>
      <c r="AI117" s="93"/>
    </row>
    <row r="118" spans="1:35">
      <c r="A118" s="14"/>
      <c r="B118" s="20"/>
      <c r="C118" s="84" t="s">
        <v>1432</v>
      </c>
      <c r="D118" s="20" t="s">
        <v>79</v>
      </c>
      <c r="E118" s="20" t="s">
        <v>80</v>
      </c>
      <c r="F118" s="84" t="s">
        <v>1436</v>
      </c>
      <c r="G118" s="84" t="s">
        <v>204</v>
      </c>
      <c r="H118" s="84" t="s">
        <v>723</v>
      </c>
      <c r="I118" s="122">
        <v>20658</v>
      </c>
      <c r="J118" s="24"/>
      <c r="K118" s="24">
        <v>1</v>
      </c>
      <c r="L118" s="24">
        <v>1</v>
      </c>
      <c r="M118" s="24">
        <v>1</v>
      </c>
      <c r="N118" s="24"/>
      <c r="O118" s="79"/>
      <c r="P118" s="24"/>
      <c r="Q118" s="24"/>
      <c r="R118" s="24"/>
      <c r="S118" s="24"/>
      <c r="T118" s="24"/>
      <c r="U118" s="84" t="s">
        <v>1439</v>
      </c>
      <c r="V118" s="84" t="s">
        <v>949</v>
      </c>
      <c r="W118" s="53" t="s">
        <v>280</v>
      </c>
      <c r="X118" s="84" t="s">
        <v>227</v>
      </c>
      <c r="Y118" s="20">
        <v>9484141143</v>
      </c>
      <c r="Z118" s="20"/>
      <c r="AA118" s="52" t="s">
        <v>1440</v>
      </c>
      <c r="AB118" s="53" t="s">
        <v>228</v>
      </c>
      <c r="AC118" s="24">
        <v>1</v>
      </c>
      <c r="AD118" s="24"/>
      <c r="AE118" s="24"/>
      <c r="AF118" s="24"/>
      <c r="AG118" s="24"/>
      <c r="AH118" s="20"/>
      <c r="AI118" s="42"/>
    </row>
    <row r="119" spans="1:35">
      <c r="A119" s="14"/>
      <c r="B119" s="20"/>
      <c r="C119" s="84" t="s">
        <v>1432</v>
      </c>
      <c r="D119" s="20" t="s">
        <v>79</v>
      </c>
      <c r="E119" s="20" t="s">
        <v>80</v>
      </c>
      <c r="F119" s="84" t="s">
        <v>1444</v>
      </c>
      <c r="G119" s="84" t="s">
        <v>1445</v>
      </c>
      <c r="H119" s="84" t="s">
        <v>441</v>
      </c>
      <c r="I119" s="122">
        <v>25776</v>
      </c>
      <c r="J119" s="24">
        <v>1</v>
      </c>
      <c r="K119" s="24"/>
      <c r="L119" s="24">
        <v>1</v>
      </c>
      <c r="M119" s="24"/>
      <c r="N119" s="24"/>
      <c r="O119" s="79"/>
      <c r="P119" s="24"/>
      <c r="Q119" s="24"/>
      <c r="R119" s="24"/>
      <c r="S119" s="24"/>
      <c r="T119" s="24"/>
      <c r="U119" s="20" t="s">
        <v>1446</v>
      </c>
      <c r="V119" s="20" t="s">
        <v>949</v>
      </c>
      <c r="W119" s="53" t="s">
        <v>280</v>
      </c>
      <c r="X119" s="20" t="s">
        <v>227</v>
      </c>
      <c r="Y119" s="20">
        <v>9359115944</v>
      </c>
      <c r="Z119" s="20"/>
      <c r="AA119" s="52" t="s">
        <v>1447</v>
      </c>
      <c r="AB119" s="53" t="s">
        <v>228</v>
      </c>
      <c r="AC119" s="24">
        <v>1</v>
      </c>
      <c r="AD119" s="24"/>
      <c r="AE119" s="24"/>
      <c r="AF119" s="24"/>
      <c r="AG119" s="24"/>
      <c r="AH119" s="20"/>
      <c r="AI119" s="42"/>
    </row>
    <row r="120" spans="1:35">
      <c r="A120" s="14"/>
      <c r="B120" s="20"/>
      <c r="C120" s="84" t="s">
        <v>1432</v>
      </c>
      <c r="D120" s="20" t="s">
        <v>79</v>
      </c>
      <c r="E120" s="20" t="s">
        <v>80</v>
      </c>
      <c r="F120" s="20" t="s">
        <v>1448</v>
      </c>
      <c r="G120" s="20" t="s">
        <v>1449</v>
      </c>
      <c r="H120" s="20" t="s">
        <v>1435</v>
      </c>
      <c r="I120" s="122">
        <v>24724</v>
      </c>
      <c r="J120" s="24">
        <v>1</v>
      </c>
      <c r="K120" s="24"/>
      <c r="L120" s="24">
        <v>1</v>
      </c>
      <c r="M120" s="24"/>
      <c r="N120" s="24">
        <v>1</v>
      </c>
      <c r="O120" s="79"/>
      <c r="P120" s="24"/>
      <c r="Q120" s="24"/>
      <c r="R120" s="24"/>
      <c r="S120" s="24"/>
      <c r="T120" s="24"/>
      <c r="U120" s="20" t="s">
        <v>1437</v>
      </c>
      <c r="V120" s="20" t="s">
        <v>949</v>
      </c>
      <c r="W120" s="53" t="s">
        <v>280</v>
      </c>
      <c r="X120" s="20" t="s">
        <v>227</v>
      </c>
      <c r="Y120" s="20">
        <v>9061991549</v>
      </c>
      <c r="Z120" s="20"/>
      <c r="AA120" s="52" t="s">
        <v>1450</v>
      </c>
      <c r="AB120" s="53" t="s">
        <v>228</v>
      </c>
      <c r="AC120" s="24">
        <v>1</v>
      </c>
      <c r="AD120" s="24"/>
      <c r="AE120" s="24"/>
      <c r="AF120" s="24"/>
      <c r="AG120" s="24"/>
      <c r="AH120" s="20"/>
      <c r="AI120" s="42"/>
    </row>
    <row r="121" spans="1:35">
      <c r="A121" s="14"/>
      <c r="B121" s="20"/>
      <c r="C121" s="84" t="s">
        <v>1432</v>
      </c>
      <c r="D121" s="20" t="s">
        <v>79</v>
      </c>
      <c r="E121" s="20" t="s">
        <v>80</v>
      </c>
      <c r="F121" s="20" t="s">
        <v>1451</v>
      </c>
      <c r="G121" s="20" t="s">
        <v>1453</v>
      </c>
      <c r="H121" s="20" t="s">
        <v>1452</v>
      </c>
      <c r="I121" s="122">
        <v>29056</v>
      </c>
      <c r="J121" s="24">
        <v>1</v>
      </c>
      <c r="K121" s="24"/>
      <c r="L121" s="24">
        <v>1</v>
      </c>
      <c r="M121" s="24"/>
      <c r="N121" s="24"/>
      <c r="O121" s="79"/>
      <c r="P121" s="24"/>
      <c r="Q121" s="24"/>
      <c r="R121" s="24"/>
      <c r="S121" s="24"/>
      <c r="T121" s="24"/>
      <c r="U121" s="20" t="s">
        <v>1454</v>
      </c>
      <c r="V121" s="20" t="s">
        <v>949</v>
      </c>
      <c r="W121" s="53" t="s">
        <v>280</v>
      </c>
      <c r="X121" s="20" t="s">
        <v>227</v>
      </c>
      <c r="Y121" s="20">
        <v>9187803440</v>
      </c>
      <c r="Z121" s="20"/>
      <c r="AA121" s="52" t="s">
        <v>1455</v>
      </c>
      <c r="AB121" s="53" t="s">
        <v>228</v>
      </c>
      <c r="AC121" s="24">
        <v>1</v>
      </c>
      <c r="AD121" s="24"/>
      <c r="AE121" s="24"/>
      <c r="AF121" s="24"/>
      <c r="AG121" s="24"/>
      <c r="AH121" s="20"/>
      <c r="AI121" s="42"/>
    </row>
    <row r="122" spans="1:35">
      <c r="A122" s="14"/>
      <c r="B122" s="20"/>
      <c r="C122" s="84" t="s">
        <v>1432</v>
      </c>
      <c r="D122" s="20" t="s">
        <v>79</v>
      </c>
      <c r="E122" s="20" t="s">
        <v>80</v>
      </c>
      <c r="F122" s="20" t="s">
        <v>1461</v>
      </c>
      <c r="G122" s="20" t="s">
        <v>1462</v>
      </c>
      <c r="H122" s="20" t="s">
        <v>126</v>
      </c>
      <c r="I122" s="122">
        <v>34723</v>
      </c>
      <c r="J122" s="24">
        <v>1</v>
      </c>
      <c r="K122" s="24"/>
      <c r="L122" s="24">
        <v>1</v>
      </c>
      <c r="M122" s="24"/>
      <c r="N122" s="24"/>
      <c r="O122" s="79"/>
      <c r="P122" s="24"/>
      <c r="Q122" s="24"/>
      <c r="R122" s="24"/>
      <c r="S122" s="24"/>
      <c r="T122" s="24"/>
      <c r="U122" s="20" t="s">
        <v>1369</v>
      </c>
      <c r="V122" s="20" t="s">
        <v>949</v>
      </c>
      <c r="W122" s="53" t="s">
        <v>280</v>
      </c>
      <c r="X122" s="20" t="s">
        <v>227</v>
      </c>
      <c r="Y122" s="20">
        <v>9636138008</v>
      </c>
      <c r="Z122" s="20"/>
      <c r="AA122" s="52" t="s">
        <v>1456</v>
      </c>
      <c r="AB122" s="53" t="s">
        <v>228</v>
      </c>
      <c r="AC122" s="24">
        <v>1</v>
      </c>
      <c r="AD122" s="24"/>
      <c r="AE122" s="24"/>
      <c r="AF122" s="24"/>
      <c r="AG122" s="24"/>
      <c r="AH122" s="20"/>
      <c r="AI122" s="42"/>
    </row>
    <row r="123" spans="1:35">
      <c r="A123" s="14"/>
      <c r="B123" s="20"/>
      <c r="C123" s="84" t="s">
        <v>1432</v>
      </c>
      <c r="D123" s="20" t="s">
        <v>79</v>
      </c>
      <c r="E123" s="20" t="s">
        <v>80</v>
      </c>
      <c r="F123" s="20" t="s">
        <v>1463</v>
      </c>
      <c r="G123" s="20" t="s">
        <v>1464</v>
      </c>
      <c r="H123" s="20" t="s">
        <v>120</v>
      </c>
      <c r="I123" s="122">
        <v>28950</v>
      </c>
      <c r="J123" s="24">
        <v>1</v>
      </c>
      <c r="K123" s="24"/>
      <c r="L123" s="24">
        <v>1</v>
      </c>
      <c r="M123" s="24"/>
      <c r="N123" s="24"/>
      <c r="O123" s="79"/>
      <c r="P123" s="24"/>
      <c r="Q123" s="24"/>
      <c r="R123" s="24"/>
      <c r="S123" s="24"/>
      <c r="T123" s="24"/>
      <c r="U123" s="20" t="s">
        <v>1068</v>
      </c>
      <c r="V123" s="20" t="s">
        <v>949</v>
      </c>
      <c r="W123" s="53" t="s">
        <v>280</v>
      </c>
      <c r="X123" s="20" t="s">
        <v>227</v>
      </c>
      <c r="Y123" s="20">
        <v>9127322390</v>
      </c>
      <c r="Z123" s="20"/>
      <c r="AA123" s="52" t="s">
        <v>1457</v>
      </c>
      <c r="AB123" s="53" t="s">
        <v>228</v>
      </c>
      <c r="AC123" s="24">
        <v>1</v>
      </c>
      <c r="AD123" s="24"/>
      <c r="AE123" s="24"/>
      <c r="AF123" s="24"/>
      <c r="AG123" s="24"/>
      <c r="AH123" s="20"/>
      <c r="AI123" s="42"/>
    </row>
    <row r="124" spans="1:35">
      <c r="A124" s="14"/>
      <c r="B124" s="20"/>
      <c r="C124" s="84" t="s">
        <v>1432</v>
      </c>
      <c r="D124" s="20" t="s">
        <v>79</v>
      </c>
      <c r="E124" s="20" t="s">
        <v>80</v>
      </c>
      <c r="F124" s="20" t="s">
        <v>1465</v>
      </c>
      <c r="G124" s="20" t="s">
        <v>994</v>
      </c>
      <c r="H124" s="20" t="s">
        <v>136</v>
      </c>
      <c r="I124" s="122">
        <v>25282</v>
      </c>
      <c r="J124" s="24">
        <v>1</v>
      </c>
      <c r="K124" s="24"/>
      <c r="L124" s="24">
        <v>1</v>
      </c>
      <c r="M124" s="24"/>
      <c r="N124" s="24">
        <v>1</v>
      </c>
      <c r="O124" s="79"/>
      <c r="P124" s="24"/>
      <c r="Q124" s="24"/>
      <c r="R124" s="24"/>
      <c r="S124" s="24"/>
      <c r="T124" s="24"/>
      <c r="U124" s="20" t="s">
        <v>1466</v>
      </c>
      <c r="V124" s="20" t="s">
        <v>949</v>
      </c>
      <c r="W124" s="53" t="s">
        <v>280</v>
      </c>
      <c r="X124" s="20" t="s">
        <v>227</v>
      </c>
      <c r="Y124" s="20">
        <v>9304875112</v>
      </c>
      <c r="Z124" s="20"/>
      <c r="AA124" s="52" t="s">
        <v>1458</v>
      </c>
      <c r="AB124" s="53" t="s">
        <v>228</v>
      </c>
      <c r="AC124" s="24">
        <v>1</v>
      </c>
      <c r="AD124" s="24"/>
      <c r="AE124" s="24"/>
      <c r="AF124" s="24"/>
      <c r="AG124" s="24"/>
      <c r="AH124" s="20"/>
      <c r="AI124" s="42"/>
    </row>
    <row r="125" spans="1:35">
      <c r="A125" s="14"/>
      <c r="B125" s="20"/>
      <c r="C125" s="84" t="s">
        <v>1432</v>
      </c>
      <c r="D125" s="20" t="s">
        <v>79</v>
      </c>
      <c r="E125" s="20" t="s">
        <v>80</v>
      </c>
      <c r="F125" s="20" t="s">
        <v>1467</v>
      </c>
      <c r="G125" s="20" t="s">
        <v>1468</v>
      </c>
      <c r="H125" s="20" t="s">
        <v>1469</v>
      </c>
      <c r="I125" s="122">
        <v>21994</v>
      </c>
      <c r="J125" s="24">
        <v>1</v>
      </c>
      <c r="K125" s="24"/>
      <c r="L125" s="24">
        <v>1</v>
      </c>
      <c r="M125" s="24">
        <v>1</v>
      </c>
      <c r="N125" s="24"/>
      <c r="O125" s="79"/>
      <c r="P125" s="24"/>
      <c r="Q125" s="24"/>
      <c r="R125" s="24"/>
      <c r="S125" s="24"/>
      <c r="T125" s="24"/>
      <c r="U125" s="20" t="s">
        <v>1470</v>
      </c>
      <c r="V125" s="20" t="s">
        <v>949</v>
      </c>
      <c r="W125" s="53" t="s">
        <v>280</v>
      </c>
      <c r="X125" s="20" t="s">
        <v>227</v>
      </c>
      <c r="Y125" s="20">
        <v>9059515114</v>
      </c>
      <c r="Z125" s="20"/>
      <c r="AA125" s="52" t="s">
        <v>1459</v>
      </c>
      <c r="AB125" s="53" t="s">
        <v>228</v>
      </c>
      <c r="AC125" s="24">
        <v>1</v>
      </c>
      <c r="AD125" s="24"/>
      <c r="AE125" s="24"/>
      <c r="AF125" s="24"/>
      <c r="AG125" s="24"/>
      <c r="AH125" s="20"/>
      <c r="AI125" s="42"/>
    </row>
    <row r="126" spans="1:35">
      <c r="A126" s="14"/>
      <c r="B126" s="20"/>
      <c r="C126" s="84" t="s">
        <v>1432</v>
      </c>
      <c r="D126" s="20" t="s">
        <v>79</v>
      </c>
      <c r="E126" s="20" t="s">
        <v>80</v>
      </c>
      <c r="F126" s="20" t="s">
        <v>1472</v>
      </c>
      <c r="G126" s="20" t="s">
        <v>285</v>
      </c>
      <c r="H126" s="20" t="s">
        <v>1473</v>
      </c>
      <c r="I126" s="122">
        <v>25070</v>
      </c>
      <c r="J126" s="24">
        <v>1</v>
      </c>
      <c r="K126" s="24"/>
      <c r="L126" s="24">
        <v>1</v>
      </c>
      <c r="M126" s="24"/>
      <c r="N126" s="24"/>
      <c r="O126" s="79"/>
      <c r="P126" s="24"/>
      <c r="Q126" s="24"/>
      <c r="R126" s="24"/>
      <c r="S126" s="24"/>
      <c r="T126" s="24"/>
      <c r="U126" s="20" t="s">
        <v>1471</v>
      </c>
      <c r="V126" s="20" t="s">
        <v>949</v>
      </c>
      <c r="W126" s="53" t="s">
        <v>280</v>
      </c>
      <c r="X126" s="20" t="s">
        <v>227</v>
      </c>
      <c r="Y126" s="20">
        <v>9302716676</v>
      </c>
      <c r="Z126" s="20"/>
      <c r="AA126" s="52" t="s">
        <v>1460</v>
      </c>
      <c r="AB126" s="53" t="s">
        <v>228</v>
      </c>
      <c r="AC126" s="24">
        <v>1</v>
      </c>
      <c r="AD126" s="24"/>
      <c r="AE126" s="24"/>
      <c r="AF126" s="24"/>
      <c r="AG126" s="24"/>
      <c r="AH126" s="20"/>
      <c r="AI126" s="42"/>
    </row>
    <row r="127" spans="1:35">
      <c r="A127" s="14"/>
      <c r="B127" s="20"/>
      <c r="C127" s="84" t="s">
        <v>1432</v>
      </c>
      <c r="D127" s="20" t="s">
        <v>79</v>
      </c>
      <c r="E127" s="20" t="s">
        <v>80</v>
      </c>
      <c r="F127" s="20" t="s">
        <v>107</v>
      </c>
      <c r="G127" s="20" t="s">
        <v>1474</v>
      </c>
      <c r="H127" s="20" t="s">
        <v>1475</v>
      </c>
      <c r="I127" s="122">
        <v>20337</v>
      </c>
      <c r="J127" s="24">
        <v>1</v>
      </c>
      <c r="K127" s="24"/>
      <c r="L127" s="24">
        <v>1</v>
      </c>
      <c r="M127" s="24">
        <v>1</v>
      </c>
      <c r="N127" s="24"/>
      <c r="O127" s="79"/>
      <c r="P127" s="24"/>
      <c r="Q127" s="24"/>
      <c r="R127" s="24"/>
      <c r="S127" s="24"/>
      <c r="T127" s="24"/>
      <c r="U127" s="20" t="s">
        <v>1068</v>
      </c>
      <c r="V127" s="20" t="s">
        <v>949</v>
      </c>
      <c r="W127" s="53" t="s">
        <v>280</v>
      </c>
      <c r="X127" s="20" t="s">
        <v>227</v>
      </c>
      <c r="Y127" s="20">
        <v>9560743023</v>
      </c>
      <c r="Z127" s="20"/>
      <c r="AA127" s="52" t="s">
        <v>1476</v>
      </c>
      <c r="AB127" s="53" t="s">
        <v>1477</v>
      </c>
      <c r="AC127" s="24">
        <v>1</v>
      </c>
      <c r="AD127" s="24"/>
      <c r="AE127" s="24"/>
      <c r="AF127" s="24"/>
      <c r="AG127" s="24"/>
      <c r="AH127" s="20"/>
      <c r="AI127" s="42"/>
    </row>
    <row r="128" spans="1:35">
      <c r="A128" s="14"/>
      <c r="B128" s="20"/>
      <c r="C128" s="84" t="s">
        <v>1432</v>
      </c>
      <c r="D128" s="20" t="s">
        <v>79</v>
      </c>
      <c r="E128" s="20" t="s">
        <v>80</v>
      </c>
      <c r="F128" s="20" t="s">
        <v>666</v>
      </c>
      <c r="G128" s="20" t="s">
        <v>427</v>
      </c>
      <c r="H128" s="20" t="s">
        <v>1483</v>
      </c>
      <c r="I128" s="122">
        <v>31916</v>
      </c>
      <c r="J128" s="24"/>
      <c r="K128" s="24">
        <v>1</v>
      </c>
      <c r="L128" s="24">
        <v>1</v>
      </c>
      <c r="M128" s="24"/>
      <c r="N128" s="24">
        <v>1</v>
      </c>
      <c r="O128" s="79"/>
      <c r="P128" s="24"/>
      <c r="Q128" s="24"/>
      <c r="R128" s="24"/>
      <c r="S128" s="24"/>
      <c r="T128" s="24"/>
      <c r="U128" s="20" t="s">
        <v>1437</v>
      </c>
      <c r="V128" s="20" t="s">
        <v>949</v>
      </c>
      <c r="W128" s="53" t="s">
        <v>280</v>
      </c>
      <c r="X128" s="20" t="s">
        <v>227</v>
      </c>
      <c r="Y128" s="20">
        <v>9979822733</v>
      </c>
      <c r="Z128" s="20"/>
      <c r="AA128" s="52" t="s">
        <v>1476</v>
      </c>
      <c r="AB128" s="53" t="s">
        <v>1477</v>
      </c>
      <c r="AC128" s="24">
        <v>1</v>
      </c>
      <c r="AD128" s="24"/>
      <c r="AE128" s="24"/>
      <c r="AF128" s="24"/>
      <c r="AG128" s="24"/>
      <c r="AH128" s="20"/>
      <c r="AI128" s="42"/>
    </row>
    <row r="129" spans="1:35">
      <c r="A129" s="14"/>
      <c r="B129" s="20"/>
      <c r="C129" s="84" t="s">
        <v>1432</v>
      </c>
      <c r="D129" s="20" t="s">
        <v>79</v>
      </c>
      <c r="E129" s="20" t="s">
        <v>80</v>
      </c>
      <c r="F129" s="20" t="s">
        <v>1478</v>
      </c>
      <c r="G129" s="20" t="s">
        <v>1481</v>
      </c>
      <c r="H129" s="20" t="s">
        <v>117</v>
      </c>
      <c r="I129" s="122">
        <v>32158</v>
      </c>
      <c r="J129" s="24">
        <v>1</v>
      </c>
      <c r="K129" s="24"/>
      <c r="L129" s="24">
        <v>1</v>
      </c>
      <c r="M129" s="24"/>
      <c r="N129" s="24"/>
      <c r="O129" s="79"/>
      <c r="P129" s="24"/>
      <c r="Q129" s="24"/>
      <c r="R129" s="24"/>
      <c r="S129" s="24"/>
      <c r="T129" s="24"/>
      <c r="U129" s="20" t="s">
        <v>1471</v>
      </c>
      <c r="V129" s="20" t="s">
        <v>949</v>
      </c>
      <c r="W129" s="53" t="s">
        <v>280</v>
      </c>
      <c r="X129" s="20" t="s">
        <v>227</v>
      </c>
      <c r="Y129" s="20">
        <v>9302716676</v>
      </c>
      <c r="Z129" s="20"/>
      <c r="AA129" s="52" t="s">
        <v>1476</v>
      </c>
      <c r="AB129" s="53" t="s">
        <v>1477</v>
      </c>
      <c r="AC129" s="24">
        <v>1</v>
      </c>
      <c r="AD129" s="24"/>
      <c r="AE129" s="24"/>
      <c r="AF129" s="24"/>
      <c r="AG129" s="24"/>
      <c r="AH129" s="20"/>
      <c r="AI129" s="42"/>
    </row>
    <row r="130" spans="1:35">
      <c r="A130" s="14"/>
      <c r="B130" s="20"/>
      <c r="C130" s="84" t="s">
        <v>1432</v>
      </c>
      <c r="D130" s="20" t="s">
        <v>79</v>
      </c>
      <c r="E130" s="20" t="s">
        <v>80</v>
      </c>
      <c r="F130" s="20" t="s">
        <v>1479</v>
      </c>
      <c r="G130" s="20" t="s">
        <v>181</v>
      </c>
      <c r="H130" s="20" t="s">
        <v>1040</v>
      </c>
      <c r="I130" s="122">
        <v>28426</v>
      </c>
      <c r="J130" s="24">
        <v>1</v>
      </c>
      <c r="K130" s="24"/>
      <c r="L130" s="24">
        <v>1</v>
      </c>
      <c r="M130" s="24"/>
      <c r="N130" s="24"/>
      <c r="O130" s="79"/>
      <c r="P130" s="24"/>
      <c r="Q130" s="24"/>
      <c r="R130" s="24"/>
      <c r="S130" s="24"/>
      <c r="T130" s="24"/>
      <c r="U130" s="20" t="s">
        <v>1471</v>
      </c>
      <c r="V130" s="20" t="s">
        <v>949</v>
      </c>
      <c r="W130" s="53" t="s">
        <v>280</v>
      </c>
      <c r="X130" s="20" t="s">
        <v>227</v>
      </c>
      <c r="Y130" s="20">
        <v>9302716676</v>
      </c>
      <c r="Z130" s="20"/>
      <c r="AA130" s="52" t="s">
        <v>1476</v>
      </c>
      <c r="AB130" s="53" t="s">
        <v>1477</v>
      </c>
      <c r="AC130" s="24">
        <v>1</v>
      </c>
      <c r="AD130" s="24"/>
      <c r="AE130" s="24"/>
      <c r="AF130" s="24"/>
      <c r="AG130" s="24"/>
      <c r="AH130" s="20"/>
      <c r="AI130" s="42"/>
    </row>
    <row r="131" spans="1:35">
      <c r="A131" s="14"/>
      <c r="B131" s="20"/>
      <c r="C131" s="84" t="s">
        <v>1432</v>
      </c>
      <c r="D131" s="20" t="s">
        <v>79</v>
      </c>
      <c r="E131" s="20" t="s">
        <v>80</v>
      </c>
      <c r="F131" s="20" t="s">
        <v>1480</v>
      </c>
      <c r="G131" s="20" t="s">
        <v>1482</v>
      </c>
      <c r="H131" s="20" t="s">
        <v>1484</v>
      </c>
      <c r="I131" s="122">
        <v>22602</v>
      </c>
      <c r="J131" s="24">
        <v>1</v>
      </c>
      <c r="K131" s="24"/>
      <c r="L131" s="24">
        <v>1</v>
      </c>
      <c r="M131" s="24">
        <v>1</v>
      </c>
      <c r="N131" s="24"/>
      <c r="O131" s="79"/>
      <c r="P131" s="24"/>
      <c r="Q131" s="24"/>
      <c r="R131" s="24"/>
      <c r="S131" s="24"/>
      <c r="T131" s="24"/>
      <c r="U131" s="20" t="s">
        <v>1068</v>
      </c>
      <c r="V131" s="20" t="s">
        <v>949</v>
      </c>
      <c r="W131" s="53" t="s">
        <v>280</v>
      </c>
      <c r="X131" s="20" t="s">
        <v>227</v>
      </c>
      <c r="Y131" s="20">
        <v>9612841917</v>
      </c>
      <c r="Z131" s="20"/>
      <c r="AA131" s="52" t="s">
        <v>1476</v>
      </c>
      <c r="AB131" s="53" t="s">
        <v>1477</v>
      </c>
      <c r="AC131" s="24">
        <v>1</v>
      </c>
      <c r="AD131" s="24"/>
      <c r="AE131" s="24"/>
      <c r="AF131" s="24"/>
      <c r="AG131" s="24"/>
      <c r="AH131" s="20"/>
      <c r="AI131" s="42"/>
    </row>
    <row r="132" spans="1:35">
      <c r="A132" s="14"/>
      <c r="B132" s="20"/>
      <c r="C132" s="84" t="s">
        <v>1432</v>
      </c>
      <c r="D132" s="20" t="s">
        <v>79</v>
      </c>
      <c r="E132" s="20" t="s">
        <v>80</v>
      </c>
      <c r="F132" s="20" t="s">
        <v>1485</v>
      </c>
      <c r="G132" s="20" t="s">
        <v>1486</v>
      </c>
      <c r="H132" s="20" t="s">
        <v>346</v>
      </c>
      <c r="I132" s="122">
        <v>32237</v>
      </c>
      <c r="J132" s="24"/>
      <c r="K132" s="24">
        <v>1</v>
      </c>
      <c r="L132" s="24">
        <v>1</v>
      </c>
      <c r="M132" s="24"/>
      <c r="N132" s="24"/>
      <c r="O132" s="79"/>
      <c r="P132" s="24"/>
      <c r="Q132" s="24"/>
      <c r="R132" s="24"/>
      <c r="S132" s="24"/>
      <c r="T132" s="24"/>
      <c r="U132" s="20" t="s">
        <v>1446</v>
      </c>
      <c r="V132" s="20" t="s">
        <v>949</v>
      </c>
      <c r="W132" s="53" t="s">
        <v>280</v>
      </c>
      <c r="X132" s="20" t="s">
        <v>227</v>
      </c>
      <c r="Y132" s="20">
        <v>9703636685</v>
      </c>
      <c r="Z132" s="20"/>
      <c r="AA132" s="52" t="s">
        <v>1476</v>
      </c>
      <c r="AB132" s="53" t="s">
        <v>1477</v>
      </c>
      <c r="AC132" s="24">
        <v>1</v>
      </c>
      <c r="AD132" s="24"/>
      <c r="AE132" s="24"/>
      <c r="AF132" s="24"/>
      <c r="AG132" s="24"/>
      <c r="AH132" s="20"/>
      <c r="AI132" s="42"/>
    </row>
    <row r="133" spans="1:35">
      <c r="A133" s="14"/>
      <c r="B133" s="20"/>
      <c r="C133" s="84" t="s">
        <v>1432</v>
      </c>
      <c r="D133" s="20" t="s">
        <v>79</v>
      </c>
      <c r="E133" s="20" t="s">
        <v>80</v>
      </c>
      <c r="F133" s="20" t="s">
        <v>1487</v>
      </c>
      <c r="G133" s="20" t="s">
        <v>1488</v>
      </c>
      <c r="H133" s="20" t="s">
        <v>1489</v>
      </c>
      <c r="I133" s="122">
        <v>34782</v>
      </c>
      <c r="J133" s="24"/>
      <c r="K133" s="24">
        <v>1</v>
      </c>
      <c r="L133" s="24">
        <v>1</v>
      </c>
      <c r="M133" s="24"/>
      <c r="N133" s="24"/>
      <c r="O133" s="79"/>
      <c r="P133" s="24"/>
      <c r="Q133" s="24"/>
      <c r="R133" s="24"/>
      <c r="S133" s="24"/>
      <c r="T133" s="24"/>
      <c r="U133" s="20" t="s">
        <v>1446</v>
      </c>
      <c r="V133" s="20" t="s">
        <v>949</v>
      </c>
      <c r="W133" s="53" t="s">
        <v>280</v>
      </c>
      <c r="X133" s="20" t="s">
        <v>227</v>
      </c>
      <c r="Y133" s="20">
        <v>9072620543</v>
      </c>
      <c r="Z133" s="20"/>
      <c r="AA133" s="52" t="s">
        <v>1476</v>
      </c>
      <c r="AB133" s="53" t="s">
        <v>1477</v>
      </c>
      <c r="AC133" s="24">
        <v>1</v>
      </c>
      <c r="AD133" s="24"/>
      <c r="AE133" s="24"/>
      <c r="AF133" s="24"/>
      <c r="AG133" s="24"/>
      <c r="AH133" s="20"/>
      <c r="AI133" s="42"/>
    </row>
    <row r="134" spans="1:35">
      <c r="A134" s="14"/>
      <c r="B134" s="20"/>
      <c r="C134" s="84" t="s">
        <v>1432</v>
      </c>
      <c r="D134" s="20" t="s">
        <v>79</v>
      </c>
      <c r="E134" s="20" t="s">
        <v>80</v>
      </c>
      <c r="F134" s="20" t="s">
        <v>1490</v>
      </c>
      <c r="G134" s="20" t="s">
        <v>1158</v>
      </c>
      <c r="H134" s="20" t="s">
        <v>1491</v>
      </c>
      <c r="I134" s="122">
        <v>30336</v>
      </c>
      <c r="J134" s="24">
        <v>1</v>
      </c>
      <c r="K134" s="24"/>
      <c r="L134" s="24">
        <v>1</v>
      </c>
      <c r="M134" s="24"/>
      <c r="N134" s="24"/>
      <c r="O134" s="79"/>
      <c r="P134" s="24"/>
      <c r="Q134" s="24"/>
      <c r="R134" s="24"/>
      <c r="S134" s="24"/>
      <c r="T134" s="24"/>
      <c r="U134" s="20" t="s">
        <v>1446</v>
      </c>
      <c r="V134" s="20" t="s">
        <v>949</v>
      </c>
      <c r="W134" s="53" t="s">
        <v>280</v>
      </c>
      <c r="X134" s="20" t="s">
        <v>227</v>
      </c>
      <c r="Y134" s="20">
        <v>9060572535</v>
      </c>
      <c r="Z134" s="20"/>
      <c r="AA134" s="52" t="s">
        <v>1476</v>
      </c>
      <c r="AB134" s="53" t="s">
        <v>1477</v>
      </c>
      <c r="AC134" s="24">
        <v>1</v>
      </c>
      <c r="AD134" s="24"/>
      <c r="AE134" s="24"/>
      <c r="AF134" s="24"/>
      <c r="AG134" s="24"/>
      <c r="AH134" s="20"/>
      <c r="AI134" s="42"/>
    </row>
    <row r="135" spans="1:35">
      <c r="A135" s="14"/>
      <c r="B135" s="20"/>
      <c r="C135" s="84" t="s">
        <v>1432</v>
      </c>
      <c r="D135" s="20" t="s">
        <v>79</v>
      </c>
      <c r="E135" s="20" t="s">
        <v>80</v>
      </c>
      <c r="F135" s="20" t="s">
        <v>549</v>
      </c>
      <c r="G135" s="20" t="s">
        <v>1492</v>
      </c>
      <c r="H135" s="20" t="s">
        <v>1493</v>
      </c>
      <c r="I135" s="122">
        <v>33381</v>
      </c>
      <c r="J135" s="24">
        <v>1</v>
      </c>
      <c r="K135" s="24"/>
      <c r="L135" s="24">
        <v>1</v>
      </c>
      <c r="M135" s="24"/>
      <c r="N135" s="24"/>
      <c r="O135" s="79"/>
      <c r="P135" s="24"/>
      <c r="Q135" s="24"/>
      <c r="R135" s="24"/>
      <c r="S135" s="24"/>
      <c r="T135" s="24"/>
      <c r="U135" s="20" t="s">
        <v>1068</v>
      </c>
      <c r="V135" s="20" t="s">
        <v>949</v>
      </c>
      <c r="W135" s="53" t="s">
        <v>280</v>
      </c>
      <c r="X135" s="20" t="s">
        <v>227</v>
      </c>
      <c r="Y135" s="20">
        <v>9678706455</v>
      </c>
      <c r="Z135" s="20"/>
      <c r="AA135" s="52" t="s">
        <v>1476</v>
      </c>
      <c r="AB135" s="53" t="s">
        <v>1477</v>
      </c>
      <c r="AC135" s="24">
        <v>1</v>
      </c>
      <c r="AD135" s="24"/>
      <c r="AE135" s="24"/>
      <c r="AF135" s="24"/>
      <c r="AG135" s="24"/>
      <c r="AH135" s="20"/>
      <c r="AI135" s="42"/>
    </row>
    <row r="136" spans="1:35">
      <c r="A136" s="14"/>
      <c r="B136" s="20"/>
      <c r="C136" s="84" t="s">
        <v>1432</v>
      </c>
      <c r="D136" s="20" t="s">
        <v>79</v>
      </c>
      <c r="E136" s="20" t="s">
        <v>80</v>
      </c>
      <c r="F136" s="20" t="s">
        <v>1494</v>
      </c>
      <c r="G136" s="20" t="s">
        <v>285</v>
      </c>
      <c r="H136" s="20" t="s">
        <v>1495</v>
      </c>
      <c r="I136" s="122">
        <v>24260</v>
      </c>
      <c r="J136" s="24">
        <v>1</v>
      </c>
      <c r="K136" s="24"/>
      <c r="L136" s="24">
        <v>1</v>
      </c>
      <c r="M136" s="24"/>
      <c r="N136" s="24"/>
      <c r="O136" s="79"/>
      <c r="P136" s="24"/>
      <c r="Q136" s="24"/>
      <c r="R136" s="24"/>
      <c r="S136" s="24"/>
      <c r="T136" s="24"/>
      <c r="U136" s="20" t="s">
        <v>1068</v>
      </c>
      <c r="V136" s="20" t="s">
        <v>949</v>
      </c>
      <c r="W136" s="53" t="s">
        <v>280</v>
      </c>
      <c r="X136" s="20" t="s">
        <v>227</v>
      </c>
      <c r="Y136" s="20">
        <v>9669637769</v>
      </c>
      <c r="Z136" s="20"/>
      <c r="AA136" s="52" t="s">
        <v>1476</v>
      </c>
      <c r="AB136" s="53" t="s">
        <v>1477</v>
      </c>
      <c r="AC136" s="24">
        <v>1</v>
      </c>
      <c r="AD136" s="24"/>
      <c r="AE136" s="24"/>
      <c r="AF136" s="24"/>
      <c r="AG136" s="24"/>
      <c r="AH136" s="20"/>
      <c r="AI136" s="42"/>
    </row>
    <row r="137" spans="1:35">
      <c r="A137" s="14"/>
      <c r="B137" s="20"/>
      <c r="C137" s="84" t="s">
        <v>1432</v>
      </c>
      <c r="D137" s="20" t="s">
        <v>79</v>
      </c>
      <c r="E137" s="20" t="s">
        <v>80</v>
      </c>
      <c r="F137" s="20" t="s">
        <v>1496</v>
      </c>
      <c r="G137" s="20" t="s">
        <v>1497</v>
      </c>
      <c r="H137" s="20" t="s">
        <v>1498</v>
      </c>
      <c r="I137" s="122">
        <v>28826</v>
      </c>
      <c r="J137" s="24">
        <v>1</v>
      </c>
      <c r="K137" s="24"/>
      <c r="L137" s="24">
        <v>1</v>
      </c>
      <c r="M137" s="24"/>
      <c r="N137" s="24"/>
      <c r="O137" s="79">
        <v>1</v>
      </c>
      <c r="P137" s="24"/>
      <c r="Q137" s="24"/>
      <c r="R137" s="24"/>
      <c r="S137" s="24"/>
      <c r="T137" s="24"/>
      <c r="U137" s="20" t="s">
        <v>1454</v>
      </c>
      <c r="V137" s="20" t="s">
        <v>949</v>
      </c>
      <c r="W137" s="53" t="s">
        <v>280</v>
      </c>
      <c r="X137" s="20" t="s">
        <v>227</v>
      </c>
      <c r="Y137" s="20">
        <v>9126130747</v>
      </c>
      <c r="Z137" s="20"/>
      <c r="AA137" s="52" t="s">
        <v>1476</v>
      </c>
      <c r="AB137" s="53" t="s">
        <v>1477</v>
      </c>
      <c r="AC137" s="24">
        <v>1</v>
      </c>
      <c r="AD137" s="24"/>
      <c r="AE137" s="24"/>
      <c r="AF137" s="24"/>
      <c r="AG137" s="24"/>
      <c r="AH137" s="20"/>
      <c r="AI137" s="42"/>
    </row>
    <row r="138" spans="1:35">
      <c r="A138" s="14"/>
      <c r="B138" s="20"/>
      <c r="C138" s="84" t="s">
        <v>1432</v>
      </c>
      <c r="D138" s="20" t="s">
        <v>79</v>
      </c>
      <c r="E138" s="20" t="s">
        <v>80</v>
      </c>
      <c r="F138" s="20" t="s">
        <v>1499</v>
      </c>
      <c r="G138" s="20" t="s">
        <v>1500</v>
      </c>
      <c r="H138" s="20" t="s">
        <v>1501</v>
      </c>
      <c r="I138" s="122">
        <v>23376</v>
      </c>
      <c r="J138" s="24">
        <v>1</v>
      </c>
      <c r="K138" s="24"/>
      <c r="L138" s="24">
        <v>1</v>
      </c>
      <c r="M138" s="24"/>
      <c r="N138" s="24"/>
      <c r="O138" s="79">
        <v>1</v>
      </c>
      <c r="P138" s="24"/>
      <c r="Q138" s="24"/>
      <c r="R138" s="24"/>
      <c r="S138" s="24"/>
      <c r="T138" s="24"/>
      <c r="U138" s="20" t="s">
        <v>1454</v>
      </c>
      <c r="V138" s="20" t="s">
        <v>949</v>
      </c>
      <c r="W138" s="53" t="s">
        <v>280</v>
      </c>
      <c r="X138" s="20" t="s">
        <v>227</v>
      </c>
      <c r="Y138" s="20">
        <v>9389573125</v>
      </c>
      <c r="Z138" s="20"/>
      <c r="AA138" s="52" t="s">
        <v>1476</v>
      </c>
      <c r="AB138" s="53" t="s">
        <v>1477</v>
      </c>
      <c r="AC138" s="24">
        <v>1</v>
      </c>
      <c r="AD138" s="24"/>
      <c r="AE138" s="24"/>
      <c r="AF138" s="24"/>
      <c r="AG138" s="24"/>
      <c r="AH138" s="20"/>
      <c r="AI138" s="42"/>
    </row>
    <row r="139" spans="1:35">
      <c r="A139" s="14"/>
      <c r="B139" s="20"/>
      <c r="C139" s="84" t="s">
        <v>1432</v>
      </c>
      <c r="D139" s="20" t="s">
        <v>79</v>
      </c>
      <c r="E139" s="20" t="s">
        <v>80</v>
      </c>
      <c r="F139" s="20" t="s">
        <v>1502</v>
      </c>
      <c r="G139" s="20" t="s">
        <v>1506</v>
      </c>
      <c r="H139" s="20" t="s">
        <v>1507</v>
      </c>
      <c r="I139" s="122">
        <v>25369</v>
      </c>
      <c r="J139" s="24"/>
      <c r="K139" s="24">
        <v>1</v>
      </c>
      <c r="L139" s="24">
        <v>1</v>
      </c>
      <c r="M139" s="24"/>
      <c r="N139" s="24"/>
      <c r="O139" s="79"/>
      <c r="P139" s="24"/>
      <c r="Q139" s="24"/>
      <c r="R139" s="24"/>
      <c r="S139" s="24"/>
      <c r="T139" s="24"/>
      <c r="U139" s="20" t="s">
        <v>1068</v>
      </c>
      <c r="V139" s="20" t="s">
        <v>949</v>
      </c>
      <c r="W139" s="53" t="s">
        <v>280</v>
      </c>
      <c r="X139" s="20" t="s">
        <v>227</v>
      </c>
      <c r="Y139" s="20">
        <v>9514396722</v>
      </c>
      <c r="Z139" s="20"/>
      <c r="AA139" s="52" t="s">
        <v>1476</v>
      </c>
      <c r="AB139" s="53" t="s">
        <v>1477</v>
      </c>
      <c r="AC139" s="24">
        <v>1</v>
      </c>
      <c r="AD139" s="24"/>
      <c r="AE139" s="24"/>
      <c r="AF139" s="24"/>
      <c r="AG139" s="24"/>
      <c r="AH139" s="20"/>
      <c r="AI139" s="42"/>
    </row>
    <row r="140" spans="1:35">
      <c r="A140" s="14"/>
      <c r="B140" s="20"/>
      <c r="C140" s="84" t="s">
        <v>1432</v>
      </c>
      <c r="D140" s="20" t="s">
        <v>79</v>
      </c>
      <c r="E140" s="20" t="s">
        <v>80</v>
      </c>
      <c r="F140" s="20" t="s">
        <v>1502</v>
      </c>
      <c r="G140" s="20" t="s">
        <v>1508</v>
      </c>
      <c r="H140" s="20" t="s">
        <v>1503</v>
      </c>
      <c r="I140" s="122">
        <v>18158</v>
      </c>
      <c r="J140" s="24">
        <v>1</v>
      </c>
      <c r="K140" s="24"/>
      <c r="L140" s="24">
        <v>1</v>
      </c>
      <c r="M140" s="24">
        <v>1</v>
      </c>
      <c r="N140" s="24"/>
      <c r="O140" s="79"/>
      <c r="P140" s="24"/>
      <c r="Q140" s="24"/>
      <c r="R140" s="24"/>
      <c r="S140" s="24"/>
      <c r="T140" s="24"/>
      <c r="U140" s="20" t="s">
        <v>1068</v>
      </c>
      <c r="V140" s="20" t="s">
        <v>949</v>
      </c>
      <c r="W140" s="53" t="s">
        <v>280</v>
      </c>
      <c r="X140" s="20" t="s">
        <v>227</v>
      </c>
      <c r="Y140" s="20"/>
      <c r="Z140" s="20"/>
      <c r="AA140" s="52" t="s">
        <v>1476</v>
      </c>
      <c r="AB140" s="53" t="s">
        <v>1477</v>
      </c>
      <c r="AC140" s="24">
        <v>1</v>
      </c>
      <c r="AD140" s="24"/>
      <c r="AE140" s="24"/>
      <c r="AF140" s="24"/>
      <c r="AG140" s="24"/>
      <c r="AH140" s="20"/>
      <c r="AI140" s="42"/>
    </row>
    <row r="141" spans="1:35">
      <c r="A141" s="14"/>
      <c r="B141" s="20"/>
      <c r="C141" s="84" t="s">
        <v>1432</v>
      </c>
      <c r="D141" s="20" t="s">
        <v>79</v>
      </c>
      <c r="E141" s="20" t="s">
        <v>80</v>
      </c>
      <c r="F141" s="20" t="s">
        <v>1504</v>
      </c>
      <c r="G141" s="20" t="s">
        <v>1509</v>
      </c>
      <c r="H141" s="20" t="s">
        <v>1505</v>
      </c>
      <c r="I141" s="122">
        <v>27886</v>
      </c>
      <c r="J141" s="24"/>
      <c r="K141" s="24">
        <v>1</v>
      </c>
      <c r="L141" s="24">
        <v>1</v>
      </c>
      <c r="M141" s="24"/>
      <c r="N141" s="24"/>
      <c r="O141" s="79"/>
      <c r="P141" s="24"/>
      <c r="Q141" s="24"/>
      <c r="R141" s="24"/>
      <c r="S141" s="24"/>
      <c r="T141" s="24"/>
      <c r="U141" s="20" t="s">
        <v>1068</v>
      </c>
      <c r="V141" s="20" t="s">
        <v>949</v>
      </c>
      <c r="W141" s="53" t="s">
        <v>280</v>
      </c>
      <c r="X141" s="20" t="s">
        <v>227</v>
      </c>
      <c r="Y141" s="20">
        <v>9096519423</v>
      </c>
      <c r="Z141" s="20"/>
      <c r="AA141" s="52" t="s">
        <v>1476</v>
      </c>
      <c r="AB141" s="53" t="s">
        <v>1477</v>
      </c>
      <c r="AC141" s="24">
        <v>1</v>
      </c>
      <c r="AD141" s="24"/>
      <c r="AE141" s="24"/>
      <c r="AF141" s="24"/>
      <c r="AG141" s="24"/>
      <c r="AH141" s="20"/>
      <c r="AI141" s="42"/>
    </row>
    <row r="142" spans="1:35">
      <c r="A142" s="14"/>
      <c r="B142" s="20"/>
      <c r="C142" s="84" t="s">
        <v>1432</v>
      </c>
      <c r="D142" s="20" t="s">
        <v>79</v>
      </c>
      <c r="E142" s="20" t="s">
        <v>80</v>
      </c>
      <c r="F142" s="20" t="s">
        <v>1510</v>
      </c>
      <c r="G142" s="20" t="s">
        <v>1511</v>
      </c>
      <c r="H142" s="20" t="s">
        <v>1512</v>
      </c>
      <c r="I142" s="122">
        <v>30013</v>
      </c>
      <c r="J142" s="24">
        <v>1</v>
      </c>
      <c r="K142" s="24"/>
      <c r="L142" s="24">
        <v>1</v>
      </c>
      <c r="M142" s="24"/>
      <c r="N142" s="24"/>
      <c r="O142" s="79"/>
      <c r="P142" s="24"/>
      <c r="Q142" s="24"/>
      <c r="R142" s="24"/>
      <c r="S142" s="24"/>
      <c r="T142" s="24"/>
      <c r="U142" s="20" t="s">
        <v>1068</v>
      </c>
      <c r="V142" s="20" t="s">
        <v>949</v>
      </c>
      <c r="W142" s="53" t="s">
        <v>280</v>
      </c>
      <c r="X142" s="20" t="s">
        <v>227</v>
      </c>
      <c r="Y142" s="20"/>
      <c r="Z142" s="20"/>
      <c r="AA142" s="52" t="s">
        <v>1476</v>
      </c>
      <c r="AB142" s="53" t="s">
        <v>1477</v>
      </c>
      <c r="AC142" s="24">
        <v>1</v>
      </c>
      <c r="AD142" s="24"/>
      <c r="AE142" s="24"/>
      <c r="AF142" s="24"/>
      <c r="AG142" s="24"/>
      <c r="AH142" s="20"/>
      <c r="AI142" s="42"/>
    </row>
    <row r="143" spans="1:35">
      <c r="A143" s="14"/>
      <c r="B143" s="20"/>
      <c r="C143" s="84" t="s">
        <v>1432</v>
      </c>
      <c r="D143" s="20" t="s">
        <v>79</v>
      </c>
      <c r="E143" s="20" t="s">
        <v>80</v>
      </c>
      <c r="F143" s="20" t="s">
        <v>168</v>
      </c>
      <c r="G143" s="20" t="s">
        <v>1513</v>
      </c>
      <c r="H143" s="20" t="s">
        <v>1514</v>
      </c>
      <c r="I143" s="122">
        <v>33381</v>
      </c>
      <c r="J143" s="24">
        <v>1</v>
      </c>
      <c r="K143" s="24"/>
      <c r="L143" s="24">
        <v>1</v>
      </c>
      <c r="M143" s="24"/>
      <c r="N143" s="24"/>
      <c r="O143" s="79"/>
      <c r="P143" s="24"/>
      <c r="Q143" s="24"/>
      <c r="R143" s="24"/>
      <c r="S143" s="24"/>
      <c r="T143" s="24"/>
      <c r="U143" s="20" t="s">
        <v>1068</v>
      </c>
      <c r="V143" s="20" t="s">
        <v>949</v>
      </c>
      <c r="W143" s="53" t="s">
        <v>280</v>
      </c>
      <c r="X143" s="20" t="s">
        <v>227</v>
      </c>
      <c r="Y143" s="20">
        <v>9091847420</v>
      </c>
      <c r="Z143" s="20"/>
      <c r="AA143" s="52" t="s">
        <v>1476</v>
      </c>
      <c r="AB143" s="53" t="s">
        <v>1477</v>
      </c>
      <c r="AC143" s="24">
        <v>1</v>
      </c>
      <c r="AD143" s="24"/>
      <c r="AE143" s="24"/>
      <c r="AF143" s="24"/>
      <c r="AG143" s="24"/>
      <c r="AH143" s="20"/>
      <c r="AI143" s="42"/>
    </row>
    <row r="144" spans="1:35">
      <c r="A144" s="14"/>
      <c r="B144" s="20"/>
      <c r="C144" s="84" t="s">
        <v>1432</v>
      </c>
      <c r="D144" s="20" t="s">
        <v>79</v>
      </c>
      <c r="E144" s="20" t="s">
        <v>80</v>
      </c>
      <c r="F144" s="20" t="s">
        <v>1515</v>
      </c>
      <c r="G144" s="20" t="s">
        <v>1516</v>
      </c>
      <c r="H144" s="20" t="s">
        <v>1517</v>
      </c>
      <c r="I144" s="122">
        <v>24188</v>
      </c>
      <c r="J144" s="24"/>
      <c r="K144" s="24">
        <v>1</v>
      </c>
      <c r="L144" s="24">
        <v>1</v>
      </c>
      <c r="M144" s="24"/>
      <c r="N144" s="24"/>
      <c r="O144" s="79"/>
      <c r="P144" s="24"/>
      <c r="Q144" s="24"/>
      <c r="R144" s="24"/>
      <c r="S144" s="24"/>
      <c r="T144" s="24"/>
      <c r="U144" s="20" t="s">
        <v>1437</v>
      </c>
      <c r="V144" s="20" t="s">
        <v>949</v>
      </c>
      <c r="W144" s="53" t="s">
        <v>280</v>
      </c>
      <c r="X144" s="20" t="s">
        <v>227</v>
      </c>
      <c r="Y144" s="20">
        <v>9169546503</v>
      </c>
      <c r="Z144" s="20"/>
      <c r="AA144" s="52" t="s">
        <v>1476</v>
      </c>
      <c r="AB144" s="53" t="s">
        <v>1477</v>
      </c>
      <c r="AC144" s="24">
        <v>1</v>
      </c>
      <c r="AD144" s="24"/>
      <c r="AE144" s="24"/>
      <c r="AF144" s="24"/>
      <c r="AG144" s="24"/>
      <c r="AH144" s="20"/>
      <c r="AI144" s="42"/>
    </row>
    <row r="145" spans="1:35">
      <c r="A145" s="14"/>
      <c r="B145" s="20"/>
      <c r="C145" s="84" t="s">
        <v>1432</v>
      </c>
      <c r="D145" s="20" t="s">
        <v>79</v>
      </c>
      <c r="E145" s="20" t="s">
        <v>80</v>
      </c>
      <c r="F145" s="20" t="s">
        <v>1518</v>
      </c>
      <c r="G145" s="20" t="s">
        <v>1208</v>
      </c>
      <c r="H145" s="20" t="s">
        <v>1519</v>
      </c>
      <c r="I145" s="122">
        <v>28554</v>
      </c>
      <c r="J145" s="24">
        <v>1</v>
      </c>
      <c r="K145" s="24"/>
      <c r="L145" s="24">
        <v>1</v>
      </c>
      <c r="M145" s="24"/>
      <c r="N145" s="24"/>
      <c r="O145" s="79"/>
      <c r="P145" s="24"/>
      <c r="Q145" s="24"/>
      <c r="R145" s="24"/>
      <c r="S145" s="24"/>
      <c r="T145" s="24"/>
      <c r="U145" s="20" t="s">
        <v>1522</v>
      </c>
      <c r="V145" s="20" t="s">
        <v>949</v>
      </c>
      <c r="W145" s="53" t="s">
        <v>280</v>
      </c>
      <c r="X145" s="20" t="s">
        <v>227</v>
      </c>
      <c r="Y145" s="20">
        <v>9106979802</v>
      </c>
      <c r="Z145" s="20"/>
      <c r="AA145" s="52" t="s">
        <v>1476</v>
      </c>
      <c r="AB145" s="53" t="s">
        <v>1477</v>
      </c>
      <c r="AC145" s="24">
        <v>1</v>
      </c>
      <c r="AD145" s="24"/>
      <c r="AE145" s="24"/>
      <c r="AF145" s="24"/>
      <c r="AG145" s="24"/>
      <c r="AH145" s="20"/>
      <c r="AI145" s="42"/>
    </row>
    <row r="146" spans="1:35">
      <c r="A146" s="14"/>
      <c r="B146" s="20"/>
      <c r="C146" s="84" t="s">
        <v>1432</v>
      </c>
      <c r="D146" s="20" t="s">
        <v>79</v>
      </c>
      <c r="E146" s="20" t="s">
        <v>80</v>
      </c>
      <c r="F146" s="20" t="s">
        <v>329</v>
      </c>
      <c r="G146" s="20" t="s">
        <v>1520</v>
      </c>
      <c r="H146" s="20" t="s">
        <v>1521</v>
      </c>
      <c r="I146" s="122">
        <v>20105</v>
      </c>
      <c r="J146" s="24">
        <v>1</v>
      </c>
      <c r="K146" s="24"/>
      <c r="L146" s="24">
        <v>1</v>
      </c>
      <c r="M146" s="24">
        <v>1</v>
      </c>
      <c r="N146" s="24"/>
      <c r="O146" s="79"/>
      <c r="P146" s="24"/>
      <c r="Q146" s="24"/>
      <c r="R146" s="24"/>
      <c r="S146" s="24"/>
      <c r="T146" s="24"/>
      <c r="U146" s="20" t="s">
        <v>1068</v>
      </c>
      <c r="V146" s="20" t="s">
        <v>949</v>
      </c>
      <c r="W146" s="53" t="s">
        <v>280</v>
      </c>
      <c r="X146" s="20" t="s">
        <v>227</v>
      </c>
      <c r="Y146" s="20">
        <v>9359115172</v>
      </c>
      <c r="Z146" s="20"/>
      <c r="AA146" s="52" t="s">
        <v>1476</v>
      </c>
      <c r="AB146" s="53" t="s">
        <v>1477</v>
      </c>
      <c r="AC146" s="24">
        <v>1</v>
      </c>
      <c r="AD146" s="24"/>
      <c r="AE146" s="24"/>
      <c r="AF146" s="24"/>
      <c r="AG146" s="24"/>
      <c r="AH146" s="20"/>
      <c r="AI146" s="42"/>
    </row>
    <row r="147" spans="1:35">
      <c r="A147" s="14"/>
      <c r="B147" s="20"/>
      <c r="C147" s="84" t="s">
        <v>1432</v>
      </c>
      <c r="D147" s="20" t="s">
        <v>79</v>
      </c>
      <c r="E147" s="20" t="s">
        <v>80</v>
      </c>
      <c r="F147" s="20" t="s">
        <v>1607</v>
      </c>
      <c r="G147" s="20" t="s">
        <v>1608</v>
      </c>
      <c r="H147" s="20" t="s">
        <v>1609</v>
      </c>
      <c r="I147" s="122">
        <v>29174</v>
      </c>
      <c r="J147" s="24"/>
      <c r="K147" s="24">
        <v>1</v>
      </c>
      <c r="L147" s="24">
        <v>1</v>
      </c>
      <c r="M147" s="24"/>
      <c r="N147" s="24">
        <v>1</v>
      </c>
      <c r="O147" s="79"/>
      <c r="P147" s="24"/>
      <c r="Q147" s="24"/>
      <c r="R147" s="24"/>
      <c r="S147" s="24"/>
      <c r="T147" s="24"/>
      <c r="U147" s="20" t="s">
        <v>1610</v>
      </c>
      <c r="V147" s="20" t="s">
        <v>355</v>
      </c>
      <c r="W147" s="53" t="s">
        <v>298</v>
      </c>
      <c r="X147" s="20" t="s">
        <v>227</v>
      </c>
      <c r="Y147" s="20"/>
      <c r="Z147" s="20"/>
      <c r="AA147" s="52" t="s">
        <v>1476</v>
      </c>
      <c r="AB147" s="53" t="s">
        <v>1477</v>
      </c>
      <c r="AC147" s="24">
        <v>1</v>
      </c>
      <c r="AD147" s="24"/>
      <c r="AE147" s="24"/>
      <c r="AF147" s="24"/>
      <c r="AG147" s="24"/>
      <c r="AH147" s="20"/>
      <c r="AI147" s="42"/>
    </row>
    <row r="148" spans="1:35">
      <c r="A148" s="14"/>
      <c r="B148" s="20"/>
      <c r="C148" s="84" t="s">
        <v>1432</v>
      </c>
      <c r="D148" s="20" t="s">
        <v>79</v>
      </c>
      <c r="E148" s="20" t="s">
        <v>80</v>
      </c>
      <c r="F148" s="20" t="s">
        <v>1609</v>
      </c>
      <c r="G148" s="20" t="s">
        <v>1611</v>
      </c>
      <c r="H148" s="20" t="s">
        <v>1612</v>
      </c>
      <c r="I148" s="122">
        <v>19208</v>
      </c>
      <c r="J148" s="24">
        <v>1</v>
      </c>
      <c r="K148" s="24"/>
      <c r="L148" s="24">
        <v>1</v>
      </c>
      <c r="M148" s="24">
        <v>1</v>
      </c>
      <c r="N148" s="24">
        <v>1</v>
      </c>
      <c r="O148" s="79"/>
      <c r="P148" s="24"/>
      <c r="Q148" s="24"/>
      <c r="R148" s="24"/>
      <c r="S148" s="24"/>
      <c r="T148" s="24"/>
      <c r="U148" s="20" t="s">
        <v>1610</v>
      </c>
      <c r="V148" s="20" t="s">
        <v>355</v>
      </c>
      <c r="W148" s="53" t="s">
        <v>298</v>
      </c>
      <c r="X148" s="20" t="s">
        <v>227</v>
      </c>
      <c r="Y148" s="20"/>
      <c r="Z148" s="20"/>
      <c r="AA148" s="52" t="s">
        <v>1476</v>
      </c>
      <c r="AB148" s="53" t="s">
        <v>1477</v>
      </c>
      <c r="AC148" s="24">
        <v>1</v>
      </c>
      <c r="AD148" s="24"/>
      <c r="AE148" s="24"/>
      <c r="AF148" s="24"/>
      <c r="AG148" s="24"/>
      <c r="AH148" s="20"/>
      <c r="AI148" s="42"/>
    </row>
    <row r="149" spans="1:35">
      <c r="A149" s="14"/>
      <c r="B149" s="20"/>
      <c r="C149" s="84" t="s">
        <v>1432</v>
      </c>
      <c r="D149" s="20" t="s">
        <v>79</v>
      </c>
      <c r="E149" s="20" t="s">
        <v>80</v>
      </c>
      <c r="F149" s="20" t="s">
        <v>1108</v>
      </c>
      <c r="G149" s="20" t="s">
        <v>1613</v>
      </c>
      <c r="H149" s="20" t="s">
        <v>1614</v>
      </c>
      <c r="I149" s="122">
        <v>26274</v>
      </c>
      <c r="J149" s="24">
        <v>1</v>
      </c>
      <c r="K149" s="24"/>
      <c r="L149" s="24">
        <v>1</v>
      </c>
      <c r="M149" s="24"/>
      <c r="N149" s="24"/>
      <c r="O149" s="79"/>
      <c r="P149" s="24"/>
      <c r="Q149" s="24"/>
      <c r="R149" s="24"/>
      <c r="S149" s="24"/>
      <c r="T149" s="24"/>
      <c r="U149" s="20" t="s">
        <v>859</v>
      </c>
      <c r="V149" s="20" t="s">
        <v>293</v>
      </c>
      <c r="W149" s="53" t="s">
        <v>298</v>
      </c>
      <c r="X149" s="20" t="s">
        <v>227</v>
      </c>
      <c r="Y149" s="20">
        <v>9368500335</v>
      </c>
      <c r="Z149" s="20"/>
      <c r="AA149" s="52" t="s">
        <v>1780</v>
      </c>
      <c r="AB149" s="53" t="s">
        <v>1477</v>
      </c>
      <c r="AC149" s="24">
        <v>1</v>
      </c>
      <c r="AD149" s="24"/>
      <c r="AE149" s="24"/>
      <c r="AF149" s="24"/>
      <c r="AG149" s="24"/>
      <c r="AH149" s="20"/>
      <c r="AI149" s="42"/>
    </row>
    <row r="150" spans="1:35">
      <c r="A150" s="14"/>
      <c r="B150" s="20"/>
      <c r="C150" s="84" t="s">
        <v>1432</v>
      </c>
      <c r="D150" s="20" t="s">
        <v>79</v>
      </c>
      <c r="E150" s="20" t="s">
        <v>80</v>
      </c>
      <c r="F150" s="20" t="s">
        <v>1108</v>
      </c>
      <c r="G150" s="20" t="s">
        <v>1615</v>
      </c>
      <c r="H150" s="20" t="s">
        <v>1616</v>
      </c>
      <c r="I150" s="122">
        <v>35199</v>
      </c>
      <c r="J150" s="24">
        <v>1</v>
      </c>
      <c r="K150" s="24"/>
      <c r="L150" s="24">
        <v>1</v>
      </c>
      <c r="M150" s="24"/>
      <c r="N150" s="24"/>
      <c r="O150" s="79"/>
      <c r="P150" s="24"/>
      <c r="Q150" s="24"/>
      <c r="R150" s="24"/>
      <c r="S150" s="24"/>
      <c r="T150" s="24"/>
      <c r="U150" s="20" t="s">
        <v>859</v>
      </c>
      <c r="V150" s="20" t="s">
        <v>293</v>
      </c>
      <c r="W150" s="53" t="s">
        <v>298</v>
      </c>
      <c r="X150" s="20" t="s">
        <v>227</v>
      </c>
      <c r="Y150" s="20">
        <v>9758423699</v>
      </c>
      <c r="Z150" s="20"/>
      <c r="AA150" s="52" t="s">
        <v>1780</v>
      </c>
      <c r="AB150" s="53" t="s">
        <v>1477</v>
      </c>
      <c r="AC150" s="24">
        <v>1</v>
      </c>
      <c r="AD150" s="24"/>
      <c r="AE150" s="24"/>
      <c r="AF150" s="24"/>
      <c r="AG150" s="24"/>
      <c r="AH150" s="20"/>
      <c r="AI150" s="42"/>
    </row>
    <row r="151" spans="1:35">
      <c r="A151" s="14"/>
      <c r="B151" s="20"/>
      <c r="C151" s="84" t="s">
        <v>1432</v>
      </c>
      <c r="D151" s="20" t="s">
        <v>79</v>
      </c>
      <c r="E151" s="20" t="s">
        <v>80</v>
      </c>
      <c r="F151" s="20" t="s">
        <v>1617</v>
      </c>
      <c r="G151" s="20" t="s">
        <v>177</v>
      </c>
      <c r="H151" s="20" t="s">
        <v>1618</v>
      </c>
      <c r="I151" s="122">
        <v>32097</v>
      </c>
      <c r="J151" s="24">
        <v>1</v>
      </c>
      <c r="K151" s="24"/>
      <c r="L151" s="24">
        <v>1</v>
      </c>
      <c r="M151" s="24"/>
      <c r="N151" s="24"/>
      <c r="O151" s="79"/>
      <c r="P151" s="24"/>
      <c r="Q151" s="24"/>
      <c r="R151" s="24"/>
      <c r="S151" s="24"/>
      <c r="T151" s="24"/>
      <c r="U151" s="20" t="s">
        <v>859</v>
      </c>
      <c r="V151" s="20" t="s">
        <v>293</v>
      </c>
      <c r="W151" s="53" t="s">
        <v>298</v>
      </c>
      <c r="X151" s="20" t="s">
        <v>227</v>
      </c>
      <c r="Y151" s="20"/>
      <c r="Z151" s="20"/>
      <c r="AA151" s="52" t="s">
        <v>1780</v>
      </c>
      <c r="AB151" s="53" t="s">
        <v>1477</v>
      </c>
      <c r="AC151" s="24">
        <v>1</v>
      </c>
      <c r="AD151" s="24"/>
      <c r="AE151" s="24"/>
      <c r="AF151" s="24"/>
      <c r="AG151" s="24"/>
      <c r="AH151" s="20"/>
      <c r="AI151" s="42"/>
    </row>
    <row r="152" spans="1:35">
      <c r="A152" s="14"/>
      <c r="B152" s="20"/>
      <c r="C152" s="84" t="s">
        <v>1432</v>
      </c>
      <c r="D152" s="20" t="s">
        <v>79</v>
      </c>
      <c r="E152" s="20" t="s">
        <v>80</v>
      </c>
      <c r="F152" s="20" t="s">
        <v>1619</v>
      </c>
      <c r="G152" s="20" t="s">
        <v>1620</v>
      </c>
      <c r="H152" s="20" t="s">
        <v>1108</v>
      </c>
      <c r="I152" s="122">
        <v>36310</v>
      </c>
      <c r="J152" s="24">
        <v>1</v>
      </c>
      <c r="K152" s="24"/>
      <c r="L152" s="24">
        <v>1</v>
      </c>
      <c r="M152" s="24"/>
      <c r="N152" s="24"/>
      <c r="O152" s="79"/>
      <c r="P152" s="24"/>
      <c r="Q152" s="24"/>
      <c r="R152" s="24"/>
      <c r="S152" s="24"/>
      <c r="T152" s="24"/>
      <c r="U152" s="20" t="s">
        <v>859</v>
      </c>
      <c r="V152" s="20" t="s">
        <v>293</v>
      </c>
      <c r="W152" s="53" t="s">
        <v>298</v>
      </c>
      <c r="X152" s="20" t="s">
        <v>227</v>
      </c>
      <c r="Y152" s="20"/>
      <c r="Z152" s="20"/>
      <c r="AA152" s="52" t="s">
        <v>1780</v>
      </c>
      <c r="AB152" s="53" t="s">
        <v>1477</v>
      </c>
      <c r="AC152" s="24">
        <v>1</v>
      </c>
      <c r="AD152" s="24"/>
      <c r="AE152" s="24"/>
      <c r="AF152" s="24"/>
      <c r="AG152" s="24"/>
      <c r="AH152" s="20"/>
      <c r="AI152" s="42"/>
    </row>
    <row r="153" spans="1:35">
      <c r="A153" s="14"/>
      <c r="B153" s="20"/>
      <c r="C153" s="84" t="s">
        <v>1432</v>
      </c>
      <c r="D153" s="20" t="s">
        <v>79</v>
      </c>
      <c r="E153" s="20" t="s">
        <v>80</v>
      </c>
      <c r="F153" s="20" t="s">
        <v>1621</v>
      </c>
      <c r="G153" s="20" t="s">
        <v>1622</v>
      </c>
      <c r="H153" s="20" t="s">
        <v>1623</v>
      </c>
      <c r="I153" s="122"/>
      <c r="J153" s="24">
        <v>1</v>
      </c>
      <c r="K153" s="24"/>
      <c r="L153" s="24">
        <v>1</v>
      </c>
      <c r="M153" s="24"/>
      <c r="N153" s="24"/>
      <c r="O153" s="79"/>
      <c r="P153" s="24"/>
      <c r="Q153" s="24"/>
      <c r="R153" s="24"/>
      <c r="S153" s="24"/>
      <c r="T153" s="24"/>
      <c r="U153" s="20" t="s">
        <v>859</v>
      </c>
      <c r="V153" s="20" t="s">
        <v>293</v>
      </c>
      <c r="W153" s="53" t="s">
        <v>298</v>
      </c>
      <c r="X153" s="20" t="s">
        <v>227</v>
      </c>
      <c r="Y153" s="20"/>
      <c r="Z153" s="20"/>
      <c r="AA153" s="52" t="s">
        <v>1780</v>
      </c>
      <c r="AB153" s="53" t="s">
        <v>1477</v>
      </c>
      <c r="AC153" s="24">
        <v>1</v>
      </c>
      <c r="AD153" s="24"/>
      <c r="AE153" s="24"/>
      <c r="AF153" s="24"/>
      <c r="AG153" s="24"/>
      <c r="AH153" s="20"/>
      <c r="AI153" s="42"/>
    </row>
    <row r="154" spans="1:35">
      <c r="A154" s="14"/>
      <c r="B154" s="20"/>
      <c r="C154" s="84" t="s">
        <v>1432</v>
      </c>
      <c r="D154" s="20" t="s">
        <v>79</v>
      </c>
      <c r="E154" s="20" t="s">
        <v>80</v>
      </c>
      <c r="F154" s="20" t="s">
        <v>1624</v>
      </c>
      <c r="G154" s="20" t="s">
        <v>132</v>
      </c>
      <c r="H154" s="20" t="s">
        <v>1625</v>
      </c>
      <c r="I154" s="122">
        <v>22422</v>
      </c>
      <c r="J154" s="24">
        <v>1</v>
      </c>
      <c r="K154" s="24"/>
      <c r="L154" s="24">
        <v>1</v>
      </c>
      <c r="M154" s="24">
        <v>1</v>
      </c>
      <c r="N154" s="24"/>
      <c r="O154" s="79"/>
      <c r="P154" s="24"/>
      <c r="Q154" s="24"/>
      <c r="R154" s="24"/>
      <c r="S154" s="24"/>
      <c r="T154" s="24"/>
      <c r="U154" s="20" t="s">
        <v>859</v>
      </c>
      <c r="V154" s="20" t="s">
        <v>293</v>
      </c>
      <c r="W154" s="53" t="s">
        <v>298</v>
      </c>
      <c r="X154" s="20" t="s">
        <v>227</v>
      </c>
      <c r="Y154" s="20"/>
      <c r="Z154" s="20"/>
      <c r="AA154" s="52" t="s">
        <v>1780</v>
      </c>
      <c r="AB154" s="53" t="s">
        <v>1477</v>
      </c>
      <c r="AC154" s="24">
        <v>1</v>
      </c>
      <c r="AD154" s="24"/>
      <c r="AE154" s="24"/>
      <c r="AF154" s="24"/>
      <c r="AG154" s="24"/>
      <c r="AH154" s="20"/>
      <c r="AI154" s="42"/>
    </row>
    <row r="155" spans="1:35">
      <c r="A155" s="14"/>
      <c r="B155" s="20"/>
      <c r="C155" s="84" t="s">
        <v>1432</v>
      </c>
      <c r="D155" s="20" t="s">
        <v>79</v>
      </c>
      <c r="E155" s="20" t="s">
        <v>80</v>
      </c>
      <c r="F155" s="20" t="s">
        <v>1626</v>
      </c>
      <c r="G155" s="20" t="s">
        <v>1627</v>
      </c>
      <c r="H155" s="20" t="s">
        <v>1628</v>
      </c>
      <c r="I155" s="122">
        <v>34061</v>
      </c>
      <c r="J155" s="24">
        <v>1</v>
      </c>
      <c r="K155" s="24"/>
      <c r="L155" s="24">
        <v>1</v>
      </c>
      <c r="M155" s="24"/>
      <c r="N155" s="24"/>
      <c r="O155" s="79"/>
      <c r="P155" s="24"/>
      <c r="Q155" s="24"/>
      <c r="R155" s="24"/>
      <c r="S155" s="24"/>
      <c r="T155" s="24"/>
      <c r="U155" s="20" t="s">
        <v>859</v>
      </c>
      <c r="V155" s="20" t="s">
        <v>293</v>
      </c>
      <c r="W155" s="53" t="s">
        <v>298</v>
      </c>
      <c r="X155" s="20" t="s">
        <v>227</v>
      </c>
      <c r="Y155" s="20"/>
      <c r="Z155" s="20"/>
      <c r="AA155" s="52" t="s">
        <v>1780</v>
      </c>
      <c r="AB155" s="53" t="s">
        <v>1477</v>
      </c>
      <c r="AC155" s="24">
        <v>1</v>
      </c>
      <c r="AD155" s="24"/>
      <c r="AE155" s="24"/>
      <c r="AF155" s="24"/>
      <c r="AG155" s="24"/>
      <c r="AH155" s="20"/>
      <c r="AI155" s="42"/>
    </row>
    <row r="156" spans="1:35">
      <c r="A156" s="14"/>
      <c r="B156" s="20"/>
      <c r="C156" s="84" t="s">
        <v>1432</v>
      </c>
      <c r="D156" s="20" t="s">
        <v>79</v>
      </c>
      <c r="E156" s="20" t="s">
        <v>80</v>
      </c>
      <c r="F156" s="20" t="s">
        <v>1309</v>
      </c>
      <c r="G156" s="20" t="s">
        <v>1629</v>
      </c>
      <c r="H156" s="20" t="s">
        <v>1630</v>
      </c>
      <c r="I156" s="122">
        <v>35037</v>
      </c>
      <c r="J156" s="24">
        <v>1</v>
      </c>
      <c r="K156" s="24"/>
      <c r="L156" s="24">
        <v>1</v>
      </c>
      <c r="M156" s="24"/>
      <c r="N156" s="24"/>
      <c r="O156" s="79"/>
      <c r="P156" s="24"/>
      <c r="Q156" s="24"/>
      <c r="R156" s="24"/>
      <c r="S156" s="24"/>
      <c r="T156" s="24"/>
      <c r="U156" s="20" t="s">
        <v>859</v>
      </c>
      <c r="V156" s="20" t="s">
        <v>293</v>
      </c>
      <c r="W156" s="53" t="s">
        <v>298</v>
      </c>
      <c r="X156" s="20" t="s">
        <v>227</v>
      </c>
      <c r="Y156" s="20"/>
      <c r="Z156" s="20"/>
      <c r="AA156" s="52" t="s">
        <v>1780</v>
      </c>
      <c r="AB156" s="53" t="s">
        <v>1477</v>
      </c>
      <c r="AC156" s="24">
        <v>1</v>
      </c>
      <c r="AD156" s="24"/>
      <c r="AE156" s="24"/>
      <c r="AF156" s="24"/>
      <c r="AG156" s="24"/>
      <c r="AH156" s="20"/>
      <c r="AI156" s="42"/>
    </row>
    <row r="157" spans="1:35">
      <c r="A157" s="14"/>
      <c r="B157" s="20"/>
      <c r="C157" s="84" t="s">
        <v>1432</v>
      </c>
      <c r="D157" s="20" t="s">
        <v>79</v>
      </c>
      <c r="E157" s="20" t="s">
        <v>80</v>
      </c>
      <c r="F157" s="20" t="s">
        <v>1772</v>
      </c>
      <c r="G157" s="20" t="s">
        <v>1773</v>
      </c>
      <c r="H157" s="20"/>
      <c r="I157" s="122" t="s">
        <v>1774</v>
      </c>
      <c r="J157" s="24"/>
      <c r="K157" s="24">
        <v>1</v>
      </c>
      <c r="L157" s="24"/>
      <c r="M157" s="24">
        <v>1</v>
      </c>
      <c r="N157" s="24"/>
      <c r="O157" s="79"/>
      <c r="P157" s="24"/>
      <c r="Q157" s="24"/>
      <c r="R157" s="24"/>
      <c r="S157" s="24"/>
      <c r="T157" s="24"/>
      <c r="U157" s="20" t="s">
        <v>506</v>
      </c>
      <c r="V157" s="20" t="s">
        <v>293</v>
      </c>
      <c r="W157" s="53" t="s">
        <v>298</v>
      </c>
      <c r="X157" s="20" t="s">
        <v>227</v>
      </c>
      <c r="Y157" s="20">
        <v>9178427533</v>
      </c>
      <c r="Z157" s="20"/>
      <c r="AA157" s="52" t="s">
        <v>1775</v>
      </c>
      <c r="AB157" s="53" t="s">
        <v>228</v>
      </c>
      <c r="AC157" s="24">
        <v>1</v>
      </c>
      <c r="AD157" s="24"/>
      <c r="AE157" s="24"/>
      <c r="AF157" s="24"/>
      <c r="AG157" s="24"/>
      <c r="AH157" s="20"/>
      <c r="AI157" s="42"/>
    </row>
    <row r="158" spans="1:35">
      <c r="A158" s="14"/>
      <c r="B158" s="20"/>
      <c r="C158" s="84" t="s">
        <v>1432</v>
      </c>
      <c r="D158" s="20" t="s">
        <v>79</v>
      </c>
      <c r="E158" s="20" t="s">
        <v>80</v>
      </c>
      <c r="F158" s="20" t="s">
        <v>1778</v>
      </c>
      <c r="G158" s="20" t="s">
        <v>745</v>
      </c>
      <c r="H158" s="20"/>
      <c r="I158" s="122" t="s">
        <v>1777</v>
      </c>
      <c r="J158" s="24">
        <v>1</v>
      </c>
      <c r="K158" s="24"/>
      <c r="L158" s="24">
        <v>1</v>
      </c>
      <c r="M158" s="24"/>
      <c r="N158" s="24"/>
      <c r="O158" s="79"/>
      <c r="P158" s="24"/>
      <c r="Q158" s="24"/>
      <c r="R158" s="24"/>
      <c r="S158" s="24"/>
      <c r="T158" s="24"/>
      <c r="U158" s="20" t="s">
        <v>504</v>
      </c>
      <c r="V158" s="20" t="s">
        <v>293</v>
      </c>
      <c r="W158" s="53" t="s">
        <v>298</v>
      </c>
      <c r="X158" s="20" t="s">
        <v>227</v>
      </c>
      <c r="Y158" s="20"/>
      <c r="Z158" s="20"/>
      <c r="AA158" s="52" t="s">
        <v>1776</v>
      </c>
      <c r="AB158" s="53" t="s">
        <v>228</v>
      </c>
      <c r="AC158" s="24">
        <v>1</v>
      </c>
      <c r="AD158" s="24"/>
      <c r="AE158" s="24"/>
      <c r="AF158" s="24"/>
      <c r="AG158" s="24"/>
      <c r="AH158" s="20"/>
      <c r="AI158" s="42"/>
    </row>
    <row r="159" spans="1:35">
      <c r="A159" s="14"/>
      <c r="B159" s="20"/>
      <c r="C159" s="84" t="s">
        <v>1432</v>
      </c>
      <c r="D159" s="20" t="s">
        <v>79</v>
      </c>
      <c r="E159" s="20" t="s">
        <v>80</v>
      </c>
      <c r="F159" s="20" t="s">
        <v>1779</v>
      </c>
      <c r="G159" s="20" t="s">
        <v>1756</v>
      </c>
      <c r="H159" s="20" t="s">
        <v>115</v>
      </c>
      <c r="I159" s="122" t="s">
        <v>1757</v>
      </c>
      <c r="J159" s="24">
        <v>1</v>
      </c>
      <c r="K159" s="24"/>
      <c r="L159" s="24">
        <v>1</v>
      </c>
      <c r="M159" s="24"/>
      <c r="N159" s="24"/>
      <c r="O159" s="79"/>
      <c r="P159" s="24"/>
      <c r="Q159" s="24"/>
      <c r="R159" s="24"/>
      <c r="S159" s="24"/>
      <c r="T159" s="24"/>
      <c r="U159" s="20" t="s">
        <v>295</v>
      </c>
      <c r="V159" s="20" t="s">
        <v>293</v>
      </c>
      <c r="W159" s="53" t="s">
        <v>298</v>
      </c>
      <c r="X159" s="20" t="s">
        <v>227</v>
      </c>
      <c r="Y159" s="20">
        <v>9357514235</v>
      </c>
      <c r="Z159" s="20"/>
      <c r="AA159" s="52" t="s">
        <v>1780</v>
      </c>
      <c r="AB159" s="53" t="s">
        <v>1477</v>
      </c>
      <c r="AC159" s="24">
        <v>1</v>
      </c>
      <c r="AD159" s="24"/>
      <c r="AE159" s="24"/>
      <c r="AF159" s="24"/>
      <c r="AG159" s="24"/>
      <c r="AH159" s="20"/>
      <c r="AI159" s="42"/>
    </row>
    <row r="160" spans="1:35">
      <c r="A160" s="14"/>
      <c r="B160" s="20"/>
      <c r="C160" s="84" t="s">
        <v>1432</v>
      </c>
      <c r="D160" s="20" t="s">
        <v>79</v>
      </c>
      <c r="E160" s="20" t="s">
        <v>80</v>
      </c>
      <c r="F160" s="20" t="s">
        <v>1765</v>
      </c>
      <c r="G160" s="20" t="s">
        <v>1766</v>
      </c>
      <c r="H160" s="20" t="s">
        <v>115</v>
      </c>
      <c r="I160" s="122" t="s">
        <v>1767</v>
      </c>
      <c r="J160" s="24">
        <v>1</v>
      </c>
      <c r="K160" s="24"/>
      <c r="L160" s="24">
        <v>1</v>
      </c>
      <c r="M160" s="24">
        <v>1</v>
      </c>
      <c r="N160" s="24"/>
      <c r="O160" s="79"/>
      <c r="P160" s="24"/>
      <c r="Q160" s="24"/>
      <c r="R160" s="24"/>
      <c r="S160" s="24"/>
      <c r="T160" s="24"/>
      <c r="U160" s="20" t="s">
        <v>295</v>
      </c>
      <c r="V160" s="20" t="s">
        <v>293</v>
      </c>
      <c r="W160" s="53" t="s">
        <v>298</v>
      </c>
      <c r="X160" s="20" t="s">
        <v>227</v>
      </c>
      <c r="Y160" s="20">
        <v>9357514235</v>
      </c>
      <c r="Z160" s="20"/>
      <c r="AA160" s="52" t="s">
        <v>1780</v>
      </c>
      <c r="AB160" s="53" t="s">
        <v>1477</v>
      </c>
      <c r="AC160" s="24">
        <v>1</v>
      </c>
      <c r="AD160" s="24"/>
      <c r="AE160" s="24"/>
      <c r="AF160" s="24"/>
      <c r="AG160" s="24"/>
      <c r="AH160" s="20"/>
      <c r="AI160" s="42"/>
    </row>
    <row r="161" spans="1:35">
      <c r="A161" s="14"/>
      <c r="B161" s="20"/>
      <c r="C161" s="84" t="s">
        <v>1432</v>
      </c>
      <c r="D161" s="20" t="s">
        <v>79</v>
      </c>
      <c r="E161" s="20" t="s">
        <v>80</v>
      </c>
      <c r="F161" s="20" t="s">
        <v>1762</v>
      </c>
      <c r="G161" s="20" t="s">
        <v>1613</v>
      </c>
      <c r="H161" s="20" t="s">
        <v>126</v>
      </c>
      <c r="I161" s="122">
        <v>29748</v>
      </c>
      <c r="J161" s="24">
        <v>1</v>
      </c>
      <c r="K161" s="24"/>
      <c r="L161" s="24">
        <v>1</v>
      </c>
      <c r="M161" s="24"/>
      <c r="N161" s="24"/>
      <c r="O161" s="79"/>
      <c r="P161" s="24"/>
      <c r="Q161" s="24"/>
      <c r="R161" s="24"/>
      <c r="S161" s="24"/>
      <c r="T161" s="24"/>
      <c r="U161" s="20" t="s">
        <v>295</v>
      </c>
      <c r="V161" s="20" t="s">
        <v>293</v>
      </c>
      <c r="W161" s="53" t="s">
        <v>298</v>
      </c>
      <c r="X161" s="20" t="s">
        <v>227</v>
      </c>
      <c r="Y161" s="20">
        <v>9357514235</v>
      </c>
      <c r="Z161" s="20"/>
      <c r="AA161" s="52" t="s">
        <v>1780</v>
      </c>
      <c r="AB161" s="53" t="s">
        <v>1477</v>
      </c>
      <c r="AC161" s="24">
        <v>1</v>
      </c>
      <c r="AD161" s="24"/>
      <c r="AE161" s="24"/>
      <c r="AF161" s="24"/>
      <c r="AG161" s="24"/>
      <c r="AH161" s="20"/>
      <c r="AI161" s="42"/>
    </row>
    <row r="162" spans="1:35">
      <c r="A162" s="14"/>
      <c r="B162" s="20"/>
      <c r="C162" s="84" t="s">
        <v>1432</v>
      </c>
      <c r="D162" s="20" t="s">
        <v>79</v>
      </c>
      <c r="E162" s="20" t="s">
        <v>80</v>
      </c>
      <c r="F162" s="20" t="s">
        <v>413</v>
      </c>
      <c r="G162" s="20" t="s">
        <v>1781</v>
      </c>
      <c r="H162" s="20" t="s">
        <v>1647</v>
      </c>
      <c r="I162" s="122" t="s">
        <v>1761</v>
      </c>
      <c r="J162" s="24">
        <v>1</v>
      </c>
      <c r="K162" s="24"/>
      <c r="L162" s="24">
        <v>1</v>
      </c>
      <c r="M162" s="24"/>
      <c r="N162" s="24"/>
      <c r="O162" s="79"/>
      <c r="P162" s="24"/>
      <c r="Q162" s="24"/>
      <c r="R162" s="24"/>
      <c r="S162" s="24"/>
      <c r="T162" s="24"/>
      <c r="U162" s="20" t="s">
        <v>295</v>
      </c>
      <c r="V162" s="20" t="s">
        <v>293</v>
      </c>
      <c r="W162" s="53" t="s">
        <v>298</v>
      </c>
      <c r="X162" s="20" t="s">
        <v>227</v>
      </c>
      <c r="Y162" s="20">
        <v>9460611563</v>
      </c>
      <c r="Z162" s="20"/>
      <c r="AA162" s="52" t="s">
        <v>1780</v>
      </c>
      <c r="AB162" s="53" t="s">
        <v>1477</v>
      </c>
      <c r="AC162" s="24">
        <v>1</v>
      </c>
      <c r="AD162" s="24"/>
      <c r="AE162" s="24"/>
      <c r="AF162" s="24"/>
      <c r="AG162" s="24"/>
      <c r="AH162" s="20"/>
      <c r="AI162" s="42"/>
    </row>
    <row r="163" spans="1:35">
      <c r="A163" s="14"/>
      <c r="B163" s="20"/>
      <c r="C163" s="84" t="s">
        <v>1432</v>
      </c>
      <c r="D163" s="20" t="s">
        <v>79</v>
      </c>
      <c r="E163" s="20" t="s">
        <v>80</v>
      </c>
      <c r="F163" s="20" t="s">
        <v>1758</v>
      </c>
      <c r="G163" s="20" t="s">
        <v>1759</v>
      </c>
      <c r="H163" s="20" t="s">
        <v>136</v>
      </c>
      <c r="I163" s="122">
        <v>25509</v>
      </c>
      <c r="J163" s="24">
        <v>1</v>
      </c>
      <c r="K163" s="24"/>
      <c r="L163" s="24">
        <v>1</v>
      </c>
      <c r="M163" s="24"/>
      <c r="N163" s="24"/>
      <c r="O163" s="79"/>
      <c r="P163" s="24"/>
      <c r="Q163" s="24"/>
      <c r="R163" s="24"/>
      <c r="S163" s="24"/>
      <c r="T163" s="24"/>
      <c r="U163" s="20" t="s">
        <v>295</v>
      </c>
      <c r="V163" s="20" t="s">
        <v>293</v>
      </c>
      <c r="W163" s="53" t="s">
        <v>298</v>
      </c>
      <c r="X163" s="20" t="s">
        <v>227</v>
      </c>
      <c r="Y163" s="20">
        <v>9357514235</v>
      </c>
      <c r="Z163" s="20"/>
      <c r="AA163" s="52" t="s">
        <v>1780</v>
      </c>
      <c r="AB163" s="53" t="s">
        <v>1477</v>
      </c>
      <c r="AC163" s="24">
        <v>1</v>
      </c>
      <c r="AD163" s="24"/>
      <c r="AE163" s="24"/>
      <c r="AF163" s="24"/>
      <c r="AG163" s="24"/>
      <c r="AH163" s="20"/>
      <c r="AI163" s="42"/>
    </row>
    <row r="164" spans="1:35">
      <c r="A164" s="98"/>
      <c r="B164" s="99"/>
      <c r="C164" s="100" t="s">
        <v>1432</v>
      </c>
      <c r="D164" s="99" t="s">
        <v>79</v>
      </c>
      <c r="E164" s="99" t="s">
        <v>80</v>
      </c>
      <c r="F164" s="99" t="s">
        <v>1763</v>
      </c>
      <c r="G164" s="99" t="s">
        <v>1764</v>
      </c>
      <c r="H164" s="99" t="s">
        <v>113</v>
      </c>
      <c r="I164" s="136">
        <v>25148</v>
      </c>
      <c r="J164" s="101">
        <v>1</v>
      </c>
      <c r="K164" s="101"/>
      <c r="L164" s="101">
        <v>1</v>
      </c>
      <c r="M164" s="101"/>
      <c r="N164" s="101"/>
      <c r="O164" s="102"/>
      <c r="P164" s="101"/>
      <c r="Q164" s="101"/>
      <c r="R164" s="101"/>
      <c r="S164" s="101"/>
      <c r="T164" s="101"/>
      <c r="U164" s="99" t="s">
        <v>295</v>
      </c>
      <c r="V164" s="99" t="s">
        <v>293</v>
      </c>
      <c r="W164" s="103" t="s">
        <v>298</v>
      </c>
      <c r="X164" s="99" t="s">
        <v>227</v>
      </c>
      <c r="Y164" s="99">
        <v>9357514235</v>
      </c>
      <c r="Z164" s="99"/>
      <c r="AA164" s="104" t="s">
        <v>1780</v>
      </c>
      <c r="AB164" s="103" t="s">
        <v>1477</v>
      </c>
      <c r="AC164" s="101">
        <v>1</v>
      </c>
      <c r="AD164" s="101"/>
      <c r="AE164" s="101"/>
      <c r="AF164" s="101"/>
      <c r="AG164" s="101"/>
      <c r="AH164" s="99"/>
      <c r="AI164" s="105"/>
    </row>
    <row r="165" spans="1:35" s="20" customFormat="1" ht="16.5" customHeight="1">
      <c r="C165" s="84" t="s">
        <v>1432</v>
      </c>
      <c r="D165" s="53" t="s">
        <v>1782</v>
      </c>
      <c r="E165" s="53" t="s">
        <v>1784</v>
      </c>
      <c r="F165" s="53" t="s">
        <v>1785</v>
      </c>
      <c r="G165" s="53" t="s">
        <v>1786</v>
      </c>
      <c r="H165" s="53" t="s">
        <v>136</v>
      </c>
      <c r="I165" s="122"/>
      <c r="J165" s="24"/>
      <c r="K165" s="20">
        <v>1</v>
      </c>
      <c r="L165" s="24"/>
      <c r="M165" s="24"/>
      <c r="N165" s="24"/>
      <c r="O165" s="79"/>
      <c r="P165" s="24"/>
      <c r="Q165" s="24">
        <v>1</v>
      </c>
      <c r="R165" s="75" t="s">
        <v>1009</v>
      </c>
      <c r="S165" s="20">
        <v>1</v>
      </c>
      <c r="T165" s="24"/>
      <c r="V165" s="53" t="s">
        <v>1443</v>
      </c>
      <c r="W165" s="53" t="s">
        <v>280</v>
      </c>
      <c r="X165" s="53" t="s">
        <v>227</v>
      </c>
      <c r="AA165" s="53" t="s">
        <v>1476</v>
      </c>
      <c r="AB165" s="103" t="s">
        <v>1477</v>
      </c>
      <c r="AC165" s="20">
        <v>10</v>
      </c>
      <c r="AD165" s="24"/>
      <c r="AE165" s="24"/>
      <c r="AF165" s="24"/>
      <c r="AG165" s="24"/>
    </row>
    <row r="166" spans="1:35">
      <c r="A166" s="106"/>
      <c r="B166" s="107"/>
      <c r="C166" s="108"/>
      <c r="D166" s="107"/>
      <c r="E166" s="107"/>
      <c r="F166" s="107"/>
      <c r="G166" s="107"/>
      <c r="H166" s="107"/>
      <c r="I166" s="137"/>
      <c r="J166" s="109"/>
      <c r="K166" s="109"/>
      <c r="L166" s="109"/>
      <c r="M166" s="109"/>
      <c r="N166" s="109"/>
      <c r="O166" s="110"/>
      <c r="P166" s="109"/>
      <c r="Q166" s="109"/>
      <c r="R166" s="109"/>
      <c r="S166" s="109"/>
      <c r="T166" s="109"/>
      <c r="U166" s="107"/>
      <c r="V166" s="107"/>
      <c r="W166" s="111"/>
      <c r="X166" s="107"/>
      <c r="Y166" s="107"/>
      <c r="Z166" s="107"/>
      <c r="AA166" s="52" t="s">
        <v>1787</v>
      </c>
      <c r="AB166" s="53" t="s">
        <v>228</v>
      </c>
      <c r="AC166" s="109">
        <v>10</v>
      </c>
      <c r="AD166" s="109"/>
      <c r="AE166" s="109"/>
      <c r="AF166" s="109"/>
      <c r="AG166" s="109"/>
      <c r="AH166" s="107"/>
      <c r="AI166" s="112"/>
    </row>
    <row r="167" spans="1:35">
      <c r="A167" s="14"/>
      <c r="B167" s="20"/>
      <c r="C167" s="84" t="s">
        <v>1432</v>
      </c>
      <c r="D167" s="53" t="s">
        <v>1782</v>
      </c>
      <c r="E167" s="53" t="s">
        <v>1788</v>
      </c>
      <c r="F167" s="53" t="s">
        <v>1789</v>
      </c>
      <c r="G167" s="53" t="s">
        <v>1720</v>
      </c>
      <c r="H167" s="20"/>
      <c r="I167" s="122"/>
      <c r="J167" s="24">
        <v>1</v>
      </c>
      <c r="K167" s="24"/>
      <c r="L167" s="24"/>
      <c r="M167" s="24"/>
      <c r="N167" s="24"/>
      <c r="O167" s="79"/>
      <c r="P167" s="24"/>
      <c r="Q167" s="24">
        <v>1</v>
      </c>
      <c r="R167" s="75" t="s">
        <v>1009</v>
      </c>
      <c r="S167" s="24">
        <v>1</v>
      </c>
      <c r="T167" s="24"/>
      <c r="U167" s="20"/>
      <c r="V167" s="53" t="s">
        <v>872</v>
      </c>
      <c r="W167" s="53" t="s">
        <v>280</v>
      </c>
      <c r="X167" s="53" t="s">
        <v>227</v>
      </c>
      <c r="Y167" s="20"/>
      <c r="Z167" s="20"/>
      <c r="AA167" s="52" t="s">
        <v>1790</v>
      </c>
      <c r="AB167" s="53" t="s">
        <v>1477</v>
      </c>
      <c r="AC167" s="24">
        <v>10</v>
      </c>
      <c r="AD167" s="24"/>
      <c r="AE167" s="24"/>
      <c r="AF167" s="24"/>
      <c r="AG167" s="24"/>
      <c r="AH167" s="20"/>
      <c r="AI167" s="42"/>
    </row>
    <row r="168" spans="1:35">
      <c r="A168" s="14"/>
      <c r="B168" s="20"/>
      <c r="C168" s="84"/>
      <c r="D168" s="53"/>
      <c r="E168" s="53"/>
      <c r="F168" s="53"/>
      <c r="G168" s="53"/>
      <c r="H168" s="20"/>
      <c r="I168" s="122"/>
      <c r="J168" s="24"/>
      <c r="K168" s="24"/>
      <c r="L168" s="24"/>
      <c r="M168" s="24"/>
      <c r="N168" s="24"/>
      <c r="O168" s="79"/>
      <c r="P168" s="24"/>
      <c r="Q168" s="24"/>
      <c r="R168" s="24"/>
      <c r="S168" s="24"/>
      <c r="T168" s="24"/>
      <c r="U168" s="20"/>
      <c r="V168" s="53"/>
      <c r="W168" s="53"/>
      <c r="X168" s="53"/>
      <c r="Y168" s="20"/>
      <c r="Z168" s="20"/>
      <c r="AA168" s="52" t="s">
        <v>1787</v>
      </c>
      <c r="AB168" s="53" t="s">
        <v>228</v>
      </c>
      <c r="AC168" s="24">
        <v>10</v>
      </c>
      <c r="AD168" s="24"/>
      <c r="AE168" s="24"/>
      <c r="AF168" s="24"/>
      <c r="AG168" s="24"/>
      <c r="AH168" s="20"/>
      <c r="AI168" s="42"/>
    </row>
    <row r="169" spans="1:35" ht="63">
      <c r="A169" s="14"/>
      <c r="B169" s="20"/>
      <c r="C169" s="88" t="s">
        <v>1432</v>
      </c>
      <c r="D169" s="89" t="s">
        <v>1782</v>
      </c>
      <c r="E169" s="89" t="s">
        <v>1794</v>
      </c>
      <c r="F169" s="89" t="s">
        <v>1795</v>
      </c>
      <c r="G169" s="89" t="s">
        <v>1796</v>
      </c>
      <c r="H169" s="89"/>
      <c r="I169" s="122"/>
      <c r="J169" s="90">
        <v>1</v>
      </c>
      <c r="K169" s="90"/>
      <c r="L169" s="90"/>
      <c r="M169" s="90"/>
      <c r="N169" s="90"/>
      <c r="O169" s="79"/>
      <c r="P169" s="90"/>
      <c r="Q169" s="90">
        <v>1</v>
      </c>
      <c r="R169" s="113" t="s">
        <v>1009</v>
      </c>
      <c r="S169" s="90">
        <v>1</v>
      </c>
      <c r="T169" s="90"/>
      <c r="U169" s="77"/>
      <c r="V169" s="89" t="s">
        <v>355</v>
      </c>
      <c r="W169" s="89" t="s">
        <v>298</v>
      </c>
      <c r="X169" s="89" t="s">
        <v>227</v>
      </c>
      <c r="Y169" s="20"/>
      <c r="Z169" s="20"/>
      <c r="AA169" s="52" t="s">
        <v>1797</v>
      </c>
      <c r="AB169" s="89" t="s">
        <v>228</v>
      </c>
      <c r="AC169" s="90">
        <v>10</v>
      </c>
      <c r="AD169" s="24"/>
      <c r="AE169" s="24"/>
      <c r="AF169" s="24"/>
      <c r="AG169" s="24"/>
      <c r="AH169" s="20"/>
      <c r="AI169" s="42"/>
    </row>
    <row r="170" spans="1:35">
      <c r="A170" s="14"/>
      <c r="B170" s="20"/>
      <c r="C170" s="84" t="s">
        <v>1432</v>
      </c>
      <c r="D170" s="53" t="s">
        <v>1782</v>
      </c>
      <c r="E170" s="53" t="s">
        <v>1798</v>
      </c>
      <c r="F170" s="53" t="s">
        <v>852</v>
      </c>
      <c r="G170" s="53" t="s">
        <v>118</v>
      </c>
      <c r="H170" s="53" t="s">
        <v>283</v>
      </c>
      <c r="I170" s="122"/>
      <c r="J170" s="24">
        <v>1</v>
      </c>
      <c r="K170" s="24"/>
      <c r="L170" s="24"/>
      <c r="M170" s="24"/>
      <c r="N170" s="24"/>
      <c r="O170" s="79"/>
      <c r="P170" s="24"/>
      <c r="Q170" s="24">
        <v>1</v>
      </c>
      <c r="R170" s="75" t="s">
        <v>1009</v>
      </c>
      <c r="S170" s="24">
        <v>1</v>
      </c>
      <c r="T170" s="24"/>
      <c r="U170" s="20"/>
      <c r="V170" s="53" t="s">
        <v>952</v>
      </c>
      <c r="W170" s="53" t="s">
        <v>280</v>
      </c>
      <c r="X170" s="53" t="s">
        <v>227</v>
      </c>
      <c r="Y170" s="20"/>
      <c r="Z170" s="20"/>
      <c r="AA170" s="53" t="s">
        <v>1476</v>
      </c>
      <c r="AB170" s="53" t="s">
        <v>1477</v>
      </c>
      <c r="AC170" s="24">
        <v>10</v>
      </c>
      <c r="AD170" s="24"/>
      <c r="AE170" s="24"/>
      <c r="AF170" s="24"/>
      <c r="AG170" s="24"/>
      <c r="AH170" s="20"/>
      <c r="AI170" s="42"/>
    </row>
    <row r="171" spans="1:35" ht="47.25">
      <c r="A171" s="14"/>
      <c r="B171" s="20"/>
      <c r="C171" s="84"/>
      <c r="D171" s="53"/>
      <c r="E171" s="53"/>
      <c r="F171" s="53"/>
      <c r="G171" s="53"/>
      <c r="H171" s="20"/>
      <c r="I171" s="122"/>
      <c r="J171" s="24"/>
      <c r="K171" s="24"/>
      <c r="L171" s="24"/>
      <c r="M171" s="24"/>
      <c r="N171" s="24"/>
      <c r="O171" s="79"/>
      <c r="P171" s="24"/>
      <c r="Q171" s="24"/>
      <c r="R171" s="24"/>
      <c r="S171" s="24"/>
      <c r="T171" s="24"/>
      <c r="U171" s="20"/>
      <c r="V171" s="53"/>
      <c r="W171" s="53"/>
      <c r="X171" s="53"/>
      <c r="Y171" s="20"/>
      <c r="Z171" s="20"/>
      <c r="AA171" s="52" t="s">
        <v>1799</v>
      </c>
      <c r="AB171" s="89" t="s">
        <v>228</v>
      </c>
      <c r="AC171" s="90">
        <v>7</v>
      </c>
      <c r="AD171" s="24"/>
      <c r="AE171" s="24"/>
      <c r="AF171" s="24"/>
      <c r="AG171" s="24"/>
      <c r="AH171" s="20"/>
      <c r="AI171" s="42"/>
    </row>
    <row r="172" spans="1:35">
      <c r="A172" s="14"/>
      <c r="B172" s="20"/>
      <c r="C172" s="84" t="s">
        <v>1432</v>
      </c>
      <c r="D172" s="53" t="s">
        <v>1782</v>
      </c>
      <c r="E172" s="53" t="s">
        <v>1801</v>
      </c>
      <c r="F172" s="53" t="s">
        <v>826</v>
      </c>
      <c r="G172" s="53" t="s">
        <v>827</v>
      </c>
      <c r="H172" s="20"/>
      <c r="I172" s="122"/>
      <c r="J172" s="24">
        <v>1</v>
      </c>
      <c r="K172" s="24"/>
      <c r="L172" s="24"/>
      <c r="M172" s="24"/>
      <c r="N172" s="24"/>
      <c r="O172" s="79"/>
      <c r="P172" s="24"/>
      <c r="Q172" s="24">
        <v>1</v>
      </c>
      <c r="R172" s="75" t="s">
        <v>1009</v>
      </c>
      <c r="S172" s="24">
        <v>1</v>
      </c>
      <c r="T172" s="24"/>
      <c r="U172" s="20"/>
      <c r="V172" s="53" t="s">
        <v>513</v>
      </c>
      <c r="W172" s="53" t="s">
        <v>279</v>
      </c>
      <c r="X172" s="53" t="s">
        <v>227</v>
      </c>
      <c r="Y172" s="20"/>
      <c r="Z172" s="20"/>
      <c r="AA172" s="53" t="s">
        <v>1476</v>
      </c>
      <c r="AB172" s="53" t="s">
        <v>1477</v>
      </c>
      <c r="AC172" s="90">
        <v>10</v>
      </c>
      <c r="AD172" s="24"/>
      <c r="AE172" s="24"/>
      <c r="AF172" s="24"/>
      <c r="AG172" s="24"/>
      <c r="AH172" s="20"/>
      <c r="AI172" s="42"/>
    </row>
    <row r="173" spans="1:35" ht="63">
      <c r="A173" s="14"/>
      <c r="B173" s="20"/>
      <c r="C173" s="84"/>
      <c r="D173" s="53"/>
      <c r="E173" s="53"/>
      <c r="F173" s="53"/>
      <c r="G173" s="53"/>
      <c r="H173" s="20"/>
      <c r="I173" s="122"/>
      <c r="J173" s="24"/>
      <c r="K173" s="24"/>
      <c r="L173" s="24"/>
      <c r="M173" s="24"/>
      <c r="N173" s="24"/>
      <c r="O173" s="79"/>
      <c r="P173" s="24"/>
      <c r="Q173" s="24"/>
      <c r="R173" s="24"/>
      <c r="S173" s="24"/>
      <c r="T173" s="24"/>
      <c r="U173" s="20"/>
      <c r="V173" s="53"/>
      <c r="W173" s="53"/>
      <c r="X173" s="53"/>
      <c r="Y173" s="20"/>
      <c r="Z173" s="20"/>
      <c r="AA173" s="52" t="s">
        <v>1806</v>
      </c>
      <c r="AB173" s="89" t="s">
        <v>228</v>
      </c>
      <c r="AC173" s="90">
        <v>10</v>
      </c>
      <c r="AD173" s="24"/>
      <c r="AE173" s="24"/>
      <c r="AF173" s="24"/>
      <c r="AG173" s="24"/>
      <c r="AH173" s="20"/>
      <c r="AI173" s="42"/>
    </row>
    <row r="174" spans="1:35">
      <c r="A174" s="14"/>
      <c r="B174" s="20"/>
      <c r="C174" s="84" t="s">
        <v>1432</v>
      </c>
      <c r="D174" s="53" t="s">
        <v>1782</v>
      </c>
      <c r="E174" s="53" t="s">
        <v>1802</v>
      </c>
      <c r="F174" s="53" t="s">
        <v>1707</v>
      </c>
      <c r="G174" s="53" t="s">
        <v>698</v>
      </c>
      <c r="H174" s="20"/>
      <c r="I174" s="122"/>
      <c r="J174" s="24">
        <v>1</v>
      </c>
      <c r="K174" s="24"/>
      <c r="L174" s="24"/>
      <c r="M174" s="24"/>
      <c r="N174" s="24"/>
      <c r="O174" s="79"/>
      <c r="P174" s="24"/>
      <c r="Q174" s="24">
        <v>1</v>
      </c>
      <c r="R174" s="75" t="s">
        <v>1009</v>
      </c>
      <c r="S174" s="24">
        <v>1</v>
      </c>
      <c r="T174" s="24"/>
      <c r="U174" s="20"/>
      <c r="V174" s="53" t="s">
        <v>519</v>
      </c>
      <c r="W174" s="53" t="s">
        <v>280</v>
      </c>
      <c r="X174" s="53" t="s">
        <v>227</v>
      </c>
      <c r="Y174" s="20"/>
      <c r="Z174" s="20"/>
      <c r="AA174" s="53" t="s">
        <v>1476</v>
      </c>
      <c r="AB174" s="53" t="s">
        <v>1477</v>
      </c>
      <c r="AC174" s="24">
        <v>10</v>
      </c>
      <c r="AD174" s="24"/>
      <c r="AE174" s="24"/>
      <c r="AF174" s="24"/>
      <c r="AG174" s="24"/>
      <c r="AH174" s="20"/>
      <c r="AI174" s="42"/>
    </row>
    <row r="175" spans="1:35" ht="47.25">
      <c r="A175" s="14"/>
      <c r="B175" s="20"/>
      <c r="C175" s="84"/>
      <c r="D175" s="53"/>
      <c r="E175" s="53"/>
      <c r="F175" s="53"/>
      <c r="G175" s="53"/>
      <c r="H175" s="20"/>
      <c r="I175" s="122"/>
      <c r="J175" s="24"/>
      <c r="K175" s="24"/>
      <c r="L175" s="24"/>
      <c r="M175" s="24"/>
      <c r="N175" s="24"/>
      <c r="O175" s="79"/>
      <c r="P175" s="24"/>
      <c r="Q175" s="24"/>
      <c r="R175" s="24"/>
      <c r="S175" s="24"/>
      <c r="T175" s="24"/>
      <c r="U175" s="20"/>
      <c r="V175" s="53"/>
      <c r="W175" s="53"/>
      <c r="X175" s="53"/>
      <c r="Y175" s="20"/>
      <c r="Z175" s="20"/>
      <c r="AA175" s="52" t="s">
        <v>1803</v>
      </c>
      <c r="AB175" s="89" t="s">
        <v>228</v>
      </c>
      <c r="AC175" s="90">
        <v>7</v>
      </c>
      <c r="AD175" s="24"/>
      <c r="AE175" s="24"/>
      <c r="AF175" s="24"/>
      <c r="AG175" s="24"/>
      <c r="AH175" s="20"/>
      <c r="AI175" s="42"/>
    </row>
    <row r="176" spans="1:35">
      <c r="A176" s="14"/>
      <c r="B176" s="20"/>
      <c r="C176" s="84" t="s">
        <v>1432</v>
      </c>
      <c r="D176" s="53" t="s">
        <v>1782</v>
      </c>
      <c r="E176" s="53" t="s">
        <v>1804</v>
      </c>
      <c r="F176" s="53" t="s">
        <v>1805</v>
      </c>
      <c r="G176" s="53" t="s">
        <v>1047</v>
      </c>
      <c r="H176" s="53" t="s">
        <v>283</v>
      </c>
      <c r="I176" s="122"/>
      <c r="J176" s="24">
        <v>1</v>
      </c>
      <c r="K176" s="24"/>
      <c r="L176" s="24"/>
      <c r="M176" s="24"/>
      <c r="N176" s="24"/>
      <c r="O176" s="79"/>
      <c r="P176" s="24"/>
      <c r="Q176" s="24">
        <v>1</v>
      </c>
      <c r="R176" s="75" t="s">
        <v>1009</v>
      </c>
      <c r="S176" s="24">
        <v>1</v>
      </c>
      <c r="T176" s="24"/>
      <c r="U176" s="20"/>
      <c r="V176" s="53" t="s">
        <v>223</v>
      </c>
      <c r="W176" s="53" t="s">
        <v>279</v>
      </c>
      <c r="X176" s="53" t="s">
        <v>227</v>
      </c>
      <c r="Y176" s="20"/>
      <c r="Z176" s="20"/>
      <c r="AA176" s="53" t="s">
        <v>1476</v>
      </c>
      <c r="AB176" s="53" t="s">
        <v>1477</v>
      </c>
      <c r="AC176" s="24">
        <v>20</v>
      </c>
      <c r="AD176" s="24"/>
      <c r="AE176" s="24"/>
      <c r="AF176" s="24"/>
      <c r="AG176" s="24"/>
      <c r="AH176" s="20"/>
      <c r="AI176" s="42"/>
    </row>
    <row r="177" spans="1:35" ht="63">
      <c r="A177" s="14"/>
      <c r="B177" s="20"/>
      <c r="C177" s="84"/>
      <c r="D177" s="53"/>
      <c r="E177" s="53"/>
      <c r="F177" s="53"/>
      <c r="G177" s="53"/>
      <c r="H177" s="20"/>
      <c r="I177" s="122"/>
      <c r="J177" s="24"/>
      <c r="K177" s="24"/>
      <c r="L177" s="24"/>
      <c r="M177" s="24"/>
      <c r="N177" s="24"/>
      <c r="O177" s="79"/>
      <c r="P177" s="24"/>
      <c r="Q177" s="24"/>
      <c r="R177" s="24"/>
      <c r="S177" s="24"/>
      <c r="T177" s="24"/>
      <c r="U177" s="20"/>
      <c r="V177" s="53"/>
      <c r="W177" s="53"/>
      <c r="X177" s="53"/>
      <c r="Y177" s="20"/>
      <c r="Z177" s="20"/>
      <c r="AA177" s="52" t="s">
        <v>1807</v>
      </c>
      <c r="AB177" s="89" t="s">
        <v>228</v>
      </c>
      <c r="AC177" s="90">
        <v>10</v>
      </c>
      <c r="AD177" s="24"/>
      <c r="AE177" s="24"/>
      <c r="AF177" s="24"/>
      <c r="AG177" s="24"/>
      <c r="AH177" s="20"/>
      <c r="AI177" s="42"/>
    </row>
    <row r="178" spans="1:35">
      <c r="A178" s="14"/>
      <c r="B178" s="20"/>
      <c r="C178" s="84" t="s">
        <v>1432</v>
      </c>
      <c r="D178" s="53" t="s">
        <v>1782</v>
      </c>
      <c r="E178" s="53" t="s">
        <v>1808</v>
      </c>
      <c r="F178" s="53" t="s">
        <v>1809</v>
      </c>
      <c r="G178" s="53" t="s">
        <v>698</v>
      </c>
      <c r="H178" s="53" t="s">
        <v>126</v>
      </c>
      <c r="I178" s="122"/>
      <c r="J178" s="24">
        <v>1</v>
      </c>
      <c r="K178" s="24"/>
      <c r="L178" s="24"/>
      <c r="M178" s="24"/>
      <c r="N178" s="24"/>
      <c r="O178" s="79"/>
      <c r="P178" s="24"/>
      <c r="Q178" s="24">
        <v>1</v>
      </c>
      <c r="R178" s="75" t="s">
        <v>1009</v>
      </c>
      <c r="S178" s="24">
        <v>1</v>
      </c>
      <c r="T178" s="24"/>
      <c r="U178" s="20"/>
      <c r="V178" s="53" t="s">
        <v>1280</v>
      </c>
      <c r="W178" s="53" t="s">
        <v>280</v>
      </c>
      <c r="X178" s="53" t="s">
        <v>227</v>
      </c>
      <c r="Y178" s="20"/>
      <c r="Z178" s="20"/>
      <c r="AA178" s="53" t="s">
        <v>1476</v>
      </c>
      <c r="AB178" s="53" t="s">
        <v>1477</v>
      </c>
      <c r="AC178" s="24">
        <v>10</v>
      </c>
      <c r="AD178" s="24"/>
      <c r="AE178" s="24"/>
      <c r="AF178" s="24"/>
      <c r="AG178" s="24"/>
      <c r="AH178" s="20"/>
      <c r="AI178" s="42"/>
    </row>
    <row r="179" spans="1:35" ht="47.25">
      <c r="A179" s="14"/>
      <c r="B179" s="20"/>
      <c r="C179" s="84"/>
      <c r="D179" s="53"/>
      <c r="E179" s="53"/>
      <c r="F179" s="53"/>
      <c r="G179" s="53"/>
      <c r="H179" s="53"/>
      <c r="I179" s="122"/>
      <c r="J179" s="24"/>
      <c r="K179" s="24"/>
      <c r="L179" s="24"/>
      <c r="M179" s="24"/>
      <c r="N179" s="24"/>
      <c r="O179" s="79"/>
      <c r="P179" s="24"/>
      <c r="Q179" s="24"/>
      <c r="R179" s="75"/>
      <c r="S179" s="24"/>
      <c r="T179" s="24"/>
      <c r="U179" s="20"/>
      <c r="V179" s="53"/>
      <c r="W179" s="53"/>
      <c r="X179" s="53"/>
      <c r="Y179" s="20"/>
      <c r="Z179" s="20"/>
      <c r="AA179" s="53" t="s">
        <v>1810</v>
      </c>
      <c r="AB179" s="89" t="s">
        <v>228</v>
      </c>
      <c r="AC179" s="90">
        <v>7</v>
      </c>
      <c r="AD179" s="24"/>
      <c r="AE179" s="24"/>
      <c r="AF179" s="24"/>
      <c r="AG179" s="24"/>
      <c r="AH179" s="20"/>
      <c r="AI179" s="42"/>
    </row>
    <row r="180" spans="1:35" ht="15" customHeight="1">
      <c r="A180" s="14"/>
      <c r="B180" s="20"/>
      <c r="C180" s="20" t="s">
        <v>1432</v>
      </c>
      <c r="D180" s="20" t="s">
        <v>1922</v>
      </c>
      <c r="E180" s="20" t="s">
        <v>80</v>
      </c>
      <c r="F180" s="20" t="s">
        <v>1326</v>
      </c>
      <c r="G180" s="20" t="s">
        <v>1327</v>
      </c>
      <c r="H180" s="20"/>
      <c r="I180" s="122">
        <v>26978</v>
      </c>
      <c r="J180" s="24">
        <v>1</v>
      </c>
      <c r="K180" s="24"/>
      <c r="L180" s="24">
        <v>1</v>
      </c>
      <c r="M180" s="24"/>
      <c r="N180" s="24"/>
      <c r="O180" s="79"/>
      <c r="P180" s="24"/>
      <c r="Q180" s="24"/>
      <c r="R180" s="24"/>
      <c r="S180" s="24"/>
      <c r="T180" s="24"/>
      <c r="U180" s="20" t="s">
        <v>221</v>
      </c>
      <c r="V180" s="20" t="s">
        <v>218</v>
      </c>
      <c r="W180" s="53" t="s">
        <v>279</v>
      </c>
      <c r="X180" s="20" t="s">
        <v>227</v>
      </c>
      <c r="Y180" s="20"/>
      <c r="Z180" s="20"/>
      <c r="AA180" s="20" t="s">
        <v>1780</v>
      </c>
      <c r="AB180" s="20" t="s">
        <v>1477</v>
      </c>
      <c r="AC180" s="24">
        <v>1</v>
      </c>
      <c r="AD180" s="24"/>
      <c r="AE180" s="24"/>
      <c r="AF180" s="24"/>
      <c r="AG180" s="24"/>
      <c r="AH180" s="20"/>
      <c r="AI180" s="42"/>
    </row>
    <row r="181" spans="1:35">
      <c r="A181" s="14"/>
      <c r="B181" s="20"/>
      <c r="C181" s="84" t="s">
        <v>1432</v>
      </c>
      <c r="D181" s="84" t="s">
        <v>1782</v>
      </c>
      <c r="E181" s="53" t="s">
        <v>1783</v>
      </c>
      <c r="F181" s="53" t="s">
        <v>1694</v>
      </c>
      <c r="G181" s="53" t="s">
        <v>1401</v>
      </c>
      <c r="H181" s="53" t="s">
        <v>133</v>
      </c>
      <c r="I181" s="32"/>
      <c r="J181" s="24">
        <v>1</v>
      </c>
      <c r="K181" s="24"/>
      <c r="L181" s="24">
        <v>1</v>
      </c>
      <c r="M181" s="24"/>
      <c r="N181" s="24"/>
      <c r="O181" s="24"/>
      <c r="P181" s="24"/>
      <c r="Q181" s="24"/>
      <c r="R181" s="75" t="s">
        <v>93</v>
      </c>
      <c r="S181" s="24"/>
      <c r="T181" s="24"/>
      <c r="U181" s="84"/>
      <c r="V181" s="84" t="s">
        <v>949</v>
      </c>
      <c r="W181" s="84" t="s">
        <v>280</v>
      </c>
      <c r="X181" s="84" t="s">
        <v>227</v>
      </c>
      <c r="Y181" s="20"/>
      <c r="Z181" s="20"/>
      <c r="AA181" s="95" t="s">
        <v>2129</v>
      </c>
      <c r="AB181" s="84" t="s">
        <v>1793</v>
      </c>
      <c r="AC181" s="85">
        <v>50</v>
      </c>
      <c r="AD181" s="24"/>
      <c r="AE181" s="24"/>
      <c r="AF181" s="24"/>
      <c r="AG181" s="24"/>
      <c r="AH181" s="20"/>
      <c r="AI181" s="42"/>
    </row>
    <row r="182" spans="1:35" ht="15" customHeight="1">
      <c r="A182" s="14"/>
      <c r="B182" s="20"/>
      <c r="C182" s="20"/>
      <c r="D182" s="20"/>
      <c r="E182" s="20"/>
      <c r="F182" s="20"/>
      <c r="G182" s="20"/>
      <c r="H182" s="20"/>
      <c r="I182" s="122"/>
      <c r="J182" s="24"/>
      <c r="K182" s="24"/>
      <c r="L182" s="24"/>
      <c r="M182" s="24"/>
      <c r="N182" s="24"/>
      <c r="O182" s="79"/>
      <c r="P182" s="24"/>
      <c r="Q182" s="24"/>
      <c r="R182" s="24"/>
      <c r="S182" s="24"/>
      <c r="T182" s="24"/>
      <c r="U182" s="20"/>
      <c r="V182" s="20"/>
      <c r="W182" s="53"/>
      <c r="X182" s="20"/>
      <c r="Y182" s="20"/>
      <c r="Z182" s="20"/>
      <c r="AA182" s="95" t="s">
        <v>2130</v>
      </c>
      <c r="AB182" s="84" t="s">
        <v>1793</v>
      </c>
      <c r="AC182" s="85">
        <v>50</v>
      </c>
      <c r="AD182" s="24"/>
      <c r="AE182" s="24"/>
      <c r="AF182" s="24"/>
      <c r="AG182" s="24"/>
      <c r="AH182" s="20"/>
      <c r="AI182" s="42"/>
    </row>
    <row r="183" spans="1:35" ht="15" customHeight="1">
      <c r="A183" s="14"/>
      <c r="B183" s="20"/>
      <c r="C183" s="20"/>
      <c r="D183" s="20"/>
      <c r="E183" s="20"/>
      <c r="F183" s="20"/>
      <c r="G183" s="20"/>
      <c r="H183" s="20"/>
      <c r="I183" s="122"/>
      <c r="J183" s="24"/>
      <c r="K183" s="24"/>
      <c r="L183" s="24"/>
      <c r="M183" s="24"/>
      <c r="N183" s="24"/>
      <c r="O183" s="79"/>
      <c r="P183" s="24"/>
      <c r="Q183" s="24"/>
      <c r="R183" s="24"/>
      <c r="S183" s="24"/>
      <c r="T183" s="24"/>
      <c r="U183" s="20"/>
      <c r="V183" s="20"/>
      <c r="W183" s="53"/>
      <c r="X183" s="20"/>
      <c r="Y183" s="20"/>
      <c r="Z183" s="20"/>
      <c r="AA183" s="20"/>
      <c r="AB183" s="20"/>
      <c r="AC183" s="24"/>
      <c r="AD183" s="24"/>
      <c r="AE183" s="24"/>
      <c r="AF183" s="24"/>
      <c r="AG183" s="24"/>
      <c r="AH183" s="20"/>
      <c r="AI183" s="42"/>
    </row>
    <row r="184" spans="1:35" ht="15" customHeight="1">
      <c r="A184" s="14"/>
      <c r="B184" s="20"/>
      <c r="C184" s="20"/>
      <c r="D184" s="20"/>
      <c r="E184" s="20"/>
      <c r="F184" s="20"/>
      <c r="G184" s="20"/>
      <c r="H184" s="20"/>
      <c r="I184" s="122"/>
      <c r="J184" s="24"/>
      <c r="K184" s="24"/>
      <c r="L184" s="24"/>
      <c r="M184" s="24"/>
      <c r="N184" s="24"/>
      <c r="O184" s="79"/>
      <c r="P184" s="24"/>
      <c r="Q184" s="24"/>
      <c r="R184" s="24"/>
      <c r="S184" s="24"/>
      <c r="T184" s="24"/>
      <c r="U184" s="20"/>
      <c r="V184" s="20"/>
      <c r="W184" s="53"/>
      <c r="X184" s="20"/>
      <c r="Y184" s="20"/>
      <c r="Z184" s="20"/>
      <c r="AA184" s="20"/>
      <c r="AB184" s="20"/>
      <c r="AC184" s="24"/>
      <c r="AD184" s="24"/>
      <c r="AE184" s="24"/>
      <c r="AF184" s="24"/>
      <c r="AG184" s="24"/>
      <c r="AH184" s="20"/>
      <c r="AI184" s="42"/>
    </row>
    <row r="185" spans="1:35" s="6" customFormat="1">
      <c r="A185" s="18"/>
      <c r="B185" s="19"/>
      <c r="C185" s="19" t="s">
        <v>83</v>
      </c>
      <c r="D185" s="19"/>
      <c r="E185" s="19"/>
      <c r="F185" s="19"/>
      <c r="G185" s="19"/>
      <c r="H185" s="19"/>
      <c r="I185" s="129"/>
      <c r="J185" s="31">
        <f>SUM(J253:J565)</f>
        <v>244</v>
      </c>
      <c r="K185" s="31">
        <f>SUM(K253:K565)</f>
        <v>20</v>
      </c>
      <c r="L185" s="31">
        <f>SUM(L253:L565)</f>
        <v>260</v>
      </c>
      <c r="M185" s="31">
        <f>SUM(M253:M565)</f>
        <v>12</v>
      </c>
      <c r="N185" s="31">
        <f>SUM(N253:N565)</f>
        <v>1</v>
      </c>
      <c r="O185" s="31"/>
      <c r="P185" s="31">
        <f>SUM(P253:P565)</f>
        <v>1</v>
      </c>
      <c r="Q185" s="31">
        <f>SUM(Q253:Q565)</f>
        <v>3</v>
      </c>
      <c r="R185" s="31"/>
      <c r="S185" s="31">
        <f>SUM(S253:S565)</f>
        <v>1</v>
      </c>
      <c r="T185" s="31">
        <f>SUM(T253:T565)</f>
        <v>0</v>
      </c>
      <c r="U185" s="19"/>
      <c r="V185" s="19"/>
      <c r="W185" s="19"/>
      <c r="X185" s="19"/>
      <c r="Y185" s="19"/>
      <c r="Z185" s="19"/>
      <c r="AA185" s="19"/>
      <c r="AB185" s="19"/>
      <c r="AC185" s="31">
        <f>SUM(AC253:AC565)</f>
        <v>415</v>
      </c>
      <c r="AD185" s="31">
        <f>SUM(AD253:AD565)</f>
        <v>0</v>
      </c>
      <c r="AE185" s="31" t="e">
        <f>AVERAGE(AE253:AE565)</f>
        <v>#DIV/0!</v>
      </c>
      <c r="AF185" s="31" t="e">
        <f>AVERAGE(AF253:AF565)</f>
        <v>#DIV/0!</v>
      </c>
      <c r="AG185" s="31" t="e">
        <f>AVERAGE(AG253:AG565)</f>
        <v>#DIV/0!</v>
      </c>
      <c r="AH185" s="19"/>
      <c r="AI185" s="41"/>
    </row>
    <row r="186" spans="1:35">
      <c r="A186" s="14"/>
      <c r="B186" s="20"/>
      <c r="C186" s="20" t="s">
        <v>1866</v>
      </c>
      <c r="D186" s="20" t="s">
        <v>79</v>
      </c>
      <c r="E186" s="20" t="s">
        <v>80</v>
      </c>
      <c r="F186" s="20" t="s">
        <v>2014</v>
      </c>
      <c r="G186" s="20" t="s">
        <v>2015</v>
      </c>
      <c r="H186" s="20" t="s">
        <v>136</v>
      </c>
      <c r="I186" s="32">
        <v>32110</v>
      </c>
      <c r="J186" s="24">
        <v>1</v>
      </c>
      <c r="K186" s="24"/>
      <c r="L186" s="24">
        <v>1</v>
      </c>
      <c r="M186" s="24"/>
      <c r="N186" s="24"/>
      <c r="O186" s="24"/>
      <c r="P186" s="24"/>
      <c r="Q186" s="24"/>
      <c r="R186" s="24"/>
      <c r="S186" s="24"/>
      <c r="T186" s="24"/>
      <c r="U186" s="20" t="s">
        <v>2033</v>
      </c>
      <c r="V186" s="20" t="s">
        <v>952</v>
      </c>
      <c r="W186" s="20" t="s">
        <v>280</v>
      </c>
      <c r="X186" s="84" t="s">
        <v>227</v>
      </c>
      <c r="Y186" s="20"/>
      <c r="Z186" s="20"/>
      <c r="AA186" s="95" t="s">
        <v>2131</v>
      </c>
      <c r="AB186" s="20" t="s">
        <v>1815</v>
      </c>
      <c r="AC186" s="24">
        <v>1</v>
      </c>
      <c r="AD186" s="24"/>
      <c r="AE186" s="24"/>
      <c r="AF186" s="24"/>
      <c r="AG186" s="24"/>
      <c r="AH186" s="20"/>
      <c r="AI186" s="42"/>
    </row>
    <row r="187" spans="1:35">
      <c r="A187" s="14"/>
      <c r="B187" s="20"/>
      <c r="C187" s="20" t="s">
        <v>1866</v>
      </c>
      <c r="D187" s="20" t="s">
        <v>79</v>
      </c>
      <c r="E187" s="20" t="s">
        <v>80</v>
      </c>
      <c r="F187" s="20" t="s">
        <v>746</v>
      </c>
      <c r="G187" s="20" t="s">
        <v>2016</v>
      </c>
      <c r="H187" s="20"/>
      <c r="I187" s="32">
        <v>21665</v>
      </c>
      <c r="J187" s="24">
        <v>1</v>
      </c>
      <c r="K187" s="24"/>
      <c r="L187" s="24">
        <v>1</v>
      </c>
      <c r="M187" s="24"/>
      <c r="N187" s="24"/>
      <c r="O187" s="24"/>
      <c r="P187" s="24"/>
      <c r="Q187" s="24"/>
      <c r="R187" s="24"/>
      <c r="S187" s="24"/>
      <c r="T187" s="24"/>
      <c r="U187" s="20" t="s">
        <v>2033</v>
      </c>
      <c r="V187" s="20" t="s">
        <v>952</v>
      </c>
      <c r="W187" s="20" t="s">
        <v>280</v>
      </c>
      <c r="X187" s="84" t="s">
        <v>227</v>
      </c>
      <c r="Y187" s="20"/>
      <c r="Z187" s="20"/>
      <c r="AA187" s="95" t="s">
        <v>2131</v>
      </c>
      <c r="AB187" s="20" t="s">
        <v>1815</v>
      </c>
      <c r="AC187" s="24">
        <v>1</v>
      </c>
      <c r="AD187" s="24"/>
      <c r="AE187" s="24"/>
      <c r="AF187" s="24"/>
      <c r="AG187" s="24"/>
      <c r="AH187" s="20"/>
      <c r="AI187" s="42"/>
    </row>
    <row r="188" spans="1:35">
      <c r="A188" s="14"/>
      <c r="B188" s="20"/>
      <c r="C188" s="20" t="s">
        <v>1866</v>
      </c>
      <c r="D188" s="20" t="s">
        <v>79</v>
      </c>
      <c r="E188" s="20" t="s">
        <v>80</v>
      </c>
      <c r="F188" s="20" t="s">
        <v>2017</v>
      </c>
      <c r="G188" s="20" t="s">
        <v>2018</v>
      </c>
      <c r="H188" s="20"/>
      <c r="I188" s="32">
        <v>28538</v>
      </c>
      <c r="J188" s="24">
        <v>1</v>
      </c>
      <c r="K188" s="24" t="s">
        <v>93</v>
      </c>
      <c r="L188" s="24">
        <v>1</v>
      </c>
      <c r="M188" s="24"/>
      <c r="N188" s="24"/>
      <c r="O188" s="24"/>
      <c r="P188" s="24"/>
      <c r="Q188" s="24"/>
      <c r="R188" s="24"/>
      <c r="S188" s="24"/>
      <c r="T188" s="24"/>
      <c r="U188" s="20" t="s">
        <v>2033</v>
      </c>
      <c r="V188" s="20" t="s">
        <v>952</v>
      </c>
      <c r="W188" s="20" t="s">
        <v>280</v>
      </c>
      <c r="X188" s="84" t="s">
        <v>227</v>
      </c>
      <c r="Y188" s="20"/>
      <c r="Z188" s="20"/>
      <c r="AA188" s="95" t="s">
        <v>2131</v>
      </c>
      <c r="AB188" s="20" t="s">
        <v>1815</v>
      </c>
      <c r="AC188" s="24">
        <v>1</v>
      </c>
      <c r="AD188" s="24"/>
      <c r="AE188" s="24"/>
      <c r="AF188" s="24"/>
      <c r="AG188" s="24"/>
      <c r="AH188" s="20"/>
      <c r="AI188" s="42"/>
    </row>
    <row r="189" spans="1:35">
      <c r="A189" s="14"/>
      <c r="B189" s="20"/>
      <c r="C189" s="20" t="s">
        <v>1866</v>
      </c>
      <c r="D189" s="20" t="s">
        <v>79</v>
      </c>
      <c r="E189" s="20" t="s">
        <v>80</v>
      </c>
      <c r="F189" s="20" t="s">
        <v>2019</v>
      </c>
      <c r="G189" s="20" t="s">
        <v>2020</v>
      </c>
      <c r="H189" s="20"/>
      <c r="I189" s="32">
        <v>23949</v>
      </c>
      <c r="J189" s="24" t="s">
        <v>93</v>
      </c>
      <c r="K189" s="24">
        <v>1</v>
      </c>
      <c r="L189" s="24">
        <v>1</v>
      </c>
      <c r="M189" s="24"/>
      <c r="N189" s="24"/>
      <c r="O189" s="24"/>
      <c r="P189" s="24"/>
      <c r="Q189" s="24"/>
      <c r="R189" s="24"/>
      <c r="S189" s="24"/>
      <c r="T189" s="24"/>
      <c r="U189" s="20" t="s">
        <v>2033</v>
      </c>
      <c r="V189" s="20" t="s">
        <v>952</v>
      </c>
      <c r="W189" s="20" t="s">
        <v>280</v>
      </c>
      <c r="X189" s="84" t="s">
        <v>227</v>
      </c>
      <c r="Y189" s="20"/>
      <c r="Z189" s="20"/>
      <c r="AA189" s="95" t="s">
        <v>2131</v>
      </c>
      <c r="AB189" s="20" t="s">
        <v>1815</v>
      </c>
      <c r="AC189" s="24">
        <v>1</v>
      </c>
      <c r="AD189" s="24"/>
      <c r="AE189" s="24"/>
      <c r="AF189" s="24"/>
      <c r="AG189" s="24"/>
      <c r="AH189" s="20"/>
      <c r="AI189" s="42"/>
    </row>
    <row r="190" spans="1:35">
      <c r="A190" s="14" t="s">
        <v>93</v>
      </c>
      <c r="B190" s="20"/>
      <c r="C190" s="20" t="s">
        <v>1866</v>
      </c>
      <c r="D190" s="20" t="s">
        <v>79</v>
      </c>
      <c r="E190" s="20" t="s">
        <v>80</v>
      </c>
      <c r="F190" s="20" t="s">
        <v>2021</v>
      </c>
      <c r="G190" s="20" t="s">
        <v>573</v>
      </c>
      <c r="H190" s="20"/>
      <c r="I190" s="32">
        <v>19055</v>
      </c>
      <c r="J190" s="24">
        <v>1</v>
      </c>
      <c r="K190" s="24"/>
      <c r="L190" s="24">
        <v>1</v>
      </c>
      <c r="M190" s="24"/>
      <c r="N190" s="24"/>
      <c r="O190" s="24"/>
      <c r="P190" s="24"/>
      <c r="Q190" s="24"/>
      <c r="R190" s="24"/>
      <c r="S190" s="24"/>
      <c r="T190" s="24"/>
      <c r="U190" s="20" t="s">
        <v>2033</v>
      </c>
      <c r="V190" s="20" t="s">
        <v>952</v>
      </c>
      <c r="W190" s="20" t="s">
        <v>280</v>
      </c>
      <c r="X190" s="84" t="s">
        <v>227</v>
      </c>
      <c r="Y190" s="20"/>
      <c r="Z190" s="20"/>
      <c r="AA190" s="95" t="s">
        <v>2131</v>
      </c>
      <c r="AB190" s="20" t="s">
        <v>1815</v>
      </c>
      <c r="AC190" s="24">
        <v>1</v>
      </c>
      <c r="AD190" s="24"/>
      <c r="AE190" s="24"/>
      <c r="AF190" s="24"/>
      <c r="AG190" s="24"/>
      <c r="AH190" s="20"/>
      <c r="AI190" s="42"/>
    </row>
    <row r="191" spans="1:35">
      <c r="A191" s="14" t="s">
        <v>93</v>
      </c>
      <c r="B191" s="20"/>
      <c r="C191" s="20" t="s">
        <v>1866</v>
      </c>
      <c r="D191" s="20" t="s">
        <v>79</v>
      </c>
      <c r="E191" s="20" t="s">
        <v>80</v>
      </c>
      <c r="F191" s="20" t="s">
        <v>2022</v>
      </c>
      <c r="G191" s="20" t="s">
        <v>2023</v>
      </c>
      <c r="H191" s="20"/>
      <c r="I191" s="32">
        <v>34637</v>
      </c>
      <c r="J191" s="24">
        <v>1</v>
      </c>
      <c r="K191" s="24"/>
      <c r="L191" s="24">
        <v>1</v>
      </c>
      <c r="M191" s="24"/>
      <c r="N191" s="24"/>
      <c r="O191" s="24"/>
      <c r="P191" s="24"/>
      <c r="Q191" s="24"/>
      <c r="R191" s="24"/>
      <c r="S191" s="24"/>
      <c r="T191" s="24"/>
      <c r="U191" s="20" t="s">
        <v>2033</v>
      </c>
      <c r="V191" s="20" t="s">
        <v>952</v>
      </c>
      <c r="W191" s="20" t="s">
        <v>280</v>
      </c>
      <c r="X191" s="84" t="s">
        <v>227</v>
      </c>
      <c r="Y191" s="20"/>
      <c r="Z191" s="20"/>
      <c r="AA191" s="95" t="s">
        <v>2131</v>
      </c>
      <c r="AB191" s="20" t="s">
        <v>1815</v>
      </c>
      <c r="AC191" s="24">
        <v>1</v>
      </c>
      <c r="AD191" s="24"/>
      <c r="AE191" s="24"/>
      <c r="AF191" s="24"/>
      <c r="AG191" s="24"/>
      <c r="AH191" s="20"/>
      <c r="AI191" s="42"/>
    </row>
    <row r="192" spans="1:35">
      <c r="A192" s="14"/>
      <c r="B192" s="20"/>
      <c r="C192" s="20" t="s">
        <v>1866</v>
      </c>
      <c r="D192" s="20" t="s">
        <v>79</v>
      </c>
      <c r="E192" s="20" t="s">
        <v>80</v>
      </c>
      <c r="F192" s="20" t="s">
        <v>2024</v>
      </c>
      <c r="G192" s="20" t="s">
        <v>2032</v>
      </c>
      <c r="H192" s="20" t="s">
        <v>144</v>
      </c>
      <c r="I192" s="32">
        <v>32693</v>
      </c>
      <c r="J192" s="24">
        <v>1</v>
      </c>
      <c r="K192" s="24"/>
      <c r="L192" s="24">
        <v>1</v>
      </c>
      <c r="M192" s="24"/>
      <c r="N192" s="24"/>
      <c r="O192" s="24"/>
      <c r="P192" s="24"/>
      <c r="Q192" s="24"/>
      <c r="R192" s="24"/>
      <c r="S192" s="24"/>
      <c r="T192" s="24"/>
      <c r="U192" s="20" t="s">
        <v>2033</v>
      </c>
      <c r="V192" s="20" t="s">
        <v>952</v>
      </c>
      <c r="W192" s="20" t="s">
        <v>280</v>
      </c>
      <c r="X192" s="84" t="s">
        <v>227</v>
      </c>
      <c r="Y192" s="20"/>
      <c r="Z192" s="20"/>
      <c r="AA192" s="95" t="s">
        <v>2131</v>
      </c>
      <c r="AB192" s="20" t="s">
        <v>1815</v>
      </c>
      <c r="AC192" s="24">
        <v>1</v>
      </c>
      <c r="AD192" s="24"/>
      <c r="AE192" s="24"/>
      <c r="AF192" s="24"/>
      <c r="AG192" s="24"/>
      <c r="AH192" s="20"/>
      <c r="AI192" s="42"/>
    </row>
    <row r="193" spans="1:35">
      <c r="A193" s="14"/>
      <c r="B193" s="20"/>
      <c r="C193" s="20" t="s">
        <v>1866</v>
      </c>
      <c r="D193" s="20" t="s">
        <v>79</v>
      </c>
      <c r="E193" s="20" t="s">
        <v>80</v>
      </c>
      <c r="F193" s="20" t="s">
        <v>2025</v>
      </c>
      <c r="G193" s="20" t="s">
        <v>2024</v>
      </c>
      <c r="H193" s="20" t="s">
        <v>588</v>
      </c>
      <c r="I193" s="32">
        <v>34693</v>
      </c>
      <c r="J193" s="24"/>
      <c r="K193" s="24">
        <v>1</v>
      </c>
      <c r="L193" s="24">
        <v>1</v>
      </c>
      <c r="M193" s="24"/>
      <c r="N193" s="24"/>
      <c r="O193" s="24"/>
      <c r="P193" s="24"/>
      <c r="Q193" s="24"/>
      <c r="R193" s="24"/>
      <c r="S193" s="24"/>
      <c r="T193" s="24"/>
      <c r="U193" s="20" t="s">
        <v>2033</v>
      </c>
      <c r="V193" s="20" t="s">
        <v>952</v>
      </c>
      <c r="W193" s="20" t="s">
        <v>280</v>
      </c>
      <c r="X193" s="84" t="s">
        <v>227</v>
      </c>
      <c r="Y193" s="20"/>
      <c r="Z193" s="20"/>
      <c r="AA193" s="95" t="s">
        <v>2131</v>
      </c>
      <c r="AB193" s="20" t="s">
        <v>1815</v>
      </c>
      <c r="AC193" s="24">
        <v>1</v>
      </c>
      <c r="AD193" s="24"/>
      <c r="AE193" s="24"/>
      <c r="AF193" s="24"/>
      <c r="AG193" s="24"/>
      <c r="AH193" s="20"/>
      <c r="AI193" s="42"/>
    </row>
    <row r="194" spans="1:35">
      <c r="A194" s="14" t="s">
        <v>93</v>
      </c>
      <c r="B194" s="20"/>
      <c r="C194" s="20" t="s">
        <v>1866</v>
      </c>
      <c r="D194" s="20" t="s">
        <v>79</v>
      </c>
      <c r="E194" s="20" t="s">
        <v>80</v>
      </c>
      <c r="F194" s="20" t="s">
        <v>2026</v>
      </c>
      <c r="G194" s="20" t="s">
        <v>2027</v>
      </c>
      <c r="H194" s="20"/>
      <c r="I194" s="32">
        <v>21671</v>
      </c>
      <c r="J194" s="24"/>
      <c r="K194" s="24">
        <v>1</v>
      </c>
      <c r="L194" s="24">
        <v>1</v>
      </c>
      <c r="M194" s="24"/>
      <c r="N194" s="24"/>
      <c r="O194" s="24"/>
      <c r="P194" s="24"/>
      <c r="Q194" s="24"/>
      <c r="R194" s="24"/>
      <c r="S194" s="24"/>
      <c r="T194" s="24"/>
      <c r="U194" s="20" t="s">
        <v>2033</v>
      </c>
      <c r="V194" s="20" t="s">
        <v>952</v>
      </c>
      <c r="W194" s="20" t="s">
        <v>280</v>
      </c>
      <c r="X194" s="84" t="s">
        <v>227</v>
      </c>
      <c r="Y194" s="20"/>
      <c r="Z194" s="20"/>
      <c r="AA194" s="95" t="s">
        <v>2131</v>
      </c>
      <c r="AB194" s="20" t="s">
        <v>1815</v>
      </c>
      <c r="AC194" s="24">
        <v>1</v>
      </c>
      <c r="AD194" s="24"/>
      <c r="AE194" s="24"/>
      <c r="AF194" s="24"/>
      <c r="AG194" s="24"/>
      <c r="AH194" s="20"/>
      <c r="AI194" s="42"/>
    </row>
    <row r="195" spans="1:35">
      <c r="A195" s="14"/>
      <c r="B195" s="20"/>
      <c r="C195" s="20" t="s">
        <v>1866</v>
      </c>
      <c r="D195" s="20" t="s">
        <v>79</v>
      </c>
      <c r="E195" s="20" t="s">
        <v>80</v>
      </c>
      <c r="F195" s="20" t="s">
        <v>2025</v>
      </c>
      <c r="G195" s="20" t="s">
        <v>2028</v>
      </c>
      <c r="H195" s="20" t="s">
        <v>588</v>
      </c>
      <c r="I195" s="32">
        <v>14833</v>
      </c>
      <c r="J195" s="24"/>
      <c r="K195" s="24">
        <v>1</v>
      </c>
      <c r="L195" s="24">
        <v>1</v>
      </c>
      <c r="M195" s="24"/>
      <c r="N195" s="24"/>
      <c r="O195" s="24"/>
      <c r="P195" s="24"/>
      <c r="Q195" s="24"/>
      <c r="R195" s="24"/>
      <c r="S195" s="24"/>
      <c r="T195" s="24"/>
      <c r="U195" s="20" t="s">
        <v>2033</v>
      </c>
      <c r="V195" s="20" t="s">
        <v>952</v>
      </c>
      <c r="W195" s="20" t="s">
        <v>280</v>
      </c>
      <c r="X195" s="84" t="s">
        <v>227</v>
      </c>
      <c r="Y195" s="20"/>
      <c r="Z195" s="20"/>
      <c r="AA195" s="95" t="s">
        <v>2131</v>
      </c>
      <c r="AB195" s="20" t="s">
        <v>1815</v>
      </c>
      <c r="AC195" s="24">
        <v>1</v>
      </c>
      <c r="AD195" s="24"/>
      <c r="AE195" s="24"/>
      <c r="AF195" s="24"/>
      <c r="AG195" s="24"/>
      <c r="AH195" s="20"/>
      <c r="AI195" s="42"/>
    </row>
    <row r="196" spans="1:35">
      <c r="A196" s="14"/>
      <c r="B196" s="20"/>
      <c r="C196" s="20" t="s">
        <v>1866</v>
      </c>
      <c r="D196" s="20" t="s">
        <v>79</v>
      </c>
      <c r="E196" s="20" t="s">
        <v>80</v>
      </c>
      <c r="F196" s="20" t="s">
        <v>974</v>
      </c>
      <c r="G196" s="20" t="s">
        <v>2029</v>
      </c>
      <c r="H196" s="20" t="s">
        <v>126</v>
      </c>
      <c r="I196" s="96">
        <v>19105</v>
      </c>
      <c r="J196" s="24">
        <v>1</v>
      </c>
      <c r="K196" s="24"/>
      <c r="L196" s="24">
        <v>1</v>
      </c>
      <c r="M196" s="24"/>
      <c r="N196" s="24"/>
      <c r="O196" s="24"/>
      <c r="P196" s="24"/>
      <c r="Q196" s="24"/>
      <c r="R196" s="24"/>
      <c r="S196" s="24"/>
      <c r="T196" s="24"/>
      <c r="U196" s="20" t="s">
        <v>2033</v>
      </c>
      <c r="V196" s="20" t="s">
        <v>952</v>
      </c>
      <c r="W196" s="20" t="s">
        <v>280</v>
      </c>
      <c r="X196" s="84" t="s">
        <v>227</v>
      </c>
      <c r="Y196" s="20"/>
      <c r="Z196" s="20"/>
      <c r="AA196" s="95" t="s">
        <v>2131</v>
      </c>
      <c r="AB196" s="20" t="s">
        <v>1815</v>
      </c>
      <c r="AC196" s="24">
        <v>1</v>
      </c>
      <c r="AD196" s="24"/>
      <c r="AE196" s="24"/>
      <c r="AF196" s="24"/>
      <c r="AG196" s="24"/>
      <c r="AH196" s="20"/>
      <c r="AI196" s="42"/>
    </row>
    <row r="197" spans="1:35">
      <c r="A197" s="14" t="s">
        <v>2013</v>
      </c>
      <c r="B197" s="20"/>
      <c r="C197" s="20" t="s">
        <v>1866</v>
      </c>
      <c r="D197" s="20" t="s">
        <v>79</v>
      </c>
      <c r="E197" s="20" t="s">
        <v>80</v>
      </c>
      <c r="F197" s="20" t="s">
        <v>1720</v>
      </c>
      <c r="G197" s="20" t="s">
        <v>2030</v>
      </c>
      <c r="H197" s="20" t="s">
        <v>115</v>
      </c>
      <c r="I197" s="32">
        <v>24968</v>
      </c>
      <c r="J197" s="24">
        <v>1</v>
      </c>
      <c r="K197" s="24"/>
      <c r="L197" s="24">
        <v>1</v>
      </c>
      <c r="M197" s="24"/>
      <c r="N197" s="24"/>
      <c r="O197" s="24"/>
      <c r="P197" s="24"/>
      <c r="Q197" s="24"/>
      <c r="R197" s="24"/>
      <c r="S197" s="24"/>
      <c r="T197" s="24"/>
      <c r="U197" s="20" t="s">
        <v>2033</v>
      </c>
      <c r="V197" s="20" t="s">
        <v>952</v>
      </c>
      <c r="W197" s="20" t="s">
        <v>280</v>
      </c>
      <c r="X197" s="84" t="s">
        <v>227</v>
      </c>
      <c r="Y197" s="20"/>
      <c r="Z197" s="20"/>
      <c r="AA197" s="95" t="s">
        <v>2131</v>
      </c>
      <c r="AB197" s="20" t="s">
        <v>1815</v>
      </c>
      <c r="AC197" s="24">
        <v>1</v>
      </c>
      <c r="AD197" s="24"/>
      <c r="AE197" s="24"/>
      <c r="AF197" s="24"/>
      <c r="AG197" s="24"/>
      <c r="AH197" s="20"/>
      <c r="AI197" s="42"/>
    </row>
    <row r="198" spans="1:35">
      <c r="A198" s="14"/>
      <c r="B198" s="20"/>
      <c r="C198" s="20" t="s">
        <v>1866</v>
      </c>
      <c r="D198" s="20" t="s">
        <v>79</v>
      </c>
      <c r="E198" s="20" t="s">
        <v>80</v>
      </c>
      <c r="F198" s="20" t="s">
        <v>392</v>
      </c>
      <c r="G198" s="20" t="s">
        <v>2031</v>
      </c>
      <c r="H198" s="20" t="s">
        <v>115</v>
      </c>
      <c r="I198" s="32">
        <v>29805</v>
      </c>
      <c r="J198" s="24">
        <v>1</v>
      </c>
      <c r="K198" s="24"/>
      <c r="L198" s="24">
        <v>1</v>
      </c>
      <c r="M198" s="24"/>
      <c r="N198" s="24"/>
      <c r="O198" s="24"/>
      <c r="P198" s="24"/>
      <c r="Q198" s="24"/>
      <c r="R198" s="24"/>
      <c r="S198" s="24"/>
      <c r="T198" s="24"/>
      <c r="U198" s="20" t="s">
        <v>2033</v>
      </c>
      <c r="V198" s="20" t="s">
        <v>952</v>
      </c>
      <c r="W198" s="20" t="s">
        <v>280</v>
      </c>
      <c r="X198" s="84" t="s">
        <v>227</v>
      </c>
      <c r="Y198" s="20"/>
      <c r="Z198" s="20"/>
      <c r="AA198" s="95" t="s">
        <v>2131</v>
      </c>
      <c r="AB198" s="20" t="s">
        <v>1815</v>
      </c>
      <c r="AC198" s="24">
        <v>1</v>
      </c>
      <c r="AD198" s="24"/>
      <c r="AE198" s="24"/>
      <c r="AF198" s="24"/>
      <c r="AG198" s="24"/>
      <c r="AH198" s="20"/>
      <c r="AI198" s="42"/>
    </row>
    <row r="199" spans="1:35">
      <c r="A199" s="14"/>
      <c r="B199" s="20"/>
      <c r="C199" s="20" t="s">
        <v>1866</v>
      </c>
      <c r="D199" s="20" t="s">
        <v>79</v>
      </c>
      <c r="E199" s="20" t="s">
        <v>80</v>
      </c>
      <c r="F199" s="20" t="s">
        <v>1434</v>
      </c>
      <c r="G199" s="20" t="s">
        <v>2034</v>
      </c>
      <c r="H199" s="20" t="s">
        <v>120</v>
      </c>
      <c r="I199" s="32">
        <v>26750</v>
      </c>
      <c r="J199" s="24"/>
      <c r="K199" s="24">
        <v>1</v>
      </c>
      <c r="L199" s="24">
        <v>1</v>
      </c>
      <c r="M199" s="24"/>
      <c r="N199" s="24"/>
      <c r="O199" s="24"/>
      <c r="P199" s="24"/>
      <c r="Q199" s="24"/>
      <c r="R199" s="24"/>
      <c r="S199" s="24"/>
      <c r="T199" s="24"/>
      <c r="U199" s="20" t="s">
        <v>2073</v>
      </c>
      <c r="V199" s="20" t="s">
        <v>872</v>
      </c>
      <c r="W199" s="20" t="s">
        <v>280</v>
      </c>
      <c r="X199" s="84" t="s">
        <v>227</v>
      </c>
      <c r="Y199" s="20"/>
      <c r="Z199" s="20"/>
      <c r="AA199" s="95" t="s">
        <v>2131</v>
      </c>
      <c r="AB199" s="20" t="s">
        <v>1815</v>
      </c>
      <c r="AC199" s="24">
        <v>1</v>
      </c>
      <c r="AD199" s="24"/>
      <c r="AE199" s="24"/>
      <c r="AF199" s="24"/>
      <c r="AG199" s="24"/>
      <c r="AH199" s="20"/>
      <c r="AI199" s="42"/>
    </row>
    <row r="200" spans="1:35">
      <c r="A200" s="14"/>
      <c r="B200" s="20"/>
      <c r="C200" s="20" t="s">
        <v>1866</v>
      </c>
      <c r="D200" s="20" t="s">
        <v>79</v>
      </c>
      <c r="E200" s="20" t="s">
        <v>80</v>
      </c>
      <c r="F200" s="20" t="s">
        <v>2035</v>
      </c>
      <c r="G200" s="20" t="s">
        <v>2036</v>
      </c>
      <c r="H200" s="32" t="s">
        <v>1040</v>
      </c>
      <c r="I200" s="32">
        <v>28430</v>
      </c>
      <c r="J200" s="24"/>
      <c r="K200" s="24">
        <v>1</v>
      </c>
      <c r="L200" s="24">
        <v>1</v>
      </c>
      <c r="M200" s="24"/>
      <c r="N200" s="24"/>
      <c r="O200" s="24"/>
      <c r="P200" s="24"/>
      <c r="Q200" s="24"/>
      <c r="R200" s="24"/>
      <c r="S200" s="24"/>
      <c r="T200" s="24"/>
      <c r="U200" s="20" t="s">
        <v>2073</v>
      </c>
      <c r="V200" s="20" t="s">
        <v>872</v>
      </c>
      <c r="W200" s="20" t="s">
        <v>280</v>
      </c>
      <c r="X200" s="84" t="s">
        <v>227</v>
      </c>
      <c r="Y200" s="20"/>
      <c r="Z200" s="20"/>
      <c r="AA200" s="95" t="s">
        <v>2131</v>
      </c>
      <c r="AB200" s="20" t="s">
        <v>1815</v>
      </c>
      <c r="AC200" s="24">
        <v>1</v>
      </c>
      <c r="AD200" s="24"/>
      <c r="AE200" s="24"/>
      <c r="AF200" s="24"/>
      <c r="AG200" s="24"/>
      <c r="AH200" s="20"/>
      <c r="AI200" s="42"/>
    </row>
    <row r="201" spans="1:35">
      <c r="A201" s="14"/>
      <c r="B201" s="20"/>
      <c r="C201" s="20" t="s">
        <v>1866</v>
      </c>
      <c r="D201" s="20" t="s">
        <v>79</v>
      </c>
      <c r="E201" s="20" t="s">
        <v>80</v>
      </c>
      <c r="F201" s="20" t="s">
        <v>2037</v>
      </c>
      <c r="G201" s="20" t="s">
        <v>2038</v>
      </c>
      <c r="H201" s="20" t="s">
        <v>113</v>
      </c>
      <c r="I201" s="32">
        <v>27092</v>
      </c>
      <c r="J201" s="24"/>
      <c r="K201" s="24">
        <v>1</v>
      </c>
      <c r="L201" s="24">
        <v>1</v>
      </c>
      <c r="M201" s="24"/>
      <c r="N201" s="24"/>
      <c r="O201" s="24"/>
      <c r="P201" s="24"/>
      <c r="Q201" s="24"/>
      <c r="R201" s="24"/>
      <c r="S201" s="24"/>
      <c r="T201" s="24"/>
      <c r="U201" s="20" t="s">
        <v>2073</v>
      </c>
      <c r="V201" s="20" t="s">
        <v>872</v>
      </c>
      <c r="W201" s="20" t="s">
        <v>280</v>
      </c>
      <c r="X201" s="84" t="s">
        <v>227</v>
      </c>
      <c r="Y201" s="20"/>
      <c r="Z201" s="20"/>
      <c r="AA201" s="95" t="s">
        <v>2131</v>
      </c>
      <c r="AB201" s="20" t="s">
        <v>1815</v>
      </c>
      <c r="AC201" s="24">
        <v>1</v>
      </c>
      <c r="AD201" s="24"/>
      <c r="AE201" s="24"/>
      <c r="AF201" s="24"/>
      <c r="AG201" s="24"/>
      <c r="AH201" s="20"/>
      <c r="AI201" s="42"/>
    </row>
    <row r="202" spans="1:35">
      <c r="A202" s="14"/>
      <c r="B202" s="20"/>
      <c r="C202" s="20" t="s">
        <v>1866</v>
      </c>
      <c r="D202" s="20" t="s">
        <v>79</v>
      </c>
      <c r="E202" s="20" t="s">
        <v>80</v>
      </c>
      <c r="F202" s="20" t="s">
        <v>2035</v>
      </c>
      <c r="G202" s="20" t="s">
        <v>2039</v>
      </c>
      <c r="H202" s="20" t="s">
        <v>113</v>
      </c>
      <c r="I202" s="32">
        <v>27647</v>
      </c>
      <c r="J202" s="24"/>
      <c r="K202" s="24">
        <v>1</v>
      </c>
      <c r="L202" s="24">
        <v>1</v>
      </c>
      <c r="M202" s="24"/>
      <c r="N202" s="24"/>
      <c r="O202" s="24"/>
      <c r="P202" s="24"/>
      <c r="Q202" s="24"/>
      <c r="R202" s="24"/>
      <c r="S202" s="24"/>
      <c r="T202" s="24"/>
      <c r="U202" s="20" t="s">
        <v>2073</v>
      </c>
      <c r="V202" s="20" t="s">
        <v>872</v>
      </c>
      <c r="W202" s="20" t="s">
        <v>280</v>
      </c>
      <c r="X202" s="84" t="s">
        <v>227</v>
      </c>
      <c r="Y202" s="20"/>
      <c r="Z202" s="20"/>
      <c r="AA202" s="95" t="s">
        <v>2131</v>
      </c>
      <c r="AB202" s="20" t="s">
        <v>1815</v>
      </c>
      <c r="AC202" s="24">
        <v>1</v>
      </c>
      <c r="AD202" s="24"/>
      <c r="AE202" s="24"/>
      <c r="AF202" s="24"/>
      <c r="AG202" s="24"/>
      <c r="AH202" s="20"/>
      <c r="AI202" s="42"/>
    </row>
    <row r="203" spans="1:35">
      <c r="A203" s="14"/>
      <c r="B203" s="20"/>
      <c r="C203" s="20" t="s">
        <v>1866</v>
      </c>
      <c r="D203" s="20" t="s">
        <v>79</v>
      </c>
      <c r="E203" s="20" t="s">
        <v>80</v>
      </c>
      <c r="F203" s="20" t="s">
        <v>2037</v>
      </c>
      <c r="G203" s="20" t="s">
        <v>154</v>
      </c>
      <c r="H203" s="20" t="s">
        <v>120</v>
      </c>
      <c r="I203" s="32">
        <v>25229</v>
      </c>
      <c r="J203" s="24">
        <v>1</v>
      </c>
      <c r="K203" s="24"/>
      <c r="L203" s="24">
        <v>1</v>
      </c>
      <c r="M203" s="24"/>
      <c r="N203" s="24"/>
      <c r="O203" s="24"/>
      <c r="P203" s="24"/>
      <c r="Q203" s="24"/>
      <c r="R203" s="24"/>
      <c r="S203" s="24"/>
      <c r="T203" s="24"/>
      <c r="U203" s="20" t="s">
        <v>2073</v>
      </c>
      <c r="V203" s="20" t="s">
        <v>872</v>
      </c>
      <c r="W203" s="20" t="s">
        <v>280</v>
      </c>
      <c r="X203" s="84" t="s">
        <v>227</v>
      </c>
      <c r="Y203" s="20"/>
      <c r="Z203" s="20"/>
      <c r="AA203" s="95" t="s">
        <v>2131</v>
      </c>
      <c r="AB203" s="20" t="s">
        <v>1815</v>
      </c>
      <c r="AC203" s="24">
        <v>1</v>
      </c>
      <c r="AD203" s="24"/>
      <c r="AE203" s="24"/>
      <c r="AF203" s="24"/>
      <c r="AG203" s="24"/>
      <c r="AH203" s="20"/>
      <c r="AI203" s="42"/>
    </row>
    <row r="204" spans="1:35">
      <c r="A204" s="14"/>
      <c r="B204" s="20"/>
      <c r="C204" s="20" t="s">
        <v>1866</v>
      </c>
      <c r="D204" s="20" t="s">
        <v>79</v>
      </c>
      <c r="E204" s="20" t="s">
        <v>80</v>
      </c>
      <c r="F204" s="20" t="s">
        <v>401</v>
      </c>
      <c r="G204" s="20" t="s">
        <v>2056</v>
      </c>
      <c r="H204" s="20" t="s">
        <v>113</v>
      </c>
      <c r="I204" s="32">
        <v>28943</v>
      </c>
      <c r="J204" s="24">
        <v>1</v>
      </c>
      <c r="K204" s="24"/>
      <c r="L204" s="24">
        <v>1</v>
      </c>
      <c r="M204" s="24"/>
      <c r="N204" s="24"/>
      <c r="O204" s="24"/>
      <c r="P204" s="24"/>
      <c r="Q204" s="24"/>
      <c r="R204" s="24"/>
      <c r="S204" s="24"/>
      <c r="T204" s="24"/>
      <c r="U204" s="20" t="s">
        <v>2073</v>
      </c>
      <c r="V204" s="20" t="s">
        <v>872</v>
      </c>
      <c r="W204" s="20" t="s">
        <v>280</v>
      </c>
      <c r="X204" s="84" t="s">
        <v>227</v>
      </c>
      <c r="Y204" s="20"/>
      <c r="Z204" s="20"/>
      <c r="AA204" s="95" t="s">
        <v>2131</v>
      </c>
      <c r="AB204" s="20" t="s">
        <v>1815</v>
      </c>
      <c r="AC204" s="24">
        <v>1</v>
      </c>
      <c r="AD204" s="24"/>
      <c r="AE204" s="24"/>
      <c r="AF204" s="24"/>
      <c r="AG204" s="24"/>
      <c r="AH204" s="20"/>
      <c r="AI204" s="42"/>
    </row>
    <row r="205" spans="1:35">
      <c r="A205" s="14"/>
      <c r="B205" s="20"/>
      <c r="C205" s="20" t="s">
        <v>1866</v>
      </c>
      <c r="D205" s="20" t="s">
        <v>79</v>
      </c>
      <c r="E205" s="20" t="s">
        <v>80</v>
      </c>
      <c r="F205" s="20" t="s">
        <v>2057</v>
      </c>
      <c r="G205" s="20" t="s">
        <v>2058</v>
      </c>
      <c r="H205" s="20" t="s">
        <v>742</v>
      </c>
      <c r="I205" s="32">
        <v>29761</v>
      </c>
      <c r="J205" s="24"/>
      <c r="K205" s="24">
        <v>1</v>
      </c>
      <c r="L205" s="24">
        <v>1</v>
      </c>
      <c r="M205" s="24"/>
      <c r="N205" s="24"/>
      <c r="O205" s="24"/>
      <c r="P205" s="24"/>
      <c r="Q205" s="24"/>
      <c r="R205" s="24"/>
      <c r="S205" s="24"/>
      <c r="T205" s="24"/>
      <c r="U205" s="20" t="s">
        <v>2073</v>
      </c>
      <c r="V205" s="20" t="s">
        <v>872</v>
      </c>
      <c r="W205" s="20" t="s">
        <v>280</v>
      </c>
      <c r="X205" s="84" t="s">
        <v>227</v>
      </c>
      <c r="Y205" s="20"/>
      <c r="Z205" s="20"/>
      <c r="AA205" s="95" t="s">
        <v>2131</v>
      </c>
      <c r="AB205" s="20" t="s">
        <v>1815</v>
      </c>
      <c r="AC205" s="24">
        <v>1</v>
      </c>
      <c r="AD205" s="24"/>
      <c r="AE205" s="24"/>
      <c r="AF205" s="24"/>
      <c r="AG205" s="24"/>
      <c r="AH205" s="20"/>
      <c r="AI205" s="42"/>
    </row>
    <row r="206" spans="1:35">
      <c r="A206" s="14"/>
      <c r="B206" s="20"/>
      <c r="C206" s="20" t="s">
        <v>1866</v>
      </c>
      <c r="D206" s="20" t="s">
        <v>79</v>
      </c>
      <c r="E206" s="20" t="s">
        <v>80</v>
      </c>
      <c r="F206" s="20" t="s">
        <v>2059</v>
      </c>
      <c r="G206" s="20" t="s">
        <v>2060</v>
      </c>
      <c r="H206" s="20" t="s">
        <v>588</v>
      </c>
      <c r="I206" s="32">
        <v>25523</v>
      </c>
      <c r="J206" s="24"/>
      <c r="K206" s="24">
        <v>1</v>
      </c>
      <c r="L206" s="24">
        <v>1</v>
      </c>
      <c r="M206" s="24"/>
      <c r="N206" s="24"/>
      <c r="O206" s="24"/>
      <c r="P206" s="24"/>
      <c r="Q206" s="24"/>
      <c r="R206" s="24"/>
      <c r="S206" s="24"/>
      <c r="T206" s="24"/>
      <c r="U206" s="20" t="s">
        <v>2073</v>
      </c>
      <c r="V206" s="20" t="s">
        <v>872</v>
      </c>
      <c r="W206" s="20" t="s">
        <v>280</v>
      </c>
      <c r="X206" s="84" t="s">
        <v>227</v>
      </c>
      <c r="Y206" s="20"/>
      <c r="Z206" s="20"/>
      <c r="AA206" s="95" t="s">
        <v>2131</v>
      </c>
      <c r="AB206" s="20" t="s">
        <v>1815</v>
      </c>
      <c r="AC206" s="24">
        <v>1</v>
      </c>
      <c r="AD206" s="24"/>
      <c r="AE206" s="24"/>
      <c r="AF206" s="24"/>
      <c r="AG206" s="24"/>
      <c r="AH206" s="20"/>
      <c r="AI206" s="42"/>
    </row>
    <row r="207" spans="1:35">
      <c r="A207" s="14"/>
      <c r="B207" s="20"/>
      <c r="C207" s="20" t="s">
        <v>1866</v>
      </c>
      <c r="D207" s="20" t="s">
        <v>79</v>
      </c>
      <c r="E207" s="20" t="s">
        <v>80</v>
      </c>
      <c r="F207" s="20" t="s">
        <v>2061</v>
      </c>
      <c r="G207" s="20" t="s">
        <v>2062</v>
      </c>
      <c r="H207" s="20" t="s">
        <v>742</v>
      </c>
      <c r="I207" s="32">
        <v>28501</v>
      </c>
      <c r="J207" s="24"/>
      <c r="K207" s="24">
        <v>1</v>
      </c>
      <c r="L207" s="24">
        <v>1</v>
      </c>
      <c r="M207" s="24"/>
      <c r="N207" s="24"/>
      <c r="O207" s="24"/>
      <c r="P207" s="24"/>
      <c r="Q207" s="24"/>
      <c r="R207" s="24"/>
      <c r="S207" s="24"/>
      <c r="T207" s="24"/>
      <c r="U207" s="20" t="s">
        <v>2073</v>
      </c>
      <c r="V207" s="20" t="s">
        <v>872</v>
      </c>
      <c r="W207" s="20" t="s">
        <v>280</v>
      </c>
      <c r="X207" s="84" t="s">
        <v>227</v>
      </c>
      <c r="Y207" s="20"/>
      <c r="Z207" s="20"/>
      <c r="AA207" s="95" t="s">
        <v>2131</v>
      </c>
      <c r="AB207" s="20" t="s">
        <v>1815</v>
      </c>
      <c r="AC207" s="24">
        <v>1</v>
      </c>
      <c r="AD207" s="24"/>
      <c r="AE207" s="24"/>
      <c r="AF207" s="24"/>
      <c r="AG207" s="24"/>
      <c r="AH207" s="20"/>
      <c r="AI207" s="42"/>
    </row>
    <row r="208" spans="1:35">
      <c r="A208" s="14"/>
      <c r="B208" s="20"/>
      <c r="C208" s="20" t="s">
        <v>1866</v>
      </c>
      <c r="D208" s="20" t="s">
        <v>79</v>
      </c>
      <c r="E208" s="20" t="s">
        <v>80</v>
      </c>
      <c r="F208" s="20" t="s">
        <v>2063</v>
      </c>
      <c r="G208" s="20" t="s">
        <v>1078</v>
      </c>
      <c r="H208" s="20" t="s">
        <v>286</v>
      </c>
      <c r="I208" s="32">
        <v>27947</v>
      </c>
      <c r="J208" s="24"/>
      <c r="K208" s="24">
        <v>1</v>
      </c>
      <c r="L208" s="24">
        <v>1</v>
      </c>
      <c r="M208" s="24"/>
      <c r="N208" s="24"/>
      <c r="O208" s="24"/>
      <c r="P208" s="24"/>
      <c r="Q208" s="24"/>
      <c r="R208" s="24"/>
      <c r="S208" s="24"/>
      <c r="T208" s="24"/>
      <c r="U208" s="20" t="s">
        <v>2073</v>
      </c>
      <c r="V208" s="20" t="s">
        <v>872</v>
      </c>
      <c r="W208" s="20" t="s">
        <v>280</v>
      </c>
      <c r="X208" s="84" t="s">
        <v>227</v>
      </c>
      <c r="Y208" s="20"/>
      <c r="Z208" s="20"/>
      <c r="AA208" s="95" t="s">
        <v>2131</v>
      </c>
      <c r="AB208" s="20" t="s">
        <v>1815</v>
      </c>
      <c r="AC208" s="24">
        <v>1</v>
      </c>
      <c r="AD208" s="24"/>
      <c r="AE208" s="24"/>
      <c r="AF208" s="24"/>
      <c r="AG208" s="24"/>
      <c r="AH208" s="20"/>
      <c r="AI208" s="42"/>
    </row>
    <row r="209" spans="1:35">
      <c r="A209" s="14"/>
      <c r="B209" s="20"/>
      <c r="C209" s="20" t="s">
        <v>1866</v>
      </c>
      <c r="D209" s="20" t="s">
        <v>79</v>
      </c>
      <c r="E209" s="20" t="s">
        <v>80</v>
      </c>
      <c r="F209" s="20" t="s">
        <v>2064</v>
      </c>
      <c r="G209" s="20" t="s">
        <v>2065</v>
      </c>
      <c r="H209" s="20" t="s">
        <v>604</v>
      </c>
      <c r="I209" s="32">
        <v>32773</v>
      </c>
      <c r="J209" s="24">
        <v>1</v>
      </c>
      <c r="K209" s="24"/>
      <c r="L209" s="24">
        <v>1</v>
      </c>
      <c r="M209" s="24"/>
      <c r="N209" s="24"/>
      <c r="O209" s="24"/>
      <c r="P209" s="24"/>
      <c r="Q209" s="24"/>
      <c r="R209" s="24"/>
      <c r="S209" s="24"/>
      <c r="T209" s="24"/>
      <c r="U209" s="20" t="s">
        <v>2073</v>
      </c>
      <c r="V209" s="20" t="s">
        <v>872</v>
      </c>
      <c r="W209" s="20" t="s">
        <v>280</v>
      </c>
      <c r="X209" s="84" t="s">
        <v>227</v>
      </c>
      <c r="Y209" s="20"/>
      <c r="Z209" s="20"/>
      <c r="AA209" s="95" t="s">
        <v>2131</v>
      </c>
      <c r="AB209" s="20" t="s">
        <v>1815</v>
      </c>
      <c r="AC209" s="24">
        <v>1</v>
      </c>
      <c r="AD209" s="24"/>
      <c r="AE209" s="24"/>
      <c r="AF209" s="24"/>
      <c r="AG209" s="24"/>
      <c r="AH209" s="20"/>
      <c r="AI209" s="42"/>
    </row>
    <row r="210" spans="1:35">
      <c r="A210" s="14"/>
      <c r="B210" s="20"/>
      <c r="C210" s="20" t="s">
        <v>1866</v>
      </c>
      <c r="D210" s="20" t="s">
        <v>79</v>
      </c>
      <c r="E210" s="20" t="s">
        <v>80</v>
      </c>
      <c r="F210" s="20" t="s">
        <v>2066</v>
      </c>
      <c r="G210" s="20" t="s">
        <v>2067</v>
      </c>
      <c r="H210" s="20" t="s">
        <v>126</v>
      </c>
      <c r="I210" s="32">
        <v>24221</v>
      </c>
      <c r="J210" s="24"/>
      <c r="K210" s="24">
        <v>1</v>
      </c>
      <c r="L210" s="24">
        <v>1</v>
      </c>
      <c r="M210" s="24"/>
      <c r="N210" s="24"/>
      <c r="O210" s="24"/>
      <c r="P210" s="24"/>
      <c r="Q210" s="24"/>
      <c r="R210" s="24"/>
      <c r="S210" s="24"/>
      <c r="T210" s="24"/>
      <c r="U210" s="20" t="s">
        <v>2073</v>
      </c>
      <c r="V210" s="20" t="s">
        <v>872</v>
      </c>
      <c r="W210" s="20" t="s">
        <v>280</v>
      </c>
      <c r="X210" s="84" t="s">
        <v>227</v>
      </c>
      <c r="Y210" s="20"/>
      <c r="Z210" s="20"/>
      <c r="AA210" s="95" t="s">
        <v>2131</v>
      </c>
      <c r="AB210" s="20" t="s">
        <v>1815</v>
      </c>
      <c r="AC210" s="24">
        <v>1</v>
      </c>
      <c r="AD210" s="24"/>
      <c r="AE210" s="24"/>
      <c r="AF210" s="24"/>
      <c r="AG210" s="24"/>
      <c r="AH210" s="20"/>
      <c r="AI210" s="42"/>
    </row>
    <row r="211" spans="1:35">
      <c r="A211" s="14"/>
      <c r="B211" s="20"/>
      <c r="C211" s="20" t="s">
        <v>1866</v>
      </c>
      <c r="D211" s="20" t="s">
        <v>79</v>
      </c>
      <c r="E211" s="20" t="s">
        <v>80</v>
      </c>
      <c r="F211" s="20" t="s">
        <v>2068</v>
      </c>
      <c r="G211" s="20" t="s">
        <v>2069</v>
      </c>
      <c r="H211" s="20" t="s">
        <v>136</v>
      </c>
      <c r="I211" s="32">
        <v>32649</v>
      </c>
      <c r="J211" s="24">
        <v>1</v>
      </c>
      <c r="K211" s="24"/>
      <c r="L211" s="24">
        <v>1</v>
      </c>
      <c r="M211" s="24"/>
      <c r="N211" s="24"/>
      <c r="O211" s="24"/>
      <c r="P211" s="24"/>
      <c r="Q211" s="24"/>
      <c r="R211" s="24"/>
      <c r="S211" s="24"/>
      <c r="T211" s="24"/>
      <c r="U211" s="20" t="s">
        <v>2073</v>
      </c>
      <c r="V211" s="20" t="s">
        <v>872</v>
      </c>
      <c r="W211" s="20" t="s">
        <v>280</v>
      </c>
      <c r="X211" s="84" t="s">
        <v>227</v>
      </c>
      <c r="Y211" s="20"/>
      <c r="Z211" s="20"/>
      <c r="AA211" s="95" t="s">
        <v>2131</v>
      </c>
      <c r="AB211" s="20" t="s">
        <v>1815</v>
      </c>
      <c r="AC211" s="24">
        <v>1</v>
      </c>
      <c r="AD211" s="24"/>
      <c r="AE211" s="24"/>
      <c r="AF211" s="24"/>
      <c r="AG211" s="24"/>
      <c r="AH211" s="20"/>
      <c r="AI211" s="42"/>
    </row>
    <row r="212" spans="1:35">
      <c r="A212" s="14"/>
      <c r="B212" s="20"/>
      <c r="C212" s="20" t="s">
        <v>1866</v>
      </c>
      <c r="D212" s="20" t="s">
        <v>79</v>
      </c>
      <c r="E212" s="20" t="s">
        <v>80</v>
      </c>
      <c r="F212" s="20" t="s">
        <v>2070</v>
      </c>
      <c r="G212" s="20" t="s">
        <v>2071</v>
      </c>
      <c r="H212" s="20" t="s">
        <v>136</v>
      </c>
      <c r="I212" s="32">
        <v>29565</v>
      </c>
      <c r="J212" s="24">
        <v>1</v>
      </c>
      <c r="K212" s="24"/>
      <c r="L212" s="24">
        <v>1</v>
      </c>
      <c r="M212" s="24"/>
      <c r="N212" s="24"/>
      <c r="O212" s="24"/>
      <c r="P212" s="24"/>
      <c r="Q212" s="24"/>
      <c r="R212" s="24"/>
      <c r="S212" s="24"/>
      <c r="T212" s="24"/>
      <c r="U212" s="20" t="s">
        <v>2073</v>
      </c>
      <c r="V212" s="20" t="s">
        <v>872</v>
      </c>
      <c r="W212" s="20" t="s">
        <v>280</v>
      </c>
      <c r="X212" s="84" t="s">
        <v>227</v>
      </c>
      <c r="Y212" s="20"/>
      <c r="Z212" s="20"/>
      <c r="AA212" s="95" t="s">
        <v>2131</v>
      </c>
      <c r="AB212" s="20" t="s">
        <v>1815</v>
      </c>
      <c r="AC212" s="24">
        <v>1</v>
      </c>
      <c r="AD212" s="24"/>
      <c r="AE212" s="24"/>
      <c r="AF212" s="24"/>
      <c r="AG212" s="24"/>
      <c r="AH212" s="20"/>
      <c r="AI212" s="42"/>
    </row>
    <row r="213" spans="1:35">
      <c r="A213" s="14"/>
      <c r="B213" s="20"/>
      <c r="C213" s="20" t="s">
        <v>1866</v>
      </c>
      <c r="D213" s="20" t="s">
        <v>79</v>
      </c>
      <c r="E213" s="20" t="s">
        <v>80</v>
      </c>
      <c r="F213" s="20" t="s">
        <v>2072</v>
      </c>
      <c r="G213" s="20" t="s">
        <v>405</v>
      </c>
      <c r="H213" s="20" t="s">
        <v>126</v>
      </c>
      <c r="I213" s="32">
        <v>26549</v>
      </c>
      <c r="J213" s="24">
        <v>1</v>
      </c>
      <c r="K213" s="24"/>
      <c r="L213" s="24">
        <v>1</v>
      </c>
      <c r="M213" s="24"/>
      <c r="N213" s="24"/>
      <c r="O213" s="24"/>
      <c r="P213" s="24"/>
      <c r="Q213" s="24"/>
      <c r="R213" s="24"/>
      <c r="S213" s="24"/>
      <c r="T213" s="24"/>
      <c r="U213" s="20" t="s">
        <v>2073</v>
      </c>
      <c r="V213" s="20" t="s">
        <v>872</v>
      </c>
      <c r="W213" s="20" t="s">
        <v>280</v>
      </c>
      <c r="X213" s="84" t="s">
        <v>227</v>
      </c>
      <c r="Y213" s="20"/>
      <c r="Z213" s="20"/>
      <c r="AA213" s="95" t="s">
        <v>2131</v>
      </c>
      <c r="AB213" s="20" t="s">
        <v>1815</v>
      </c>
      <c r="AC213" s="24">
        <v>1</v>
      </c>
      <c r="AD213" s="24"/>
      <c r="AE213" s="24"/>
      <c r="AF213" s="24"/>
      <c r="AG213" s="24"/>
      <c r="AH213" s="20"/>
      <c r="AI213" s="42"/>
    </row>
    <row r="214" spans="1:35">
      <c r="A214" s="14"/>
      <c r="B214" s="20"/>
      <c r="C214" s="20" t="s">
        <v>1866</v>
      </c>
      <c r="D214" s="20" t="s">
        <v>79</v>
      </c>
      <c r="E214" s="20" t="s">
        <v>80</v>
      </c>
      <c r="F214" s="20" t="s">
        <v>2074</v>
      </c>
      <c r="G214" s="20" t="s">
        <v>2075</v>
      </c>
      <c r="H214" s="20" t="s">
        <v>144</v>
      </c>
      <c r="I214" s="32">
        <v>25816</v>
      </c>
      <c r="J214" s="24">
        <v>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0" t="s">
        <v>2073</v>
      </c>
      <c r="V214" s="20" t="s">
        <v>872</v>
      </c>
      <c r="W214" s="20" t="s">
        <v>280</v>
      </c>
      <c r="X214" s="84" t="s">
        <v>227</v>
      </c>
      <c r="Y214" s="20"/>
      <c r="Z214" s="20"/>
      <c r="AA214" s="95" t="s">
        <v>2131</v>
      </c>
      <c r="AB214" s="20" t="s">
        <v>1815</v>
      </c>
      <c r="AC214" s="24">
        <v>1</v>
      </c>
      <c r="AD214" s="24"/>
      <c r="AE214" s="24"/>
      <c r="AF214" s="24"/>
      <c r="AG214" s="24"/>
      <c r="AH214" s="20"/>
      <c r="AI214" s="42"/>
    </row>
    <row r="215" spans="1:35">
      <c r="A215" s="14"/>
      <c r="B215" s="20"/>
      <c r="C215" s="20" t="s">
        <v>1866</v>
      </c>
      <c r="D215" s="20" t="s">
        <v>79</v>
      </c>
      <c r="E215" s="20" t="s">
        <v>80</v>
      </c>
      <c r="F215" s="20" t="s">
        <v>2076</v>
      </c>
      <c r="G215" s="20" t="s">
        <v>169</v>
      </c>
      <c r="H215" s="20" t="s">
        <v>115</v>
      </c>
      <c r="I215" s="32">
        <v>24901</v>
      </c>
      <c r="J215" s="24">
        <v>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0" t="s">
        <v>2073</v>
      </c>
      <c r="V215" s="20" t="s">
        <v>872</v>
      </c>
      <c r="W215" s="20" t="s">
        <v>280</v>
      </c>
      <c r="X215" s="84" t="s">
        <v>227</v>
      </c>
      <c r="Y215" s="20"/>
      <c r="Z215" s="20"/>
      <c r="AA215" s="95" t="s">
        <v>2131</v>
      </c>
      <c r="AB215" s="20" t="s">
        <v>1815</v>
      </c>
      <c r="AC215" s="24">
        <v>1</v>
      </c>
      <c r="AD215" s="24"/>
      <c r="AE215" s="24"/>
      <c r="AF215" s="24"/>
      <c r="AG215" s="24"/>
      <c r="AH215" s="20"/>
      <c r="AI215" s="42"/>
    </row>
    <row r="216" spans="1:35">
      <c r="A216" s="14"/>
      <c r="B216" s="20"/>
      <c r="C216" s="20" t="s">
        <v>1866</v>
      </c>
      <c r="D216" s="20" t="s">
        <v>79</v>
      </c>
      <c r="E216" s="20" t="s">
        <v>80</v>
      </c>
      <c r="F216" s="20" t="s">
        <v>2070</v>
      </c>
      <c r="G216" s="20" t="s">
        <v>438</v>
      </c>
      <c r="H216" s="20" t="s">
        <v>115</v>
      </c>
      <c r="I216" s="32">
        <v>28842</v>
      </c>
      <c r="J216" s="24"/>
      <c r="K216" s="24">
        <v>1</v>
      </c>
      <c r="L216" s="24"/>
      <c r="M216" s="24"/>
      <c r="N216" s="24"/>
      <c r="O216" s="24"/>
      <c r="P216" s="24"/>
      <c r="Q216" s="24"/>
      <c r="R216" s="24"/>
      <c r="S216" s="24"/>
      <c r="T216" s="24"/>
      <c r="U216" s="20" t="s">
        <v>2073</v>
      </c>
      <c r="V216" s="20" t="s">
        <v>872</v>
      </c>
      <c r="W216" s="20" t="s">
        <v>280</v>
      </c>
      <c r="X216" s="84" t="s">
        <v>227</v>
      </c>
      <c r="Y216" s="20"/>
      <c r="Z216" s="20"/>
      <c r="AA216" s="95" t="s">
        <v>2131</v>
      </c>
      <c r="AB216" s="20" t="s">
        <v>1815</v>
      </c>
      <c r="AC216" s="24">
        <v>1</v>
      </c>
      <c r="AD216" s="24"/>
      <c r="AE216" s="24"/>
      <c r="AF216" s="24"/>
      <c r="AG216" s="24"/>
      <c r="AH216" s="20"/>
      <c r="AI216" s="42"/>
    </row>
    <row r="217" spans="1:35">
      <c r="A217" s="14"/>
      <c r="B217" s="20"/>
      <c r="C217" s="20" t="s">
        <v>1866</v>
      </c>
      <c r="D217" s="20" t="s">
        <v>79</v>
      </c>
      <c r="E217" s="20" t="s">
        <v>80</v>
      </c>
      <c r="F217" s="20" t="s">
        <v>974</v>
      </c>
      <c r="G217" s="20" t="s">
        <v>2077</v>
      </c>
      <c r="H217" s="20" t="s">
        <v>120</v>
      </c>
      <c r="I217" s="32">
        <v>28909</v>
      </c>
      <c r="J217" s="24">
        <v>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0" t="s">
        <v>2073</v>
      </c>
      <c r="V217" s="20" t="s">
        <v>872</v>
      </c>
      <c r="W217" s="20" t="s">
        <v>280</v>
      </c>
      <c r="X217" s="84" t="s">
        <v>227</v>
      </c>
      <c r="Y217" s="20"/>
      <c r="Z217" s="20"/>
      <c r="AA217" s="95" t="s">
        <v>2131</v>
      </c>
      <c r="AB217" s="20" t="s">
        <v>1815</v>
      </c>
      <c r="AC217" s="24">
        <v>1</v>
      </c>
      <c r="AD217" s="24"/>
      <c r="AE217" s="24"/>
      <c r="AF217" s="24"/>
      <c r="AG217" s="24"/>
      <c r="AH217" s="20"/>
      <c r="AI217" s="42"/>
    </row>
    <row r="218" spans="1:35">
      <c r="A218" s="14"/>
      <c r="B218" s="20"/>
      <c r="C218" s="20" t="s">
        <v>1866</v>
      </c>
      <c r="D218" s="20" t="s">
        <v>79</v>
      </c>
      <c r="E218" s="20" t="s">
        <v>80</v>
      </c>
      <c r="F218" s="20" t="s">
        <v>2078</v>
      </c>
      <c r="G218" s="20" t="s">
        <v>2079</v>
      </c>
      <c r="H218" s="20" t="s">
        <v>126</v>
      </c>
      <c r="I218" s="32">
        <v>33313</v>
      </c>
      <c r="J218" s="24">
        <v>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0" t="s">
        <v>2073</v>
      </c>
      <c r="V218" s="20" t="s">
        <v>872</v>
      </c>
      <c r="W218" s="20" t="s">
        <v>280</v>
      </c>
      <c r="X218" s="84" t="s">
        <v>227</v>
      </c>
      <c r="Y218" s="20"/>
      <c r="Z218" s="20"/>
      <c r="AA218" s="95" t="s">
        <v>2131</v>
      </c>
      <c r="AB218" s="20" t="s">
        <v>1815</v>
      </c>
      <c r="AC218" s="24">
        <v>1</v>
      </c>
      <c r="AD218" s="24"/>
      <c r="AE218" s="24"/>
      <c r="AF218" s="24"/>
      <c r="AG218" s="24"/>
      <c r="AH218" s="20"/>
      <c r="AI218" s="42"/>
    </row>
    <row r="219" spans="1:35">
      <c r="A219" s="14"/>
      <c r="B219" s="20"/>
      <c r="C219" s="20" t="s">
        <v>1866</v>
      </c>
      <c r="D219" s="20" t="s">
        <v>79</v>
      </c>
      <c r="E219" s="20" t="s">
        <v>80</v>
      </c>
      <c r="F219" s="20" t="s">
        <v>2070</v>
      </c>
      <c r="G219" s="20" t="s">
        <v>1047</v>
      </c>
      <c r="H219" s="20" t="s">
        <v>133</v>
      </c>
      <c r="I219" s="32">
        <v>35807</v>
      </c>
      <c r="J219" s="24">
        <v>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0" t="s">
        <v>2073</v>
      </c>
      <c r="V219" s="20" t="s">
        <v>872</v>
      </c>
      <c r="W219" s="20" t="s">
        <v>280</v>
      </c>
      <c r="X219" s="84" t="s">
        <v>227</v>
      </c>
      <c r="Y219" s="20"/>
      <c r="Z219" s="20"/>
      <c r="AA219" s="95" t="s">
        <v>2131</v>
      </c>
      <c r="AB219" s="20" t="s">
        <v>1815</v>
      </c>
      <c r="AC219" s="24">
        <v>1</v>
      </c>
      <c r="AD219" s="24"/>
      <c r="AE219" s="24"/>
      <c r="AF219" s="24"/>
      <c r="AG219" s="24"/>
      <c r="AH219" s="20"/>
      <c r="AI219" s="42"/>
    </row>
    <row r="220" spans="1:35">
      <c r="A220" s="14"/>
      <c r="B220" s="20"/>
      <c r="C220" s="20" t="s">
        <v>1866</v>
      </c>
      <c r="D220" s="20" t="s">
        <v>79</v>
      </c>
      <c r="E220" s="20" t="s">
        <v>80</v>
      </c>
      <c r="F220" s="20" t="s">
        <v>974</v>
      </c>
      <c r="G220" s="20" t="s">
        <v>2080</v>
      </c>
      <c r="H220" s="20" t="s">
        <v>120</v>
      </c>
      <c r="I220" s="32">
        <v>28880</v>
      </c>
      <c r="J220" s="24">
        <v>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0" t="s">
        <v>2073</v>
      </c>
      <c r="V220" s="20" t="s">
        <v>872</v>
      </c>
      <c r="W220" s="20" t="s">
        <v>280</v>
      </c>
      <c r="X220" s="84" t="s">
        <v>227</v>
      </c>
      <c r="Y220" s="20"/>
      <c r="Z220" s="20"/>
      <c r="AA220" s="95" t="s">
        <v>2131</v>
      </c>
      <c r="AB220" s="20" t="s">
        <v>1815</v>
      </c>
      <c r="AC220" s="24">
        <v>1</v>
      </c>
      <c r="AD220" s="24"/>
      <c r="AE220" s="24"/>
      <c r="AF220" s="24"/>
      <c r="AG220" s="24"/>
      <c r="AH220" s="20"/>
      <c r="AI220" s="42"/>
    </row>
    <row r="221" spans="1:35">
      <c r="A221" s="14"/>
      <c r="B221" s="20"/>
      <c r="C221" s="20" t="s">
        <v>1866</v>
      </c>
      <c r="D221" s="20" t="s">
        <v>79</v>
      </c>
      <c r="E221" s="20" t="s">
        <v>80</v>
      </c>
      <c r="F221" s="20" t="s">
        <v>2074</v>
      </c>
      <c r="G221" s="20" t="s">
        <v>2081</v>
      </c>
      <c r="H221" s="20" t="s">
        <v>588</v>
      </c>
      <c r="I221" s="32">
        <v>28074</v>
      </c>
      <c r="J221" s="24">
        <v>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0" t="s">
        <v>2073</v>
      </c>
      <c r="V221" s="20" t="s">
        <v>872</v>
      </c>
      <c r="W221" s="20" t="s">
        <v>280</v>
      </c>
      <c r="X221" s="84" t="s">
        <v>227</v>
      </c>
      <c r="Y221" s="20"/>
      <c r="Z221" s="20"/>
      <c r="AA221" s="95" t="s">
        <v>2131</v>
      </c>
      <c r="AB221" s="20" t="s">
        <v>1815</v>
      </c>
      <c r="AC221" s="24">
        <v>1</v>
      </c>
      <c r="AD221" s="24"/>
      <c r="AE221" s="24"/>
      <c r="AF221" s="24"/>
      <c r="AG221" s="24"/>
      <c r="AH221" s="20"/>
      <c r="AI221" s="42"/>
    </row>
    <row r="222" spans="1:35">
      <c r="A222" s="14"/>
      <c r="B222" s="20"/>
      <c r="C222" s="20" t="s">
        <v>1866</v>
      </c>
      <c r="D222" s="20" t="s">
        <v>79</v>
      </c>
      <c r="E222" s="20" t="s">
        <v>80</v>
      </c>
      <c r="F222" s="20" t="s">
        <v>2070</v>
      </c>
      <c r="G222" s="20" t="s">
        <v>2082</v>
      </c>
      <c r="H222" s="20" t="s">
        <v>136</v>
      </c>
      <c r="I222" s="32">
        <v>30968</v>
      </c>
      <c r="J222" s="24">
        <v>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0" t="s">
        <v>2073</v>
      </c>
      <c r="V222" s="20" t="s">
        <v>872</v>
      </c>
      <c r="W222" s="20" t="s">
        <v>280</v>
      </c>
      <c r="X222" s="84" t="s">
        <v>227</v>
      </c>
      <c r="Y222" s="20"/>
      <c r="Z222" s="20"/>
      <c r="AA222" s="95" t="s">
        <v>2131</v>
      </c>
      <c r="AB222" s="20" t="s">
        <v>1815</v>
      </c>
      <c r="AC222" s="24">
        <v>1</v>
      </c>
      <c r="AD222" s="24"/>
      <c r="AE222" s="24"/>
      <c r="AF222" s="24"/>
      <c r="AG222" s="24"/>
      <c r="AH222" s="20"/>
      <c r="AI222" s="42"/>
    </row>
    <row r="223" spans="1:35">
      <c r="A223" s="14"/>
      <c r="B223" s="20"/>
      <c r="C223" s="20" t="s">
        <v>1866</v>
      </c>
      <c r="D223" s="20" t="s">
        <v>79</v>
      </c>
      <c r="E223" s="20" t="s">
        <v>80</v>
      </c>
      <c r="F223" s="20" t="s">
        <v>2083</v>
      </c>
      <c r="G223" s="20" t="s">
        <v>2084</v>
      </c>
      <c r="H223" s="20" t="s">
        <v>136</v>
      </c>
      <c r="I223" s="32">
        <v>30256</v>
      </c>
      <c r="J223" s="24">
        <v>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0" t="s">
        <v>2073</v>
      </c>
      <c r="V223" s="20" t="s">
        <v>872</v>
      </c>
      <c r="W223" s="20" t="s">
        <v>280</v>
      </c>
      <c r="X223" s="84" t="s">
        <v>227</v>
      </c>
      <c r="Y223" s="20"/>
      <c r="Z223" s="20"/>
      <c r="AA223" s="95" t="s">
        <v>2131</v>
      </c>
      <c r="AB223" s="20" t="s">
        <v>1815</v>
      </c>
      <c r="AC223" s="24">
        <v>1</v>
      </c>
      <c r="AD223" s="24"/>
      <c r="AE223" s="24"/>
      <c r="AF223" s="24"/>
      <c r="AG223" s="24"/>
      <c r="AH223" s="20"/>
      <c r="AI223" s="42"/>
    </row>
    <row r="224" spans="1:35">
      <c r="A224" s="14"/>
      <c r="B224" s="20"/>
      <c r="C224" s="20" t="s">
        <v>1866</v>
      </c>
      <c r="D224" s="20" t="s">
        <v>79</v>
      </c>
      <c r="E224" s="20" t="s">
        <v>80</v>
      </c>
      <c r="F224" s="20" t="s">
        <v>1227</v>
      </c>
      <c r="G224" s="20" t="s">
        <v>2085</v>
      </c>
      <c r="H224" s="20" t="s">
        <v>120</v>
      </c>
      <c r="I224" s="32">
        <v>31949</v>
      </c>
      <c r="J224" s="24">
        <v>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0" t="s">
        <v>2073</v>
      </c>
      <c r="V224" s="20" t="s">
        <v>872</v>
      </c>
      <c r="W224" s="20" t="s">
        <v>280</v>
      </c>
      <c r="X224" s="84" t="s">
        <v>227</v>
      </c>
      <c r="Y224" s="20"/>
      <c r="Z224" s="20"/>
      <c r="AA224" s="95" t="s">
        <v>2131</v>
      </c>
      <c r="AB224" s="20" t="s">
        <v>1815</v>
      </c>
      <c r="AC224" s="24">
        <v>1</v>
      </c>
      <c r="AD224" s="24"/>
      <c r="AE224" s="24"/>
      <c r="AF224" s="24"/>
      <c r="AG224" s="24"/>
      <c r="AH224" s="20"/>
      <c r="AI224" s="42"/>
    </row>
    <row r="225" spans="1:35">
      <c r="A225" s="14"/>
      <c r="B225" s="20"/>
      <c r="C225" s="20" t="s">
        <v>1866</v>
      </c>
      <c r="D225" s="20" t="s">
        <v>79</v>
      </c>
      <c r="E225" s="20" t="s">
        <v>80</v>
      </c>
      <c r="F225" s="20" t="s">
        <v>2086</v>
      </c>
      <c r="G225" s="20" t="s">
        <v>2087</v>
      </c>
      <c r="H225" s="20" t="s">
        <v>115</v>
      </c>
      <c r="I225" s="32">
        <v>23300</v>
      </c>
      <c r="J225" s="24">
        <v>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0" t="s">
        <v>2073</v>
      </c>
      <c r="V225" s="20" t="s">
        <v>872</v>
      </c>
      <c r="W225" s="20" t="s">
        <v>280</v>
      </c>
      <c r="X225" s="84" t="s">
        <v>227</v>
      </c>
      <c r="Y225" s="20"/>
      <c r="Z225" s="20"/>
      <c r="AA225" s="95" t="s">
        <v>2131</v>
      </c>
      <c r="AB225" s="20" t="s">
        <v>1815</v>
      </c>
      <c r="AC225" s="24">
        <v>1</v>
      </c>
      <c r="AD225" s="24"/>
      <c r="AE225" s="24"/>
      <c r="AF225" s="24"/>
      <c r="AG225" s="24"/>
      <c r="AH225" s="20"/>
      <c r="AI225" s="42"/>
    </row>
    <row r="226" spans="1:35">
      <c r="A226" s="14"/>
      <c r="B226" s="20"/>
      <c r="C226" s="20" t="s">
        <v>1866</v>
      </c>
      <c r="D226" s="20" t="s">
        <v>79</v>
      </c>
      <c r="E226" s="20" t="s">
        <v>80</v>
      </c>
      <c r="F226" s="20" t="s">
        <v>1227</v>
      </c>
      <c r="G226" s="20" t="s">
        <v>156</v>
      </c>
      <c r="H226" s="20" t="s">
        <v>1040</v>
      </c>
      <c r="I226" s="32">
        <v>28827</v>
      </c>
      <c r="J226" s="24">
        <v>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0" t="s">
        <v>2073</v>
      </c>
      <c r="V226" s="20" t="s">
        <v>872</v>
      </c>
      <c r="W226" s="20" t="s">
        <v>280</v>
      </c>
      <c r="X226" s="84" t="s">
        <v>227</v>
      </c>
      <c r="Y226" s="20"/>
      <c r="Z226" s="20"/>
      <c r="AA226" s="95" t="s">
        <v>2131</v>
      </c>
      <c r="AB226" s="20" t="s">
        <v>1815</v>
      </c>
      <c r="AC226" s="24">
        <v>1</v>
      </c>
      <c r="AD226" s="24"/>
      <c r="AE226" s="24"/>
      <c r="AF226" s="24"/>
      <c r="AG226" s="24"/>
      <c r="AH226" s="20"/>
      <c r="AI226" s="42"/>
    </row>
    <row r="227" spans="1:35">
      <c r="A227" s="14"/>
      <c r="B227" s="20"/>
      <c r="C227" s="20" t="s">
        <v>1866</v>
      </c>
      <c r="D227" s="20" t="s">
        <v>79</v>
      </c>
      <c r="E227" s="20" t="s">
        <v>80</v>
      </c>
      <c r="F227" s="20" t="s">
        <v>2088</v>
      </c>
      <c r="G227" s="20" t="s">
        <v>2089</v>
      </c>
      <c r="H227" s="20" t="s">
        <v>588</v>
      </c>
      <c r="I227" s="32">
        <v>23611</v>
      </c>
      <c r="J227" s="24">
        <v>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0" t="s">
        <v>2073</v>
      </c>
      <c r="V227" s="20" t="s">
        <v>872</v>
      </c>
      <c r="W227" s="20" t="s">
        <v>280</v>
      </c>
      <c r="X227" s="84" t="s">
        <v>227</v>
      </c>
      <c r="Y227" s="20"/>
      <c r="Z227" s="20"/>
      <c r="AA227" s="95" t="s">
        <v>2131</v>
      </c>
      <c r="AB227" s="20" t="s">
        <v>1815</v>
      </c>
      <c r="AC227" s="24">
        <v>1</v>
      </c>
      <c r="AD227" s="24"/>
      <c r="AE227" s="24"/>
      <c r="AF227" s="24"/>
      <c r="AG227" s="24"/>
      <c r="AH227" s="20"/>
      <c r="AI227" s="42"/>
    </row>
    <row r="228" spans="1:35">
      <c r="A228" s="14"/>
      <c r="B228" s="20"/>
      <c r="C228" s="20" t="s">
        <v>1866</v>
      </c>
      <c r="D228" s="20" t="s">
        <v>79</v>
      </c>
      <c r="E228" s="20" t="s">
        <v>80</v>
      </c>
      <c r="F228" s="20" t="s">
        <v>2057</v>
      </c>
      <c r="G228" s="20" t="s">
        <v>2090</v>
      </c>
      <c r="H228" s="20" t="s">
        <v>160</v>
      </c>
      <c r="I228" s="32">
        <v>35416</v>
      </c>
      <c r="J228" s="24">
        <v>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0" t="s">
        <v>2073</v>
      </c>
      <c r="V228" s="20" t="s">
        <v>872</v>
      </c>
      <c r="W228" s="20" t="s">
        <v>280</v>
      </c>
      <c r="X228" s="84" t="s">
        <v>227</v>
      </c>
      <c r="Y228" s="20"/>
      <c r="Z228" s="20"/>
      <c r="AA228" s="95" t="s">
        <v>2131</v>
      </c>
      <c r="AB228" s="20" t="s">
        <v>1815</v>
      </c>
      <c r="AC228" s="24">
        <v>1</v>
      </c>
      <c r="AD228" s="24"/>
      <c r="AE228" s="24"/>
      <c r="AF228" s="24"/>
      <c r="AG228" s="24"/>
      <c r="AH228" s="20"/>
      <c r="AI228" s="42"/>
    </row>
    <row r="229" spans="1:35">
      <c r="A229" s="14"/>
      <c r="B229" s="20"/>
      <c r="C229" s="84" t="s">
        <v>1866</v>
      </c>
      <c r="D229" s="53" t="s">
        <v>79</v>
      </c>
      <c r="E229" s="53" t="s">
        <v>80</v>
      </c>
      <c r="F229" s="53" t="s">
        <v>1915</v>
      </c>
      <c r="G229" s="53" t="s">
        <v>1909</v>
      </c>
      <c r="H229" s="53" t="s">
        <v>115</v>
      </c>
      <c r="I229" s="122"/>
      <c r="J229" s="24">
        <v>1</v>
      </c>
      <c r="K229" s="24"/>
      <c r="L229" s="24">
        <v>1</v>
      </c>
      <c r="M229" s="24"/>
      <c r="N229" s="24"/>
      <c r="O229" s="79"/>
      <c r="P229" s="24"/>
      <c r="Q229" s="24"/>
      <c r="R229" s="75"/>
      <c r="S229" s="24"/>
      <c r="T229" s="24"/>
      <c r="U229" s="20" t="s">
        <v>1898</v>
      </c>
      <c r="V229" s="53" t="s">
        <v>293</v>
      </c>
      <c r="W229" s="53" t="s">
        <v>298</v>
      </c>
      <c r="X229" s="53" t="s">
        <v>227</v>
      </c>
      <c r="Y229" s="20"/>
      <c r="Z229" s="20"/>
      <c r="AA229" s="53" t="s">
        <v>1476</v>
      </c>
      <c r="AB229" s="89" t="s">
        <v>1477</v>
      </c>
      <c r="AC229" s="90">
        <v>1</v>
      </c>
      <c r="AD229" s="24"/>
      <c r="AE229" s="24"/>
      <c r="AF229" s="24"/>
      <c r="AG229" s="24"/>
      <c r="AH229" s="20"/>
      <c r="AI229" s="42"/>
    </row>
    <row r="230" spans="1:35">
      <c r="A230" s="14"/>
      <c r="B230" s="20"/>
      <c r="C230" s="84" t="s">
        <v>1866</v>
      </c>
      <c r="D230" s="53" t="s">
        <v>79</v>
      </c>
      <c r="E230" s="53" t="s">
        <v>80</v>
      </c>
      <c r="F230" s="53" t="s">
        <v>1876</v>
      </c>
      <c r="G230" s="53" t="s">
        <v>1910</v>
      </c>
      <c r="H230" s="53"/>
      <c r="I230" s="122"/>
      <c r="J230" s="24">
        <v>1</v>
      </c>
      <c r="K230" s="24"/>
      <c r="L230" s="24">
        <v>1</v>
      </c>
      <c r="M230" s="24"/>
      <c r="N230" s="24"/>
      <c r="O230" s="79"/>
      <c r="P230" s="24"/>
      <c r="Q230" s="24"/>
      <c r="R230" s="75"/>
      <c r="S230" s="24"/>
      <c r="T230" s="24"/>
      <c r="U230" s="20" t="s">
        <v>1898</v>
      </c>
      <c r="V230" s="53" t="s">
        <v>293</v>
      </c>
      <c r="W230" s="53" t="s">
        <v>298</v>
      </c>
      <c r="X230" s="53" t="s">
        <v>227</v>
      </c>
      <c r="Y230" s="20"/>
      <c r="Z230" s="20"/>
      <c r="AA230" s="53" t="s">
        <v>1476</v>
      </c>
      <c r="AB230" s="89" t="s">
        <v>1477</v>
      </c>
      <c r="AC230" s="90">
        <v>1</v>
      </c>
      <c r="AD230" s="24"/>
      <c r="AE230" s="24"/>
      <c r="AF230" s="24"/>
      <c r="AG230" s="24"/>
      <c r="AH230" s="20"/>
      <c r="AI230" s="42"/>
    </row>
    <row r="231" spans="1:35">
      <c r="A231" s="14"/>
      <c r="B231" s="20"/>
      <c r="C231" s="84" t="s">
        <v>1866</v>
      </c>
      <c r="D231" s="53" t="s">
        <v>79</v>
      </c>
      <c r="E231" s="53" t="s">
        <v>80</v>
      </c>
      <c r="F231" s="53" t="s">
        <v>666</v>
      </c>
      <c r="G231" s="53" t="s">
        <v>1911</v>
      </c>
      <c r="H231" s="53" t="s">
        <v>136</v>
      </c>
      <c r="I231" s="122"/>
      <c r="J231" s="24">
        <v>1</v>
      </c>
      <c r="K231" s="24"/>
      <c r="L231" s="24">
        <v>1</v>
      </c>
      <c r="M231" s="24"/>
      <c r="N231" s="24"/>
      <c r="O231" s="79"/>
      <c r="P231" s="24"/>
      <c r="Q231" s="24"/>
      <c r="R231" s="75"/>
      <c r="S231" s="24"/>
      <c r="T231" s="24"/>
      <c r="U231" s="20" t="s">
        <v>1898</v>
      </c>
      <c r="V231" s="53" t="s">
        <v>293</v>
      </c>
      <c r="W231" s="53" t="s">
        <v>298</v>
      </c>
      <c r="X231" s="53" t="s">
        <v>227</v>
      </c>
      <c r="Y231" s="20">
        <v>9651978283</v>
      </c>
      <c r="Z231" s="20"/>
      <c r="AA231" s="53" t="s">
        <v>1476</v>
      </c>
      <c r="AB231" s="89" t="s">
        <v>1477</v>
      </c>
      <c r="AC231" s="90">
        <v>1</v>
      </c>
      <c r="AD231" s="24"/>
      <c r="AE231" s="24"/>
      <c r="AF231" s="24"/>
      <c r="AG231" s="24"/>
      <c r="AH231" s="20"/>
      <c r="AI231" s="42"/>
    </row>
    <row r="232" spans="1:35">
      <c r="A232" s="14"/>
      <c r="B232" s="20"/>
      <c r="C232" s="84" t="s">
        <v>1866</v>
      </c>
      <c r="D232" s="53" t="s">
        <v>79</v>
      </c>
      <c r="E232" s="53" t="s">
        <v>80</v>
      </c>
      <c r="F232" s="53" t="s">
        <v>1876</v>
      </c>
      <c r="G232" s="53" t="s">
        <v>817</v>
      </c>
      <c r="H232" s="53" t="s">
        <v>136</v>
      </c>
      <c r="I232" s="122"/>
      <c r="J232" s="24">
        <v>1</v>
      </c>
      <c r="K232" s="24"/>
      <c r="L232" s="24">
        <v>1</v>
      </c>
      <c r="M232" s="24"/>
      <c r="N232" s="24"/>
      <c r="O232" s="79"/>
      <c r="P232" s="24"/>
      <c r="Q232" s="24"/>
      <c r="R232" s="75"/>
      <c r="S232" s="24"/>
      <c r="T232" s="24"/>
      <c r="U232" s="20" t="s">
        <v>1898</v>
      </c>
      <c r="V232" s="53" t="s">
        <v>293</v>
      </c>
      <c r="W232" s="53" t="s">
        <v>298</v>
      </c>
      <c r="X232" s="53" t="s">
        <v>227</v>
      </c>
      <c r="Y232" s="20"/>
      <c r="Z232" s="20"/>
      <c r="AA232" s="53" t="s">
        <v>1476</v>
      </c>
      <c r="AB232" s="89" t="s">
        <v>1477</v>
      </c>
      <c r="AC232" s="90">
        <v>1</v>
      </c>
      <c r="AD232" s="24"/>
      <c r="AE232" s="24"/>
      <c r="AF232" s="24"/>
      <c r="AG232" s="24"/>
      <c r="AH232" s="20"/>
      <c r="AI232" s="42"/>
    </row>
    <row r="233" spans="1:35">
      <c r="A233" s="14"/>
      <c r="B233" s="20"/>
      <c r="C233" s="84" t="s">
        <v>1866</v>
      </c>
      <c r="D233" s="53" t="s">
        <v>79</v>
      </c>
      <c r="E233" s="53" t="s">
        <v>80</v>
      </c>
      <c r="F233" s="53" t="s">
        <v>1873</v>
      </c>
      <c r="G233" s="53" t="s">
        <v>1720</v>
      </c>
      <c r="H233" s="53" t="s">
        <v>604</v>
      </c>
      <c r="I233" s="122"/>
      <c r="J233" s="24">
        <v>1</v>
      </c>
      <c r="K233" s="24"/>
      <c r="L233" s="24">
        <v>1</v>
      </c>
      <c r="M233" s="24"/>
      <c r="N233" s="24"/>
      <c r="O233" s="79"/>
      <c r="P233" s="24"/>
      <c r="Q233" s="24"/>
      <c r="R233" s="75"/>
      <c r="S233" s="24"/>
      <c r="T233" s="24"/>
      <c r="U233" s="20" t="s">
        <v>1898</v>
      </c>
      <c r="V233" s="53" t="s">
        <v>293</v>
      </c>
      <c r="W233" s="53" t="s">
        <v>298</v>
      </c>
      <c r="X233" s="53" t="s">
        <v>227</v>
      </c>
      <c r="Y233" s="20"/>
      <c r="Z233" s="20"/>
      <c r="AA233" s="53" t="s">
        <v>1476</v>
      </c>
      <c r="AB233" s="89" t="s">
        <v>1477</v>
      </c>
      <c r="AC233" s="90">
        <v>1</v>
      </c>
      <c r="AD233" s="24"/>
      <c r="AE233" s="24"/>
      <c r="AF233" s="24"/>
      <c r="AG233" s="24"/>
      <c r="AH233" s="20"/>
      <c r="AI233" s="42"/>
    </row>
    <row r="234" spans="1:35">
      <c r="A234" s="14"/>
      <c r="B234" s="20"/>
      <c r="C234" s="84" t="s">
        <v>1866</v>
      </c>
      <c r="D234" s="53" t="s">
        <v>79</v>
      </c>
      <c r="E234" s="53" t="s">
        <v>80</v>
      </c>
      <c r="F234" s="53" t="s">
        <v>1873</v>
      </c>
      <c r="G234" s="53" t="s">
        <v>1912</v>
      </c>
      <c r="H234" s="53" t="s">
        <v>160</v>
      </c>
      <c r="I234" s="122"/>
      <c r="J234" s="24">
        <v>1</v>
      </c>
      <c r="K234" s="24"/>
      <c r="L234" s="24">
        <v>1</v>
      </c>
      <c r="M234" s="24"/>
      <c r="N234" s="24"/>
      <c r="O234" s="79"/>
      <c r="P234" s="24"/>
      <c r="Q234" s="24"/>
      <c r="R234" s="75"/>
      <c r="S234" s="24"/>
      <c r="T234" s="24"/>
      <c r="U234" s="20" t="s">
        <v>1898</v>
      </c>
      <c r="V234" s="53" t="s">
        <v>293</v>
      </c>
      <c r="W234" s="53" t="s">
        <v>298</v>
      </c>
      <c r="X234" s="53" t="s">
        <v>227</v>
      </c>
      <c r="Y234" s="20"/>
      <c r="Z234" s="20"/>
      <c r="AA234" s="53" t="s">
        <v>1476</v>
      </c>
      <c r="AB234" s="89" t="s">
        <v>1477</v>
      </c>
      <c r="AC234" s="90">
        <v>1</v>
      </c>
      <c r="AD234" s="24"/>
      <c r="AE234" s="24"/>
      <c r="AF234" s="24"/>
      <c r="AG234" s="24"/>
      <c r="AH234" s="20"/>
      <c r="AI234" s="42"/>
    </row>
    <row r="235" spans="1:35">
      <c r="A235" s="14"/>
      <c r="B235" s="20"/>
      <c r="C235" s="84" t="s">
        <v>1866</v>
      </c>
      <c r="D235" s="53" t="s">
        <v>79</v>
      </c>
      <c r="E235" s="53" t="s">
        <v>80</v>
      </c>
      <c r="F235" s="53" t="s">
        <v>1875</v>
      </c>
      <c r="G235" s="53" t="s">
        <v>159</v>
      </c>
      <c r="H235" s="53" t="s">
        <v>126</v>
      </c>
      <c r="I235" s="122"/>
      <c r="J235" s="24">
        <v>1</v>
      </c>
      <c r="K235" s="24"/>
      <c r="L235" s="24">
        <v>1</v>
      </c>
      <c r="M235" s="24"/>
      <c r="N235" s="24"/>
      <c r="O235" s="79"/>
      <c r="P235" s="24"/>
      <c r="Q235" s="24"/>
      <c r="R235" s="75"/>
      <c r="S235" s="24"/>
      <c r="T235" s="24"/>
      <c r="U235" s="20" t="s">
        <v>1898</v>
      </c>
      <c r="V235" s="53" t="s">
        <v>293</v>
      </c>
      <c r="W235" s="53" t="s">
        <v>298</v>
      </c>
      <c r="X235" s="53" t="s">
        <v>227</v>
      </c>
      <c r="Y235" s="20"/>
      <c r="Z235" s="20"/>
      <c r="AA235" s="53" t="s">
        <v>1476</v>
      </c>
      <c r="AB235" s="89" t="s">
        <v>1477</v>
      </c>
      <c r="AC235" s="90">
        <v>1</v>
      </c>
      <c r="AD235" s="24"/>
      <c r="AE235" s="24"/>
      <c r="AF235" s="24"/>
      <c r="AG235" s="24"/>
      <c r="AH235" s="20"/>
      <c r="AI235" s="42"/>
    </row>
    <row r="236" spans="1:35">
      <c r="A236" s="14"/>
      <c r="B236" s="20"/>
      <c r="C236" s="84" t="s">
        <v>1866</v>
      </c>
      <c r="D236" s="53" t="s">
        <v>79</v>
      </c>
      <c r="E236" s="53" t="s">
        <v>80</v>
      </c>
      <c r="F236" s="53" t="s">
        <v>1877</v>
      </c>
      <c r="G236" s="53" t="s">
        <v>1913</v>
      </c>
      <c r="H236" s="53" t="s">
        <v>115</v>
      </c>
      <c r="I236" s="122"/>
      <c r="J236" s="24">
        <v>1</v>
      </c>
      <c r="K236" s="24"/>
      <c r="L236" s="24">
        <v>1</v>
      </c>
      <c r="M236" s="24"/>
      <c r="N236" s="24"/>
      <c r="O236" s="79"/>
      <c r="P236" s="24"/>
      <c r="Q236" s="24"/>
      <c r="R236" s="75"/>
      <c r="S236" s="24"/>
      <c r="T236" s="24"/>
      <c r="U236" s="20" t="s">
        <v>1898</v>
      </c>
      <c r="V236" s="53" t="s">
        <v>293</v>
      </c>
      <c r="W236" s="53" t="s">
        <v>298</v>
      </c>
      <c r="X236" s="53" t="s">
        <v>227</v>
      </c>
      <c r="Y236" s="20"/>
      <c r="Z236" s="20"/>
      <c r="AA236" s="53" t="s">
        <v>1476</v>
      </c>
      <c r="AB236" s="89" t="s">
        <v>1477</v>
      </c>
      <c r="AC236" s="90">
        <v>1</v>
      </c>
      <c r="AD236" s="24"/>
      <c r="AE236" s="24"/>
      <c r="AF236" s="24"/>
      <c r="AG236" s="24"/>
      <c r="AH236" s="20"/>
      <c r="AI236" s="42"/>
    </row>
    <row r="237" spans="1:35">
      <c r="A237" s="14"/>
      <c r="B237" s="20"/>
      <c r="C237" s="84" t="s">
        <v>1866</v>
      </c>
      <c r="D237" s="53" t="s">
        <v>79</v>
      </c>
      <c r="E237" s="53" t="s">
        <v>80</v>
      </c>
      <c r="F237" s="53" t="s">
        <v>1873</v>
      </c>
      <c r="G237" s="53" t="s">
        <v>1914</v>
      </c>
      <c r="H237" s="53" t="s">
        <v>604</v>
      </c>
      <c r="I237" s="122"/>
      <c r="J237" s="24">
        <v>1</v>
      </c>
      <c r="K237" s="24"/>
      <c r="L237" s="24">
        <v>1</v>
      </c>
      <c r="M237" s="24"/>
      <c r="N237" s="24"/>
      <c r="O237" s="79"/>
      <c r="P237" s="24"/>
      <c r="Q237" s="24"/>
      <c r="R237" s="75"/>
      <c r="S237" s="24"/>
      <c r="T237" s="24"/>
      <c r="U237" s="20" t="s">
        <v>1898</v>
      </c>
      <c r="V237" s="53" t="s">
        <v>293</v>
      </c>
      <c r="W237" s="53" t="s">
        <v>298</v>
      </c>
      <c r="X237" s="53" t="s">
        <v>227</v>
      </c>
      <c r="Y237" s="20"/>
      <c r="Z237" s="20"/>
      <c r="AA237" s="53" t="s">
        <v>1476</v>
      </c>
      <c r="AB237" s="89" t="s">
        <v>1477</v>
      </c>
      <c r="AC237" s="90">
        <v>1</v>
      </c>
      <c r="AD237" s="24"/>
      <c r="AE237" s="24"/>
      <c r="AF237" s="24"/>
      <c r="AG237" s="24"/>
      <c r="AH237" s="20"/>
      <c r="AI237" s="42"/>
    </row>
    <row r="238" spans="1:35">
      <c r="A238" s="14"/>
      <c r="B238" s="20"/>
      <c r="C238" s="84" t="s">
        <v>1866</v>
      </c>
      <c r="D238" s="53" t="s">
        <v>1922</v>
      </c>
      <c r="E238" s="53" t="s">
        <v>80</v>
      </c>
      <c r="F238" s="53" t="s">
        <v>1923</v>
      </c>
      <c r="G238" s="53" t="s">
        <v>1924</v>
      </c>
      <c r="H238" s="53"/>
      <c r="I238" s="122">
        <v>36617</v>
      </c>
      <c r="J238" s="24">
        <v>1</v>
      </c>
      <c r="K238" s="24"/>
      <c r="L238" s="24">
        <v>1</v>
      </c>
      <c r="M238" s="24"/>
      <c r="N238" s="24"/>
      <c r="O238" s="79"/>
      <c r="P238" s="24"/>
      <c r="Q238" s="24"/>
      <c r="R238" s="75"/>
      <c r="S238" s="24"/>
      <c r="T238" s="24"/>
      <c r="U238" s="20" t="s">
        <v>295</v>
      </c>
      <c r="V238" s="53" t="s">
        <v>293</v>
      </c>
      <c r="W238" s="53" t="s">
        <v>298</v>
      </c>
      <c r="X238" s="53" t="s">
        <v>227</v>
      </c>
      <c r="Y238" s="20">
        <v>9183712008</v>
      </c>
      <c r="Z238" s="20"/>
      <c r="AA238" s="53" t="s">
        <v>1780</v>
      </c>
      <c r="AB238" s="89" t="s">
        <v>1477</v>
      </c>
      <c r="AC238" s="90">
        <v>1</v>
      </c>
      <c r="AD238" s="24"/>
      <c r="AE238" s="24"/>
      <c r="AF238" s="24"/>
      <c r="AG238" s="24"/>
      <c r="AH238" s="20"/>
      <c r="AI238" s="42"/>
    </row>
    <row r="239" spans="1:35">
      <c r="A239" s="14"/>
      <c r="B239" s="20"/>
      <c r="C239" s="84" t="s">
        <v>1866</v>
      </c>
      <c r="D239" s="53" t="s">
        <v>79</v>
      </c>
      <c r="E239" s="53" t="s">
        <v>80</v>
      </c>
      <c r="F239" s="53" t="s">
        <v>1925</v>
      </c>
      <c r="G239" s="53" t="s">
        <v>1926</v>
      </c>
      <c r="H239" s="53"/>
      <c r="I239" s="122">
        <v>34456</v>
      </c>
      <c r="J239" s="24">
        <v>1</v>
      </c>
      <c r="K239" s="24"/>
      <c r="L239" s="24">
        <v>1</v>
      </c>
      <c r="M239" s="24"/>
      <c r="N239" s="24"/>
      <c r="O239" s="79"/>
      <c r="P239" s="24"/>
      <c r="Q239" s="24"/>
      <c r="R239" s="75"/>
      <c r="S239" s="24"/>
      <c r="T239" s="24"/>
      <c r="U239" s="20" t="s">
        <v>295</v>
      </c>
      <c r="V239" s="53" t="s">
        <v>293</v>
      </c>
      <c r="W239" s="53" t="s">
        <v>298</v>
      </c>
      <c r="X239" s="53" t="s">
        <v>227</v>
      </c>
      <c r="Y239" s="20"/>
      <c r="Z239" s="20"/>
      <c r="AA239" s="53" t="s">
        <v>1780</v>
      </c>
      <c r="AB239" s="89" t="s">
        <v>1477</v>
      </c>
      <c r="AC239" s="90">
        <v>1</v>
      </c>
      <c r="AD239" s="24"/>
      <c r="AE239" s="24"/>
      <c r="AF239" s="24"/>
      <c r="AG239" s="24"/>
      <c r="AH239" s="20"/>
      <c r="AI239" s="42"/>
    </row>
    <row r="240" spans="1:35">
      <c r="A240" s="14"/>
      <c r="B240" s="20"/>
      <c r="C240" s="84" t="s">
        <v>1866</v>
      </c>
      <c r="D240" s="53" t="s">
        <v>1922</v>
      </c>
      <c r="E240" s="53" t="s">
        <v>80</v>
      </c>
      <c r="F240" s="53" t="s">
        <v>1927</v>
      </c>
      <c r="G240" s="53" t="s">
        <v>1928</v>
      </c>
      <c r="H240" s="53"/>
      <c r="I240" s="122">
        <v>34524</v>
      </c>
      <c r="J240" s="24">
        <v>1</v>
      </c>
      <c r="K240" s="24"/>
      <c r="L240" s="24">
        <v>1</v>
      </c>
      <c r="M240" s="24"/>
      <c r="N240" s="24"/>
      <c r="O240" s="79"/>
      <c r="P240" s="24"/>
      <c r="Q240" s="24"/>
      <c r="R240" s="75"/>
      <c r="S240" s="24"/>
      <c r="T240" s="24"/>
      <c r="U240" s="20" t="s">
        <v>859</v>
      </c>
      <c r="V240" s="53" t="s">
        <v>293</v>
      </c>
      <c r="W240" s="53" t="s">
        <v>298</v>
      </c>
      <c r="X240" s="53" t="s">
        <v>227</v>
      </c>
      <c r="Y240" s="20">
        <v>9555226523</v>
      </c>
      <c r="Z240" s="20"/>
      <c r="AA240" s="53" t="s">
        <v>1780</v>
      </c>
      <c r="AB240" s="89" t="s">
        <v>1477</v>
      </c>
      <c r="AC240" s="90">
        <v>1</v>
      </c>
      <c r="AD240" s="24"/>
      <c r="AE240" s="24"/>
      <c r="AF240" s="24"/>
      <c r="AG240" s="24"/>
      <c r="AH240" s="20"/>
      <c r="AI240" s="42"/>
    </row>
    <row r="241" spans="1:35">
      <c r="A241" s="14"/>
      <c r="B241" s="20"/>
      <c r="C241" s="84" t="s">
        <v>1866</v>
      </c>
      <c r="D241" s="53" t="s">
        <v>79</v>
      </c>
      <c r="E241" s="53" t="s">
        <v>80</v>
      </c>
      <c r="F241" s="53" t="s">
        <v>1927</v>
      </c>
      <c r="G241" s="53" t="s">
        <v>1943</v>
      </c>
      <c r="H241" s="53"/>
      <c r="I241" s="122" t="s">
        <v>1939</v>
      </c>
      <c r="J241" s="24">
        <v>1</v>
      </c>
      <c r="K241" s="24"/>
      <c r="L241" s="24">
        <v>1</v>
      </c>
      <c r="M241" s="24"/>
      <c r="N241" s="24"/>
      <c r="O241" s="79"/>
      <c r="P241" s="24"/>
      <c r="Q241" s="24"/>
      <c r="R241" s="75"/>
      <c r="S241" s="24"/>
      <c r="T241" s="24"/>
      <c r="U241" s="20" t="s">
        <v>859</v>
      </c>
      <c r="V241" s="53" t="s">
        <v>293</v>
      </c>
      <c r="W241" s="53" t="s">
        <v>298</v>
      </c>
      <c r="X241" s="53" t="s">
        <v>227</v>
      </c>
      <c r="Y241" s="20">
        <v>9266035750</v>
      </c>
      <c r="Z241" s="20"/>
      <c r="AA241" s="53" t="s">
        <v>1780</v>
      </c>
      <c r="AB241" s="89" t="s">
        <v>1477</v>
      </c>
      <c r="AC241" s="90">
        <v>1</v>
      </c>
      <c r="AD241" s="24"/>
      <c r="AE241" s="24"/>
      <c r="AF241" s="24"/>
      <c r="AG241" s="24"/>
      <c r="AH241" s="20"/>
      <c r="AI241" s="42"/>
    </row>
    <row r="242" spans="1:35">
      <c r="A242" s="14"/>
      <c r="B242" s="20"/>
      <c r="C242" s="84" t="s">
        <v>1866</v>
      </c>
      <c r="D242" s="53" t="s">
        <v>1922</v>
      </c>
      <c r="E242" s="53" t="s">
        <v>80</v>
      </c>
      <c r="F242" s="53" t="s">
        <v>1929</v>
      </c>
      <c r="G242" s="53" t="s">
        <v>315</v>
      </c>
      <c r="H242" s="53"/>
      <c r="I242" s="122" t="s">
        <v>1940</v>
      </c>
      <c r="J242" s="24">
        <v>1</v>
      </c>
      <c r="K242" s="24"/>
      <c r="L242" s="24">
        <v>1</v>
      </c>
      <c r="M242" s="24"/>
      <c r="N242" s="24"/>
      <c r="O242" s="79"/>
      <c r="P242" s="24"/>
      <c r="Q242" s="24"/>
      <c r="R242" s="75"/>
      <c r="S242" s="24"/>
      <c r="T242" s="24"/>
      <c r="U242" s="20" t="s">
        <v>859</v>
      </c>
      <c r="V242" s="53" t="s">
        <v>293</v>
      </c>
      <c r="W242" s="53" t="s">
        <v>298</v>
      </c>
      <c r="X242" s="53" t="s">
        <v>227</v>
      </c>
      <c r="Y242" s="20">
        <v>9750296002</v>
      </c>
      <c r="Z242" s="20"/>
      <c r="AA242" s="53" t="s">
        <v>1780</v>
      </c>
      <c r="AB242" s="89" t="s">
        <v>1477</v>
      </c>
      <c r="AC242" s="90">
        <v>1</v>
      </c>
      <c r="AD242" s="24"/>
      <c r="AE242" s="24"/>
      <c r="AF242" s="24"/>
      <c r="AG242" s="24"/>
      <c r="AH242" s="20"/>
      <c r="AI242" s="42"/>
    </row>
    <row r="243" spans="1:35">
      <c r="A243" s="14"/>
      <c r="B243" s="20"/>
      <c r="C243" s="84" t="s">
        <v>1866</v>
      </c>
      <c r="D243" s="53" t="s">
        <v>79</v>
      </c>
      <c r="E243" s="53" t="s">
        <v>80</v>
      </c>
      <c r="F243" s="53" t="s">
        <v>1930</v>
      </c>
      <c r="G243" s="53" t="s">
        <v>1931</v>
      </c>
      <c r="H243" s="53"/>
      <c r="I243" s="122" t="s">
        <v>1941</v>
      </c>
      <c r="J243" s="24">
        <v>1</v>
      </c>
      <c r="K243" s="24"/>
      <c r="L243" s="24">
        <v>1</v>
      </c>
      <c r="M243" s="24"/>
      <c r="N243" s="24"/>
      <c r="O243" s="79"/>
      <c r="P243" s="24"/>
      <c r="Q243" s="24"/>
      <c r="R243" s="75"/>
      <c r="S243" s="24"/>
      <c r="T243" s="24"/>
      <c r="U243" s="20" t="s">
        <v>295</v>
      </c>
      <c r="V243" s="53" t="s">
        <v>293</v>
      </c>
      <c r="W243" s="53" t="s">
        <v>298</v>
      </c>
      <c r="X243" s="53" t="s">
        <v>227</v>
      </c>
      <c r="Y243" s="20">
        <v>9301870041</v>
      </c>
      <c r="Z243" s="20"/>
      <c r="AA243" s="53" t="s">
        <v>1780</v>
      </c>
      <c r="AB243" s="89" t="s">
        <v>1477</v>
      </c>
      <c r="AC243" s="90">
        <v>1</v>
      </c>
      <c r="AD243" s="24"/>
      <c r="AE243" s="24"/>
      <c r="AF243" s="24"/>
      <c r="AG243" s="24"/>
      <c r="AH243" s="20"/>
      <c r="AI243" s="42"/>
    </row>
    <row r="244" spans="1:35">
      <c r="A244" s="14"/>
      <c r="B244" s="20"/>
      <c r="C244" s="84" t="s">
        <v>1866</v>
      </c>
      <c r="D244" s="53" t="s">
        <v>1922</v>
      </c>
      <c r="E244" s="53" t="s">
        <v>80</v>
      </c>
      <c r="F244" s="53" t="s">
        <v>1930</v>
      </c>
      <c r="G244" s="53" t="s">
        <v>1933</v>
      </c>
      <c r="H244" s="53"/>
      <c r="I244" s="122" t="s">
        <v>1942</v>
      </c>
      <c r="J244" s="24">
        <v>1</v>
      </c>
      <c r="K244" s="24"/>
      <c r="L244" s="24">
        <v>1</v>
      </c>
      <c r="M244" s="24"/>
      <c r="N244" s="24"/>
      <c r="O244" s="79"/>
      <c r="P244" s="24"/>
      <c r="Q244" s="24"/>
      <c r="R244" s="75"/>
      <c r="S244" s="24"/>
      <c r="T244" s="24"/>
      <c r="U244" s="20" t="s">
        <v>295</v>
      </c>
      <c r="V244" s="53" t="s">
        <v>293</v>
      </c>
      <c r="W244" s="53" t="s">
        <v>298</v>
      </c>
      <c r="X244" s="53" t="s">
        <v>227</v>
      </c>
      <c r="Y244" s="20"/>
      <c r="Z244" s="20"/>
      <c r="AA244" s="53" t="s">
        <v>1780</v>
      </c>
      <c r="AB244" s="89" t="s">
        <v>1477</v>
      </c>
      <c r="AC244" s="90">
        <v>1</v>
      </c>
      <c r="AD244" s="24"/>
      <c r="AE244" s="24"/>
      <c r="AF244" s="24"/>
      <c r="AG244" s="24"/>
      <c r="AH244" s="20"/>
      <c r="AI244" s="42"/>
    </row>
    <row r="245" spans="1:35">
      <c r="A245" s="14"/>
      <c r="B245" s="20"/>
      <c r="C245" s="84" t="s">
        <v>1866</v>
      </c>
      <c r="D245" s="53" t="s">
        <v>79</v>
      </c>
      <c r="E245" s="53" t="s">
        <v>80</v>
      </c>
      <c r="F245" s="53" t="s">
        <v>1923</v>
      </c>
      <c r="G245" s="53" t="s">
        <v>1932</v>
      </c>
      <c r="H245" s="53"/>
      <c r="I245" s="122">
        <v>31780</v>
      </c>
      <c r="J245" s="24">
        <v>1</v>
      </c>
      <c r="K245" s="24"/>
      <c r="L245" s="24">
        <v>1</v>
      </c>
      <c r="M245" s="24"/>
      <c r="N245" s="24"/>
      <c r="O245" s="79"/>
      <c r="P245" s="24"/>
      <c r="Q245" s="24"/>
      <c r="R245" s="75"/>
      <c r="S245" s="24"/>
      <c r="T245" s="24"/>
      <c r="U245" s="20" t="s">
        <v>859</v>
      </c>
      <c r="V245" s="53" t="s">
        <v>293</v>
      </c>
      <c r="W245" s="53" t="s">
        <v>298</v>
      </c>
      <c r="X245" s="53" t="s">
        <v>227</v>
      </c>
      <c r="Y245" s="20">
        <v>9973642180</v>
      </c>
      <c r="Z245" s="20"/>
      <c r="AA245" s="53" t="s">
        <v>1780</v>
      </c>
      <c r="AB245" s="89" t="s">
        <v>1477</v>
      </c>
      <c r="AC245" s="90">
        <v>1</v>
      </c>
      <c r="AD245" s="24"/>
      <c r="AE245" s="24"/>
      <c r="AF245" s="24"/>
      <c r="AG245" s="24"/>
      <c r="AH245" s="20"/>
      <c r="AI245" s="42"/>
    </row>
    <row r="246" spans="1:35">
      <c r="A246" s="14"/>
      <c r="B246" s="20"/>
      <c r="C246" s="84" t="s">
        <v>1866</v>
      </c>
      <c r="D246" s="53" t="s">
        <v>1922</v>
      </c>
      <c r="E246" s="53" t="s">
        <v>80</v>
      </c>
      <c r="F246" s="53" t="s">
        <v>1944</v>
      </c>
      <c r="G246" s="53" t="s">
        <v>156</v>
      </c>
      <c r="H246" s="53"/>
      <c r="I246" s="138" t="s">
        <v>1945</v>
      </c>
      <c r="J246" s="24">
        <v>1</v>
      </c>
      <c r="K246" s="24"/>
      <c r="L246" s="24">
        <v>1</v>
      </c>
      <c r="M246" s="24"/>
      <c r="N246" s="24"/>
      <c r="O246" s="79"/>
      <c r="P246" s="24"/>
      <c r="Q246" s="24"/>
      <c r="R246" s="75"/>
      <c r="S246" s="24"/>
      <c r="T246" s="24"/>
      <c r="U246" s="20" t="s">
        <v>859</v>
      </c>
      <c r="V246" s="53" t="s">
        <v>293</v>
      </c>
      <c r="W246" s="53" t="s">
        <v>298</v>
      </c>
      <c r="X246" s="53" t="s">
        <v>227</v>
      </c>
      <c r="Y246" s="20">
        <v>9678700411</v>
      </c>
      <c r="Z246" s="20"/>
      <c r="AA246" s="53" t="s">
        <v>1780</v>
      </c>
      <c r="AB246" s="89" t="s">
        <v>1477</v>
      </c>
      <c r="AC246" s="90">
        <v>1</v>
      </c>
      <c r="AD246" s="24"/>
      <c r="AE246" s="24"/>
      <c r="AF246" s="24"/>
      <c r="AG246" s="24"/>
      <c r="AH246" s="20"/>
      <c r="AI246" s="42"/>
    </row>
    <row r="247" spans="1:35">
      <c r="A247" s="14"/>
      <c r="B247" s="20"/>
      <c r="C247" s="84" t="s">
        <v>1866</v>
      </c>
      <c r="D247" s="53" t="s">
        <v>79</v>
      </c>
      <c r="E247" s="53" t="s">
        <v>80</v>
      </c>
      <c r="F247" s="53" t="s">
        <v>1934</v>
      </c>
      <c r="G247" s="53" t="s">
        <v>1935</v>
      </c>
      <c r="H247" s="53"/>
      <c r="I247" s="139" t="s">
        <v>1946</v>
      </c>
      <c r="J247" s="24">
        <v>1</v>
      </c>
      <c r="K247" s="24"/>
      <c r="L247" s="24">
        <v>1</v>
      </c>
      <c r="M247" s="24"/>
      <c r="N247" s="24"/>
      <c r="O247" s="79"/>
      <c r="P247" s="24"/>
      <c r="Q247" s="24"/>
      <c r="R247" s="75"/>
      <c r="S247" s="24"/>
      <c r="T247" s="24"/>
      <c r="U247" s="20" t="s">
        <v>859</v>
      </c>
      <c r="V247" s="53" t="s">
        <v>293</v>
      </c>
      <c r="W247" s="53" t="s">
        <v>298</v>
      </c>
      <c r="X247" s="53" t="s">
        <v>227</v>
      </c>
      <c r="Y247" s="20"/>
      <c r="Z247" s="20"/>
      <c r="AA247" s="53" t="s">
        <v>1780</v>
      </c>
      <c r="AB247" s="89" t="s">
        <v>1477</v>
      </c>
      <c r="AC247" s="90">
        <v>1</v>
      </c>
      <c r="AD247" s="24"/>
      <c r="AE247" s="24"/>
      <c r="AF247" s="24"/>
      <c r="AG247" s="24"/>
      <c r="AH247" s="20"/>
      <c r="AI247" s="42"/>
    </row>
    <row r="248" spans="1:35">
      <c r="A248" s="14"/>
      <c r="B248" s="20"/>
      <c r="C248" s="84" t="s">
        <v>1866</v>
      </c>
      <c r="D248" s="53" t="s">
        <v>1922</v>
      </c>
      <c r="E248" s="53" t="s">
        <v>80</v>
      </c>
      <c r="F248" s="53" t="s">
        <v>1936</v>
      </c>
      <c r="G248" s="53" t="s">
        <v>689</v>
      </c>
      <c r="H248" s="53"/>
      <c r="I248" s="122" t="s">
        <v>1947</v>
      </c>
      <c r="J248" s="24">
        <v>1</v>
      </c>
      <c r="K248" s="24"/>
      <c r="L248" s="24">
        <v>1</v>
      </c>
      <c r="M248" s="24"/>
      <c r="N248" s="24"/>
      <c r="O248" s="79"/>
      <c r="P248" s="24"/>
      <c r="Q248" s="24"/>
      <c r="R248" s="75"/>
      <c r="S248" s="24"/>
      <c r="T248" s="24"/>
      <c r="U248" s="20" t="s">
        <v>859</v>
      </c>
      <c r="V248" s="53" t="s">
        <v>293</v>
      </c>
      <c r="W248" s="53" t="s">
        <v>298</v>
      </c>
      <c r="X248" s="53" t="s">
        <v>227</v>
      </c>
      <c r="Y248" s="20"/>
      <c r="Z248" s="20"/>
      <c r="AA248" s="53" t="s">
        <v>1780</v>
      </c>
      <c r="AB248" s="89" t="s">
        <v>1477</v>
      </c>
      <c r="AC248" s="90">
        <v>1</v>
      </c>
      <c r="AD248" s="24"/>
      <c r="AE248" s="24"/>
      <c r="AF248" s="24"/>
      <c r="AG248" s="24"/>
      <c r="AH248" s="20"/>
      <c r="AI248" s="42"/>
    </row>
    <row r="249" spans="1:35" ht="16.5" customHeight="1">
      <c r="A249" s="14"/>
      <c r="B249" s="20"/>
      <c r="C249" s="84" t="s">
        <v>1866</v>
      </c>
      <c r="D249" s="53" t="s">
        <v>79</v>
      </c>
      <c r="E249" s="53" t="s">
        <v>80</v>
      </c>
      <c r="F249" s="53" t="s">
        <v>1937</v>
      </c>
      <c r="G249" s="53" t="s">
        <v>1938</v>
      </c>
      <c r="H249" s="53"/>
      <c r="I249" s="122" t="s">
        <v>1948</v>
      </c>
      <c r="J249" s="24">
        <v>1</v>
      </c>
      <c r="K249" s="24"/>
      <c r="L249" s="24">
        <v>1</v>
      </c>
      <c r="M249" s="24"/>
      <c r="N249" s="24"/>
      <c r="O249" s="79"/>
      <c r="P249" s="24"/>
      <c r="Q249" s="24"/>
      <c r="R249" s="75"/>
      <c r="S249" s="24"/>
      <c r="T249" s="24"/>
      <c r="U249" s="20" t="s">
        <v>859</v>
      </c>
      <c r="V249" s="53" t="s">
        <v>293</v>
      </c>
      <c r="W249" s="53" t="s">
        <v>298</v>
      </c>
      <c r="X249" s="53" t="s">
        <v>227</v>
      </c>
      <c r="Y249" s="20"/>
      <c r="Z249" s="20"/>
      <c r="AA249" s="53" t="s">
        <v>1780</v>
      </c>
      <c r="AB249" s="89" t="s">
        <v>1477</v>
      </c>
      <c r="AC249" s="90">
        <v>1</v>
      </c>
      <c r="AD249" s="24"/>
      <c r="AE249" s="24"/>
      <c r="AF249" s="24"/>
      <c r="AG249" s="24"/>
      <c r="AH249" s="20"/>
      <c r="AI249" s="42"/>
    </row>
    <row r="250" spans="1:35" s="120" customFormat="1" ht="47.25">
      <c r="A250" s="118"/>
      <c r="B250" s="77"/>
      <c r="C250" s="77" t="s">
        <v>1866</v>
      </c>
      <c r="D250" s="77" t="s">
        <v>1782</v>
      </c>
      <c r="E250" s="77" t="s">
        <v>1949</v>
      </c>
      <c r="F250" s="77" t="s">
        <v>1885</v>
      </c>
      <c r="G250" s="77" t="s">
        <v>1950</v>
      </c>
      <c r="H250" s="77" t="s">
        <v>286</v>
      </c>
      <c r="I250" s="122"/>
      <c r="J250" s="90">
        <v>1</v>
      </c>
      <c r="K250" s="90"/>
      <c r="L250" s="90"/>
      <c r="M250" s="90"/>
      <c r="N250" s="90"/>
      <c r="O250" s="79"/>
      <c r="P250" s="90"/>
      <c r="Q250" s="73">
        <v>1</v>
      </c>
      <c r="R250" s="121" t="s">
        <v>1009</v>
      </c>
      <c r="S250" s="73">
        <v>1</v>
      </c>
      <c r="T250" s="90"/>
      <c r="U250" s="78" t="s">
        <v>93</v>
      </c>
      <c r="V250" s="83" t="s">
        <v>293</v>
      </c>
      <c r="W250" s="87" t="s">
        <v>298</v>
      </c>
      <c r="X250" s="87" t="s">
        <v>227</v>
      </c>
      <c r="Y250" s="77"/>
      <c r="Z250" s="77"/>
      <c r="AA250" s="89" t="s">
        <v>1951</v>
      </c>
      <c r="AB250" s="89" t="s">
        <v>228</v>
      </c>
      <c r="AC250" s="90">
        <v>5</v>
      </c>
      <c r="AD250" s="90"/>
      <c r="AE250" s="90"/>
      <c r="AF250" s="90"/>
      <c r="AG250" s="90"/>
      <c r="AH250" s="77"/>
      <c r="AI250" s="119"/>
    </row>
    <row r="251" spans="1:35" ht="47.25">
      <c r="A251" s="14"/>
      <c r="B251" s="20"/>
      <c r="C251" s="77" t="s">
        <v>1866</v>
      </c>
      <c r="D251" s="77" t="s">
        <v>1782</v>
      </c>
      <c r="E251" s="77" t="s">
        <v>1794</v>
      </c>
      <c r="F251" s="77" t="s">
        <v>1795</v>
      </c>
      <c r="G251" s="77" t="s">
        <v>1796</v>
      </c>
      <c r="H251" s="77" t="s">
        <v>120</v>
      </c>
      <c r="I251" s="122"/>
      <c r="J251" s="90">
        <v>1</v>
      </c>
      <c r="K251" s="24"/>
      <c r="L251" s="24"/>
      <c r="M251" s="24"/>
      <c r="N251" s="24"/>
      <c r="O251" s="79"/>
      <c r="P251" s="24"/>
      <c r="Q251" s="73">
        <v>1</v>
      </c>
      <c r="R251" s="121" t="s">
        <v>1009</v>
      </c>
      <c r="S251" s="73">
        <v>1</v>
      </c>
      <c r="T251" s="24"/>
      <c r="U251" s="20"/>
      <c r="V251" s="83" t="s">
        <v>355</v>
      </c>
      <c r="W251" s="87" t="s">
        <v>280</v>
      </c>
      <c r="X251" s="83" t="s">
        <v>227</v>
      </c>
      <c r="Y251" s="20"/>
      <c r="Z251" s="20"/>
      <c r="AA251" s="89" t="s">
        <v>1952</v>
      </c>
      <c r="AB251" s="89" t="s">
        <v>228</v>
      </c>
      <c r="AC251" s="90">
        <v>6</v>
      </c>
      <c r="AD251" s="24"/>
      <c r="AE251" s="24"/>
      <c r="AF251" s="24"/>
      <c r="AG251" s="24"/>
      <c r="AH251" s="20"/>
      <c r="AI251" s="42"/>
    </row>
    <row r="252" spans="1:35" ht="141.75">
      <c r="A252" s="14"/>
      <c r="B252" s="20"/>
      <c r="C252" s="77" t="s">
        <v>1866</v>
      </c>
      <c r="D252" s="77" t="s">
        <v>1782</v>
      </c>
      <c r="E252" s="77" t="s">
        <v>1963</v>
      </c>
      <c r="F252" s="77" t="s">
        <v>1954</v>
      </c>
      <c r="G252" s="77" t="s">
        <v>494</v>
      </c>
      <c r="H252" s="77" t="s">
        <v>136</v>
      </c>
      <c r="I252" s="122"/>
      <c r="J252" s="90">
        <v>1</v>
      </c>
      <c r="K252" s="90"/>
      <c r="L252" s="90"/>
      <c r="M252" s="90">
        <v>1</v>
      </c>
      <c r="N252" s="90"/>
      <c r="O252" s="79"/>
      <c r="P252" s="90"/>
      <c r="Q252" s="90">
        <v>1</v>
      </c>
      <c r="R252" s="90" t="s">
        <v>1009</v>
      </c>
      <c r="S252" s="90">
        <v>1</v>
      </c>
      <c r="T252" s="90" t="s">
        <v>93</v>
      </c>
      <c r="U252" s="77"/>
      <c r="V252" s="77" t="s">
        <v>218</v>
      </c>
      <c r="W252" s="89" t="s">
        <v>279</v>
      </c>
      <c r="X252" s="77" t="s">
        <v>227</v>
      </c>
      <c r="Y252" s="20"/>
      <c r="Z252" s="20"/>
      <c r="AA252" s="53" t="s">
        <v>1965</v>
      </c>
      <c r="AB252" s="83" t="s">
        <v>228</v>
      </c>
      <c r="AC252" s="73">
        <v>25</v>
      </c>
      <c r="AD252" s="24"/>
      <c r="AE252" s="24"/>
      <c r="AF252" s="24"/>
      <c r="AG252" s="24"/>
      <c r="AH252" s="20"/>
      <c r="AI252" s="42"/>
    </row>
    <row r="253" spans="1:35">
      <c r="A253" s="14"/>
      <c r="B253" s="20"/>
      <c r="C253" s="20" t="s">
        <v>1866</v>
      </c>
      <c r="D253" s="20" t="s">
        <v>1922</v>
      </c>
      <c r="E253" s="20" t="s">
        <v>80</v>
      </c>
      <c r="F253" s="20" t="s">
        <v>161</v>
      </c>
      <c r="G253" s="20" t="s">
        <v>150</v>
      </c>
      <c r="H253" s="20" t="s">
        <v>1600</v>
      </c>
      <c r="I253" s="116">
        <v>22465</v>
      </c>
      <c r="J253" s="24">
        <v>1</v>
      </c>
      <c r="K253" s="24"/>
      <c r="L253" s="24">
        <v>1</v>
      </c>
      <c r="M253" s="24"/>
      <c r="N253" s="24"/>
      <c r="O253" s="24"/>
      <c r="P253" s="24"/>
      <c r="Q253" s="24"/>
      <c r="R253" s="24"/>
      <c r="S253" s="24"/>
      <c r="T253" s="24"/>
      <c r="U253" s="20" t="s">
        <v>221</v>
      </c>
      <c r="V253" s="20" t="s">
        <v>218</v>
      </c>
      <c r="W253" s="53" t="s">
        <v>279</v>
      </c>
      <c r="X253" s="20" t="s">
        <v>227</v>
      </c>
      <c r="Y253" s="20"/>
      <c r="Z253" s="20"/>
      <c r="AA253" s="20" t="s">
        <v>2008</v>
      </c>
      <c r="AB253" s="20" t="s">
        <v>2009</v>
      </c>
      <c r="AC253" s="24">
        <v>1</v>
      </c>
      <c r="AD253" s="24"/>
      <c r="AE253" s="24"/>
      <c r="AF253" s="24"/>
      <c r="AG253" s="24"/>
      <c r="AH253" s="20"/>
      <c r="AI253" s="42"/>
    </row>
    <row r="254" spans="1:35">
      <c r="A254" s="14"/>
      <c r="B254" s="20"/>
      <c r="C254" s="20" t="s">
        <v>1866</v>
      </c>
      <c r="D254" s="20" t="s">
        <v>1922</v>
      </c>
      <c r="E254" s="20" t="s">
        <v>80</v>
      </c>
      <c r="F254" s="20" t="s">
        <v>161</v>
      </c>
      <c r="G254" s="20" t="s">
        <v>177</v>
      </c>
      <c r="H254" s="20" t="s">
        <v>1040</v>
      </c>
      <c r="I254" s="116">
        <v>25455</v>
      </c>
      <c r="J254" s="24">
        <v>1</v>
      </c>
      <c r="K254" s="24"/>
      <c r="L254" s="24">
        <v>1</v>
      </c>
      <c r="M254" s="24"/>
      <c r="N254" s="24"/>
      <c r="O254" s="24"/>
      <c r="P254" s="24"/>
      <c r="Q254" s="24"/>
      <c r="R254" s="24"/>
      <c r="S254" s="24"/>
      <c r="T254" s="24"/>
      <c r="U254" s="20" t="s">
        <v>221</v>
      </c>
      <c r="V254" s="20" t="s">
        <v>218</v>
      </c>
      <c r="W254" s="53" t="s">
        <v>279</v>
      </c>
      <c r="X254" s="20" t="s">
        <v>227</v>
      </c>
      <c r="Y254" s="20"/>
      <c r="Z254" s="20"/>
      <c r="AA254" s="20" t="s">
        <v>2008</v>
      </c>
      <c r="AB254" s="20" t="s">
        <v>2009</v>
      </c>
      <c r="AC254" s="24">
        <v>1</v>
      </c>
      <c r="AD254" s="24"/>
      <c r="AE254" s="24"/>
      <c r="AF254" s="24"/>
      <c r="AG254" s="24"/>
      <c r="AH254" s="20"/>
      <c r="AI254" s="42"/>
    </row>
    <row r="255" spans="1:35">
      <c r="A255" s="14"/>
      <c r="B255" s="20"/>
      <c r="C255" s="20" t="s">
        <v>1866</v>
      </c>
      <c r="D255" s="20" t="s">
        <v>1922</v>
      </c>
      <c r="E255" s="20" t="s">
        <v>80</v>
      </c>
      <c r="F255" s="20" t="s">
        <v>155</v>
      </c>
      <c r="G255" s="20" t="s">
        <v>1322</v>
      </c>
      <c r="H255" s="20" t="s">
        <v>120</v>
      </c>
      <c r="I255" s="116">
        <v>36515</v>
      </c>
      <c r="J255" s="24">
        <v>1</v>
      </c>
      <c r="K255" s="24"/>
      <c r="L255" s="24">
        <v>1</v>
      </c>
      <c r="M255" s="24"/>
      <c r="N255" s="24"/>
      <c r="O255" s="24"/>
      <c r="P255" s="24"/>
      <c r="Q255" s="24"/>
      <c r="R255" s="24"/>
      <c r="S255" s="24"/>
      <c r="T255" s="24"/>
      <c r="U255" s="20" t="s">
        <v>221</v>
      </c>
      <c r="V255" s="20" t="s">
        <v>218</v>
      </c>
      <c r="W255" s="53" t="s">
        <v>279</v>
      </c>
      <c r="X255" s="20" t="s">
        <v>227</v>
      </c>
      <c r="Y255" s="20"/>
      <c r="Z255" s="20"/>
      <c r="AA255" s="20" t="s">
        <v>2008</v>
      </c>
      <c r="AB255" s="20" t="s">
        <v>2009</v>
      </c>
      <c r="AC255" s="24">
        <v>1</v>
      </c>
      <c r="AD255" s="24"/>
      <c r="AE255" s="24"/>
      <c r="AF255" s="24"/>
      <c r="AG255" s="24"/>
      <c r="AH255" s="20"/>
      <c r="AI255" s="42"/>
    </row>
    <row r="256" spans="1:35">
      <c r="A256" s="14"/>
      <c r="B256" s="20"/>
      <c r="C256" s="20" t="s">
        <v>1866</v>
      </c>
      <c r="D256" s="20" t="s">
        <v>1922</v>
      </c>
      <c r="E256" s="20" t="s">
        <v>80</v>
      </c>
      <c r="F256" s="20" t="s">
        <v>161</v>
      </c>
      <c r="G256" s="20" t="s">
        <v>162</v>
      </c>
      <c r="H256" s="20" t="s">
        <v>742</v>
      </c>
      <c r="I256" s="116">
        <v>25905</v>
      </c>
      <c r="J256" s="24">
        <v>1</v>
      </c>
      <c r="K256" s="24"/>
      <c r="L256" s="24">
        <v>1</v>
      </c>
      <c r="M256" s="24"/>
      <c r="N256" s="24"/>
      <c r="O256" s="24"/>
      <c r="P256" s="24"/>
      <c r="Q256" s="24"/>
      <c r="R256" s="24"/>
      <c r="S256" s="24"/>
      <c r="T256" s="24"/>
      <c r="U256" s="20" t="s">
        <v>221</v>
      </c>
      <c r="V256" s="20" t="s">
        <v>218</v>
      </c>
      <c r="W256" s="53" t="s">
        <v>279</v>
      </c>
      <c r="X256" s="20" t="s">
        <v>227</v>
      </c>
      <c r="Y256" s="20"/>
      <c r="Z256" s="20"/>
      <c r="AA256" s="20" t="s">
        <v>2008</v>
      </c>
      <c r="AB256" s="20" t="s">
        <v>2009</v>
      </c>
      <c r="AC256" s="24">
        <v>1</v>
      </c>
      <c r="AD256" s="24"/>
      <c r="AE256" s="24"/>
      <c r="AF256" s="24"/>
      <c r="AG256" s="24"/>
      <c r="AH256" s="20"/>
      <c r="AI256" s="42"/>
    </row>
    <row r="257" spans="1:35">
      <c r="A257" s="14"/>
      <c r="B257" s="20"/>
      <c r="C257" s="20" t="s">
        <v>1866</v>
      </c>
      <c r="D257" s="20" t="s">
        <v>1922</v>
      </c>
      <c r="E257" s="20" t="s">
        <v>80</v>
      </c>
      <c r="F257" s="20" t="s">
        <v>171</v>
      </c>
      <c r="G257" s="20" t="s">
        <v>172</v>
      </c>
      <c r="H257" s="20" t="s">
        <v>604</v>
      </c>
      <c r="I257" s="116">
        <v>35149</v>
      </c>
      <c r="J257" s="24">
        <v>1</v>
      </c>
      <c r="K257" s="24"/>
      <c r="L257" s="24">
        <v>1</v>
      </c>
      <c r="M257" s="24"/>
      <c r="N257" s="24"/>
      <c r="O257" s="24"/>
      <c r="P257" s="24"/>
      <c r="Q257" s="24"/>
      <c r="R257" s="24"/>
      <c r="S257" s="24"/>
      <c r="T257" s="24"/>
      <c r="U257" s="20" t="s">
        <v>221</v>
      </c>
      <c r="V257" s="20" t="s">
        <v>218</v>
      </c>
      <c r="W257" s="53" t="s">
        <v>279</v>
      </c>
      <c r="X257" s="20" t="s">
        <v>227</v>
      </c>
      <c r="Y257" s="20"/>
      <c r="Z257" s="20"/>
      <c r="AA257" s="20" t="s">
        <v>2008</v>
      </c>
      <c r="AB257" s="20" t="s">
        <v>2009</v>
      </c>
      <c r="AC257" s="24">
        <v>1</v>
      </c>
      <c r="AD257" s="24"/>
      <c r="AE257" s="24"/>
      <c r="AF257" s="24"/>
      <c r="AG257" s="24"/>
      <c r="AH257" s="20"/>
      <c r="AI257" s="42"/>
    </row>
    <row r="258" spans="1:35">
      <c r="A258" s="14"/>
      <c r="B258" s="20"/>
      <c r="C258" s="20" t="s">
        <v>1866</v>
      </c>
      <c r="D258" s="20" t="s">
        <v>1922</v>
      </c>
      <c r="E258" s="20" t="s">
        <v>80</v>
      </c>
      <c r="F258" s="20" t="s">
        <v>2010</v>
      </c>
      <c r="G258" s="20" t="s">
        <v>2011</v>
      </c>
      <c r="H258" s="20" t="s">
        <v>604</v>
      </c>
      <c r="I258" s="116">
        <v>27583</v>
      </c>
      <c r="J258" s="24">
        <v>1</v>
      </c>
      <c r="K258" s="24"/>
      <c r="L258" s="24">
        <v>1</v>
      </c>
      <c r="M258" s="24"/>
      <c r="N258" s="24"/>
      <c r="O258" s="24"/>
      <c r="P258" s="24"/>
      <c r="Q258" s="24"/>
      <c r="R258" s="24"/>
      <c r="S258" s="24"/>
      <c r="T258" s="24"/>
      <c r="U258" s="20" t="s">
        <v>221</v>
      </c>
      <c r="V258" s="20" t="s">
        <v>218</v>
      </c>
      <c r="W258" s="53" t="s">
        <v>279</v>
      </c>
      <c r="X258" s="20" t="s">
        <v>227</v>
      </c>
      <c r="Y258" s="20"/>
      <c r="Z258" s="20"/>
      <c r="AA258" s="20" t="s">
        <v>2008</v>
      </c>
      <c r="AB258" s="20" t="s">
        <v>2009</v>
      </c>
      <c r="AC258" s="24">
        <v>1</v>
      </c>
      <c r="AD258" s="24"/>
      <c r="AE258" s="24"/>
      <c r="AF258" s="24"/>
      <c r="AG258" s="24"/>
      <c r="AH258" s="20"/>
      <c r="AI258" s="42"/>
    </row>
    <row r="259" spans="1:35">
      <c r="A259" s="14"/>
      <c r="B259" s="20"/>
      <c r="C259" s="20" t="s">
        <v>1866</v>
      </c>
      <c r="D259" s="20" t="s">
        <v>1922</v>
      </c>
      <c r="E259" s="20" t="s">
        <v>80</v>
      </c>
      <c r="F259" s="20" t="s">
        <v>161</v>
      </c>
      <c r="G259" s="20" t="s">
        <v>1324</v>
      </c>
      <c r="H259" s="20"/>
      <c r="I259" s="116">
        <v>24947</v>
      </c>
      <c r="J259" s="24">
        <v>1</v>
      </c>
      <c r="K259" s="24"/>
      <c r="L259" s="24">
        <v>1</v>
      </c>
      <c r="M259" s="24"/>
      <c r="N259" s="24"/>
      <c r="O259" s="24"/>
      <c r="P259" s="24"/>
      <c r="Q259" s="24"/>
      <c r="R259" s="24"/>
      <c r="S259" s="24"/>
      <c r="T259" s="24"/>
      <c r="U259" s="20" t="s">
        <v>221</v>
      </c>
      <c r="V259" s="20" t="s">
        <v>218</v>
      </c>
      <c r="W259" s="53" t="s">
        <v>279</v>
      </c>
      <c r="X259" s="20" t="s">
        <v>227</v>
      </c>
      <c r="Y259" s="20"/>
      <c r="Z259" s="20"/>
      <c r="AA259" s="20" t="s">
        <v>2008</v>
      </c>
      <c r="AB259" s="20" t="s">
        <v>2009</v>
      </c>
      <c r="AC259" s="24">
        <v>1</v>
      </c>
      <c r="AD259" s="24"/>
      <c r="AE259" s="24"/>
      <c r="AF259" s="24"/>
      <c r="AG259" s="24"/>
      <c r="AH259" s="20"/>
      <c r="AI259" s="42"/>
    </row>
    <row r="260" spans="1:35">
      <c r="A260" s="14"/>
      <c r="B260" s="20"/>
      <c r="C260" s="20" t="s">
        <v>1866</v>
      </c>
      <c r="D260" s="20" t="s">
        <v>1922</v>
      </c>
      <c r="E260" s="20" t="s">
        <v>80</v>
      </c>
      <c r="F260" s="20" t="s">
        <v>1228</v>
      </c>
      <c r="G260" s="20" t="s">
        <v>800</v>
      </c>
      <c r="H260" s="20" t="s">
        <v>113</v>
      </c>
      <c r="I260" s="116">
        <v>26798</v>
      </c>
      <c r="J260" s="24">
        <v>1</v>
      </c>
      <c r="K260" s="24"/>
      <c r="L260" s="24">
        <v>1</v>
      </c>
      <c r="M260" s="24"/>
      <c r="N260" s="24"/>
      <c r="O260" s="24"/>
      <c r="P260" s="24"/>
      <c r="Q260" s="24"/>
      <c r="R260" s="24"/>
      <c r="S260" s="24"/>
      <c r="T260" s="24"/>
      <c r="U260" s="20" t="s">
        <v>221</v>
      </c>
      <c r="V260" s="20" t="s">
        <v>218</v>
      </c>
      <c r="W260" s="53" t="s">
        <v>279</v>
      </c>
      <c r="X260" s="20" t="s">
        <v>227</v>
      </c>
      <c r="Y260" s="20"/>
      <c r="Z260" s="20"/>
      <c r="AA260" s="20" t="s">
        <v>2008</v>
      </c>
      <c r="AB260" s="20" t="s">
        <v>2009</v>
      </c>
      <c r="AC260" s="24">
        <v>1</v>
      </c>
      <c r="AD260" s="24"/>
      <c r="AE260" s="24"/>
      <c r="AF260" s="24"/>
      <c r="AG260" s="24"/>
      <c r="AH260" s="20"/>
      <c r="AI260" s="42"/>
    </row>
    <row r="261" spans="1:35">
      <c r="A261" s="14"/>
      <c r="B261" s="20"/>
      <c r="C261" s="20" t="s">
        <v>1866</v>
      </c>
      <c r="D261" s="20" t="s">
        <v>1922</v>
      </c>
      <c r="E261" s="20" t="s">
        <v>80</v>
      </c>
      <c r="F261" s="20" t="s">
        <v>158</v>
      </c>
      <c r="G261" s="20" t="s">
        <v>159</v>
      </c>
      <c r="H261" s="20" t="s">
        <v>160</v>
      </c>
      <c r="I261" s="116">
        <v>25119</v>
      </c>
      <c r="J261" s="24">
        <v>1</v>
      </c>
      <c r="K261" s="24"/>
      <c r="L261" s="24">
        <v>1</v>
      </c>
      <c r="M261" s="24"/>
      <c r="N261" s="24"/>
      <c r="O261" s="24"/>
      <c r="P261" s="24"/>
      <c r="Q261" s="24"/>
      <c r="R261" s="24"/>
      <c r="S261" s="24"/>
      <c r="T261" s="24"/>
      <c r="U261" s="20" t="s">
        <v>221</v>
      </c>
      <c r="V261" s="20" t="s">
        <v>218</v>
      </c>
      <c r="W261" s="53" t="s">
        <v>279</v>
      </c>
      <c r="X261" s="20" t="s">
        <v>227</v>
      </c>
      <c r="Y261" s="20"/>
      <c r="Z261" s="20"/>
      <c r="AA261" s="20" t="s">
        <v>2008</v>
      </c>
      <c r="AB261" s="20" t="s">
        <v>2009</v>
      </c>
      <c r="AC261" s="24">
        <v>1</v>
      </c>
      <c r="AD261" s="24"/>
      <c r="AE261" s="24"/>
      <c r="AF261" s="24"/>
      <c r="AG261" s="24"/>
      <c r="AH261" s="20"/>
      <c r="AI261" s="42"/>
    </row>
    <row r="262" spans="1:35">
      <c r="A262" s="14"/>
      <c r="B262" s="20"/>
      <c r="C262" s="20" t="s">
        <v>1866</v>
      </c>
      <c r="D262" s="20" t="s">
        <v>1922</v>
      </c>
      <c r="E262" s="20" t="s">
        <v>80</v>
      </c>
      <c r="F262" s="20" t="s">
        <v>174</v>
      </c>
      <c r="G262" s="20" t="s">
        <v>1325</v>
      </c>
      <c r="H262" s="20"/>
      <c r="I262" s="116">
        <v>18071</v>
      </c>
      <c r="J262" s="24">
        <v>1</v>
      </c>
      <c r="K262" s="24"/>
      <c r="L262" s="24">
        <v>1</v>
      </c>
      <c r="M262" s="24">
        <v>1</v>
      </c>
      <c r="N262" s="24"/>
      <c r="O262" s="24"/>
      <c r="P262" s="24"/>
      <c r="Q262" s="24"/>
      <c r="R262" s="24"/>
      <c r="S262" s="24"/>
      <c r="T262" s="24"/>
      <c r="U262" s="20" t="s">
        <v>221</v>
      </c>
      <c r="V262" s="20" t="s">
        <v>218</v>
      </c>
      <c r="W262" s="53" t="s">
        <v>279</v>
      </c>
      <c r="X262" s="20" t="s">
        <v>227</v>
      </c>
      <c r="Y262" s="20"/>
      <c r="Z262" s="20"/>
      <c r="AA262" s="20" t="s">
        <v>2008</v>
      </c>
      <c r="AB262" s="20" t="s">
        <v>2009</v>
      </c>
      <c r="AC262" s="24">
        <v>1</v>
      </c>
      <c r="AD262" s="24"/>
      <c r="AE262" s="24"/>
      <c r="AF262" s="24"/>
      <c r="AG262" s="24"/>
      <c r="AH262" s="20"/>
      <c r="AI262" s="42"/>
    </row>
    <row r="263" spans="1:35">
      <c r="A263" s="14" t="s">
        <v>93</v>
      </c>
      <c r="B263" s="20"/>
      <c r="C263" s="20" t="s">
        <v>1866</v>
      </c>
      <c r="D263" s="20" t="s">
        <v>1922</v>
      </c>
      <c r="E263" s="20" t="s">
        <v>80</v>
      </c>
      <c r="F263" s="20" t="s">
        <v>161</v>
      </c>
      <c r="G263" s="20" t="s">
        <v>1231</v>
      </c>
      <c r="H263" s="20" t="s">
        <v>113</v>
      </c>
      <c r="I263" s="116">
        <v>35851</v>
      </c>
      <c r="J263" s="24">
        <v>1</v>
      </c>
      <c r="K263" s="24"/>
      <c r="L263" s="24">
        <v>1</v>
      </c>
      <c r="M263" s="24"/>
      <c r="N263" s="24"/>
      <c r="O263" s="24"/>
      <c r="P263" s="24"/>
      <c r="Q263" s="24"/>
      <c r="R263" s="24"/>
      <c r="S263" s="24"/>
      <c r="T263" s="24"/>
      <c r="U263" s="20" t="s">
        <v>221</v>
      </c>
      <c r="V263" s="20" t="s">
        <v>218</v>
      </c>
      <c r="W263" s="53" t="s">
        <v>279</v>
      </c>
      <c r="X263" s="20" t="s">
        <v>227</v>
      </c>
      <c r="Y263" s="20"/>
      <c r="Z263" s="20"/>
      <c r="AA263" s="20" t="s">
        <v>2008</v>
      </c>
      <c r="AB263" s="20" t="s">
        <v>2009</v>
      </c>
      <c r="AC263" s="24">
        <v>1</v>
      </c>
      <c r="AD263" s="24"/>
      <c r="AE263" s="24"/>
      <c r="AF263" s="24"/>
      <c r="AG263" s="24"/>
      <c r="AH263" s="20"/>
      <c r="AI263" s="42"/>
    </row>
    <row r="264" spans="1:35">
      <c r="A264" s="14"/>
      <c r="B264" s="20"/>
      <c r="C264" s="20" t="s">
        <v>1866</v>
      </c>
      <c r="D264" s="20" t="s">
        <v>1922</v>
      </c>
      <c r="E264" s="20" t="s">
        <v>80</v>
      </c>
      <c r="F264" s="20" t="s">
        <v>166</v>
      </c>
      <c r="G264" s="20" t="s">
        <v>2012</v>
      </c>
      <c r="H264" s="20" t="s">
        <v>283</v>
      </c>
      <c r="I264" s="116">
        <v>25139</v>
      </c>
      <c r="J264" s="24">
        <v>1</v>
      </c>
      <c r="K264" s="24"/>
      <c r="L264" s="24">
        <v>1</v>
      </c>
      <c r="M264" s="24"/>
      <c r="N264" s="24"/>
      <c r="O264" s="24"/>
      <c r="P264" s="24"/>
      <c r="Q264" s="24"/>
      <c r="R264" s="24"/>
      <c r="S264" s="24"/>
      <c r="T264" s="24"/>
      <c r="U264" s="20" t="s">
        <v>221</v>
      </c>
      <c r="V264" s="20" t="s">
        <v>218</v>
      </c>
      <c r="W264" s="53" t="s">
        <v>279</v>
      </c>
      <c r="X264" s="20" t="s">
        <v>227</v>
      </c>
      <c r="Y264" s="20"/>
      <c r="Z264" s="20"/>
      <c r="AA264" s="20" t="s">
        <v>2008</v>
      </c>
      <c r="AB264" s="20" t="s">
        <v>2009</v>
      </c>
      <c r="AC264" s="24">
        <v>1</v>
      </c>
      <c r="AD264" s="24"/>
      <c r="AE264" s="24"/>
      <c r="AF264" s="24"/>
      <c r="AG264" s="24"/>
      <c r="AH264" s="20"/>
      <c r="AI264" s="42"/>
    </row>
    <row r="265" spans="1:35">
      <c r="A265" s="14"/>
      <c r="B265" s="20"/>
      <c r="C265" s="20" t="s">
        <v>2126</v>
      </c>
      <c r="D265" s="20" t="s">
        <v>79</v>
      </c>
      <c r="E265" s="20" t="s">
        <v>80</v>
      </c>
      <c r="F265" s="20" t="s">
        <v>2149</v>
      </c>
      <c r="G265" s="20" t="s">
        <v>1158</v>
      </c>
      <c r="H265" s="20"/>
      <c r="I265" s="116">
        <v>33232</v>
      </c>
      <c r="J265" s="24">
        <v>1</v>
      </c>
      <c r="K265" s="24"/>
      <c r="L265" s="24">
        <v>1</v>
      </c>
      <c r="M265" s="24"/>
      <c r="N265" s="24"/>
      <c r="O265" s="24"/>
      <c r="P265" s="24"/>
      <c r="Q265" s="24"/>
      <c r="R265" s="24"/>
      <c r="S265" s="24"/>
      <c r="T265" s="24"/>
      <c r="U265" s="20" t="s">
        <v>1369</v>
      </c>
      <c r="V265" s="20" t="s">
        <v>949</v>
      </c>
      <c r="W265" s="53" t="s">
        <v>280</v>
      </c>
      <c r="X265" s="20" t="s">
        <v>227</v>
      </c>
      <c r="Y265" s="20"/>
      <c r="Z265" s="20"/>
      <c r="AA265" s="20" t="s">
        <v>2152</v>
      </c>
      <c r="AB265" s="20" t="s">
        <v>1815</v>
      </c>
      <c r="AC265" s="24">
        <v>1</v>
      </c>
      <c r="AD265" s="24"/>
      <c r="AE265" s="24"/>
      <c r="AF265" s="24"/>
      <c r="AG265" s="24"/>
      <c r="AH265" s="20"/>
      <c r="AI265" s="42"/>
    </row>
    <row r="266" spans="1:35">
      <c r="A266" s="14"/>
      <c r="B266" s="20"/>
      <c r="C266" s="20"/>
      <c r="D266" s="20"/>
      <c r="E266" s="20"/>
      <c r="F266" s="20"/>
      <c r="G266" s="20"/>
      <c r="H266" s="20"/>
      <c r="I266" s="116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0"/>
      <c r="V266" s="20"/>
      <c r="W266" s="53"/>
      <c r="X266" s="20"/>
      <c r="Y266" s="20"/>
      <c r="Z266" s="20"/>
      <c r="AA266" s="20" t="s">
        <v>2153</v>
      </c>
      <c r="AB266" s="20" t="s">
        <v>1815</v>
      </c>
      <c r="AC266" s="24">
        <v>1</v>
      </c>
      <c r="AD266" s="24"/>
      <c r="AE266" s="24"/>
      <c r="AF266" s="24"/>
      <c r="AG266" s="24"/>
      <c r="AH266" s="20"/>
      <c r="AI266" s="42"/>
    </row>
    <row r="267" spans="1:35">
      <c r="A267" s="14"/>
      <c r="B267" s="20"/>
      <c r="C267" s="20" t="s">
        <v>2126</v>
      </c>
      <c r="D267" s="20" t="s">
        <v>79</v>
      </c>
      <c r="E267" s="20" t="s">
        <v>80</v>
      </c>
      <c r="F267" s="20" t="s">
        <v>2150</v>
      </c>
      <c r="G267" s="20" t="s">
        <v>1047</v>
      </c>
      <c r="H267" s="20"/>
      <c r="I267" s="116">
        <v>32208</v>
      </c>
      <c r="J267" s="24">
        <v>1</v>
      </c>
      <c r="K267" s="24"/>
      <c r="L267" s="24">
        <v>1</v>
      </c>
      <c r="M267" s="24"/>
      <c r="N267" s="24"/>
      <c r="O267" s="24"/>
      <c r="P267" s="24"/>
      <c r="Q267" s="24"/>
      <c r="R267" s="24"/>
      <c r="S267" s="24"/>
      <c r="T267" s="24"/>
      <c r="U267" s="20" t="s">
        <v>1369</v>
      </c>
      <c r="V267" s="20" t="s">
        <v>949</v>
      </c>
      <c r="W267" s="53" t="s">
        <v>280</v>
      </c>
      <c r="X267" s="20" t="s">
        <v>227</v>
      </c>
      <c r="Y267" s="20"/>
      <c r="Z267" s="20"/>
      <c r="AA267" s="20" t="s">
        <v>2152</v>
      </c>
      <c r="AB267" s="20" t="s">
        <v>1815</v>
      </c>
      <c r="AC267" s="24">
        <v>1</v>
      </c>
      <c r="AD267" s="24"/>
      <c r="AE267" s="24"/>
      <c r="AF267" s="24"/>
      <c r="AG267" s="24"/>
      <c r="AH267" s="20"/>
      <c r="AI267" s="42"/>
    </row>
    <row r="268" spans="1:35">
      <c r="A268" s="14"/>
      <c r="B268" s="20"/>
      <c r="C268" s="20"/>
      <c r="D268" s="20"/>
      <c r="E268" s="20"/>
      <c r="F268" s="20"/>
      <c r="G268" s="20"/>
      <c r="H268" s="20"/>
      <c r="I268" s="116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0"/>
      <c r="V268" s="20"/>
      <c r="W268" s="53"/>
      <c r="X268" s="20"/>
      <c r="Y268" s="20"/>
      <c r="Z268" s="20"/>
      <c r="AA268" s="20" t="s">
        <v>2153</v>
      </c>
      <c r="AB268" s="20" t="s">
        <v>1815</v>
      </c>
      <c r="AC268" s="24">
        <v>1</v>
      </c>
      <c r="AD268" s="24"/>
      <c r="AE268" s="24"/>
      <c r="AF268" s="24"/>
      <c r="AG268" s="24"/>
      <c r="AH268" s="20"/>
      <c r="AI268" s="42"/>
    </row>
    <row r="269" spans="1:35">
      <c r="A269" s="14"/>
      <c r="B269" s="20"/>
      <c r="C269" s="20" t="s">
        <v>2126</v>
      </c>
      <c r="D269" s="20" t="s">
        <v>79</v>
      </c>
      <c r="E269" s="20" t="s">
        <v>80</v>
      </c>
      <c r="F269" s="20" t="s">
        <v>2151</v>
      </c>
      <c r="G269" s="20" t="s">
        <v>177</v>
      </c>
      <c r="H269" s="20"/>
      <c r="I269" s="116">
        <v>26282</v>
      </c>
      <c r="J269" s="24">
        <v>1</v>
      </c>
      <c r="K269" s="24"/>
      <c r="L269" s="24">
        <v>1</v>
      </c>
      <c r="M269" s="24"/>
      <c r="N269" s="24"/>
      <c r="O269" s="24"/>
      <c r="P269" s="24"/>
      <c r="Q269" s="24"/>
      <c r="R269" s="24"/>
      <c r="S269" s="24"/>
      <c r="T269" s="24"/>
      <c r="U269" s="20" t="s">
        <v>1369</v>
      </c>
      <c r="V269" s="20" t="s">
        <v>949</v>
      </c>
      <c r="W269" s="53" t="s">
        <v>280</v>
      </c>
      <c r="X269" s="20" t="s">
        <v>227</v>
      </c>
      <c r="Y269" s="20"/>
      <c r="Z269" s="20"/>
      <c r="AA269" s="20" t="s">
        <v>2152</v>
      </c>
      <c r="AB269" s="20" t="s">
        <v>1815</v>
      </c>
      <c r="AC269" s="24">
        <v>1</v>
      </c>
      <c r="AD269" s="24"/>
      <c r="AE269" s="24"/>
      <c r="AF269" s="24"/>
      <c r="AG269" s="24"/>
      <c r="AH269" s="20"/>
      <c r="AI269" s="42"/>
    </row>
    <row r="270" spans="1:35">
      <c r="A270" s="14"/>
      <c r="B270" s="20"/>
      <c r="C270" s="20"/>
      <c r="D270" s="20"/>
      <c r="E270" s="20"/>
      <c r="F270" s="20"/>
      <c r="G270" s="20"/>
      <c r="H270" s="20"/>
      <c r="I270" s="116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0"/>
      <c r="V270" s="20"/>
      <c r="W270" s="53"/>
      <c r="X270" s="20"/>
      <c r="Y270" s="20"/>
      <c r="Z270" s="20"/>
      <c r="AA270" s="20" t="s">
        <v>2153</v>
      </c>
      <c r="AB270" s="20" t="s">
        <v>1815</v>
      </c>
      <c r="AC270" s="24">
        <v>1</v>
      </c>
      <c r="AD270" s="24"/>
      <c r="AE270" s="24"/>
      <c r="AF270" s="24"/>
      <c r="AG270" s="24"/>
      <c r="AH270" s="20"/>
      <c r="AI270" s="42"/>
    </row>
    <row r="271" spans="1:35">
      <c r="A271" s="14"/>
      <c r="B271" s="20"/>
      <c r="C271" s="20" t="s">
        <v>2126</v>
      </c>
      <c r="D271" s="20" t="s">
        <v>79</v>
      </c>
      <c r="E271" s="20" t="s">
        <v>80</v>
      </c>
      <c r="F271" s="20" t="s">
        <v>2154</v>
      </c>
      <c r="G271" s="20" t="s">
        <v>2155</v>
      </c>
      <c r="H271" s="20"/>
      <c r="I271" s="116">
        <v>28903</v>
      </c>
      <c r="J271" s="24">
        <v>1</v>
      </c>
      <c r="K271" s="24"/>
      <c r="L271" s="24">
        <v>1</v>
      </c>
      <c r="M271" s="24"/>
      <c r="N271" s="24"/>
      <c r="O271" s="24"/>
      <c r="P271" s="24"/>
      <c r="Q271" s="24"/>
      <c r="R271" s="24"/>
      <c r="S271" s="24"/>
      <c r="T271" s="24"/>
      <c r="U271" s="20" t="s">
        <v>1369</v>
      </c>
      <c r="V271" s="20" t="s">
        <v>949</v>
      </c>
      <c r="W271" s="53" t="s">
        <v>280</v>
      </c>
      <c r="X271" s="20" t="s">
        <v>227</v>
      </c>
      <c r="Y271" s="20"/>
      <c r="Z271" s="20"/>
      <c r="AA271" s="20" t="s">
        <v>2152</v>
      </c>
      <c r="AB271" s="20" t="s">
        <v>1815</v>
      </c>
      <c r="AC271" s="24">
        <v>1</v>
      </c>
      <c r="AD271" s="24"/>
      <c r="AE271" s="24"/>
      <c r="AF271" s="24"/>
      <c r="AG271" s="24"/>
      <c r="AH271" s="20"/>
      <c r="AI271" s="42"/>
    </row>
    <row r="272" spans="1:35">
      <c r="A272" s="14"/>
      <c r="B272" s="20"/>
      <c r="C272" s="20"/>
      <c r="D272" s="20"/>
      <c r="E272" s="20"/>
      <c r="F272" s="20"/>
      <c r="G272" s="20"/>
      <c r="H272" s="20"/>
      <c r="I272" s="116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0"/>
      <c r="V272" s="20"/>
      <c r="W272" s="53"/>
      <c r="X272" s="20"/>
      <c r="Y272" s="20"/>
      <c r="Z272" s="20"/>
      <c r="AA272" s="20" t="s">
        <v>2153</v>
      </c>
      <c r="AB272" s="20" t="s">
        <v>1815</v>
      </c>
      <c r="AC272" s="24">
        <v>1</v>
      </c>
      <c r="AD272" s="24"/>
      <c r="AE272" s="24"/>
      <c r="AF272" s="24"/>
      <c r="AG272" s="24"/>
      <c r="AH272" s="20"/>
      <c r="AI272" s="42"/>
    </row>
    <row r="273" spans="1:35">
      <c r="A273" s="14"/>
      <c r="B273" s="20"/>
      <c r="C273" s="20" t="s">
        <v>2126</v>
      </c>
      <c r="D273" s="20" t="s">
        <v>79</v>
      </c>
      <c r="E273" s="20" t="s">
        <v>80</v>
      </c>
      <c r="F273" s="20" t="s">
        <v>2156</v>
      </c>
      <c r="G273" s="20" t="s">
        <v>1047</v>
      </c>
      <c r="H273" s="20"/>
      <c r="I273" s="116">
        <v>32857</v>
      </c>
      <c r="J273" s="24">
        <v>1</v>
      </c>
      <c r="K273" s="24"/>
      <c r="L273" s="24">
        <v>1</v>
      </c>
      <c r="M273" s="24"/>
      <c r="N273" s="24"/>
      <c r="O273" s="24"/>
      <c r="P273" s="24"/>
      <c r="Q273" s="24"/>
      <c r="R273" s="24"/>
      <c r="S273" s="24"/>
      <c r="T273" s="24"/>
      <c r="U273" s="20" t="s">
        <v>1369</v>
      </c>
      <c r="V273" s="20" t="s">
        <v>949</v>
      </c>
      <c r="W273" s="53" t="s">
        <v>280</v>
      </c>
      <c r="X273" s="20" t="s">
        <v>227</v>
      </c>
      <c r="Y273" s="20"/>
      <c r="Z273" s="20"/>
      <c r="AA273" s="20" t="s">
        <v>2152</v>
      </c>
      <c r="AB273" s="20" t="s">
        <v>1815</v>
      </c>
      <c r="AC273" s="24">
        <v>1</v>
      </c>
      <c r="AD273" s="24"/>
      <c r="AE273" s="24"/>
      <c r="AF273" s="24"/>
      <c r="AG273" s="24"/>
      <c r="AH273" s="20"/>
      <c r="AI273" s="42"/>
    </row>
    <row r="274" spans="1:35">
      <c r="A274" s="14"/>
      <c r="B274" s="20"/>
      <c r="C274" s="20"/>
      <c r="D274" s="20"/>
      <c r="E274" s="20"/>
      <c r="F274" s="20"/>
      <c r="G274" s="20"/>
      <c r="H274" s="20"/>
      <c r="I274" s="116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0"/>
      <c r="V274" s="20"/>
      <c r="W274" s="53"/>
      <c r="X274" s="20"/>
      <c r="Y274" s="20"/>
      <c r="Z274" s="20"/>
      <c r="AA274" s="20" t="s">
        <v>2153</v>
      </c>
      <c r="AB274" s="20" t="s">
        <v>1815</v>
      </c>
      <c r="AC274" s="24">
        <v>1</v>
      </c>
      <c r="AD274" s="24"/>
      <c r="AE274" s="24"/>
      <c r="AF274" s="24"/>
      <c r="AG274" s="24"/>
      <c r="AH274" s="20"/>
      <c r="AI274" s="42"/>
    </row>
    <row r="275" spans="1:35">
      <c r="A275" s="14"/>
      <c r="B275" s="20"/>
      <c r="C275" s="20" t="s">
        <v>2126</v>
      </c>
      <c r="D275" s="20" t="s">
        <v>79</v>
      </c>
      <c r="E275" s="20" t="s">
        <v>80</v>
      </c>
      <c r="F275" s="20" t="s">
        <v>2157</v>
      </c>
      <c r="G275" s="20" t="s">
        <v>285</v>
      </c>
      <c r="H275" s="20"/>
      <c r="I275" s="116">
        <v>23451</v>
      </c>
      <c r="J275" s="24">
        <v>1</v>
      </c>
      <c r="K275" s="24"/>
      <c r="L275" s="24">
        <v>1</v>
      </c>
      <c r="M275" s="24"/>
      <c r="N275" s="24"/>
      <c r="O275" s="24"/>
      <c r="P275" s="24"/>
      <c r="Q275" s="24"/>
      <c r="R275" s="24"/>
      <c r="S275" s="24"/>
      <c r="T275" s="24"/>
      <c r="U275" s="20" t="s">
        <v>1369</v>
      </c>
      <c r="V275" s="20" t="s">
        <v>949</v>
      </c>
      <c r="W275" s="53" t="s">
        <v>280</v>
      </c>
      <c r="X275" s="20" t="s">
        <v>227</v>
      </c>
      <c r="Y275" s="20"/>
      <c r="Z275" s="20"/>
      <c r="AA275" s="20" t="s">
        <v>2152</v>
      </c>
      <c r="AB275" s="20" t="s">
        <v>1815</v>
      </c>
      <c r="AC275" s="24">
        <v>1</v>
      </c>
      <c r="AD275" s="24"/>
      <c r="AE275" s="24"/>
      <c r="AF275" s="24"/>
      <c r="AG275" s="24"/>
      <c r="AH275" s="20"/>
      <c r="AI275" s="42"/>
    </row>
    <row r="276" spans="1:35">
      <c r="A276" s="14" t="s">
        <v>93</v>
      </c>
      <c r="B276" s="20"/>
      <c r="C276" s="20"/>
      <c r="D276" s="20"/>
      <c r="E276" s="20"/>
      <c r="F276" s="20"/>
      <c r="G276" s="20"/>
      <c r="H276" s="20"/>
      <c r="I276" s="116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0"/>
      <c r="V276" s="20"/>
      <c r="W276" s="53"/>
      <c r="X276" s="20"/>
      <c r="Y276" s="20"/>
      <c r="Z276" s="20"/>
      <c r="AA276" s="20" t="s">
        <v>2153</v>
      </c>
      <c r="AB276" s="20" t="s">
        <v>1815</v>
      </c>
      <c r="AC276" s="24">
        <v>1</v>
      </c>
      <c r="AD276" s="24"/>
      <c r="AE276" s="24"/>
      <c r="AF276" s="24"/>
      <c r="AG276" s="24"/>
      <c r="AH276" s="20"/>
      <c r="AI276" s="42"/>
    </row>
    <row r="277" spans="1:35">
      <c r="A277" s="14"/>
      <c r="B277" s="20"/>
      <c r="C277" s="20" t="s">
        <v>2126</v>
      </c>
      <c r="D277" s="20" t="s">
        <v>79</v>
      </c>
      <c r="E277" s="20" t="s">
        <v>80</v>
      </c>
      <c r="F277" s="20" t="s">
        <v>2158</v>
      </c>
      <c r="G277" s="20" t="s">
        <v>2159</v>
      </c>
      <c r="H277" s="20"/>
      <c r="I277" s="116">
        <v>23806</v>
      </c>
      <c r="J277" s="24"/>
      <c r="K277" s="24">
        <v>1</v>
      </c>
      <c r="L277" s="24">
        <v>1</v>
      </c>
      <c r="M277" s="24"/>
      <c r="N277" s="24"/>
      <c r="O277" s="24"/>
      <c r="P277" s="24"/>
      <c r="Q277" s="24"/>
      <c r="R277" s="24"/>
      <c r="S277" s="24"/>
      <c r="T277" s="24"/>
      <c r="U277" s="20" t="s">
        <v>1369</v>
      </c>
      <c r="V277" s="20" t="s">
        <v>949</v>
      </c>
      <c r="W277" s="53" t="s">
        <v>280</v>
      </c>
      <c r="X277" s="20" t="s">
        <v>227</v>
      </c>
      <c r="Y277" s="20"/>
      <c r="Z277" s="20"/>
      <c r="AA277" s="20" t="s">
        <v>2152</v>
      </c>
      <c r="AB277" s="20" t="s">
        <v>1815</v>
      </c>
      <c r="AC277" s="24">
        <v>1</v>
      </c>
      <c r="AD277" s="24"/>
      <c r="AE277" s="24"/>
      <c r="AF277" s="24"/>
      <c r="AG277" s="24"/>
      <c r="AH277" s="20"/>
      <c r="AI277" s="42"/>
    </row>
    <row r="278" spans="1:35">
      <c r="A278" s="14"/>
      <c r="B278" s="20"/>
      <c r="C278" s="20"/>
      <c r="D278" s="20"/>
      <c r="E278" s="20"/>
      <c r="F278" s="20"/>
      <c r="G278" s="20"/>
      <c r="H278" s="20"/>
      <c r="I278" s="116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0"/>
      <c r="V278" s="20"/>
      <c r="W278" s="53"/>
      <c r="X278" s="20"/>
      <c r="Y278" s="20"/>
      <c r="Z278" s="20"/>
      <c r="AA278" s="20" t="s">
        <v>2153</v>
      </c>
      <c r="AB278" s="20" t="s">
        <v>1815</v>
      </c>
      <c r="AC278" s="24">
        <v>1</v>
      </c>
      <c r="AD278" s="24"/>
      <c r="AE278" s="24"/>
      <c r="AF278" s="24"/>
      <c r="AG278" s="24"/>
      <c r="AH278" s="20"/>
      <c r="AI278" s="42"/>
    </row>
    <row r="279" spans="1:35">
      <c r="A279" s="14"/>
      <c r="B279" s="20"/>
      <c r="C279" s="20" t="s">
        <v>2126</v>
      </c>
      <c r="D279" s="20" t="s">
        <v>79</v>
      </c>
      <c r="E279" s="20" t="s">
        <v>80</v>
      </c>
      <c r="F279" s="20" t="s">
        <v>2160</v>
      </c>
      <c r="G279" s="20" t="s">
        <v>138</v>
      </c>
      <c r="H279" s="20"/>
      <c r="I279" s="116">
        <v>32945</v>
      </c>
      <c r="J279" s="24">
        <v>1</v>
      </c>
      <c r="K279" s="24"/>
      <c r="L279" s="24">
        <v>1</v>
      </c>
      <c r="M279" s="24"/>
      <c r="N279" s="24"/>
      <c r="O279" s="24"/>
      <c r="P279" s="24"/>
      <c r="Q279" s="24"/>
      <c r="R279" s="24"/>
      <c r="S279" s="24"/>
      <c r="T279" s="24"/>
      <c r="U279" s="20" t="s">
        <v>1369</v>
      </c>
      <c r="V279" s="20" t="s">
        <v>949</v>
      </c>
      <c r="W279" s="53" t="s">
        <v>280</v>
      </c>
      <c r="X279" s="20" t="s">
        <v>227</v>
      </c>
      <c r="Y279" s="20"/>
      <c r="Z279" s="20"/>
      <c r="AA279" s="20" t="s">
        <v>2152</v>
      </c>
      <c r="AB279" s="20" t="s">
        <v>1815</v>
      </c>
      <c r="AC279" s="24">
        <v>1</v>
      </c>
      <c r="AD279" s="24"/>
      <c r="AE279" s="24"/>
      <c r="AF279" s="24"/>
      <c r="AG279" s="24"/>
      <c r="AH279" s="20"/>
      <c r="AI279" s="42"/>
    </row>
    <row r="280" spans="1:35">
      <c r="A280" s="14"/>
      <c r="B280" s="20"/>
      <c r="C280" s="20"/>
      <c r="D280" s="20"/>
      <c r="E280" s="20"/>
      <c r="F280" s="20"/>
      <c r="G280" s="20"/>
      <c r="H280" s="20"/>
      <c r="I280" s="116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0"/>
      <c r="V280" s="20"/>
      <c r="W280" s="53"/>
      <c r="X280" s="20"/>
      <c r="Y280" s="20"/>
      <c r="Z280" s="20"/>
      <c r="AA280" s="20" t="s">
        <v>2153</v>
      </c>
      <c r="AB280" s="20" t="s">
        <v>1815</v>
      </c>
      <c r="AC280" s="24">
        <v>1</v>
      </c>
      <c r="AD280" s="24"/>
      <c r="AE280" s="24"/>
      <c r="AF280" s="24"/>
      <c r="AG280" s="24"/>
      <c r="AH280" s="20"/>
      <c r="AI280" s="42"/>
    </row>
    <row r="281" spans="1:35">
      <c r="A281" s="14"/>
      <c r="B281" s="20"/>
      <c r="C281" s="20" t="s">
        <v>2126</v>
      </c>
      <c r="D281" s="20" t="s">
        <v>79</v>
      </c>
      <c r="E281" s="20" t="s">
        <v>80</v>
      </c>
      <c r="F281" s="20" t="s">
        <v>2160</v>
      </c>
      <c r="G281" s="20" t="s">
        <v>177</v>
      </c>
      <c r="H281" s="20"/>
      <c r="I281" s="116">
        <v>32380</v>
      </c>
      <c r="J281" s="24">
        <v>1</v>
      </c>
      <c r="K281" s="24"/>
      <c r="L281" s="24">
        <v>1</v>
      </c>
      <c r="M281" s="24"/>
      <c r="N281" s="24"/>
      <c r="O281" s="24"/>
      <c r="P281" s="24"/>
      <c r="Q281" s="24"/>
      <c r="R281" s="24"/>
      <c r="S281" s="24"/>
      <c r="T281" s="24"/>
      <c r="U281" s="20" t="s">
        <v>1369</v>
      </c>
      <c r="V281" s="20" t="s">
        <v>949</v>
      </c>
      <c r="W281" s="53" t="s">
        <v>280</v>
      </c>
      <c r="X281" s="20" t="s">
        <v>227</v>
      </c>
      <c r="Y281" s="20"/>
      <c r="Z281" s="20"/>
      <c r="AA281" s="20" t="s">
        <v>2152</v>
      </c>
      <c r="AB281" s="20" t="s">
        <v>1815</v>
      </c>
      <c r="AC281" s="24">
        <v>1</v>
      </c>
      <c r="AD281" s="24"/>
      <c r="AE281" s="24"/>
      <c r="AF281" s="24"/>
      <c r="AG281" s="24"/>
      <c r="AH281" s="20"/>
      <c r="AI281" s="42"/>
    </row>
    <row r="282" spans="1:35">
      <c r="A282" s="14"/>
      <c r="B282" s="20"/>
      <c r="C282" s="20"/>
      <c r="D282" s="20"/>
      <c r="E282" s="20"/>
      <c r="F282" s="20"/>
      <c r="G282" s="20"/>
      <c r="H282" s="20"/>
      <c r="I282" s="116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0"/>
      <c r="V282" s="20"/>
      <c r="W282" s="53"/>
      <c r="X282" s="20"/>
      <c r="Y282" s="20"/>
      <c r="Z282" s="20"/>
      <c r="AA282" s="20" t="s">
        <v>2153</v>
      </c>
      <c r="AB282" s="20" t="s">
        <v>1815</v>
      </c>
      <c r="AC282" s="24">
        <v>1</v>
      </c>
      <c r="AD282" s="24"/>
      <c r="AE282" s="24"/>
      <c r="AF282" s="24"/>
      <c r="AG282" s="24"/>
      <c r="AH282" s="20"/>
      <c r="AI282" s="42"/>
    </row>
    <row r="283" spans="1:35">
      <c r="A283" s="14"/>
      <c r="B283" s="20"/>
      <c r="C283" s="20" t="s">
        <v>2126</v>
      </c>
      <c r="D283" s="20" t="s">
        <v>79</v>
      </c>
      <c r="E283" s="20" t="s">
        <v>80</v>
      </c>
      <c r="F283" s="20" t="s">
        <v>2160</v>
      </c>
      <c r="G283" s="20" t="s">
        <v>1474</v>
      </c>
      <c r="H283" s="20"/>
      <c r="I283" s="116">
        <v>28435</v>
      </c>
      <c r="J283" s="24">
        <v>1</v>
      </c>
      <c r="K283" s="24"/>
      <c r="L283" s="24">
        <v>1</v>
      </c>
      <c r="M283" s="24"/>
      <c r="N283" s="24"/>
      <c r="O283" s="24"/>
      <c r="P283" s="24"/>
      <c r="Q283" s="24"/>
      <c r="R283" s="24"/>
      <c r="S283" s="24"/>
      <c r="T283" s="24"/>
      <c r="U283" s="20" t="s">
        <v>1369</v>
      </c>
      <c r="V283" s="20" t="s">
        <v>949</v>
      </c>
      <c r="W283" s="53" t="s">
        <v>280</v>
      </c>
      <c r="X283" s="20" t="s">
        <v>227</v>
      </c>
      <c r="Y283" s="20"/>
      <c r="Z283" s="20"/>
      <c r="AA283" s="20" t="s">
        <v>2152</v>
      </c>
      <c r="AB283" s="20" t="s">
        <v>1815</v>
      </c>
      <c r="AC283" s="24">
        <v>1</v>
      </c>
      <c r="AD283" s="24"/>
      <c r="AE283" s="24"/>
      <c r="AF283" s="24"/>
      <c r="AG283" s="24"/>
      <c r="AH283" s="20"/>
      <c r="AI283" s="42"/>
    </row>
    <row r="284" spans="1:35">
      <c r="A284" s="14"/>
      <c r="B284" s="20"/>
      <c r="C284" s="20"/>
      <c r="D284" s="20"/>
      <c r="E284" s="20"/>
      <c r="F284" s="20"/>
      <c r="G284" s="20"/>
      <c r="H284" s="20"/>
      <c r="I284" s="116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0"/>
      <c r="V284" s="20"/>
      <c r="W284" s="53"/>
      <c r="X284" s="20"/>
      <c r="Y284" s="20"/>
      <c r="Z284" s="20"/>
      <c r="AA284" s="20" t="s">
        <v>2153</v>
      </c>
      <c r="AB284" s="20" t="s">
        <v>1815</v>
      </c>
      <c r="AC284" s="24">
        <v>1</v>
      </c>
      <c r="AD284" s="24"/>
      <c r="AE284" s="24"/>
      <c r="AF284" s="24"/>
      <c r="AG284" s="24"/>
      <c r="AH284" s="20"/>
      <c r="AI284" s="42"/>
    </row>
    <row r="285" spans="1:35">
      <c r="A285" s="14"/>
      <c r="B285" s="20"/>
      <c r="C285" s="20" t="s">
        <v>2126</v>
      </c>
      <c r="D285" s="20" t="s">
        <v>79</v>
      </c>
      <c r="E285" s="20" t="s">
        <v>80</v>
      </c>
      <c r="F285" s="20" t="s">
        <v>2168</v>
      </c>
      <c r="G285" s="20" t="s">
        <v>2161</v>
      </c>
      <c r="H285" s="20"/>
      <c r="I285" s="116">
        <v>34530</v>
      </c>
      <c r="J285" s="24">
        <v>1</v>
      </c>
      <c r="K285" s="24"/>
      <c r="L285" s="24">
        <v>1</v>
      </c>
      <c r="M285" s="24"/>
      <c r="N285" s="24"/>
      <c r="O285" s="24"/>
      <c r="P285" s="24"/>
      <c r="Q285" s="24"/>
      <c r="R285" s="24"/>
      <c r="S285" s="24"/>
      <c r="T285" s="24"/>
      <c r="U285" s="20" t="s">
        <v>1369</v>
      </c>
      <c r="V285" s="20" t="s">
        <v>949</v>
      </c>
      <c r="W285" s="53" t="s">
        <v>280</v>
      </c>
      <c r="X285" s="20" t="s">
        <v>227</v>
      </c>
      <c r="Y285" s="20"/>
      <c r="Z285" s="20"/>
      <c r="AA285" s="20" t="s">
        <v>2152</v>
      </c>
      <c r="AB285" s="20" t="s">
        <v>1815</v>
      </c>
      <c r="AC285" s="24">
        <v>1</v>
      </c>
      <c r="AD285" s="24"/>
      <c r="AE285" s="24"/>
      <c r="AF285" s="24"/>
      <c r="AG285" s="24"/>
      <c r="AH285" s="20"/>
      <c r="AI285" s="42"/>
    </row>
    <row r="286" spans="1:35">
      <c r="A286" s="14"/>
      <c r="B286" s="20"/>
      <c r="C286" s="20"/>
      <c r="D286" s="20"/>
      <c r="E286" s="20"/>
      <c r="F286" s="20"/>
      <c r="G286" s="20"/>
      <c r="H286" s="20"/>
      <c r="I286" s="116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0"/>
      <c r="V286" s="20"/>
      <c r="W286" s="53"/>
      <c r="X286" s="20"/>
      <c r="Y286" s="20"/>
      <c r="Z286" s="20"/>
      <c r="AA286" s="20" t="s">
        <v>2153</v>
      </c>
      <c r="AB286" s="20" t="s">
        <v>1815</v>
      </c>
      <c r="AC286" s="24">
        <v>1</v>
      </c>
      <c r="AD286" s="24"/>
      <c r="AE286" s="24"/>
      <c r="AF286" s="24"/>
      <c r="AG286" s="24"/>
      <c r="AH286" s="20"/>
      <c r="AI286" s="42"/>
    </row>
    <row r="287" spans="1:35">
      <c r="A287" s="14"/>
      <c r="B287" s="20"/>
      <c r="C287" s="20" t="s">
        <v>2126</v>
      </c>
      <c r="D287" s="20" t="s">
        <v>79</v>
      </c>
      <c r="E287" s="20" t="s">
        <v>80</v>
      </c>
      <c r="F287" s="20" t="s">
        <v>1461</v>
      </c>
      <c r="G287" s="20" t="s">
        <v>2162</v>
      </c>
      <c r="H287" s="20"/>
      <c r="I287" s="116">
        <v>36978</v>
      </c>
      <c r="J287" s="24">
        <v>1</v>
      </c>
      <c r="K287" s="24"/>
      <c r="L287" s="24">
        <v>1</v>
      </c>
      <c r="M287" s="24"/>
      <c r="N287" s="24"/>
      <c r="O287" s="24"/>
      <c r="P287" s="24"/>
      <c r="Q287" s="24"/>
      <c r="R287" s="24"/>
      <c r="S287" s="24"/>
      <c r="T287" s="24"/>
      <c r="U287" s="20" t="s">
        <v>1369</v>
      </c>
      <c r="V287" s="20" t="s">
        <v>949</v>
      </c>
      <c r="W287" s="53" t="s">
        <v>280</v>
      </c>
      <c r="X287" s="20" t="s">
        <v>227</v>
      </c>
      <c r="Y287" s="20"/>
      <c r="Z287" s="20"/>
      <c r="AA287" s="20" t="s">
        <v>2152</v>
      </c>
      <c r="AB287" s="20" t="s">
        <v>1815</v>
      </c>
      <c r="AC287" s="24">
        <v>1</v>
      </c>
      <c r="AD287" s="24"/>
      <c r="AE287" s="24"/>
      <c r="AF287" s="24"/>
      <c r="AG287" s="24"/>
      <c r="AH287" s="20"/>
      <c r="AI287" s="42"/>
    </row>
    <row r="288" spans="1:35">
      <c r="A288" s="14"/>
      <c r="B288" s="20"/>
      <c r="C288" s="20"/>
      <c r="D288" s="20"/>
      <c r="E288" s="20"/>
      <c r="F288" s="20"/>
      <c r="G288" s="20"/>
      <c r="H288" s="20"/>
      <c r="I288" s="116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0"/>
      <c r="V288" s="20"/>
      <c r="W288" s="53"/>
      <c r="X288" s="20"/>
      <c r="Y288" s="20"/>
      <c r="Z288" s="20"/>
      <c r="AA288" s="20" t="s">
        <v>2153</v>
      </c>
      <c r="AB288" s="20" t="s">
        <v>1815</v>
      </c>
      <c r="AC288" s="24">
        <v>1</v>
      </c>
      <c r="AD288" s="24"/>
      <c r="AE288" s="24"/>
      <c r="AF288" s="24"/>
      <c r="AG288" s="24"/>
      <c r="AH288" s="20"/>
      <c r="AI288" s="42"/>
    </row>
    <row r="289" spans="1:35">
      <c r="A289" s="14"/>
      <c r="B289" s="20"/>
      <c r="C289" s="20" t="s">
        <v>2126</v>
      </c>
      <c r="D289" s="20" t="s">
        <v>79</v>
      </c>
      <c r="E289" s="20" t="s">
        <v>80</v>
      </c>
      <c r="F289" s="20" t="s">
        <v>2163</v>
      </c>
      <c r="G289" s="20" t="s">
        <v>2164</v>
      </c>
      <c r="H289" s="20"/>
      <c r="I289" s="116">
        <v>24159</v>
      </c>
      <c r="J289" s="24">
        <v>1</v>
      </c>
      <c r="K289" s="24"/>
      <c r="L289" s="24">
        <v>1</v>
      </c>
      <c r="M289" s="24"/>
      <c r="N289" s="24"/>
      <c r="O289" s="24"/>
      <c r="P289" s="24"/>
      <c r="Q289" s="24"/>
      <c r="R289" s="24"/>
      <c r="S289" s="24"/>
      <c r="T289" s="24"/>
      <c r="U289" s="20" t="s">
        <v>1369</v>
      </c>
      <c r="V289" s="20" t="s">
        <v>949</v>
      </c>
      <c r="W289" s="53" t="s">
        <v>280</v>
      </c>
      <c r="X289" s="20" t="s">
        <v>227</v>
      </c>
      <c r="Y289" s="20"/>
      <c r="Z289" s="20"/>
      <c r="AA289" s="20" t="s">
        <v>2152</v>
      </c>
      <c r="AB289" s="20" t="s">
        <v>1815</v>
      </c>
      <c r="AC289" s="24">
        <v>1</v>
      </c>
      <c r="AD289" s="24"/>
      <c r="AE289" s="24"/>
      <c r="AF289" s="24"/>
      <c r="AG289" s="24"/>
      <c r="AH289" s="20"/>
      <c r="AI289" s="42"/>
    </row>
    <row r="290" spans="1:35">
      <c r="A290" s="14"/>
      <c r="B290" s="20"/>
      <c r="C290" s="20"/>
      <c r="D290" s="20"/>
      <c r="E290" s="20"/>
      <c r="F290" s="20"/>
      <c r="G290" s="20"/>
      <c r="H290" s="20"/>
      <c r="I290" s="116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0"/>
      <c r="V290" s="20"/>
      <c r="W290" s="53"/>
      <c r="X290" s="20"/>
      <c r="Y290" s="20"/>
      <c r="Z290" s="20"/>
      <c r="AA290" s="20" t="s">
        <v>2153</v>
      </c>
      <c r="AB290" s="20" t="s">
        <v>1815</v>
      </c>
      <c r="AC290" s="24">
        <v>1</v>
      </c>
      <c r="AD290" s="24"/>
      <c r="AE290" s="24"/>
      <c r="AF290" s="24"/>
      <c r="AG290" s="24"/>
      <c r="AH290" s="20"/>
      <c r="AI290" s="42"/>
    </row>
    <row r="291" spans="1:35">
      <c r="A291" s="14"/>
      <c r="B291" s="20"/>
      <c r="C291" s="20" t="s">
        <v>2126</v>
      </c>
      <c r="D291" s="20" t="s">
        <v>79</v>
      </c>
      <c r="E291" s="20" t="s">
        <v>80</v>
      </c>
      <c r="F291" s="20" t="s">
        <v>310</v>
      </c>
      <c r="G291" s="20" t="s">
        <v>998</v>
      </c>
      <c r="H291" s="20"/>
      <c r="I291" s="116">
        <v>30738</v>
      </c>
      <c r="J291" s="24">
        <v>1</v>
      </c>
      <c r="K291" s="24"/>
      <c r="L291" s="24">
        <v>1</v>
      </c>
      <c r="M291" s="24"/>
      <c r="N291" s="24"/>
      <c r="O291" s="24"/>
      <c r="P291" s="24"/>
      <c r="Q291" s="24"/>
      <c r="R291" s="24"/>
      <c r="S291" s="24"/>
      <c r="T291" s="24"/>
      <c r="U291" s="20" t="s">
        <v>1369</v>
      </c>
      <c r="V291" s="20" t="s">
        <v>949</v>
      </c>
      <c r="W291" s="53" t="s">
        <v>280</v>
      </c>
      <c r="X291" s="20" t="s">
        <v>227</v>
      </c>
      <c r="Y291" s="20"/>
      <c r="Z291" s="20"/>
      <c r="AA291" s="20" t="s">
        <v>2152</v>
      </c>
      <c r="AB291" s="20" t="s">
        <v>1815</v>
      </c>
      <c r="AC291" s="24">
        <v>1</v>
      </c>
      <c r="AD291" s="24"/>
      <c r="AE291" s="24"/>
      <c r="AF291" s="24"/>
      <c r="AG291" s="24"/>
      <c r="AH291" s="20"/>
      <c r="AI291" s="42"/>
    </row>
    <row r="292" spans="1:35">
      <c r="A292" s="14"/>
      <c r="B292" s="20"/>
      <c r="C292" s="20"/>
      <c r="D292" s="20"/>
      <c r="E292" s="20"/>
      <c r="F292" s="20"/>
      <c r="G292" s="20"/>
      <c r="H292" s="20"/>
      <c r="I292" s="116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0"/>
      <c r="V292" s="20"/>
      <c r="W292" s="53"/>
      <c r="X292" s="20"/>
      <c r="Y292" s="20"/>
      <c r="Z292" s="20"/>
      <c r="AA292" s="20" t="s">
        <v>2153</v>
      </c>
      <c r="AB292" s="20" t="s">
        <v>1815</v>
      </c>
      <c r="AC292" s="24">
        <v>1</v>
      </c>
      <c r="AD292" s="24"/>
      <c r="AE292" s="24"/>
      <c r="AF292" s="24"/>
      <c r="AG292" s="24"/>
      <c r="AH292" s="20"/>
      <c r="AI292" s="42"/>
    </row>
    <row r="293" spans="1:35">
      <c r="A293" s="14"/>
      <c r="B293" s="20"/>
      <c r="C293" s="20" t="s">
        <v>2126</v>
      </c>
      <c r="D293" s="20" t="s">
        <v>79</v>
      </c>
      <c r="E293" s="20" t="s">
        <v>80</v>
      </c>
      <c r="F293" s="20" t="s">
        <v>1461</v>
      </c>
      <c r="G293" s="20" t="s">
        <v>2165</v>
      </c>
      <c r="H293" s="20"/>
      <c r="I293" s="116">
        <v>37873</v>
      </c>
      <c r="J293" s="24">
        <v>1</v>
      </c>
      <c r="K293" s="24"/>
      <c r="L293" s="24">
        <v>1</v>
      </c>
      <c r="M293" s="24"/>
      <c r="N293" s="24"/>
      <c r="O293" s="24"/>
      <c r="P293" s="24"/>
      <c r="Q293" s="24"/>
      <c r="R293" s="24"/>
      <c r="S293" s="24"/>
      <c r="T293" s="24"/>
      <c r="U293" s="20" t="s">
        <v>1369</v>
      </c>
      <c r="V293" s="20" t="s">
        <v>949</v>
      </c>
      <c r="W293" s="53" t="s">
        <v>280</v>
      </c>
      <c r="X293" s="20" t="s">
        <v>227</v>
      </c>
      <c r="Y293" s="20"/>
      <c r="Z293" s="20"/>
      <c r="AA293" s="20" t="s">
        <v>2152</v>
      </c>
      <c r="AB293" s="20" t="s">
        <v>1815</v>
      </c>
      <c r="AC293" s="24">
        <v>1</v>
      </c>
      <c r="AD293" s="24"/>
      <c r="AE293" s="24"/>
      <c r="AF293" s="24"/>
      <c r="AG293" s="24"/>
      <c r="AH293" s="20"/>
      <c r="AI293" s="42"/>
    </row>
    <row r="294" spans="1:35">
      <c r="A294" s="14"/>
      <c r="B294" s="20"/>
      <c r="C294" s="20"/>
      <c r="D294" s="20"/>
      <c r="E294" s="20"/>
      <c r="F294" s="20"/>
      <c r="G294" s="20"/>
      <c r="H294" s="20"/>
      <c r="I294" s="116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0"/>
      <c r="V294" s="20"/>
      <c r="W294" s="53"/>
      <c r="X294" s="20"/>
      <c r="Y294" s="20"/>
      <c r="Z294" s="20"/>
      <c r="AA294" s="20" t="s">
        <v>2153</v>
      </c>
      <c r="AB294" s="20" t="s">
        <v>1815</v>
      </c>
      <c r="AC294" s="24">
        <v>1</v>
      </c>
      <c r="AD294" s="24"/>
      <c r="AE294" s="24"/>
      <c r="AF294" s="24"/>
      <c r="AG294" s="24"/>
      <c r="AH294" s="20"/>
      <c r="AI294" s="42"/>
    </row>
    <row r="295" spans="1:35">
      <c r="A295" s="14"/>
      <c r="B295" s="20"/>
      <c r="C295" s="20" t="s">
        <v>2126</v>
      </c>
      <c r="D295" s="20" t="s">
        <v>79</v>
      </c>
      <c r="E295" s="20" t="s">
        <v>80</v>
      </c>
      <c r="F295" s="20" t="s">
        <v>2151</v>
      </c>
      <c r="G295" s="20" t="s">
        <v>2166</v>
      </c>
      <c r="H295" s="20"/>
      <c r="I295" s="116">
        <v>36458</v>
      </c>
      <c r="J295" s="24">
        <v>1</v>
      </c>
      <c r="K295" s="24"/>
      <c r="L295" s="24">
        <v>1</v>
      </c>
      <c r="M295" s="24"/>
      <c r="N295" s="24"/>
      <c r="O295" s="24"/>
      <c r="P295" s="24"/>
      <c r="Q295" s="24"/>
      <c r="R295" s="24"/>
      <c r="S295" s="24"/>
      <c r="T295" s="24"/>
      <c r="U295" s="20" t="s">
        <v>1369</v>
      </c>
      <c r="V295" s="20" t="s">
        <v>949</v>
      </c>
      <c r="W295" s="53" t="s">
        <v>280</v>
      </c>
      <c r="X295" s="20" t="s">
        <v>227</v>
      </c>
      <c r="Y295" s="20"/>
      <c r="Z295" s="20"/>
      <c r="AA295" s="20" t="s">
        <v>2152</v>
      </c>
      <c r="AB295" s="20" t="s">
        <v>1815</v>
      </c>
      <c r="AC295" s="24">
        <v>1</v>
      </c>
      <c r="AD295" s="24"/>
      <c r="AE295" s="24"/>
      <c r="AF295" s="24"/>
      <c r="AG295" s="24"/>
      <c r="AH295" s="20"/>
      <c r="AI295" s="42"/>
    </row>
    <row r="296" spans="1:35">
      <c r="A296" s="14"/>
      <c r="B296" s="20"/>
      <c r="C296" s="20"/>
      <c r="D296" s="20"/>
      <c r="E296" s="20"/>
      <c r="F296" s="20"/>
      <c r="G296" s="20"/>
      <c r="H296" s="20"/>
      <c r="I296" s="116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0"/>
      <c r="V296" s="20"/>
      <c r="W296" s="53"/>
      <c r="X296" s="20"/>
      <c r="Y296" s="20"/>
      <c r="Z296" s="20"/>
      <c r="AA296" s="20" t="s">
        <v>2153</v>
      </c>
      <c r="AB296" s="20" t="s">
        <v>1815</v>
      </c>
      <c r="AC296" s="24">
        <v>1</v>
      </c>
      <c r="AD296" s="24"/>
      <c r="AE296" s="24"/>
      <c r="AF296" s="24"/>
      <c r="AG296" s="24"/>
      <c r="AH296" s="20"/>
      <c r="AI296" s="42"/>
    </row>
    <row r="297" spans="1:35">
      <c r="A297" s="14"/>
      <c r="B297" s="20"/>
      <c r="C297" s="20" t="s">
        <v>2126</v>
      </c>
      <c r="D297" s="20" t="s">
        <v>79</v>
      </c>
      <c r="E297" s="20" t="s">
        <v>80</v>
      </c>
      <c r="F297" s="20" t="s">
        <v>1461</v>
      </c>
      <c r="G297" s="20" t="s">
        <v>2167</v>
      </c>
      <c r="H297" s="20"/>
      <c r="I297" s="116">
        <v>23166</v>
      </c>
      <c r="J297" s="24">
        <v>1</v>
      </c>
      <c r="K297" s="24"/>
      <c r="L297" s="24">
        <v>1</v>
      </c>
      <c r="M297" s="24"/>
      <c r="N297" s="24"/>
      <c r="O297" s="24"/>
      <c r="P297" s="24"/>
      <c r="Q297" s="24"/>
      <c r="R297" s="24"/>
      <c r="S297" s="24"/>
      <c r="T297" s="24"/>
      <c r="U297" s="20" t="s">
        <v>1369</v>
      </c>
      <c r="V297" s="20" t="s">
        <v>949</v>
      </c>
      <c r="W297" s="53" t="s">
        <v>280</v>
      </c>
      <c r="X297" s="20" t="s">
        <v>227</v>
      </c>
      <c r="Y297" s="20"/>
      <c r="Z297" s="20"/>
      <c r="AA297" s="20" t="s">
        <v>2152</v>
      </c>
      <c r="AB297" s="20" t="s">
        <v>1815</v>
      </c>
      <c r="AC297" s="24">
        <v>1</v>
      </c>
      <c r="AD297" s="24"/>
      <c r="AE297" s="24"/>
      <c r="AF297" s="24"/>
      <c r="AG297" s="24"/>
      <c r="AH297" s="20"/>
      <c r="AI297" s="42"/>
    </row>
    <row r="298" spans="1:35">
      <c r="A298" s="14"/>
      <c r="B298" s="20"/>
      <c r="C298" s="20"/>
      <c r="D298" s="20"/>
      <c r="E298" s="20"/>
      <c r="F298" s="20"/>
      <c r="G298" s="20"/>
      <c r="H298" s="20"/>
      <c r="I298" s="116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0"/>
      <c r="V298" s="20"/>
      <c r="W298" s="53"/>
      <c r="X298" s="20"/>
      <c r="Y298" s="20"/>
      <c r="Z298" s="20"/>
      <c r="AA298" s="20" t="s">
        <v>2153</v>
      </c>
      <c r="AB298" s="20" t="s">
        <v>1815</v>
      </c>
      <c r="AC298" s="24">
        <v>1</v>
      </c>
      <c r="AD298" s="24"/>
      <c r="AE298" s="24"/>
      <c r="AF298" s="24"/>
      <c r="AG298" s="24"/>
      <c r="AH298" s="20"/>
      <c r="AI298" s="42"/>
    </row>
    <row r="299" spans="1:35">
      <c r="A299" s="14"/>
      <c r="B299" s="20"/>
      <c r="C299" s="20" t="s">
        <v>2126</v>
      </c>
      <c r="D299" s="20" t="s">
        <v>79</v>
      </c>
      <c r="E299" s="20" t="s">
        <v>80</v>
      </c>
      <c r="F299" s="20" t="s">
        <v>2168</v>
      </c>
      <c r="G299" s="20" t="s">
        <v>2169</v>
      </c>
      <c r="H299" s="20"/>
      <c r="I299" s="116">
        <v>33126</v>
      </c>
      <c r="J299" s="24">
        <v>1</v>
      </c>
      <c r="K299" s="24"/>
      <c r="L299" s="24">
        <v>1</v>
      </c>
      <c r="M299" s="24"/>
      <c r="N299" s="24"/>
      <c r="O299" s="24"/>
      <c r="P299" s="24"/>
      <c r="Q299" s="24"/>
      <c r="R299" s="24"/>
      <c r="S299" s="24"/>
      <c r="T299" s="24"/>
      <c r="U299" s="20" t="s">
        <v>1369</v>
      </c>
      <c r="V299" s="20" t="s">
        <v>949</v>
      </c>
      <c r="W299" s="53" t="s">
        <v>280</v>
      </c>
      <c r="X299" s="20" t="s">
        <v>227</v>
      </c>
      <c r="Y299" s="20"/>
      <c r="Z299" s="20"/>
      <c r="AA299" s="20" t="s">
        <v>2152</v>
      </c>
      <c r="AB299" s="20" t="s">
        <v>1815</v>
      </c>
      <c r="AC299" s="24">
        <v>1</v>
      </c>
      <c r="AD299" s="24"/>
      <c r="AE299" s="24"/>
      <c r="AF299" s="24"/>
      <c r="AG299" s="24"/>
      <c r="AH299" s="20"/>
      <c r="AI299" s="42"/>
    </row>
    <row r="300" spans="1:35">
      <c r="A300" s="14"/>
      <c r="B300" s="20"/>
      <c r="C300" s="20"/>
      <c r="D300" s="20"/>
      <c r="E300" s="20"/>
      <c r="F300" s="20"/>
      <c r="G300" s="20"/>
      <c r="H300" s="20"/>
      <c r="I300" s="116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0"/>
      <c r="V300" s="20"/>
      <c r="W300" s="53"/>
      <c r="X300" s="20"/>
      <c r="Y300" s="20"/>
      <c r="Z300" s="20"/>
      <c r="AA300" s="20" t="s">
        <v>2153</v>
      </c>
      <c r="AB300" s="20" t="s">
        <v>1815</v>
      </c>
      <c r="AC300" s="24">
        <v>1</v>
      </c>
      <c r="AD300" s="24"/>
      <c r="AE300" s="24"/>
      <c r="AF300" s="24"/>
      <c r="AG300" s="24"/>
      <c r="AH300" s="20"/>
      <c r="AI300" s="42"/>
    </row>
    <row r="301" spans="1:35">
      <c r="A301" s="14"/>
      <c r="B301" s="20"/>
      <c r="C301" s="20" t="s">
        <v>2126</v>
      </c>
      <c r="D301" s="20" t="s">
        <v>79</v>
      </c>
      <c r="E301" s="20" t="s">
        <v>80</v>
      </c>
      <c r="F301" s="20" t="s">
        <v>310</v>
      </c>
      <c r="G301" s="20" t="s">
        <v>2170</v>
      </c>
      <c r="H301" s="20"/>
      <c r="I301" s="116">
        <v>31719</v>
      </c>
      <c r="J301" s="24">
        <v>1</v>
      </c>
      <c r="K301" s="24"/>
      <c r="L301" s="24">
        <v>1</v>
      </c>
      <c r="M301" s="24"/>
      <c r="N301" s="24"/>
      <c r="O301" s="24"/>
      <c r="P301" s="24"/>
      <c r="Q301" s="24"/>
      <c r="R301" s="24"/>
      <c r="S301" s="24"/>
      <c r="T301" s="24"/>
      <c r="U301" s="20" t="s">
        <v>1369</v>
      </c>
      <c r="V301" s="20" t="s">
        <v>949</v>
      </c>
      <c r="W301" s="53" t="s">
        <v>280</v>
      </c>
      <c r="X301" s="20" t="s">
        <v>227</v>
      </c>
      <c r="Y301" s="20"/>
      <c r="Z301" s="20"/>
      <c r="AA301" s="20" t="s">
        <v>2152</v>
      </c>
      <c r="AB301" s="20" t="s">
        <v>1815</v>
      </c>
      <c r="AC301" s="24">
        <v>1</v>
      </c>
      <c r="AD301" s="24"/>
      <c r="AE301" s="24"/>
      <c r="AF301" s="24"/>
      <c r="AG301" s="24"/>
      <c r="AH301" s="20"/>
      <c r="AI301" s="42"/>
    </row>
    <row r="302" spans="1:35">
      <c r="A302" s="14"/>
      <c r="B302" s="20"/>
      <c r="C302" s="20"/>
      <c r="D302" s="20"/>
      <c r="E302" s="20"/>
      <c r="F302" s="20"/>
      <c r="G302" s="20"/>
      <c r="H302" s="20"/>
      <c r="I302" s="116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0"/>
      <c r="V302" s="20"/>
      <c r="W302" s="53"/>
      <c r="X302" s="20"/>
      <c r="Y302" s="20"/>
      <c r="Z302" s="20"/>
      <c r="AA302" s="20" t="s">
        <v>2153</v>
      </c>
      <c r="AB302" s="20" t="s">
        <v>1815</v>
      </c>
      <c r="AC302" s="24">
        <v>1</v>
      </c>
      <c r="AD302" s="24"/>
      <c r="AE302" s="24"/>
      <c r="AF302" s="24"/>
      <c r="AG302" s="24"/>
      <c r="AH302" s="20"/>
      <c r="AI302" s="42"/>
    </row>
    <row r="303" spans="1:35">
      <c r="A303" s="14"/>
      <c r="B303" s="20"/>
      <c r="C303" s="20" t="s">
        <v>2126</v>
      </c>
      <c r="D303" s="20" t="s">
        <v>79</v>
      </c>
      <c r="E303" s="20" t="s">
        <v>80</v>
      </c>
      <c r="F303" s="20" t="s">
        <v>2171</v>
      </c>
      <c r="G303" s="20" t="s">
        <v>188</v>
      </c>
      <c r="H303" s="20"/>
      <c r="I303" s="116">
        <v>31299</v>
      </c>
      <c r="J303" s="24">
        <v>1</v>
      </c>
      <c r="K303" s="24"/>
      <c r="L303" s="24">
        <v>1</v>
      </c>
      <c r="M303" s="24"/>
      <c r="N303" s="24"/>
      <c r="O303" s="24"/>
      <c r="P303" s="24"/>
      <c r="Q303" s="24"/>
      <c r="R303" s="24"/>
      <c r="S303" s="24"/>
      <c r="T303" s="24"/>
      <c r="U303" s="20" t="s">
        <v>1369</v>
      </c>
      <c r="V303" s="20" t="s">
        <v>949</v>
      </c>
      <c r="W303" s="53" t="s">
        <v>280</v>
      </c>
      <c r="X303" s="20" t="s">
        <v>227</v>
      </c>
      <c r="Y303" s="20"/>
      <c r="Z303" s="20"/>
      <c r="AA303" s="20" t="s">
        <v>2152</v>
      </c>
      <c r="AB303" s="20" t="s">
        <v>1815</v>
      </c>
      <c r="AC303" s="24">
        <v>1</v>
      </c>
      <c r="AD303" s="24"/>
      <c r="AE303" s="24"/>
      <c r="AF303" s="24"/>
      <c r="AG303" s="24"/>
      <c r="AH303" s="20"/>
      <c r="AI303" s="42"/>
    </row>
    <row r="304" spans="1:35">
      <c r="A304" s="14"/>
      <c r="B304" s="20"/>
      <c r="C304" s="20"/>
      <c r="D304" s="20"/>
      <c r="E304" s="20"/>
      <c r="F304" s="20"/>
      <c r="G304" s="20"/>
      <c r="H304" s="20"/>
      <c r="I304" s="116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0"/>
      <c r="V304" s="20"/>
      <c r="W304" s="53"/>
      <c r="X304" s="20"/>
      <c r="Y304" s="20"/>
      <c r="Z304" s="20"/>
      <c r="AA304" s="20" t="s">
        <v>2153</v>
      </c>
      <c r="AB304" s="20" t="s">
        <v>1815</v>
      </c>
      <c r="AC304" s="24">
        <v>1</v>
      </c>
      <c r="AD304" s="24"/>
      <c r="AE304" s="24"/>
      <c r="AF304" s="24"/>
      <c r="AG304" s="24"/>
      <c r="AH304" s="20"/>
      <c r="AI304" s="42"/>
    </row>
    <row r="305" spans="1:35">
      <c r="A305" s="14"/>
      <c r="B305" s="20"/>
      <c r="C305" s="20" t="s">
        <v>2420</v>
      </c>
      <c r="D305" s="20" t="s">
        <v>79</v>
      </c>
      <c r="E305" s="20" t="s">
        <v>80</v>
      </c>
      <c r="F305" s="20" t="s">
        <v>2292</v>
      </c>
      <c r="G305" s="20" t="s">
        <v>2271</v>
      </c>
      <c r="H305" s="20" t="s">
        <v>2293</v>
      </c>
      <c r="I305" s="116">
        <v>26674</v>
      </c>
      <c r="J305" s="24">
        <v>1</v>
      </c>
      <c r="K305" s="24"/>
      <c r="L305" s="24">
        <v>1</v>
      </c>
      <c r="M305" s="24"/>
      <c r="N305" s="24"/>
      <c r="O305" s="24"/>
      <c r="P305" s="24"/>
      <c r="Q305" s="24"/>
      <c r="R305" s="24"/>
      <c r="S305" s="24"/>
      <c r="T305" s="24"/>
      <c r="U305" s="20" t="s">
        <v>2294</v>
      </c>
      <c r="V305" s="20" t="s">
        <v>1280</v>
      </c>
      <c r="W305" s="20" t="s">
        <v>280</v>
      </c>
      <c r="X305" s="20" t="s">
        <v>227</v>
      </c>
      <c r="Y305" s="20">
        <v>9752024989</v>
      </c>
      <c r="Z305" s="20"/>
      <c r="AA305" s="20" t="s">
        <v>1476</v>
      </c>
      <c r="AB305" s="20" t="s">
        <v>2009</v>
      </c>
      <c r="AC305" s="24">
        <v>1</v>
      </c>
      <c r="AD305" s="24"/>
      <c r="AE305" s="24"/>
      <c r="AF305" s="24"/>
      <c r="AG305" s="24"/>
      <c r="AH305" s="20"/>
      <c r="AI305" s="42"/>
    </row>
    <row r="306" spans="1:35">
      <c r="A306" s="14"/>
      <c r="B306" s="20"/>
      <c r="C306" s="20" t="s">
        <v>2420</v>
      </c>
      <c r="D306" s="20" t="s">
        <v>79</v>
      </c>
      <c r="E306" s="20" t="s">
        <v>80</v>
      </c>
      <c r="F306" s="20" t="s">
        <v>1724</v>
      </c>
      <c r="G306" s="20" t="s">
        <v>1174</v>
      </c>
      <c r="H306" s="20" t="s">
        <v>2296</v>
      </c>
      <c r="I306" s="116">
        <v>30597</v>
      </c>
      <c r="J306" s="24">
        <v>1</v>
      </c>
      <c r="K306" s="24"/>
      <c r="L306" s="24">
        <v>1</v>
      </c>
      <c r="M306" s="24"/>
      <c r="N306" s="24"/>
      <c r="O306" s="24"/>
      <c r="P306" s="24"/>
      <c r="Q306" s="24"/>
      <c r="R306" s="24"/>
      <c r="S306" s="24"/>
      <c r="T306" s="24"/>
      <c r="U306" s="20" t="s">
        <v>2295</v>
      </c>
      <c r="V306" s="20" t="s">
        <v>1280</v>
      </c>
      <c r="W306" s="20" t="s">
        <v>280</v>
      </c>
      <c r="X306" s="20" t="s">
        <v>227</v>
      </c>
      <c r="Y306" s="20">
        <v>9051138604</v>
      </c>
      <c r="Z306" s="20"/>
      <c r="AA306" s="20" t="s">
        <v>1476</v>
      </c>
      <c r="AB306" s="20" t="s">
        <v>2009</v>
      </c>
      <c r="AC306" s="24">
        <v>1</v>
      </c>
      <c r="AD306" s="24"/>
      <c r="AE306" s="24"/>
      <c r="AF306" s="24"/>
      <c r="AG306" s="24"/>
      <c r="AH306" s="20"/>
      <c r="AI306" s="42"/>
    </row>
    <row r="307" spans="1:35">
      <c r="A307" s="14"/>
      <c r="B307" s="20"/>
      <c r="C307" s="20" t="s">
        <v>2420</v>
      </c>
      <c r="D307" s="20" t="s">
        <v>79</v>
      </c>
      <c r="E307" s="20" t="s">
        <v>80</v>
      </c>
      <c r="F307" s="20" t="s">
        <v>2297</v>
      </c>
      <c r="G307" s="20" t="s">
        <v>382</v>
      </c>
      <c r="H307" s="20" t="s">
        <v>136</v>
      </c>
      <c r="I307" s="116">
        <v>28980</v>
      </c>
      <c r="J307" s="24">
        <v>1</v>
      </c>
      <c r="K307" s="24"/>
      <c r="L307" s="24">
        <v>1</v>
      </c>
      <c r="M307" s="24"/>
      <c r="N307" s="24"/>
      <c r="O307" s="24"/>
      <c r="P307" s="24"/>
      <c r="Q307" s="24"/>
      <c r="R307" s="24"/>
      <c r="S307" s="24"/>
      <c r="T307" s="24"/>
      <c r="U307" s="20"/>
      <c r="V307" s="20" t="s">
        <v>1280</v>
      </c>
      <c r="W307" s="53" t="s">
        <v>280</v>
      </c>
      <c r="X307" s="20" t="s">
        <v>227</v>
      </c>
      <c r="Y307" s="20">
        <v>9266046101</v>
      </c>
      <c r="Z307" s="20"/>
      <c r="AA307" s="20" t="s">
        <v>1476</v>
      </c>
      <c r="AB307" s="20" t="s">
        <v>2009</v>
      </c>
      <c r="AC307" s="24">
        <v>1</v>
      </c>
      <c r="AD307" s="24"/>
      <c r="AE307" s="24"/>
      <c r="AF307" s="24"/>
      <c r="AG307" s="24"/>
      <c r="AH307" s="20"/>
      <c r="AI307" s="42"/>
    </row>
    <row r="308" spans="1:35">
      <c r="A308" s="14"/>
      <c r="B308" s="20"/>
      <c r="C308" s="20" t="s">
        <v>2420</v>
      </c>
      <c r="D308" s="20" t="s">
        <v>79</v>
      </c>
      <c r="E308" s="20" t="s">
        <v>80</v>
      </c>
      <c r="F308" s="20" t="s">
        <v>312</v>
      </c>
      <c r="G308" s="20" t="s">
        <v>2298</v>
      </c>
      <c r="H308" s="20"/>
      <c r="I308" s="116">
        <v>21157</v>
      </c>
      <c r="J308" s="24">
        <v>1</v>
      </c>
      <c r="K308" s="24"/>
      <c r="L308" s="24">
        <v>1</v>
      </c>
      <c r="M308" s="24">
        <v>1</v>
      </c>
      <c r="N308" s="24"/>
      <c r="O308" s="24"/>
      <c r="P308" s="24"/>
      <c r="Q308" s="24"/>
      <c r="R308" s="24"/>
      <c r="S308" s="24"/>
      <c r="T308" s="24"/>
      <c r="U308" s="20" t="s">
        <v>506</v>
      </c>
      <c r="V308" s="20" t="s">
        <v>293</v>
      </c>
      <c r="W308" s="53" t="s">
        <v>298</v>
      </c>
      <c r="X308" s="20" t="s">
        <v>227</v>
      </c>
      <c r="Y308" s="20"/>
      <c r="Z308" s="20"/>
      <c r="AA308" s="20" t="s">
        <v>1476</v>
      </c>
      <c r="AB308" s="20" t="s">
        <v>2009</v>
      </c>
      <c r="AC308" s="24">
        <v>1</v>
      </c>
      <c r="AD308" s="24"/>
      <c r="AE308" s="24"/>
      <c r="AF308" s="24"/>
      <c r="AG308" s="24"/>
      <c r="AH308" s="20"/>
      <c r="AI308" s="42"/>
    </row>
    <row r="309" spans="1:35">
      <c r="A309" s="14"/>
      <c r="B309" s="20"/>
      <c r="C309" s="20" t="s">
        <v>2420</v>
      </c>
      <c r="D309" s="20" t="s">
        <v>79</v>
      </c>
      <c r="E309" s="20" t="s">
        <v>80</v>
      </c>
      <c r="F309" s="20" t="s">
        <v>2299</v>
      </c>
      <c r="G309" s="20" t="s">
        <v>382</v>
      </c>
      <c r="H309" s="20" t="s">
        <v>93</v>
      </c>
      <c r="I309" s="116" t="s">
        <v>2300</v>
      </c>
      <c r="J309" s="24">
        <v>1</v>
      </c>
      <c r="K309" s="24"/>
      <c r="L309" s="24">
        <v>1</v>
      </c>
      <c r="M309" s="24"/>
      <c r="N309" s="24"/>
      <c r="O309" s="24"/>
      <c r="P309" s="24">
        <v>1</v>
      </c>
      <c r="Q309" s="24"/>
      <c r="R309" s="24"/>
      <c r="S309" s="24"/>
      <c r="T309" s="24"/>
      <c r="U309" s="20" t="s">
        <v>506</v>
      </c>
      <c r="V309" s="20" t="s">
        <v>293</v>
      </c>
      <c r="W309" s="53" t="s">
        <v>298</v>
      </c>
      <c r="X309" s="20" t="s">
        <v>227</v>
      </c>
      <c r="Y309" s="20"/>
      <c r="Z309" s="20"/>
      <c r="AA309" s="20" t="s">
        <v>1476</v>
      </c>
      <c r="AB309" s="20" t="s">
        <v>2009</v>
      </c>
      <c r="AC309" s="24">
        <v>1</v>
      </c>
      <c r="AD309" s="24"/>
      <c r="AE309" s="24"/>
      <c r="AF309" s="24"/>
      <c r="AG309" s="24"/>
      <c r="AH309" s="20"/>
      <c r="AI309" s="42"/>
    </row>
    <row r="310" spans="1:35">
      <c r="A310" s="14"/>
      <c r="B310" s="20"/>
      <c r="C310" s="20" t="s">
        <v>2420</v>
      </c>
      <c r="D310" s="20" t="s">
        <v>79</v>
      </c>
      <c r="E310" s="20" t="s">
        <v>80</v>
      </c>
      <c r="F310" s="20" t="s">
        <v>161</v>
      </c>
      <c r="G310" s="20" t="s">
        <v>1613</v>
      </c>
      <c r="H310" s="20" t="s">
        <v>93</v>
      </c>
      <c r="I310" s="116"/>
      <c r="J310" s="24">
        <v>1</v>
      </c>
      <c r="K310" s="24"/>
      <c r="L310" s="24">
        <v>1</v>
      </c>
      <c r="M310" s="24"/>
      <c r="N310" s="24"/>
      <c r="O310" s="24"/>
      <c r="P310" s="24"/>
      <c r="Q310" s="24"/>
      <c r="R310" s="24"/>
      <c r="S310" s="24"/>
      <c r="T310" s="24"/>
      <c r="U310" s="20" t="s">
        <v>221</v>
      </c>
      <c r="V310" s="20" t="s">
        <v>218</v>
      </c>
      <c r="W310" s="53" t="s">
        <v>279</v>
      </c>
      <c r="X310" s="20" t="s">
        <v>227</v>
      </c>
      <c r="Y310" s="20"/>
      <c r="Z310" s="20"/>
      <c r="AA310" s="21" t="s">
        <v>2343</v>
      </c>
      <c r="AB310" s="21" t="s">
        <v>2009</v>
      </c>
      <c r="AC310" s="209">
        <v>1</v>
      </c>
      <c r="AD310" s="24"/>
      <c r="AE310" s="24"/>
      <c r="AF310" s="24"/>
      <c r="AG310" s="24"/>
      <c r="AH310" s="20"/>
      <c r="AI310" s="42"/>
    </row>
    <row r="311" spans="1:35">
      <c r="A311" s="14"/>
      <c r="B311" s="20"/>
      <c r="C311" s="20" t="s">
        <v>2420</v>
      </c>
      <c r="D311" s="20" t="s">
        <v>79</v>
      </c>
      <c r="E311" s="20" t="s">
        <v>80</v>
      </c>
      <c r="F311" s="20" t="s">
        <v>171</v>
      </c>
      <c r="G311" s="20" t="s">
        <v>172</v>
      </c>
      <c r="H311" s="20"/>
      <c r="I311" s="116"/>
      <c r="J311" s="24">
        <v>1</v>
      </c>
      <c r="K311" s="24"/>
      <c r="L311" s="24">
        <v>1</v>
      </c>
      <c r="M311" s="24"/>
      <c r="N311" s="24"/>
      <c r="O311" s="24"/>
      <c r="P311" s="24"/>
      <c r="Q311" s="24"/>
      <c r="R311" s="24" t="s">
        <v>93</v>
      </c>
      <c r="S311" s="24"/>
      <c r="T311" s="24"/>
      <c r="U311" s="20" t="s">
        <v>221</v>
      </c>
      <c r="V311" s="20" t="s">
        <v>218</v>
      </c>
      <c r="W311" s="53" t="s">
        <v>279</v>
      </c>
      <c r="X311" s="20" t="s">
        <v>227</v>
      </c>
      <c r="Y311" s="20" t="s">
        <v>93</v>
      </c>
      <c r="Z311" s="20"/>
      <c r="AA311" s="208" t="s">
        <v>2646</v>
      </c>
      <c r="AB311" s="208" t="s">
        <v>2646</v>
      </c>
      <c r="AC311" s="210" t="s">
        <v>2646</v>
      </c>
      <c r="AD311" s="24"/>
      <c r="AE311" s="24"/>
      <c r="AF311" s="24"/>
      <c r="AG311" s="24"/>
      <c r="AH311" s="20"/>
      <c r="AI311" s="42"/>
    </row>
    <row r="312" spans="1:35">
      <c r="A312" s="14"/>
      <c r="B312" s="20"/>
      <c r="C312" s="20" t="s">
        <v>2420</v>
      </c>
      <c r="D312" s="20" t="s">
        <v>79</v>
      </c>
      <c r="E312" s="20" t="s">
        <v>80</v>
      </c>
      <c r="F312" s="20" t="s">
        <v>1326</v>
      </c>
      <c r="G312" s="20" t="s">
        <v>1327</v>
      </c>
      <c r="H312" s="20"/>
      <c r="I312" s="116"/>
      <c r="J312" s="24">
        <v>1</v>
      </c>
      <c r="K312" s="24"/>
      <c r="L312" s="24">
        <v>1</v>
      </c>
      <c r="M312" s="24"/>
      <c r="N312" s="24"/>
      <c r="O312" s="24"/>
      <c r="P312" s="24"/>
      <c r="Q312" s="24"/>
      <c r="R312" s="24"/>
      <c r="S312" s="24"/>
      <c r="T312" s="24"/>
      <c r="U312" s="20" t="s">
        <v>221</v>
      </c>
      <c r="V312" s="20" t="s">
        <v>218</v>
      </c>
      <c r="W312" s="53" t="s">
        <v>279</v>
      </c>
      <c r="X312" s="20" t="s">
        <v>227</v>
      </c>
      <c r="Y312" s="20"/>
      <c r="Z312" s="20"/>
      <c r="AA312" s="208" t="s">
        <v>2646</v>
      </c>
      <c r="AB312" s="208" t="s">
        <v>2646</v>
      </c>
      <c r="AC312" s="210" t="s">
        <v>2646</v>
      </c>
      <c r="AD312" s="24"/>
      <c r="AE312" s="24"/>
      <c r="AF312" s="24"/>
      <c r="AG312" s="24"/>
      <c r="AH312" s="20"/>
      <c r="AI312" s="42"/>
    </row>
    <row r="313" spans="1:35">
      <c r="A313" s="14"/>
      <c r="B313" s="20"/>
      <c r="C313" s="20" t="s">
        <v>2420</v>
      </c>
      <c r="D313" s="20" t="s">
        <v>79</v>
      </c>
      <c r="E313" s="20" t="s">
        <v>80</v>
      </c>
      <c r="F313" s="20" t="s">
        <v>155</v>
      </c>
      <c r="G313" s="20" t="s">
        <v>156</v>
      </c>
      <c r="H313" s="20"/>
      <c r="I313" s="116"/>
      <c r="J313" s="24">
        <v>1</v>
      </c>
      <c r="K313" s="24"/>
      <c r="L313" s="24">
        <v>1</v>
      </c>
      <c r="M313" s="24"/>
      <c r="N313" s="24"/>
      <c r="O313" s="24"/>
      <c r="P313" s="24"/>
      <c r="Q313" s="24"/>
      <c r="R313" s="24"/>
      <c r="S313" s="24"/>
      <c r="T313" s="24"/>
      <c r="U313" s="20" t="s">
        <v>221</v>
      </c>
      <c r="V313" s="20" t="s">
        <v>218</v>
      </c>
      <c r="W313" s="53" t="s">
        <v>279</v>
      </c>
      <c r="X313" s="20" t="s">
        <v>227</v>
      </c>
      <c r="Y313" s="20"/>
      <c r="Z313" s="20"/>
      <c r="AA313" s="208" t="s">
        <v>2646</v>
      </c>
      <c r="AB313" s="208" t="s">
        <v>2646</v>
      </c>
      <c r="AC313" s="210" t="s">
        <v>2646</v>
      </c>
      <c r="AD313" s="24"/>
      <c r="AE313" s="24"/>
      <c r="AF313" s="24"/>
      <c r="AG313" s="24"/>
      <c r="AH313" s="20"/>
      <c r="AI313" s="42"/>
    </row>
    <row r="314" spans="1:35">
      <c r="A314" s="14"/>
      <c r="B314" s="20"/>
      <c r="C314" s="20" t="s">
        <v>2420</v>
      </c>
      <c r="D314" s="20" t="s">
        <v>79</v>
      </c>
      <c r="E314" s="20" t="s">
        <v>80</v>
      </c>
      <c r="F314" s="20" t="s">
        <v>161</v>
      </c>
      <c r="G314" s="20" t="s">
        <v>177</v>
      </c>
      <c r="H314" s="20"/>
      <c r="I314" s="116"/>
      <c r="J314" s="24">
        <v>1</v>
      </c>
      <c r="K314" s="24"/>
      <c r="L314" s="24">
        <v>1</v>
      </c>
      <c r="M314" s="24"/>
      <c r="N314" s="24"/>
      <c r="O314" s="24"/>
      <c r="P314" s="24"/>
      <c r="Q314" s="24"/>
      <c r="R314" s="24"/>
      <c r="S314" s="24"/>
      <c r="T314" s="24"/>
      <c r="U314" s="20" t="s">
        <v>221</v>
      </c>
      <c r="V314" s="20" t="s">
        <v>218</v>
      </c>
      <c r="W314" s="53" t="s">
        <v>279</v>
      </c>
      <c r="X314" s="20" t="s">
        <v>227</v>
      </c>
      <c r="Y314" s="20"/>
      <c r="Z314" s="20"/>
      <c r="AA314" s="208" t="s">
        <v>2646</v>
      </c>
      <c r="AB314" s="208" t="s">
        <v>2646</v>
      </c>
      <c r="AC314" s="210" t="s">
        <v>2646</v>
      </c>
      <c r="AD314" s="24"/>
      <c r="AE314" s="24"/>
      <c r="AF314" s="24"/>
      <c r="AG314" s="24"/>
      <c r="AH314" s="20"/>
      <c r="AI314" s="42"/>
    </row>
    <row r="315" spans="1:35">
      <c r="A315" s="14"/>
      <c r="B315" s="20"/>
      <c r="C315" s="20" t="s">
        <v>2420</v>
      </c>
      <c r="D315" s="20" t="s">
        <v>79</v>
      </c>
      <c r="E315" s="20" t="s">
        <v>80</v>
      </c>
      <c r="F315" s="20" t="s">
        <v>2330</v>
      </c>
      <c r="G315" s="20" t="s">
        <v>745</v>
      </c>
      <c r="H315" s="20"/>
      <c r="I315" s="116"/>
      <c r="J315" s="24">
        <v>1</v>
      </c>
      <c r="K315" s="24"/>
      <c r="L315" s="24">
        <v>1</v>
      </c>
      <c r="M315" s="24"/>
      <c r="N315" s="24"/>
      <c r="O315" s="24"/>
      <c r="P315" s="24"/>
      <c r="Q315" s="24"/>
      <c r="R315" s="24"/>
      <c r="S315" s="24"/>
      <c r="T315" s="24"/>
      <c r="U315" s="20" t="s">
        <v>221</v>
      </c>
      <c r="V315" s="20" t="s">
        <v>218</v>
      </c>
      <c r="W315" s="53" t="s">
        <v>279</v>
      </c>
      <c r="X315" s="20" t="s">
        <v>227</v>
      </c>
      <c r="Y315" s="20"/>
      <c r="Z315" s="20"/>
      <c r="AA315" s="208" t="s">
        <v>2646</v>
      </c>
      <c r="AB315" s="208" t="s">
        <v>2646</v>
      </c>
      <c r="AC315" s="210" t="s">
        <v>2646</v>
      </c>
      <c r="AD315" s="24"/>
      <c r="AE315" s="24"/>
      <c r="AF315" s="24"/>
      <c r="AG315" s="24"/>
      <c r="AH315" s="20"/>
      <c r="AI315" s="42"/>
    </row>
    <row r="316" spans="1:35">
      <c r="A316" s="14"/>
      <c r="B316" s="20"/>
      <c r="C316" s="20" t="s">
        <v>2420</v>
      </c>
      <c r="D316" s="20" t="s">
        <v>79</v>
      </c>
      <c r="E316" s="20" t="s">
        <v>80</v>
      </c>
      <c r="F316" s="20" t="s">
        <v>161</v>
      </c>
      <c r="G316" s="20" t="s">
        <v>150</v>
      </c>
      <c r="H316" s="20"/>
      <c r="I316" s="116"/>
      <c r="J316" s="24">
        <v>1</v>
      </c>
      <c r="K316" s="24"/>
      <c r="L316" s="24">
        <v>1</v>
      </c>
      <c r="M316" s="24"/>
      <c r="N316" s="24"/>
      <c r="O316" s="24"/>
      <c r="P316" s="24"/>
      <c r="Q316" s="24"/>
      <c r="R316" s="24"/>
      <c r="S316" s="24"/>
      <c r="T316" s="24"/>
      <c r="U316" s="20" t="s">
        <v>221</v>
      </c>
      <c r="V316" s="20" t="s">
        <v>218</v>
      </c>
      <c r="W316" s="53" t="s">
        <v>279</v>
      </c>
      <c r="X316" s="20" t="s">
        <v>227</v>
      </c>
      <c r="Y316" s="20"/>
      <c r="Z316" s="20"/>
      <c r="AA316" s="208" t="s">
        <v>2646</v>
      </c>
      <c r="AB316" s="208" t="s">
        <v>2646</v>
      </c>
      <c r="AC316" s="210" t="s">
        <v>2646</v>
      </c>
      <c r="AD316" s="24"/>
      <c r="AE316" s="24"/>
      <c r="AF316" s="24"/>
      <c r="AG316" s="24"/>
      <c r="AH316" s="20"/>
      <c r="AI316" s="42"/>
    </row>
    <row r="317" spans="1:35">
      <c r="A317" s="14"/>
      <c r="B317" s="20"/>
      <c r="C317" s="20" t="s">
        <v>2420</v>
      </c>
      <c r="D317" s="20" t="s">
        <v>79</v>
      </c>
      <c r="E317" s="20" t="s">
        <v>80</v>
      </c>
      <c r="F317" s="20" t="s">
        <v>1203</v>
      </c>
      <c r="G317" s="20" t="s">
        <v>389</v>
      </c>
      <c r="H317" s="20"/>
      <c r="I317" s="116"/>
      <c r="J317" s="24">
        <v>1</v>
      </c>
      <c r="K317" s="24"/>
      <c r="L317" s="24">
        <v>1</v>
      </c>
      <c r="M317" s="24"/>
      <c r="N317" s="24"/>
      <c r="O317" s="24"/>
      <c r="P317" s="24"/>
      <c r="Q317" s="24"/>
      <c r="R317" s="24"/>
      <c r="S317" s="24"/>
      <c r="T317" s="24"/>
      <c r="U317" s="20" t="s">
        <v>221</v>
      </c>
      <c r="V317" s="20" t="s">
        <v>218</v>
      </c>
      <c r="W317" s="53" t="s">
        <v>279</v>
      </c>
      <c r="X317" s="20" t="s">
        <v>227</v>
      </c>
      <c r="Y317" s="20"/>
      <c r="Z317" s="20"/>
      <c r="AA317" s="208" t="s">
        <v>2646</v>
      </c>
      <c r="AB317" s="208" t="s">
        <v>2646</v>
      </c>
      <c r="AC317" s="210" t="s">
        <v>2646</v>
      </c>
      <c r="AD317" s="24"/>
      <c r="AE317" s="24"/>
      <c r="AF317" s="24"/>
      <c r="AG317" s="24"/>
      <c r="AH317" s="20"/>
      <c r="AI317" s="42"/>
    </row>
    <row r="318" spans="1:35">
      <c r="A318" s="14"/>
      <c r="B318" s="20"/>
      <c r="C318" s="20" t="s">
        <v>2420</v>
      </c>
      <c r="D318" s="20" t="s">
        <v>79</v>
      </c>
      <c r="E318" s="20" t="s">
        <v>80</v>
      </c>
      <c r="F318" s="20" t="s">
        <v>1331</v>
      </c>
      <c r="G318" s="20" t="s">
        <v>1332</v>
      </c>
      <c r="H318" s="20"/>
      <c r="I318" s="116"/>
      <c r="J318" s="24">
        <v>1</v>
      </c>
      <c r="K318" s="24"/>
      <c r="L318" s="24">
        <v>1</v>
      </c>
      <c r="M318" s="24"/>
      <c r="N318" s="24"/>
      <c r="O318" s="24"/>
      <c r="P318" s="24"/>
      <c r="Q318" s="24"/>
      <c r="R318" s="24"/>
      <c r="S318" s="24"/>
      <c r="T318" s="24"/>
      <c r="U318" s="20" t="s">
        <v>221</v>
      </c>
      <c r="V318" s="20" t="s">
        <v>218</v>
      </c>
      <c r="W318" s="53" t="s">
        <v>279</v>
      </c>
      <c r="X318" s="20" t="s">
        <v>227</v>
      </c>
      <c r="Y318" s="20"/>
      <c r="Z318" s="20"/>
      <c r="AA318" s="208" t="s">
        <v>2646</v>
      </c>
      <c r="AB318" s="208" t="s">
        <v>2646</v>
      </c>
      <c r="AC318" s="210" t="s">
        <v>2646</v>
      </c>
      <c r="AD318" s="24"/>
      <c r="AE318" s="24"/>
      <c r="AF318" s="24"/>
      <c r="AG318" s="24"/>
      <c r="AH318" s="20"/>
      <c r="AI318" s="42"/>
    </row>
    <row r="319" spans="1:35">
      <c r="A319" s="14"/>
      <c r="B319" s="20"/>
      <c r="C319" s="20" t="s">
        <v>2420</v>
      </c>
      <c r="D319" s="20" t="s">
        <v>79</v>
      </c>
      <c r="E319" s="20" t="s">
        <v>80</v>
      </c>
      <c r="F319" s="20" t="s">
        <v>174</v>
      </c>
      <c r="G319" s="20" t="s">
        <v>118</v>
      </c>
      <c r="H319" s="20"/>
      <c r="I319" s="116"/>
      <c r="J319" s="24">
        <v>1</v>
      </c>
      <c r="K319" s="24"/>
      <c r="L319" s="24">
        <v>1</v>
      </c>
      <c r="M319" s="24"/>
      <c r="N319" s="24"/>
      <c r="O319" s="24"/>
      <c r="P319" s="24"/>
      <c r="Q319" s="24"/>
      <c r="R319" s="24"/>
      <c r="S319" s="24"/>
      <c r="T319" s="24"/>
      <c r="U319" s="20" t="s">
        <v>221</v>
      </c>
      <c r="V319" s="20" t="s">
        <v>218</v>
      </c>
      <c r="W319" s="53" t="s">
        <v>279</v>
      </c>
      <c r="X319" s="20" t="s">
        <v>227</v>
      </c>
      <c r="Y319" s="20"/>
      <c r="Z319" s="20"/>
      <c r="AA319" s="208" t="s">
        <v>2646</v>
      </c>
      <c r="AB319" s="208" t="s">
        <v>2646</v>
      </c>
      <c r="AC319" s="210" t="s">
        <v>2646</v>
      </c>
      <c r="AD319" s="24"/>
      <c r="AE319" s="24"/>
      <c r="AF319" s="24"/>
      <c r="AG319" s="24"/>
      <c r="AH319" s="20"/>
      <c r="AI319" s="42"/>
    </row>
    <row r="320" spans="1:35">
      <c r="A320" s="14"/>
      <c r="B320" s="20"/>
      <c r="C320" s="20" t="s">
        <v>2420</v>
      </c>
      <c r="D320" s="20" t="s">
        <v>79</v>
      </c>
      <c r="E320" s="20" t="s">
        <v>80</v>
      </c>
      <c r="F320" s="20" t="s">
        <v>161</v>
      </c>
      <c r="G320" s="20" t="s">
        <v>1231</v>
      </c>
      <c r="H320" s="20"/>
      <c r="I320" s="116"/>
      <c r="J320" s="24">
        <v>1</v>
      </c>
      <c r="K320" s="24"/>
      <c r="L320" s="24">
        <v>1</v>
      </c>
      <c r="M320" s="24"/>
      <c r="N320" s="24"/>
      <c r="O320" s="24"/>
      <c r="P320" s="24"/>
      <c r="Q320" s="24"/>
      <c r="R320" s="24"/>
      <c r="S320" s="24"/>
      <c r="T320" s="24"/>
      <c r="U320" s="20" t="s">
        <v>221</v>
      </c>
      <c r="V320" s="20" t="s">
        <v>218</v>
      </c>
      <c r="W320" s="53" t="s">
        <v>279</v>
      </c>
      <c r="X320" s="20" t="s">
        <v>227</v>
      </c>
      <c r="Y320" s="20"/>
      <c r="Z320" s="20"/>
      <c r="AA320" s="208" t="s">
        <v>2646</v>
      </c>
      <c r="AB320" s="208" t="s">
        <v>2646</v>
      </c>
      <c r="AC320" s="210" t="s">
        <v>2646</v>
      </c>
      <c r="AD320" s="24"/>
      <c r="AE320" s="24"/>
      <c r="AF320" s="24"/>
      <c r="AG320" s="24"/>
      <c r="AH320" s="20"/>
      <c r="AI320" s="42"/>
    </row>
    <row r="321" spans="1:35">
      <c r="A321" s="14"/>
      <c r="B321" s="20"/>
      <c r="C321" s="20" t="s">
        <v>2420</v>
      </c>
      <c r="D321" s="20" t="s">
        <v>79</v>
      </c>
      <c r="E321" s="20" t="s">
        <v>80</v>
      </c>
      <c r="F321" s="20" t="s">
        <v>174</v>
      </c>
      <c r="G321" s="20" t="s">
        <v>2331</v>
      </c>
      <c r="H321" s="20"/>
      <c r="I321" s="116"/>
      <c r="J321" s="24">
        <v>1</v>
      </c>
      <c r="K321" s="24"/>
      <c r="L321" s="24">
        <v>1</v>
      </c>
      <c r="M321" s="24"/>
      <c r="N321" s="24"/>
      <c r="O321" s="24"/>
      <c r="P321" s="24"/>
      <c r="Q321" s="24"/>
      <c r="R321" s="24"/>
      <c r="S321" s="24"/>
      <c r="T321" s="24"/>
      <c r="U321" s="20" t="s">
        <v>221</v>
      </c>
      <c r="V321" s="20" t="s">
        <v>218</v>
      </c>
      <c r="W321" s="53" t="s">
        <v>279</v>
      </c>
      <c r="X321" s="20" t="s">
        <v>227</v>
      </c>
      <c r="Y321" s="20"/>
      <c r="Z321" s="20"/>
      <c r="AA321" s="208" t="s">
        <v>2646</v>
      </c>
      <c r="AB321" s="208" t="s">
        <v>2646</v>
      </c>
      <c r="AC321" s="210" t="s">
        <v>2646</v>
      </c>
      <c r="AD321" s="24"/>
      <c r="AE321" s="24"/>
      <c r="AF321" s="24"/>
      <c r="AG321" s="24"/>
      <c r="AH321" s="20"/>
      <c r="AI321" s="42"/>
    </row>
    <row r="322" spans="1:35">
      <c r="A322" s="14"/>
      <c r="B322" s="20"/>
      <c r="C322" s="20" t="s">
        <v>2420</v>
      </c>
      <c r="D322" s="20" t="s">
        <v>79</v>
      </c>
      <c r="E322" s="20" t="s">
        <v>80</v>
      </c>
      <c r="F322" s="20" t="s">
        <v>2332</v>
      </c>
      <c r="G322" s="20" t="s">
        <v>2333</v>
      </c>
      <c r="H322" s="20"/>
      <c r="I322" s="116"/>
      <c r="J322" s="24">
        <v>1</v>
      </c>
      <c r="K322" s="24"/>
      <c r="L322" s="24">
        <v>1</v>
      </c>
      <c r="M322" s="24"/>
      <c r="N322" s="24"/>
      <c r="O322" s="24"/>
      <c r="P322" s="24"/>
      <c r="Q322" s="24"/>
      <c r="R322" s="24"/>
      <c r="S322" s="24"/>
      <c r="T322" s="24"/>
      <c r="U322" s="20" t="s">
        <v>221</v>
      </c>
      <c r="V322" s="20" t="s">
        <v>218</v>
      </c>
      <c r="W322" s="53" t="s">
        <v>279</v>
      </c>
      <c r="X322" s="20" t="s">
        <v>227</v>
      </c>
      <c r="Y322" s="20"/>
      <c r="Z322" s="20"/>
      <c r="AA322" s="208" t="s">
        <v>2646</v>
      </c>
      <c r="AB322" s="208" t="s">
        <v>2646</v>
      </c>
      <c r="AC322" s="210" t="s">
        <v>2646</v>
      </c>
      <c r="AD322" s="24"/>
      <c r="AE322" s="24"/>
      <c r="AF322" s="24"/>
      <c r="AG322" s="24"/>
      <c r="AH322" s="20"/>
      <c r="AI322" s="42"/>
    </row>
    <row r="323" spans="1:35">
      <c r="A323" s="14"/>
      <c r="B323" s="20"/>
      <c r="C323" s="20" t="s">
        <v>2420</v>
      </c>
      <c r="D323" s="20" t="s">
        <v>79</v>
      </c>
      <c r="E323" s="20" t="s">
        <v>80</v>
      </c>
      <c r="F323" s="20" t="s">
        <v>158</v>
      </c>
      <c r="G323" s="20" t="s">
        <v>2334</v>
      </c>
      <c r="H323" s="20"/>
      <c r="I323" s="116"/>
      <c r="J323" s="24">
        <v>1</v>
      </c>
      <c r="K323" s="24"/>
      <c r="L323" s="24">
        <v>1</v>
      </c>
      <c r="M323" s="24"/>
      <c r="N323" s="24"/>
      <c r="O323" s="24"/>
      <c r="P323" s="24"/>
      <c r="Q323" s="24"/>
      <c r="R323" s="24"/>
      <c r="S323" s="24"/>
      <c r="T323" s="24"/>
      <c r="U323" s="20" t="s">
        <v>221</v>
      </c>
      <c r="V323" s="20" t="s">
        <v>218</v>
      </c>
      <c r="W323" s="53" t="s">
        <v>279</v>
      </c>
      <c r="X323" s="20" t="s">
        <v>227</v>
      </c>
      <c r="Y323" s="20"/>
      <c r="Z323" s="20"/>
      <c r="AA323" s="208" t="s">
        <v>2646</v>
      </c>
      <c r="AB323" s="208" t="s">
        <v>2646</v>
      </c>
      <c r="AC323" s="210" t="s">
        <v>2646</v>
      </c>
      <c r="AD323" s="24"/>
      <c r="AE323" s="24"/>
      <c r="AF323" s="24"/>
      <c r="AG323" s="24"/>
      <c r="AH323" s="20"/>
      <c r="AI323" s="42"/>
    </row>
    <row r="324" spans="1:35">
      <c r="A324" s="14"/>
      <c r="B324" s="20"/>
      <c r="C324" s="20" t="s">
        <v>2420</v>
      </c>
      <c r="D324" s="20" t="s">
        <v>79</v>
      </c>
      <c r="E324" s="20" t="s">
        <v>80</v>
      </c>
      <c r="F324" s="20" t="s">
        <v>1729</v>
      </c>
      <c r="G324" s="20" t="s">
        <v>140</v>
      </c>
      <c r="H324" s="20"/>
      <c r="I324" s="116" t="s">
        <v>2341</v>
      </c>
      <c r="J324" s="24">
        <v>1</v>
      </c>
      <c r="K324" s="24"/>
      <c r="L324" s="24">
        <v>1</v>
      </c>
      <c r="M324" s="24"/>
      <c r="N324" s="24"/>
      <c r="O324" s="24"/>
      <c r="P324" s="24"/>
      <c r="Q324" s="24"/>
      <c r="R324" s="24"/>
      <c r="S324" s="24"/>
      <c r="T324" s="24"/>
      <c r="U324" s="20" t="s">
        <v>221</v>
      </c>
      <c r="V324" s="20" t="s">
        <v>218</v>
      </c>
      <c r="W324" s="53" t="s">
        <v>279</v>
      </c>
      <c r="X324" s="20" t="s">
        <v>227</v>
      </c>
      <c r="Y324" s="20"/>
      <c r="Z324" s="20"/>
      <c r="AA324" s="208" t="s">
        <v>2646</v>
      </c>
      <c r="AB324" s="208" t="s">
        <v>2646</v>
      </c>
      <c r="AC324" s="210" t="s">
        <v>2646</v>
      </c>
      <c r="AD324" s="24"/>
      <c r="AE324" s="24"/>
      <c r="AF324" s="24"/>
      <c r="AG324" s="24"/>
      <c r="AH324" s="20"/>
      <c r="AI324" s="42"/>
    </row>
    <row r="325" spans="1:35">
      <c r="A325" s="14"/>
      <c r="B325" s="20"/>
      <c r="C325" s="20" t="s">
        <v>2420</v>
      </c>
      <c r="D325" s="20" t="s">
        <v>79</v>
      </c>
      <c r="E325" s="20" t="s">
        <v>80</v>
      </c>
      <c r="F325" s="20" t="s">
        <v>1032</v>
      </c>
      <c r="G325" s="20" t="s">
        <v>169</v>
      </c>
      <c r="H325" s="20"/>
      <c r="I325" s="116">
        <v>26065</v>
      </c>
      <c r="J325" s="24">
        <v>1</v>
      </c>
      <c r="K325" s="24"/>
      <c r="L325" s="24">
        <v>1</v>
      </c>
      <c r="M325" s="24"/>
      <c r="N325" s="24"/>
      <c r="O325" s="24"/>
      <c r="P325" s="24"/>
      <c r="Q325" s="24"/>
      <c r="R325" s="24"/>
      <c r="S325" s="24"/>
      <c r="T325" s="24"/>
      <c r="U325" s="20" t="s">
        <v>221</v>
      </c>
      <c r="V325" s="20" t="s">
        <v>218</v>
      </c>
      <c r="W325" s="53" t="s">
        <v>279</v>
      </c>
      <c r="X325" s="20" t="s">
        <v>227</v>
      </c>
      <c r="Y325" s="20"/>
      <c r="Z325" s="20"/>
      <c r="AA325" s="208" t="s">
        <v>2646</v>
      </c>
      <c r="AB325" s="208" t="s">
        <v>2646</v>
      </c>
      <c r="AC325" s="210" t="s">
        <v>2646</v>
      </c>
      <c r="AD325" s="24"/>
      <c r="AE325" s="24"/>
      <c r="AF325" s="24"/>
      <c r="AG325" s="24"/>
      <c r="AH325" s="20"/>
      <c r="AI325" s="42"/>
    </row>
    <row r="326" spans="1:35">
      <c r="A326" s="14"/>
      <c r="B326" s="20"/>
      <c r="C326" s="20" t="s">
        <v>2420</v>
      </c>
      <c r="D326" s="20" t="s">
        <v>79</v>
      </c>
      <c r="E326" s="20" t="s">
        <v>80</v>
      </c>
      <c r="F326" s="20" t="s">
        <v>2335</v>
      </c>
      <c r="G326" s="20" t="s">
        <v>1857</v>
      </c>
      <c r="H326" s="20"/>
      <c r="I326" s="116"/>
      <c r="J326" s="24">
        <v>1</v>
      </c>
      <c r="K326" s="24"/>
      <c r="L326" s="24">
        <v>1</v>
      </c>
      <c r="M326" s="24"/>
      <c r="N326" s="24"/>
      <c r="O326" s="24"/>
      <c r="P326" s="24"/>
      <c r="Q326" s="24"/>
      <c r="R326" s="24"/>
      <c r="S326" s="24"/>
      <c r="T326" s="24"/>
      <c r="U326" s="20" t="s">
        <v>221</v>
      </c>
      <c r="V326" s="20" t="s">
        <v>218</v>
      </c>
      <c r="W326" s="53" t="s">
        <v>279</v>
      </c>
      <c r="X326" s="20" t="s">
        <v>227</v>
      </c>
      <c r="Y326" s="20"/>
      <c r="Z326" s="20"/>
      <c r="AA326" s="208" t="s">
        <v>2646</v>
      </c>
      <c r="AB326" s="208" t="s">
        <v>2646</v>
      </c>
      <c r="AC326" s="210" t="s">
        <v>2646</v>
      </c>
      <c r="AD326" s="24"/>
      <c r="AE326" s="24"/>
      <c r="AF326" s="24"/>
      <c r="AG326" s="24"/>
      <c r="AH326" s="20"/>
      <c r="AI326" s="42"/>
    </row>
    <row r="327" spans="1:35">
      <c r="A327" s="14"/>
      <c r="B327" s="20"/>
      <c r="C327" s="20" t="s">
        <v>2420</v>
      </c>
      <c r="D327" s="20" t="s">
        <v>79</v>
      </c>
      <c r="E327" s="20" t="s">
        <v>80</v>
      </c>
      <c r="F327" s="20" t="s">
        <v>2336</v>
      </c>
      <c r="G327" s="20" t="s">
        <v>2036</v>
      </c>
      <c r="H327" s="20"/>
      <c r="I327" s="116" t="s">
        <v>2342</v>
      </c>
      <c r="J327" s="24">
        <v>1</v>
      </c>
      <c r="K327" s="24"/>
      <c r="L327" s="24">
        <v>1</v>
      </c>
      <c r="M327" s="24"/>
      <c r="N327" s="24"/>
      <c r="O327" s="24"/>
      <c r="P327" s="24"/>
      <c r="Q327" s="24"/>
      <c r="R327" s="24"/>
      <c r="S327" s="24"/>
      <c r="T327" s="24"/>
      <c r="U327" s="20" t="s">
        <v>221</v>
      </c>
      <c r="V327" s="20" t="s">
        <v>218</v>
      </c>
      <c r="W327" s="53" t="s">
        <v>279</v>
      </c>
      <c r="X327" s="20" t="s">
        <v>227</v>
      </c>
      <c r="Y327" s="20"/>
      <c r="Z327" s="20"/>
      <c r="AA327" s="208" t="s">
        <v>2646</v>
      </c>
      <c r="AB327" s="208" t="s">
        <v>2646</v>
      </c>
      <c r="AC327" s="210" t="s">
        <v>2646</v>
      </c>
      <c r="AD327" s="24"/>
      <c r="AE327" s="24"/>
      <c r="AF327" s="24"/>
      <c r="AG327" s="24"/>
      <c r="AH327" s="20"/>
      <c r="AI327" s="42"/>
    </row>
    <row r="328" spans="1:35">
      <c r="A328" s="14"/>
      <c r="B328" s="20"/>
      <c r="C328" s="20" t="s">
        <v>2420</v>
      </c>
      <c r="D328" s="20" t="s">
        <v>79</v>
      </c>
      <c r="E328" s="20" t="s">
        <v>80</v>
      </c>
      <c r="F328" s="20" t="s">
        <v>2337</v>
      </c>
      <c r="G328" s="20" t="s">
        <v>2338</v>
      </c>
      <c r="H328" s="20" t="s">
        <v>144</v>
      </c>
      <c r="I328" s="116">
        <v>20675</v>
      </c>
      <c r="J328" s="24">
        <v>1</v>
      </c>
      <c r="K328" s="24"/>
      <c r="L328" s="24">
        <v>1</v>
      </c>
      <c r="M328" s="24">
        <v>1</v>
      </c>
      <c r="N328" s="24"/>
      <c r="O328" s="24"/>
      <c r="P328" s="24"/>
      <c r="Q328" s="24"/>
      <c r="R328" s="24"/>
      <c r="S328" s="24"/>
      <c r="T328" s="24"/>
      <c r="U328" s="20" t="s">
        <v>221</v>
      </c>
      <c r="V328" s="20" t="s">
        <v>218</v>
      </c>
      <c r="W328" s="53" t="s">
        <v>279</v>
      </c>
      <c r="X328" s="20" t="s">
        <v>227</v>
      </c>
      <c r="Y328" s="20"/>
      <c r="Z328" s="20"/>
      <c r="AA328" s="208" t="s">
        <v>2646</v>
      </c>
      <c r="AB328" s="208" t="s">
        <v>2646</v>
      </c>
      <c r="AC328" s="210" t="s">
        <v>2646</v>
      </c>
      <c r="AD328" s="24"/>
      <c r="AE328" s="24"/>
      <c r="AF328" s="24"/>
      <c r="AG328" s="24"/>
      <c r="AH328" s="20"/>
      <c r="AI328" s="42"/>
    </row>
    <row r="329" spans="1:35">
      <c r="A329" s="14"/>
      <c r="B329" s="20"/>
      <c r="C329" s="20" t="s">
        <v>2420</v>
      </c>
      <c r="D329" s="20" t="s">
        <v>79</v>
      </c>
      <c r="E329" s="20" t="s">
        <v>80</v>
      </c>
      <c r="F329" s="20" t="s">
        <v>2339</v>
      </c>
      <c r="G329" s="20" t="s">
        <v>2340</v>
      </c>
      <c r="H329" s="20" t="s">
        <v>113</v>
      </c>
      <c r="I329" s="116">
        <v>31080</v>
      </c>
      <c r="J329" s="24">
        <v>1</v>
      </c>
      <c r="K329" s="24"/>
      <c r="L329" s="24">
        <v>1</v>
      </c>
      <c r="M329" s="24"/>
      <c r="N329" s="24"/>
      <c r="O329" s="24"/>
      <c r="P329" s="24"/>
      <c r="Q329" s="24"/>
      <c r="R329" s="24"/>
      <c r="S329" s="24"/>
      <c r="T329" s="24"/>
      <c r="U329" s="20" t="s">
        <v>221</v>
      </c>
      <c r="V329" s="20" t="s">
        <v>218</v>
      </c>
      <c r="W329" s="53" t="s">
        <v>279</v>
      </c>
      <c r="X329" s="20" t="s">
        <v>227</v>
      </c>
      <c r="Y329" s="20"/>
      <c r="Z329" s="20"/>
      <c r="AA329" s="208" t="s">
        <v>2646</v>
      </c>
      <c r="AB329" s="208" t="s">
        <v>2646</v>
      </c>
      <c r="AC329" s="210" t="s">
        <v>2646</v>
      </c>
      <c r="AD329" s="24"/>
      <c r="AE329" s="24"/>
      <c r="AF329" s="24"/>
      <c r="AG329" s="24"/>
      <c r="AH329" s="20"/>
      <c r="AI329" s="42"/>
    </row>
    <row r="330" spans="1:35">
      <c r="A330" s="14"/>
      <c r="B330" s="20"/>
      <c r="C330" s="20" t="s">
        <v>2420</v>
      </c>
      <c r="D330" s="20" t="s">
        <v>79</v>
      </c>
      <c r="E330" s="20" t="s">
        <v>80</v>
      </c>
      <c r="F330" s="20" t="s">
        <v>2344</v>
      </c>
      <c r="G330" s="20" t="s">
        <v>382</v>
      </c>
      <c r="H330" s="20" t="s">
        <v>421</v>
      </c>
      <c r="I330" s="116" t="s">
        <v>2345</v>
      </c>
      <c r="J330" s="24">
        <v>1</v>
      </c>
      <c r="K330" s="24"/>
      <c r="L330" s="24">
        <v>1</v>
      </c>
      <c r="M330" s="24"/>
      <c r="N330" s="24"/>
      <c r="O330" s="24"/>
      <c r="P330" s="24"/>
      <c r="Q330" s="24"/>
      <c r="R330" s="24"/>
      <c r="S330" s="24"/>
      <c r="T330" s="24"/>
      <c r="U330" s="20" t="s">
        <v>354</v>
      </c>
      <c r="V330" s="20" t="s">
        <v>355</v>
      </c>
      <c r="W330" s="53" t="s">
        <v>280</v>
      </c>
      <c r="X330" s="20" t="s">
        <v>227</v>
      </c>
      <c r="Y330" s="20"/>
      <c r="Z330" s="20"/>
      <c r="AA330" s="20" t="s">
        <v>2361</v>
      </c>
      <c r="AB330" s="20" t="s">
        <v>2371</v>
      </c>
      <c r="AC330" s="24">
        <v>1</v>
      </c>
      <c r="AD330" s="24"/>
      <c r="AE330" s="24"/>
      <c r="AF330" s="24"/>
      <c r="AG330" s="24"/>
      <c r="AH330" s="20"/>
      <c r="AI330" s="42"/>
    </row>
    <row r="331" spans="1:35">
      <c r="A331" s="14"/>
      <c r="B331" s="20"/>
      <c r="C331" s="20" t="s">
        <v>2420</v>
      </c>
      <c r="D331" s="20" t="s">
        <v>79</v>
      </c>
      <c r="E331" s="20" t="s">
        <v>80</v>
      </c>
      <c r="F331" s="20" t="s">
        <v>2346</v>
      </c>
      <c r="G331" s="20" t="s">
        <v>2353</v>
      </c>
      <c r="H331" s="20"/>
      <c r="I331" s="116" t="s">
        <v>2347</v>
      </c>
      <c r="J331" s="24">
        <v>1</v>
      </c>
      <c r="K331" s="24" t="s">
        <v>93</v>
      </c>
      <c r="L331" s="24">
        <v>1</v>
      </c>
      <c r="M331" s="24">
        <v>1</v>
      </c>
      <c r="N331" s="24"/>
      <c r="O331" s="24"/>
      <c r="P331" s="24"/>
      <c r="Q331" s="24"/>
      <c r="R331" s="24"/>
      <c r="S331" s="24"/>
      <c r="T331" s="24"/>
      <c r="U331" s="20" t="s">
        <v>354</v>
      </c>
      <c r="V331" s="20" t="s">
        <v>355</v>
      </c>
      <c r="W331" s="53" t="s">
        <v>280</v>
      </c>
      <c r="X331" s="20" t="s">
        <v>227</v>
      </c>
      <c r="Y331" s="20"/>
      <c r="Z331" s="20"/>
      <c r="AA331" s="20" t="s">
        <v>2362</v>
      </c>
      <c r="AB331" s="20" t="s">
        <v>2371</v>
      </c>
      <c r="AC331" s="24">
        <v>1</v>
      </c>
      <c r="AD331" s="24"/>
      <c r="AE331" s="24"/>
      <c r="AF331" s="24"/>
      <c r="AG331" s="24"/>
      <c r="AH331" s="20"/>
      <c r="AI331" s="42"/>
    </row>
    <row r="332" spans="1:35">
      <c r="A332" s="14"/>
      <c r="B332" s="20"/>
      <c r="C332" s="20" t="s">
        <v>2420</v>
      </c>
      <c r="D332" s="20" t="s">
        <v>79</v>
      </c>
      <c r="E332" s="20" t="s">
        <v>80</v>
      </c>
      <c r="F332" s="20" t="s">
        <v>2348</v>
      </c>
      <c r="G332" s="20" t="s">
        <v>2349</v>
      </c>
      <c r="H332" s="20" t="s">
        <v>202</v>
      </c>
      <c r="I332" s="116">
        <v>27492</v>
      </c>
      <c r="J332" s="24"/>
      <c r="K332" s="24">
        <v>1</v>
      </c>
      <c r="L332" s="24">
        <v>1</v>
      </c>
      <c r="M332" s="24"/>
      <c r="N332" s="24"/>
      <c r="O332" s="24"/>
      <c r="P332" s="24"/>
      <c r="Q332" s="24"/>
      <c r="R332" s="24"/>
      <c r="S332" s="24"/>
      <c r="T332" s="24"/>
      <c r="U332" s="20" t="s">
        <v>354</v>
      </c>
      <c r="V332" s="20" t="s">
        <v>355</v>
      </c>
      <c r="W332" s="53" t="s">
        <v>280</v>
      </c>
      <c r="X332" s="20" t="s">
        <v>227</v>
      </c>
      <c r="Y332" s="20"/>
      <c r="Z332" s="20"/>
      <c r="AA332" s="20" t="s">
        <v>2363</v>
      </c>
      <c r="AB332" s="20" t="s">
        <v>2371</v>
      </c>
      <c r="AC332" s="24">
        <v>1</v>
      </c>
      <c r="AD332" s="24"/>
      <c r="AE332" s="24"/>
      <c r="AF332" s="24"/>
      <c r="AG332" s="24"/>
      <c r="AH332" s="20"/>
      <c r="AI332" s="42"/>
    </row>
    <row r="333" spans="1:35">
      <c r="A333" s="14"/>
      <c r="B333" s="20"/>
      <c r="C333" s="20" t="s">
        <v>2420</v>
      </c>
      <c r="D333" s="20" t="s">
        <v>79</v>
      </c>
      <c r="E333" s="20" t="s">
        <v>80</v>
      </c>
      <c r="F333" s="20" t="s">
        <v>1434</v>
      </c>
      <c r="G333" s="20" t="s">
        <v>2350</v>
      </c>
      <c r="H333" s="20" t="s">
        <v>742</v>
      </c>
      <c r="I333" s="116">
        <v>29556</v>
      </c>
      <c r="J333" s="24">
        <v>1</v>
      </c>
      <c r="K333" s="24" t="s">
        <v>93</v>
      </c>
      <c r="L333" s="24">
        <v>1</v>
      </c>
      <c r="M333" s="24"/>
      <c r="N333" s="24"/>
      <c r="O333" s="24"/>
      <c r="P333" s="24"/>
      <c r="Q333" s="24"/>
      <c r="R333" s="24" t="s">
        <v>93</v>
      </c>
      <c r="S333" s="24"/>
      <c r="T333" s="24"/>
      <c r="U333" s="20" t="s">
        <v>354</v>
      </c>
      <c r="V333" s="20" t="s">
        <v>355</v>
      </c>
      <c r="W333" s="53" t="s">
        <v>280</v>
      </c>
      <c r="X333" s="20" t="s">
        <v>227</v>
      </c>
      <c r="Y333" s="20"/>
      <c r="Z333" s="20"/>
      <c r="AA333" s="20" t="s">
        <v>2364</v>
      </c>
      <c r="AB333" s="20" t="s">
        <v>2371</v>
      </c>
      <c r="AC333" s="24">
        <v>1</v>
      </c>
      <c r="AD333" s="24"/>
      <c r="AE333" s="24"/>
      <c r="AF333" s="24"/>
      <c r="AG333" s="24"/>
      <c r="AH333" s="20"/>
      <c r="AI333" s="42"/>
    </row>
    <row r="334" spans="1:35">
      <c r="A334" s="14"/>
      <c r="B334" s="20"/>
      <c r="C334" s="20" t="s">
        <v>2420</v>
      </c>
      <c r="D334" s="20" t="s">
        <v>79</v>
      </c>
      <c r="E334" s="20" t="s">
        <v>80</v>
      </c>
      <c r="F334" s="20" t="s">
        <v>2147</v>
      </c>
      <c r="G334" s="20" t="s">
        <v>2351</v>
      </c>
      <c r="H334" s="20" t="s">
        <v>133</v>
      </c>
      <c r="I334" s="116" t="s">
        <v>2352</v>
      </c>
      <c r="J334" s="24">
        <v>1</v>
      </c>
      <c r="K334" s="24"/>
      <c r="L334" s="24">
        <v>1</v>
      </c>
      <c r="M334" s="24"/>
      <c r="N334" s="24"/>
      <c r="O334" s="24"/>
      <c r="P334" s="24"/>
      <c r="Q334" s="24"/>
      <c r="R334" s="24" t="s">
        <v>93</v>
      </c>
      <c r="S334" s="24"/>
      <c r="T334" s="24"/>
      <c r="U334" s="20" t="s">
        <v>354</v>
      </c>
      <c r="V334" s="20" t="s">
        <v>355</v>
      </c>
      <c r="W334" s="53" t="s">
        <v>280</v>
      </c>
      <c r="X334" s="20" t="s">
        <v>227</v>
      </c>
      <c r="Y334" s="20"/>
      <c r="Z334" s="20"/>
      <c r="AA334" s="20" t="s">
        <v>2365</v>
      </c>
      <c r="AB334" s="20" t="s">
        <v>2371</v>
      </c>
      <c r="AC334" s="24">
        <v>1</v>
      </c>
      <c r="AD334" s="24"/>
      <c r="AE334" s="24"/>
      <c r="AF334" s="24"/>
      <c r="AG334" s="24"/>
      <c r="AH334" s="20"/>
      <c r="AI334" s="42"/>
    </row>
    <row r="335" spans="1:35">
      <c r="A335" s="14"/>
      <c r="B335" s="20"/>
      <c r="C335" s="20" t="s">
        <v>2420</v>
      </c>
      <c r="D335" s="20" t="s">
        <v>79</v>
      </c>
      <c r="E335" s="20" t="s">
        <v>80</v>
      </c>
      <c r="F335" s="20" t="s">
        <v>2147</v>
      </c>
      <c r="G335" s="20" t="s">
        <v>444</v>
      </c>
      <c r="H335" s="20" t="s">
        <v>115</v>
      </c>
      <c r="I335" s="116" t="s">
        <v>2354</v>
      </c>
      <c r="J335" s="24">
        <v>1</v>
      </c>
      <c r="K335" s="24"/>
      <c r="L335" s="24">
        <v>1</v>
      </c>
      <c r="M335" s="24"/>
      <c r="N335" s="24"/>
      <c r="O335" s="24"/>
      <c r="P335" s="24"/>
      <c r="Q335" s="24"/>
      <c r="R335" s="24" t="s">
        <v>93</v>
      </c>
      <c r="S335" s="24"/>
      <c r="T335" s="24"/>
      <c r="U335" s="20" t="s">
        <v>354</v>
      </c>
      <c r="V335" s="20" t="s">
        <v>355</v>
      </c>
      <c r="W335" s="53" t="s">
        <v>280</v>
      </c>
      <c r="X335" s="20" t="s">
        <v>227</v>
      </c>
      <c r="Y335" s="20"/>
      <c r="Z335" s="20"/>
      <c r="AA335" s="20" t="s">
        <v>2366</v>
      </c>
      <c r="AB335" s="20" t="s">
        <v>2371</v>
      </c>
      <c r="AC335" s="24">
        <v>1</v>
      </c>
      <c r="AD335" s="24"/>
      <c r="AE335" s="24"/>
      <c r="AF335" s="24"/>
      <c r="AG335" s="24"/>
      <c r="AH335" s="20"/>
      <c r="AI335" s="42"/>
    </row>
    <row r="336" spans="1:35">
      <c r="A336" s="14"/>
      <c r="B336" s="20"/>
      <c r="C336" s="20" t="s">
        <v>2420</v>
      </c>
      <c r="D336" s="20" t="s">
        <v>79</v>
      </c>
      <c r="E336" s="20" t="s">
        <v>80</v>
      </c>
      <c r="F336" s="20" t="s">
        <v>346</v>
      </c>
      <c r="G336" s="20" t="s">
        <v>2355</v>
      </c>
      <c r="H336" s="20" t="s">
        <v>93</v>
      </c>
      <c r="I336" s="116">
        <v>36119</v>
      </c>
      <c r="J336" s="24">
        <v>1</v>
      </c>
      <c r="K336" s="24"/>
      <c r="L336" s="24">
        <v>1</v>
      </c>
      <c r="M336" s="24"/>
      <c r="N336" s="24"/>
      <c r="O336" s="24"/>
      <c r="P336" s="24"/>
      <c r="Q336" s="24"/>
      <c r="R336" s="24"/>
      <c r="S336" s="24"/>
      <c r="T336" s="24"/>
      <c r="U336" s="20" t="s">
        <v>354</v>
      </c>
      <c r="V336" s="20" t="s">
        <v>355</v>
      </c>
      <c r="W336" s="53" t="s">
        <v>280</v>
      </c>
      <c r="X336" s="20" t="s">
        <v>227</v>
      </c>
      <c r="Y336" s="20"/>
      <c r="Z336" s="20"/>
      <c r="AA336" s="20" t="s">
        <v>2367</v>
      </c>
      <c r="AB336" s="20" t="s">
        <v>2371</v>
      </c>
      <c r="AC336" s="24">
        <v>1</v>
      </c>
      <c r="AD336" s="24"/>
      <c r="AE336" s="24"/>
      <c r="AF336" s="24"/>
      <c r="AG336" s="24"/>
      <c r="AH336" s="20"/>
      <c r="AI336" s="42"/>
    </row>
    <row r="337" spans="1:35">
      <c r="A337" s="14"/>
      <c r="B337" s="20"/>
      <c r="C337" s="20" t="s">
        <v>2420</v>
      </c>
      <c r="D337" s="20" t="s">
        <v>79</v>
      </c>
      <c r="E337" s="20" t="s">
        <v>80</v>
      </c>
      <c r="F337" s="20" t="s">
        <v>189</v>
      </c>
      <c r="G337" s="20" t="s">
        <v>456</v>
      </c>
      <c r="H337" s="20"/>
      <c r="I337" s="116">
        <v>17291</v>
      </c>
      <c r="J337" s="24">
        <v>1</v>
      </c>
      <c r="K337" s="24"/>
      <c r="L337" s="24">
        <v>1</v>
      </c>
      <c r="M337" s="24">
        <v>1</v>
      </c>
      <c r="N337" s="24"/>
      <c r="O337" s="24"/>
      <c r="P337" s="24"/>
      <c r="Q337" s="24"/>
      <c r="R337" s="24"/>
      <c r="S337" s="24"/>
      <c r="T337" s="24"/>
      <c r="U337" s="20" t="s">
        <v>1136</v>
      </c>
      <c r="V337" s="20" t="s">
        <v>355</v>
      </c>
      <c r="W337" s="53" t="s">
        <v>280</v>
      </c>
      <c r="X337" s="20" t="s">
        <v>227</v>
      </c>
      <c r="Y337" s="20"/>
      <c r="Z337" s="20"/>
      <c r="AA337" s="20" t="s">
        <v>2368</v>
      </c>
      <c r="AB337" s="20" t="s">
        <v>2371</v>
      </c>
      <c r="AC337" s="24">
        <v>1</v>
      </c>
      <c r="AD337" s="24"/>
      <c r="AE337" s="24"/>
      <c r="AF337" s="24"/>
      <c r="AG337" s="24"/>
      <c r="AH337" s="20"/>
      <c r="AI337" s="42"/>
    </row>
    <row r="338" spans="1:35">
      <c r="A338" s="14"/>
      <c r="B338" s="20"/>
      <c r="C338" s="20" t="s">
        <v>2420</v>
      </c>
      <c r="D338" s="20" t="s">
        <v>79</v>
      </c>
      <c r="E338" s="20" t="s">
        <v>80</v>
      </c>
      <c r="F338" s="20" t="s">
        <v>2356</v>
      </c>
      <c r="G338" s="20" t="s">
        <v>1618</v>
      </c>
      <c r="H338" s="20"/>
      <c r="I338" s="116" t="s">
        <v>2357</v>
      </c>
      <c r="J338" s="24">
        <v>1</v>
      </c>
      <c r="K338" s="24"/>
      <c r="L338" s="24">
        <v>1</v>
      </c>
      <c r="M338" s="24"/>
      <c r="N338" s="24"/>
      <c r="O338" s="24"/>
      <c r="P338" s="24"/>
      <c r="Q338" s="24"/>
      <c r="R338" s="24"/>
      <c r="S338" s="24"/>
      <c r="T338" s="24"/>
      <c r="U338" s="20" t="s">
        <v>1136</v>
      </c>
      <c r="V338" s="20" t="s">
        <v>355</v>
      </c>
      <c r="W338" s="53" t="s">
        <v>280</v>
      </c>
      <c r="X338" s="20" t="s">
        <v>227</v>
      </c>
      <c r="Y338" s="20"/>
      <c r="Z338" s="20"/>
      <c r="AA338" s="20" t="s">
        <v>2369</v>
      </c>
      <c r="AB338" s="20" t="s">
        <v>2371</v>
      </c>
      <c r="AC338" s="24">
        <v>1</v>
      </c>
      <c r="AD338" s="24"/>
      <c r="AE338" s="24"/>
      <c r="AF338" s="24"/>
      <c r="AG338" s="24"/>
      <c r="AH338" s="20"/>
      <c r="AI338" s="42"/>
    </row>
    <row r="339" spans="1:35">
      <c r="A339" s="14"/>
      <c r="B339" s="20"/>
      <c r="C339" s="20" t="s">
        <v>2420</v>
      </c>
      <c r="D339" s="20" t="s">
        <v>79</v>
      </c>
      <c r="E339" s="20" t="s">
        <v>80</v>
      </c>
      <c r="F339" s="20" t="s">
        <v>2358</v>
      </c>
      <c r="G339" s="20" t="s">
        <v>2359</v>
      </c>
      <c r="H339" s="20"/>
      <c r="I339" s="116" t="s">
        <v>2360</v>
      </c>
      <c r="J339" s="24">
        <v>1</v>
      </c>
      <c r="K339" s="24"/>
      <c r="L339" s="24">
        <v>1</v>
      </c>
      <c r="M339" s="24"/>
      <c r="N339" s="24"/>
      <c r="O339" s="24"/>
      <c r="P339" s="24"/>
      <c r="Q339" s="24"/>
      <c r="R339" s="24"/>
      <c r="S339" s="24"/>
      <c r="T339" s="24"/>
      <c r="U339" s="20" t="s">
        <v>2372</v>
      </c>
      <c r="V339" s="20" t="s">
        <v>355</v>
      </c>
      <c r="W339" s="53" t="s">
        <v>280</v>
      </c>
      <c r="X339" s="20" t="s">
        <v>227</v>
      </c>
      <c r="Y339" s="20"/>
      <c r="Z339" s="20"/>
      <c r="AA339" s="20" t="s">
        <v>2370</v>
      </c>
      <c r="AB339" s="20" t="s">
        <v>2371</v>
      </c>
      <c r="AC339" s="24">
        <v>1</v>
      </c>
      <c r="AD339" s="24"/>
      <c r="AE339" s="24"/>
      <c r="AF339" s="24"/>
      <c r="AG339" s="24"/>
      <c r="AH339" s="20"/>
      <c r="AI339" s="42"/>
    </row>
    <row r="340" spans="1:35">
      <c r="A340" s="14"/>
      <c r="B340" s="20"/>
      <c r="C340" s="20" t="s">
        <v>2420</v>
      </c>
      <c r="D340" s="20" t="s">
        <v>79</v>
      </c>
      <c r="E340" s="20" t="s">
        <v>80</v>
      </c>
      <c r="F340" s="20" t="s">
        <v>2374</v>
      </c>
      <c r="G340" s="20" t="s">
        <v>1069</v>
      </c>
      <c r="H340" s="20" t="s">
        <v>126</v>
      </c>
      <c r="I340" s="116" t="s">
        <v>2373</v>
      </c>
      <c r="J340" s="24">
        <v>1</v>
      </c>
      <c r="K340" s="24"/>
      <c r="L340" s="24">
        <v>1</v>
      </c>
      <c r="M340" s="24"/>
      <c r="N340" s="24"/>
      <c r="O340" s="24"/>
      <c r="P340" s="24"/>
      <c r="Q340" s="24"/>
      <c r="R340" s="24"/>
      <c r="S340" s="24"/>
      <c r="T340" s="24"/>
      <c r="U340" s="20" t="s">
        <v>2404</v>
      </c>
      <c r="V340" s="20" t="s">
        <v>355</v>
      </c>
      <c r="W340" s="53" t="s">
        <v>280</v>
      </c>
      <c r="X340" s="20" t="s">
        <v>227</v>
      </c>
      <c r="Y340" s="20"/>
      <c r="Z340" s="20"/>
      <c r="AA340" s="20" t="s">
        <v>2405</v>
      </c>
      <c r="AB340" s="20" t="s">
        <v>2414</v>
      </c>
      <c r="AC340" s="24">
        <v>1</v>
      </c>
      <c r="AD340" s="24"/>
      <c r="AE340" s="24"/>
      <c r="AF340" s="24"/>
      <c r="AG340" s="24"/>
      <c r="AH340" s="20"/>
      <c r="AI340" s="42"/>
    </row>
    <row r="341" spans="1:35">
      <c r="A341" s="14"/>
      <c r="B341" s="20"/>
      <c r="C341" s="20" t="s">
        <v>2420</v>
      </c>
      <c r="D341" s="20" t="s">
        <v>79</v>
      </c>
      <c r="E341" s="20" t="s">
        <v>80</v>
      </c>
      <c r="F341" s="20" t="s">
        <v>2374</v>
      </c>
      <c r="G341" s="20" t="s">
        <v>2375</v>
      </c>
      <c r="H341" s="20" t="s">
        <v>126</v>
      </c>
      <c r="I341" s="116" t="s">
        <v>2376</v>
      </c>
      <c r="J341" s="24">
        <v>1</v>
      </c>
      <c r="K341" s="24"/>
      <c r="L341" s="24">
        <v>1</v>
      </c>
      <c r="M341" s="24"/>
      <c r="N341" s="24"/>
      <c r="O341" s="24"/>
      <c r="P341" s="24"/>
      <c r="Q341" s="24"/>
      <c r="R341" s="24"/>
      <c r="S341" s="24"/>
      <c r="T341" s="24"/>
      <c r="U341" s="20" t="s">
        <v>2404</v>
      </c>
      <c r="V341" s="20" t="s">
        <v>355</v>
      </c>
      <c r="W341" s="53" t="s">
        <v>280</v>
      </c>
      <c r="X341" s="20" t="s">
        <v>227</v>
      </c>
      <c r="Y341" s="20"/>
      <c r="Z341" s="20"/>
      <c r="AA341" s="20"/>
      <c r="AB341" s="20" t="s">
        <v>93</v>
      </c>
      <c r="AC341" s="24" t="s">
        <v>93</v>
      </c>
      <c r="AD341" s="24"/>
      <c r="AE341" s="24"/>
      <c r="AF341" s="24"/>
      <c r="AG341" s="24"/>
      <c r="AH341" s="20"/>
      <c r="AI341" s="42"/>
    </row>
    <row r="342" spans="1:35">
      <c r="A342" s="14"/>
      <c r="B342" s="20"/>
      <c r="C342" s="20" t="s">
        <v>2420</v>
      </c>
      <c r="D342" s="20" t="s">
        <v>79</v>
      </c>
      <c r="E342" s="20" t="s">
        <v>80</v>
      </c>
      <c r="F342" s="20" t="s">
        <v>2377</v>
      </c>
      <c r="G342" s="20" t="s">
        <v>2378</v>
      </c>
      <c r="H342" s="20"/>
      <c r="I342" s="116">
        <v>32298</v>
      </c>
      <c r="J342" s="24">
        <v>1</v>
      </c>
      <c r="K342" s="24"/>
      <c r="L342" s="24">
        <v>1</v>
      </c>
      <c r="M342" s="24"/>
      <c r="N342" s="24"/>
      <c r="O342" s="24"/>
      <c r="P342" s="24"/>
      <c r="Q342" s="24"/>
      <c r="R342" s="24"/>
      <c r="S342" s="24"/>
      <c r="T342" s="24"/>
      <c r="U342" s="20" t="s">
        <v>2404</v>
      </c>
      <c r="V342" s="20" t="s">
        <v>355</v>
      </c>
      <c r="W342" s="53" t="s">
        <v>280</v>
      </c>
      <c r="X342" s="20" t="s">
        <v>227</v>
      </c>
      <c r="Y342" s="20"/>
      <c r="Z342" s="20"/>
      <c r="AA342" s="20" t="s">
        <v>93</v>
      </c>
      <c r="AB342" s="20" t="s">
        <v>93</v>
      </c>
      <c r="AC342" s="24" t="s">
        <v>93</v>
      </c>
      <c r="AD342" s="24"/>
      <c r="AE342" s="24"/>
      <c r="AF342" s="24"/>
      <c r="AG342" s="24"/>
      <c r="AH342" s="20"/>
      <c r="AI342" s="42"/>
    </row>
    <row r="343" spans="1:35">
      <c r="A343" s="14"/>
      <c r="B343" s="20"/>
      <c r="C343" s="20" t="s">
        <v>2420</v>
      </c>
      <c r="D343" s="20" t="s">
        <v>79</v>
      </c>
      <c r="E343" s="20" t="s">
        <v>80</v>
      </c>
      <c r="F343" s="20" t="s">
        <v>2379</v>
      </c>
      <c r="G343" s="20" t="s">
        <v>915</v>
      </c>
      <c r="H343" s="20" t="s">
        <v>126</v>
      </c>
      <c r="I343" s="116">
        <v>29528</v>
      </c>
      <c r="J343" s="24"/>
      <c r="K343" s="24">
        <v>1</v>
      </c>
      <c r="L343" s="24">
        <v>1</v>
      </c>
      <c r="M343" s="24"/>
      <c r="N343" s="24"/>
      <c r="O343" s="24"/>
      <c r="P343" s="24"/>
      <c r="Q343" s="24"/>
      <c r="R343" s="24"/>
      <c r="S343" s="24"/>
      <c r="T343" s="24"/>
      <c r="U343" s="20" t="s">
        <v>2404</v>
      </c>
      <c r="V343" s="20" t="s">
        <v>355</v>
      </c>
      <c r="W343" s="53" t="s">
        <v>280</v>
      </c>
      <c r="X343" s="20" t="s">
        <v>227</v>
      </c>
      <c r="Y343" s="20"/>
      <c r="Z343" s="20"/>
      <c r="AA343" s="20" t="s">
        <v>2406</v>
      </c>
      <c r="AB343" s="20" t="s">
        <v>2414</v>
      </c>
      <c r="AC343" s="24">
        <v>1</v>
      </c>
      <c r="AD343" s="24"/>
      <c r="AE343" s="24"/>
      <c r="AF343" s="24"/>
      <c r="AG343" s="24"/>
      <c r="AH343" s="20"/>
      <c r="AI343" s="42"/>
    </row>
    <row r="344" spans="1:35">
      <c r="A344" s="14"/>
      <c r="B344" s="20"/>
      <c r="C344" s="20" t="s">
        <v>2420</v>
      </c>
      <c r="D344" s="20" t="s">
        <v>79</v>
      </c>
      <c r="E344" s="20" t="s">
        <v>80</v>
      </c>
      <c r="F344" s="20" t="s">
        <v>2379</v>
      </c>
      <c r="G344" s="20" t="s">
        <v>2380</v>
      </c>
      <c r="H344" s="20"/>
      <c r="I344" s="116">
        <v>37257</v>
      </c>
      <c r="J344" s="24">
        <v>1</v>
      </c>
      <c r="K344" s="24"/>
      <c r="L344" s="24">
        <v>1</v>
      </c>
      <c r="M344" s="24"/>
      <c r="N344" s="24"/>
      <c r="O344" s="24"/>
      <c r="P344" s="24"/>
      <c r="Q344" s="24"/>
      <c r="R344" s="24"/>
      <c r="S344" s="24"/>
      <c r="T344" s="24"/>
      <c r="U344" s="20" t="s">
        <v>2404</v>
      </c>
      <c r="V344" s="20" t="s">
        <v>355</v>
      </c>
      <c r="W344" s="53" t="s">
        <v>280</v>
      </c>
      <c r="X344" s="20" t="s">
        <v>227</v>
      </c>
      <c r="Y344" s="20"/>
      <c r="Z344" s="20"/>
      <c r="AA344" s="20" t="s">
        <v>93</v>
      </c>
      <c r="AB344" s="20" t="s">
        <v>93</v>
      </c>
      <c r="AC344" s="24" t="s">
        <v>93</v>
      </c>
      <c r="AD344" s="24"/>
      <c r="AE344" s="24"/>
      <c r="AF344" s="24"/>
      <c r="AG344" s="24"/>
      <c r="AH344" s="20"/>
      <c r="AI344" s="42"/>
    </row>
    <row r="345" spans="1:35">
      <c r="A345" s="14"/>
      <c r="B345" s="20"/>
      <c r="C345" s="20" t="s">
        <v>2420</v>
      </c>
      <c r="D345" s="20" t="s">
        <v>79</v>
      </c>
      <c r="E345" s="20" t="s">
        <v>80</v>
      </c>
      <c r="F345" s="20" t="s">
        <v>2379</v>
      </c>
      <c r="G345" s="20" t="s">
        <v>2384</v>
      </c>
      <c r="H345" s="20" t="s">
        <v>81</v>
      </c>
      <c r="I345" s="116"/>
      <c r="J345" s="24">
        <v>1</v>
      </c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0" t="s">
        <v>2404</v>
      </c>
      <c r="V345" s="20" t="s">
        <v>355</v>
      </c>
      <c r="W345" s="53" t="s">
        <v>280</v>
      </c>
      <c r="X345" s="20" t="s">
        <v>227</v>
      </c>
      <c r="Y345" s="20"/>
      <c r="Z345" s="20"/>
      <c r="AA345" s="20" t="s">
        <v>93</v>
      </c>
      <c r="AB345" s="20" t="s">
        <v>93</v>
      </c>
      <c r="AC345" s="24" t="s">
        <v>93</v>
      </c>
      <c r="AD345" s="24"/>
      <c r="AE345" s="24"/>
      <c r="AF345" s="24"/>
      <c r="AG345" s="24"/>
      <c r="AH345" s="20"/>
      <c r="AI345" s="42"/>
    </row>
    <row r="346" spans="1:35">
      <c r="A346" s="14"/>
      <c r="B346" s="20"/>
      <c r="C346" s="20" t="s">
        <v>2420</v>
      </c>
      <c r="D346" s="20" t="s">
        <v>79</v>
      </c>
      <c r="E346" s="20" t="s">
        <v>80</v>
      </c>
      <c r="F346" s="20" t="s">
        <v>2381</v>
      </c>
      <c r="G346" s="20" t="s">
        <v>2382</v>
      </c>
      <c r="H346" s="20"/>
      <c r="I346" s="116" t="s">
        <v>2383</v>
      </c>
      <c r="J346" s="24">
        <v>1</v>
      </c>
      <c r="K346" s="24"/>
      <c r="L346" s="24">
        <v>1</v>
      </c>
      <c r="M346" s="24"/>
      <c r="N346" s="24"/>
      <c r="O346" s="24"/>
      <c r="P346" s="24"/>
      <c r="Q346" s="24"/>
      <c r="R346" s="24"/>
      <c r="S346" s="24"/>
      <c r="T346" s="24"/>
      <c r="U346" s="20" t="s">
        <v>1136</v>
      </c>
      <c r="V346" s="20" t="s">
        <v>355</v>
      </c>
      <c r="W346" s="53" t="s">
        <v>280</v>
      </c>
      <c r="X346" s="20" t="s">
        <v>227</v>
      </c>
      <c r="Y346" s="20"/>
      <c r="Z346" s="20"/>
      <c r="AA346" s="20" t="s">
        <v>2408</v>
      </c>
      <c r="AB346" s="20" t="s">
        <v>2414</v>
      </c>
      <c r="AC346" s="24">
        <v>1</v>
      </c>
      <c r="AD346" s="24"/>
      <c r="AE346" s="24"/>
      <c r="AF346" s="24"/>
      <c r="AG346" s="24"/>
      <c r="AH346" s="20"/>
      <c r="AI346" s="42"/>
    </row>
    <row r="347" spans="1:35">
      <c r="A347" s="14"/>
      <c r="B347" s="20"/>
      <c r="C347" s="20" t="s">
        <v>2420</v>
      </c>
      <c r="D347" s="20" t="s">
        <v>79</v>
      </c>
      <c r="E347" s="20" t="s">
        <v>80</v>
      </c>
      <c r="F347" s="20" t="s">
        <v>2409</v>
      </c>
      <c r="G347" s="20" t="s">
        <v>1212</v>
      </c>
      <c r="H347" s="20"/>
      <c r="I347" s="116" t="s">
        <v>2410</v>
      </c>
      <c r="J347" s="24">
        <v>1</v>
      </c>
      <c r="K347" s="24"/>
      <c r="L347" s="24">
        <v>1</v>
      </c>
      <c r="M347" s="24"/>
      <c r="N347" s="24"/>
      <c r="O347" s="24"/>
      <c r="P347" s="24"/>
      <c r="Q347" s="24"/>
      <c r="R347" s="24"/>
      <c r="S347" s="24"/>
      <c r="T347" s="24"/>
      <c r="U347" s="20" t="s">
        <v>1136</v>
      </c>
      <c r="V347" s="20" t="s">
        <v>355</v>
      </c>
      <c r="W347" s="53" t="s">
        <v>280</v>
      </c>
      <c r="X347" s="20" t="s">
        <v>227</v>
      </c>
      <c r="Y347" s="20"/>
      <c r="Z347" s="20"/>
      <c r="AA347" s="20"/>
      <c r="AB347" s="20" t="s">
        <v>93</v>
      </c>
      <c r="AC347" s="24" t="s">
        <v>93</v>
      </c>
      <c r="AD347" s="24"/>
      <c r="AE347" s="24"/>
      <c r="AF347" s="24"/>
      <c r="AG347" s="24"/>
      <c r="AH347" s="20"/>
      <c r="AI347" s="42"/>
    </row>
    <row r="348" spans="1:35">
      <c r="A348" s="14"/>
      <c r="B348" s="20"/>
      <c r="C348" s="20" t="s">
        <v>2420</v>
      </c>
      <c r="D348" s="20" t="s">
        <v>79</v>
      </c>
      <c r="E348" s="20" t="s">
        <v>80</v>
      </c>
      <c r="F348" s="20" t="s">
        <v>2381</v>
      </c>
      <c r="G348" s="20" t="s">
        <v>2411</v>
      </c>
      <c r="H348" s="20"/>
      <c r="I348" s="116">
        <v>27524</v>
      </c>
      <c r="J348" s="24">
        <v>1</v>
      </c>
      <c r="K348" s="24"/>
      <c r="L348" s="24">
        <v>1</v>
      </c>
      <c r="M348" s="24"/>
      <c r="N348" s="24"/>
      <c r="O348" s="24"/>
      <c r="P348" s="24"/>
      <c r="Q348" s="24"/>
      <c r="R348" s="24"/>
      <c r="S348" s="24"/>
      <c r="T348" s="24"/>
      <c r="U348" s="20" t="s">
        <v>1136</v>
      </c>
      <c r="V348" s="20" t="s">
        <v>355</v>
      </c>
      <c r="W348" s="53" t="s">
        <v>280</v>
      </c>
      <c r="X348" s="20" t="s">
        <v>227</v>
      </c>
      <c r="Y348" s="20"/>
      <c r="Z348" s="20"/>
      <c r="AA348" s="20"/>
      <c r="AB348" s="20" t="s">
        <v>93</v>
      </c>
      <c r="AC348" s="24" t="s">
        <v>93</v>
      </c>
      <c r="AD348" s="24"/>
      <c r="AE348" s="24"/>
      <c r="AF348" s="24"/>
      <c r="AG348" s="24"/>
      <c r="AH348" s="20"/>
      <c r="AI348" s="42"/>
    </row>
    <row r="349" spans="1:35">
      <c r="A349" s="14"/>
      <c r="B349" s="20"/>
      <c r="C349" s="20" t="s">
        <v>2420</v>
      </c>
      <c r="D349" s="20" t="s">
        <v>79</v>
      </c>
      <c r="E349" s="20" t="s">
        <v>80</v>
      </c>
      <c r="F349" s="20" t="s">
        <v>332</v>
      </c>
      <c r="G349" s="20" t="s">
        <v>2385</v>
      </c>
      <c r="H349" s="20"/>
      <c r="I349" s="116" t="s">
        <v>2386</v>
      </c>
      <c r="J349" s="24">
        <v>1</v>
      </c>
      <c r="K349" s="24"/>
      <c r="L349" s="24">
        <v>1</v>
      </c>
      <c r="M349" s="24"/>
      <c r="N349" s="24"/>
      <c r="O349" s="24"/>
      <c r="P349" s="24"/>
      <c r="Q349" s="24"/>
      <c r="R349" s="24"/>
      <c r="S349" s="24"/>
      <c r="T349" s="24"/>
      <c r="U349" s="20" t="s">
        <v>1136</v>
      </c>
      <c r="V349" s="20" t="s">
        <v>355</v>
      </c>
      <c r="W349" s="53" t="s">
        <v>280</v>
      </c>
      <c r="X349" s="20" t="s">
        <v>227</v>
      </c>
      <c r="Y349" s="20"/>
      <c r="Z349" s="20"/>
      <c r="AA349" s="20" t="s">
        <v>2407</v>
      </c>
      <c r="AB349" s="20" t="s">
        <v>2414</v>
      </c>
      <c r="AC349" s="24">
        <v>1</v>
      </c>
      <c r="AD349" s="24"/>
      <c r="AE349" s="24"/>
      <c r="AF349" s="24"/>
      <c r="AG349" s="24"/>
      <c r="AH349" s="20"/>
      <c r="AI349" s="42"/>
    </row>
    <row r="350" spans="1:35">
      <c r="A350" s="14"/>
      <c r="B350" s="20"/>
      <c r="C350" s="20" t="s">
        <v>2420</v>
      </c>
      <c r="D350" s="20" t="s">
        <v>79</v>
      </c>
      <c r="E350" s="20" t="s">
        <v>80</v>
      </c>
      <c r="F350" s="20" t="s">
        <v>2387</v>
      </c>
      <c r="G350" s="20" t="s">
        <v>2388</v>
      </c>
      <c r="H350" s="20" t="s">
        <v>126</v>
      </c>
      <c r="I350" s="116" t="s">
        <v>2389</v>
      </c>
      <c r="J350" s="24">
        <v>1</v>
      </c>
      <c r="K350" s="24"/>
      <c r="L350" s="24">
        <v>1</v>
      </c>
      <c r="M350" s="24"/>
      <c r="N350" s="24"/>
      <c r="O350" s="24"/>
      <c r="P350" s="24"/>
      <c r="Q350" s="24"/>
      <c r="R350" s="24"/>
      <c r="S350" s="24"/>
      <c r="T350" s="24"/>
      <c r="U350" s="20" t="s">
        <v>1136</v>
      </c>
      <c r="V350" s="20" t="s">
        <v>355</v>
      </c>
      <c r="W350" s="53" t="s">
        <v>280</v>
      </c>
      <c r="X350" s="20" t="s">
        <v>227</v>
      </c>
      <c r="Y350" s="20"/>
      <c r="Z350" s="20"/>
      <c r="AA350" s="20" t="s">
        <v>93</v>
      </c>
      <c r="AB350" s="20" t="s">
        <v>93</v>
      </c>
      <c r="AC350" s="24" t="s">
        <v>93</v>
      </c>
      <c r="AD350" s="24"/>
      <c r="AE350" s="24"/>
      <c r="AF350" s="24"/>
      <c r="AG350" s="24"/>
      <c r="AH350" s="20"/>
      <c r="AI350" s="42"/>
    </row>
    <row r="351" spans="1:35">
      <c r="A351" s="14"/>
      <c r="B351" s="20"/>
      <c r="C351" s="20" t="s">
        <v>2420</v>
      </c>
      <c r="D351" s="20" t="s">
        <v>79</v>
      </c>
      <c r="E351" s="20" t="s">
        <v>80</v>
      </c>
      <c r="F351" s="20" t="s">
        <v>2390</v>
      </c>
      <c r="G351" s="20" t="s">
        <v>795</v>
      </c>
      <c r="H351" s="20" t="s">
        <v>283</v>
      </c>
      <c r="I351" s="116" t="s">
        <v>2391</v>
      </c>
      <c r="J351" s="24">
        <v>1</v>
      </c>
      <c r="K351" s="24"/>
      <c r="L351" s="24">
        <v>1</v>
      </c>
      <c r="M351" s="24"/>
      <c r="N351" s="24"/>
      <c r="O351" s="24"/>
      <c r="P351" s="24"/>
      <c r="Q351" s="24"/>
      <c r="R351" s="24"/>
      <c r="S351" s="24"/>
      <c r="T351" s="24"/>
      <c r="U351" s="20" t="s">
        <v>354</v>
      </c>
      <c r="V351" s="20" t="s">
        <v>355</v>
      </c>
      <c r="W351" s="53" t="s">
        <v>280</v>
      </c>
      <c r="X351" s="20" t="s">
        <v>227</v>
      </c>
      <c r="Y351" s="20"/>
      <c r="Z351" s="20"/>
      <c r="AA351" s="20" t="s">
        <v>93</v>
      </c>
      <c r="AB351" s="20" t="s">
        <v>93</v>
      </c>
      <c r="AC351" s="24" t="s">
        <v>93</v>
      </c>
      <c r="AD351" s="24"/>
      <c r="AE351" s="24"/>
      <c r="AF351" s="24"/>
      <c r="AG351" s="24"/>
      <c r="AH351" s="20"/>
      <c r="AI351" s="42"/>
    </row>
    <row r="352" spans="1:35">
      <c r="A352" s="14"/>
      <c r="B352" s="20"/>
      <c r="C352" s="20" t="s">
        <v>2420</v>
      </c>
      <c r="D352" s="20" t="s">
        <v>79</v>
      </c>
      <c r="E352" s="20" t="s">
        <v>80</v>
      </c>
      <c r="F352" s="20" t="s">
        <v>2392</v>
      </c>
      <c r="G352" s="20" t="s">
        <v>820</v>
      </c>
      <c r="H352" s="20" t="s">
        <v>421</v>
      </c>
      <c r="I352" s="116">
        <v>29040</v>
      </c>
      <c r="J352" s="24">
        <v>1</v>
      </c>
      <c r="K352" s="24"/>
      <c r="L352" s="24">
        <v>1</v>
      </c>
      <c r="M352" s="24"/>
      <c r="N352" s="24"/>
      <c r="O352" s="24"/>
      <c r="P352" s="24"/>
      <c r="Q352" s="24"/>
      <c r="R352" s="24"/>
      <c r="S352" s="24"/>
      <c r="T352" s="24"/>
      <c r="U352" s="20" t="s">
        <v>354</v>
      </c>
      <c r="V352" s="20" t="s">
        <v>355</v>
      </c>
      <c r="W352" s="53" t="s">
        <v>280</v>
      </c>
      <c r="X352" s="20" t="s">
        <v>227</v>
      </c>
      <c r="Y352" s="20"/>
      <c r="Z352" s="20"/>
      <c r="AA352" s="20" t="s">
        <v>2412</v>
      </c>
      <c r="AB352" s="20" t="s">
        <v>2414</v>
      </c>
      <c r="AC352" s="24">
        <v>1</v>
      </c>
      <c r="AD352" s="24"/>
      <c r="AE352" s="24"/>
      <c r="AF352" s="24"/>
      <c r="AG352" s="24"/>
      <c r="AH352" s="20"/>
      <c r="AI352" s="42"/>
    </row>
    <row r="353" spans="1:35">
      <c r="A353" s="14"/>
      <c r="B353" s="20"/>
      <c r="C353" s="20" t="s">
        <v>2420</v>
      </c>
      <c r="D353" s="20" t="s">
        <v>79</v>
      </c>
      <c r="E353" s="20" t="s">
        <v>80</v>
      </c>
      <c r="F353" s="20" t="s">
        <v>2393</v>
      </c>
      <c r="G353" s="20" t="s">
        <v>2085</v>
      </c>
      <c r="H353" s="20"/>
      <c r="I353" s="116" t="s">
        <v>2394</v>
      </c>
      <c r="J353" s="24">
        <v>1</v>
      </c>
      <c r="K353" s="24"/>
      <c r="L353" s="24">
        <v>1</v>
      </c>
      <c r="M353" s="24"/>
      <c r="N353" s="24"/>
      <c r="O353" s="24"/>
      <c r="P353" s="24"/>
      <c r="Q353" s="24"/>
      <c r="R353" s="24"/>
      <c r="S353" s="24"/>
      <c r="T353" s="24"/>
      <c r="U353" s="20" t="s">
        <v>354</v>
      </c>
      <c r="V353" s="20" t="s">
        <v>355</v>
      </c>
      <c r="W353" s="53" t="s">
        <v>280</v>
      </c>
      <c r="X353" s="20" t="s">
        <v>227</v>
      </c>
      <c r="Y353" s="20"/>
      <c r="Z353" s="20"/>
      <c r="AA353" s="20" t="s">
        <v>93</v>
      </c>
      <c r="AB353" s="20" t="s">
        <v>93</v>
      </c>
      <c r="AC353" s="24" t="s">
        <v>93</v>
      </c>
      <c r="AD353" s="24"/>
      <c r="AE353" s="24"/>
      <c r="AF353" s="24"/>
      <c r="AG353" s="24"/>
      <c r="AH353" s="20"/>
      <c r="AI353" s="42"/>
    </row>
    <row r="354" spans="1:35">
      <c r="A354" s="14"/>
      <c r="B354" s="20"/>
      <c r="C354" s="20" t="s">
        <v>2420</v>
      </c>
      <c r="D354" s="20" t="s">
        <v>79</v>
      </c>
      <c r="E354" s="20" t="s">
        <v>80</v>
      </c>
      <c r="F354" s="20" t="s">
        <v>2395</v>
      </c>
      <c r="G354" s="20" t="s">
        <v>2396</v>
      </c>
      <c r="H354" s="20" t="s">
        <v>120</v>
      </c>
      <c r="I354" s="116" t="s">
        <v>2397</v>
      </c>
      <c r="J354" s="24">
        <v>1</v>
      </c>
      <c r="K354" s="24"/>
      <c r="L354" s="24">
        <v>1</v>
      </c>
      <c r="M354" s="24"/>
      <c r="N354" s="24"/>
      <c r="O354" s="24"/>
      <c r="P354" s="24"/>
      <c r="Q354" s="24"/>
      <c r="R354" s="24"/>
      <c r="S354" s="24"/>
      <c r="T354" s="24"/>
      <c r="U354" s="20" t="s">
        <v>354</v>
      </c>
      <c r="V354" s="20" t="s">
        <v>355</v>
      </c>
      <c r="W354" s="53" t="s">
        <v>280</v>
      </c>
      <c r="X354" s="20" t="s">
        <v>227</v>
      </c>
      <c r="Y354" s="20"/>
      <c r="Z354" s="20"/>
      <c r="AA354" s="20" t="s">
        <v>93</v>
      </c>
      <c r="AB354" s="20" t="s">
        <v>93</v>
      </c>
      <c r="AC354" s="24" t="s">
        <v>93</v>
      </c>
      <c r="AD354" s="24"/>
      <c r="AE354" s="24"/>
      <c r="AF354" s="24"/>
      <c r="AG354" s="24"/>
      <c r="AH354" s="20"/>
      <c r="AI354" s="42"/>
    </row>
    <row r="355" spans="1:35">
      <c r="A355" s="14"/>
      <c r="B355" s="20"/>
      <c r="C355" s="20" t="s">
        <v>2420</v>
      </c>
      <c r="D355" s="20" t="s">
        <v>79</v>
      </c>
      <c r="E355" s="20" t="s">
        <v>80</v>
      </c>
      <c r="F355" s="20" t="s">
        <v>2398</v>
      </c>
      <c r="G355" s="20" t="s">
        <v>2399</v>
      </c>
      <c r="H355" s="20" t="s">
        <v>144</v>
      </c>
      <c r="I355" s="116" t="s">
        <v>2400</v>
      </c>
      <c r="J355" s="24">
        <v>1</v>
      </c>
      <c r="K355" s="24"/>
      <c r="L355" s="24">
        <v>1</v>
      </c>
      <c r="M355" s="24"/>
      <c r="N355" s="24"/>
      <c r="O355" s="24"/>
      <c r="P355" s="24"/>
      <c r="Q355" s="24"/>
      <c r="R355" s="24"/>
      <c r="S355" s="24"/>
      <c r="T355" s="24"/>
      <c r="U355" s="20" t="s">
        <v>354</v>
      </c>
      <c r="V355" s="20" t="s">
        <v>355</v>
      </c>
      <c r="W355" s="53" t="s">
        <v>280</v>
      </c>
      <c r="X355" s="20" t="s">
        <v>227</v>
      </c>
      <c r="Y355" s="20"/>
      <c r="Z355" s="20"/>
      <c r="AA355" s="20" t="s">
        <v>2413</v>
      </c>
      <c r="AB355" s="20" t="s">
        <v>2414</v>
      </c>
      <c r="AC355" s="24">
        <v>1</v>
      </c>
      <c r="AD355" s="24"/>
      <c r="AE355" s="24"/>
      <c r="AF355" s="24"/>
      <c r="AG355" s="24"/>
      <c r="AH355" s="20"/>
      <c r="AI355" s="42"/>
    </row>
    <row r="356" spans="1:35">
      <c r="A356" s="14"/>
      <c r="B356" s="20"/>
      <c r="C356" s="20" t="s">
        <v>2420</v>
      </c>
      <c r="D356" s="20" t="s">
        <v>79</v>
      </c>
      <c r="E356" s="20" t="s">
        <v>80</v>
      </c>
      <c r="F356" s="20" t="s">
        <v>2401</v>
      </c>
      <c r="G356" s="20" t="s">
        <v>2402</v>
      </c>
      <c r="H356" s="20" t="s">
        <v>126</v>
      </c>
      <c r="I356" s="116" t="s">
        <v>2403</v>
      </c>
      <c r="J356" s="24">
        <v>1</v>
      </c>
      <c r="K356" s="24"/>
      <c r="L356" s="24">
        <v>1</v>
      </c>
      <c r="M356" s="24"/>
      <c r="N356" s="24"/>
      <c r="O356" s="24"/>
      <c r="P356" s="24"/>
      <c r="Q356" s="24"/>
      <c r="R356" s="24"/>
      <c r="S356" s="24"/>
      <c r="T356" s="24"/>
      <c r="U356" s="20" t="s">
        <v>354</v>
      </c>
      <c r="V356" s="20" t="s">
        <v>355</v>
      </c>
      <c r="W356" s="53" t="s">
        <v>280</v>
      </c>
      <c r="X356" s="20" t="s">
        <v>227</v>
      </c>
      <c r="Y356" s="20"/>
      <c r="Z356" s="20"/>
      <c r="AA356" s="20" t="s">
        <v>93</v>
      </c>
      <c r="AB356" s="20"/>
      <c r="AC356" s="24" t="s">
        <v>93</v>
      </c>
      <c r="AD356" s="24"/>
      <c r="AE356" s="24"/>
      <c r="AF356" s="24"/>
      <c r="AG356" s="24"/>
      <c r="AH356" s="20"/>
      <c r="AI356" s="42"/>
    </row>
    <row r="357" spans="1:35">
      <c r="A357" s="14"/>
      <c r="B357" s="20"/>
      <c r="C357" s="20" t="s">
        <v>2420</v>
      </c>
      <c r="D357" s="20" t="s">
        <v>79</v>
      </c>
      <c r="E357" s="20" t="s">
        <v>80</v>
      </c>
      <c r="F357" s="20" t="s">
        <v>174</v>
      </c>
      <c r="G357" s="20" t="s">
        <v>2085</v>
      </c>
      <c r="H357" s="20" t="s">
        <v>588</v>
      </c>
      <c r="I357" s="116">
        <v>28946</v>
      </c>
      <c r="J357" s="24">
        <v>1</v>
      </c>
      <c r="K357" s="24"/>
      <c r="L357" s="24">
        <v>1</v>
      </c>
      <c r="M357" s="24"/>
      <c r="N357" s="24"/>
      <c r="O357" s="24"/>
      <c r="P357" s="24"/>
      <c r="Q357" s="24"/>
      <c r="R357" s="24"/>
      <c r="S357" s="24"/>
      <c r="T357" s="24"/>
      <c r="U357" s="20" t="s">
        <v>354</v>
      </c>
      <c r="V357" s="20" t="s">
        <v>355</v>
      </c>
      <c r="W357" s="53" t="s">
        <v>280</v>
      </c>
      <c r="X357" s="20" t="s">
        <v>227</v>
      </c>
      <c r="Y357" s="20"/>
      <c r="Z357" s="20"/>
      <c r="AA357" s="20" t="s">
        <v>93</v>
      </c>
      <c r="AB357" s="20"/>
      <c r="AC357" s="24" t="s">
        <v>93</v>
      </c>
      <c r="AD357" s="24"/>
      <c r="AE357" s="24"/>
      <c r="AF357" s="24"/>
      <c r="AG357" s="24"/>
      <c r="AH357" s="20"/>
      <c r="AI357" s="42"/>
    </row>
    <row r="358" spans="1:35" ht="78.75">
      <c r="A358" s="14"/>
      <c r="B358" s="20"/>
      <c r="C358" s="20" t="s">
        <v>2420</v>
      </c>
      <c r="D358" s="20" t="s">
        <v>1782</v>
      </c>
      <c r="E358" s="20" t="s">
        <v>1801</v>
      </c>
      <c r="F358" s="20" t="s">
        <v>826</v>
      </c>
      <c r="G358" s="20" t="s">
        <v>827</v>
      </c>
      <c r="H358" s="20"/>
      <c r="I358" s="116"/>
      <c r="J358" s="24">
        <v>1</v>
      </c>
      <c r="K358" s="24"/>
      <c r="L358" s="24"/>
      <c r="M358" s="24"/>
      <c r="N358" s="24"/>
      <c r="O358" s="24"/>
      <c r="P358" s="24"/>
      <c r="Q358" s="24">
        <v>1</v>
      </c>
      <c r="R358" s="24" t="s">
        <v>1009</v>
      </c>
      <c r="S358" s="24">
        <v>1</v>
      </c>
      <c r="T358" s="24"/>
      <c r="U358" s="20"/>
      <c r="V358" s="20" t="s">
        <v>513</v>
      </c>
      <c r="W358" s="53" t="s">
        <v>279</v>
      </c>
      <c r="X358" s="20" t="s">
        <v>227</v>
      </c>
      <c r="Y358" s="20"/>
      <c r="Z358" s="20"/>
      <c r="AA358" s="20" t="s">
        <v>2415</v>
      </c>
      <c r="AB358" s="20" t="s">
        <v>2416</v>
      </c>
      <c r="AC358" s="24">
        <v>10</v>
      </c>
      <c r="AD358" s="24"/>
      <c r="AE358" s="24"/>
      <c r="AF358" s="24"/>
      <c r="AG358" s="24"/>
      <c r="AH358" s="20"/>
      <c r="AI358" s="42"/>
    </row>
    <row r="359" spans="1:35">
      <c r="A359" s="14"/>
      <c r="B359" s="20"/>
      <c r="C359" s="20"/>
      <c r="D359" s="20"/>
      <c r="E359" s="20"/>
      <c r="F359" s="20" t="s">
        <v>161</v>
      </c>
      <c r="G359" s="20" t="s">
        <v>150</v>
      </c>
      <c r="H359" s="20" t="s">
        <v>742</v>
      </c>
      <c r="I359" s="116">
        <v>22347</v>
      </c>
      <c r="J359" s="24">
        <v>1</v>
      </c>
      <c r="K359" s="24" t="s">
        <v>93</v>
      </c>
      <c r="L359" s="24">
        <v>1</v>
      </c>
      <c r="M359" s="24"/>
      <c r="N359" s="24"/>
      <c r="O359" s="24"/>
      <c r="P359" s="24"/>
      <c r="Q359" s="24"/>
      <c r="R359" s="24"/>
      <c r="S359" s="24"/>
      <c r="T359" s="24"/>
      <c r="U359" s="20" t="s">
        <v>2417</v>
      </c>
      <c r="V359" s="20" t="s">
        <v>218</v>
      </c>
      <c r="W359" s="53" t="s">
        <v>279</v>
      </c>
      <c r="X359" s="20" t="s">
        <v>227</v>
      </c>
      <c r="Y359" s="20"/>
      <c r="Z359" s="20"/>
      <c r="AA359" s="20" t="s">
        <v>2418</v>
      </c>
      <c r="AB359" s="20" t="s">
        <v>2371</v>
      </c>
      <c r="AC359" s="24">
        <v>1</v>
      </c>
      <c r="AD359" s="24"/>
      <c r="AE359" s="24"/>
      <c r="AF359" s="24"/>
      <c r="AG359" s="24"/>
      <c r="AH359" s="20"/>
      <c r="AI359" s="42"/>
    </row>
    <row r="360" spans="1:35">
      <c r="A360" s="14"/>
      <c r="B360" s="20"/>
      <c r="C360" s="20"/>
      <c r="D360" s="20"/>
      <c r="E360" s="20"/>
      <c r="F360" s="20" t="s">
        <v>639</v>
      </c>
      <c r="G360" s="20" t="s">
        <v>2419</v>
      </c>
      <c r="H360" s="20" t="s">
        <v>81</v>
      </c>
      <c r="I360" s="116">
        <v>26576</v>
      </c>
      <c r="J360" s="24">
        <v>1</v>
      </c>
      <c r="K360" s="24"/>
      <c r="L360" s="24">
        <v>1</v>
      </c>
      <c r="M360" s="24"/>
      <c r="N360" s="24"/>
      <c r="O360" s="24"/>
      <c r="P360" s="24"/>
      <c r="Q360" s="24"/>
      <c r="R360" s="24"/>
      <c r="S360" s="24"/>
      <c r="T360" s="24"/>
      <c r="U360" s="20" t="s">
        <v>2441</v>
      </c>
      <c r="V360" s="20" t="s">
        <v>355</v>
      </c>
      <c r="W360" s="53" t="s">
        <v>280</v>
      </c>
      <c r="X360" s="20" t="s">
        <v>227</v>
      </c>
      <c r="Y360" s="20"/>
      <c r="Z360" s="20"/>
      <c r="AA360" s="20" t="s">
        <v>1790</v>
      </c>
      <c r="AB360" s="20" t="s">
        <v>2009</v>
      </c>
      <c r="AC360" s="24">
        <v>1</v>
      </c>
      <c r="AD360" s="24"/>
      <c r="AE360" s="24"/>
      <c r="AF360" s="24"/>
      <c r="AG360" s="24"/>
      <c r="AH360" s="20"/>
      <c r="AI360" s="42"/>
    </row>
    <row r="361" spans="1:35">
      <c r="A361" s="14"/>
      <c r="B361" s="20"/>
      <c r="C361" s="20"/>
      <c r="D361" s="20"/>
      <c r="E361" s="20"/>
      <c r="F361" s="20" t="s">
        <v>2421</v>
      </c>
      <c r="G361" s="20" t="s">
        <v>2422</v>
      </c>
      <c r="H361" s="20" t="s">
        <v>115</v>
      </c>
      <c r="I361" s="116" t="s">
        <v>2423</v>
      </c>
      <c r="J361" s="24">
        <v>1</v>
      </c>
      <c r="K361" s="24"/>
      <c r="L361" s="24">
        <v>1</v>
      </c>
      <c r="M361" s="24"/>
      <c r="N361" s="24"/>
      <c r="O361" s="24"/>
      <c r="P361" s="24"/>
      <c r="Q361" s="24"/>
      <c r="R361" s="24"/>
      <c r="S361" s="24"/>
      <c r="T361" s="24"/>
      <c r="U361" s="20" t="s">
        <v>2441</v>
      </c>
      <c r="V361" s="20" t="s">
        <v>355</v>
      </c>
      <c r="W361" s="53" t="s">
        <v>280</v>
      </c>
      <c r="X361" s="20" t="s">
        <v>227</v>
      </c>
      <c r="Y361" s="20"/>
      <c r="Z361" s="20"/>
      <c r="AA361" s="20" t="s">
        <v>1790</v>
      </c>
      <c r="AB361" s="20" t="s">
        <v>2009</v>
      </c>
      <c r="AC361" s="24">
        <v>1</v>
      </c>
      <c r="AD361" s="24"/>
      <c r="AE361" s="24"/>
      <c r="AF361" s="24"/>
      <c r="AG361" s="24"/>
      <c r="AH361" s="20"/>
      <c r="AI361" s="42"/>
    </row>
    <row r="362" spans="1:35">
      <c r="A362" s="14"/>
      <c r="B362" s="20"/>
      <c r="C362" s="20"/>
      <c r="D362" s="20"/>
      <c r="E362" s="20"/>
      <c r="F362" s="20" t="s">
        <v>2424</v>
      </c>
      <c r="G362" s="20" t="s">
        <v>2020</v>
      </c>
      <c r="H362" s="20"/>
      <c r="I362" s="116" t="s">
        <v>2425</v>
      </c>
      <c r="J362" s="24">
        <v>1</v>
      </c>
      <c r="K362" s="24"/>
      <c r="L362" s="24">
        <v>1</v>
      </c>
      <c r="M362" s="24"/>
      <c r="N362" s="24"/>
      <c r="O362" s="24"/>
      <c r="P362" s="24"/>
      <c r="Q362" s="24"/>
      <c r="R362" s="24"/>
      <c r="S362" s="24"/>
      <c r="T362" s="24"/>
      <c r="U362" s="20" t="s">
        <v>2441</v>
      </c>
      <c r="V362" s="20" t="s">
        <v>355</v>
      </c>
      <c r="W362" s="53" t="s">
        <v>280</v>
      </c>
      <c r="X362" s="20" t="s">
        <v>227</v>
      </c>
      <c r="Y362" s="20"/>
      <c r="Z362" s="20"/>
      <c r="AA362" s="20" t="s">
        <v>1790</v>
      </c>
      <c r="AB362" s="20" t="s">
        <v>2009</v>
      </c>
      <c r="AC362" s="24">
        <v>1</v>
      </c>
      <c r="AD362" s="24"/>
      <c r="AE362" s="24"/>
      <c r="AF362" s="24"/>
      <c r="AG362" s="24"/>
      <c r="AH362" s="20"/>
      <c r="AI362" s="42"/>
    </row>
    <row r="363" spans="1:35">
      <c r="A363" s="14"/>
      <c r="B363" s="20"/>
      <c r="C363" s="20"/>
      <c r="D363" s="20"/>
      <c r="E363" s="20"/>
      <c r="F363" s="20" t="s">
        <v>2426</v>
      </c>
      <c r="G363" s="20" t="s">
        <v>817</v>
      </c>
      <c r="H363" s="20"/>
      <c r="I363" s="116" t="s">
        <v>2427</v>
      </c>
      <c r="J363" s="24">
        <v>1</v>
      </c>
      <c r="K363" s="24"/>
      <c r="L363" s="24">
        <v>1</v>
      </c>
      <c r="M363" s="24">
        <v>1</v>
      </c>
      <c r="N363" s="24"/>
      <c r="O363" s="24"/>
      <c r="P363" s="24"/>
      <c r="Q363" s="24"/>
      <c r="R363" s="24"/>
      <c r="S363" s="24"/>
      <c r="T363" s="24"/>
      <c r="U363" s="20" t="s">
        <v>2441</v>
      </c>
      <c r="V363" s="20" t="s">
        <v>355</v>
      </c>
      <c r="W363" s="53" t="s">
        <v>280</v>
      </c>
      <c r="X363" s="20" t="s">
        <v>227</v>
      </c>
      <c r="Y363" s="20"/>
      <c r="Z363" s="20"/>
      <c r="AA363" s="20" t="s">
        <v>1790</v>
      </c>
      <c r="AB363" s="20" t="s">
        <v>2009</v>
      </c>
      <c r="AC363" s="24">
        <v>1</v>
      </c>
      <c r="AD363" s="24"/>
      <c r="AE363" s="24"/>
      <c r="AF363" s="24"/>
      <c r="AG363" s="24"/>
      <c r="AH363" s="20"/>
      <c r="AI363" s="42"/>
    </row>
    <row r="364" spans="1:35">
      <c r="A364" s="14"/>
      <c r="B364" s="20"/>
      <c r="C364" s="20"/>
      <c r="D364" s="20"/>
      <c r="E364" s="20"/>
      <c r="F364" s="20" t="s">
        <v>2424</v>
      </c>
      <c r="G364" s="20" t="s">
        <v>2428</v>
      </c>
      <c r="H364" s="20"/>
      <c r="I364" s="116">
        <v>32237</v>
      </c>
      <c r="J364" s="24">
        <v>1</v>
      </c>
      <c r="K364" s="24"/>
      <c r="L364" s="24">
        <v>1</v>
      </c>
      <c r="M364" s="24"/>
      <c r="N364" s="24"/>
      <c r="O364" s="24"/>
      <c r="P364" s="24"/>
      <c r="Q364" s="24"/>
      <c r="R364" s="24"/>
      <c r="S364" s="24"/>
      <c r="T364" s="24"/>
      <c r="U364" s="20" t="s">
        <v>2441</v>
      </c>
      <c r="V364" s="20" t="s">
        <v>355</v>
      </c>
      <c r="W364" s="53" t="s">
        <v>280</v>
      </c>
      <c r="X364" s="20" t="s">
        <v>227</v>
      </c>
      <c r="Y364" s="20"/>
      <c r="Z364" s="20"/>
      <c r="AA364" s="20" t="s">
        <v>1790</v>
      </c>
      <c r="AB364" s="20" t="s">
        <v>2009</v>
      </c>
      <c r="AC364" s="24">
        <v>1</v>
      </c>
      <c r="AD364" s="24"/>
      <c r="AE364" s="24"/>
      <c r="AF364" s="24"/>
      <c r="AG364" s="24"/>
      <c r="AH364" s="20"/>
      <c r="AI364" s="42"/>
    </row>
    <row r="365" spans="1:35">
      <c r="A365" s="14"/>
      <c r="B365" s="20"/>
      <c r="C365" s="20"/>
      <c r="D365" s="20"/>
      <c r="E365" s="20"/>
      <c r="F365" s="20" t="s">
        <v>2429</v>
      </c>
      <c r="G365" s="20" t="s">
        <v>2430</v>
      </c>
      <c r="H365" s="20" t="s">
        <v>120</v>
      </c>
      <c r="I365" s="116" t="s">
        <v>2431</v>
      </c>
      <c r="J365" s="24">
        <v>1</v>
      </c>
      <c r="K365" s="24"/>
      <c r="L365" s="24">
        <v>1</v>
      </c>
      <c r="M365" s="24"/>
      <c r="N365" s="24"/>
      <c r="O365" s="24"/>
      <c r="P365" s="24"/>
      <c r="Q365" s="24"/>
      <c r="R365" s="24"/>
      <c r="S365" s="24"/>
      <c r="T365" s="24"/>
      <c r="U365" s="20" t="s">
        <v>2441</v>
      </c>
      <c r="V365" s="20" t="s">
        <v>355</v>
      </c>
      <c r="W365" s="53" t="s">
        <v>280</v>
      </c>
      <c r="X365" s="20" t="s">
        <v>227</v>
      </c>
      <c r="Y365" s="20"/>
      <c r="Z365" s="20"/>
      <c r="AA365" s="20" t="s">
        <v>1790</v>
      </c>
      <c r="AB365" s="20" t="s">
        <v>2009</v>
      </c>
      <c r="AC365" s="24">
        <v>1</v>
      </c>
      <c r="AD365" s="24"/>
      <c r="AE365" s="24"/>
      <c r="AF365" s="24"/>
      <c r="AG365" s="24"/>
      <c r="AH365" s="20"/>
      <c r="AI365" s="42"/>
    </row>
    <row r="366" spans="1:35">
      <c r="A366" s="14"/>
      <c r="B366" s="20"/>
      <c r="C366" s="20"/>
      <c r="D366" s="20"/>
      <c r="E366" s="20"/>
      <c r="F366" s="20" t="s">
        <v>2432</v>
      </c>
      <c r="G366" s="20" t="s">
        <v>1726</v>
      </c>
      <c r="H366" s="20" t="s">
        <v>117</v>
      </c>
      <c r="I366" s="116" t="s">
        <v>2433</v>
      </c>
      <c r="J366" s="24">
        <v>1</v>
      </c>
      <c r="K366" s="24"/>
      <c r="L366" s="24">
        <v>1</v>
      </c>
      <c r="M366" s="24"/>
      <c r="N366" s="24"/>
      <c r="O366" s="24"/>
      <c r="P366" s="24"/>
      <c r="Q366" s="24"/>
      <c r="R366" s="24"/>
      <c r="S366" s="24"/>
      <c r="T366" s="24"/>
      <c r="U366" s="20" t="s">
        <v>2441</v>
      </c>
      <c r="V366" s="20" t="s">
        <v>355</v>
      </c>
      <c r="W366" s="53" t="s">
        <v>280</v>
      </c>
      <c r="X366" s="20" t="s">
        <v>227</v>
      </c>
      <c r="Y366" s="20"/>
      <c r="Z366" s="20"/>
      <c r="AA366" s="20" t="s">
        <v>1790</v>
      </c>
      <c r="AB366" s="20" t="s">
        <v>2009</v>
      </c>
      <c r="AC366" s="24">
        <v>1</v>
      </c>
      <c r="AD366" s="24"/>
      <c r="AE366" s="24"/>
      <c r="AF366" s="24"/>
      <c r="AG366" s="24"/>
      <c r="AH366" s="20"/>
      <c r="AI366" s="42"/>
    </row>
    <row r="367" spans="1:35">
      <c r="A367" s="14"/>
      <c r="B367" s="20"/>
      <c r="C367" s="20"/>
      <c r="D367" s="20"/>
      <c r="E367" s="20"/>
      <c r="F367" s="20" t="s">
        <v>2434</v>
      </c>
      <c r="G367" s="20" t="s">
        <v>2435</v>
      </c>
      <c r="H367" s="20" t="s">
        <v>126</v>
      </c>
      <c r="I367" s="116">
        <v>34401</v>
      </c>
      <c r="J367" s="24">
        <v>1</v>
      </c>
      <c r="K367" s="24"/>
      <c r="L367" s="24">
        <v>1</v>
      </c>
      <c r="M367" s="24"/>
      <c r="N367" s="24"/>
      <c r="O367" s="24"/>
      <c r="P367" s="24"/>
      <c r="Q367" s="24"/>
      <c r="R367" s="24"/>
      <c r="S367" s="24"/>
      <c r="T367" s="24"/>
      <c r="U367" s="20" t="s">
        <v>2441</v>
      </c>
      <c r="V367" s="20" t="s">
        <v>355</v>
      </c>
      <c r="W367" s="53" t="s">
        <v>280</v>
      </c>
      <c r="X367" s="20" t="s">
        <v>227</v>
      </c>
      <c r="Y367" s="20"/>
      <c r="Z367" s="20"/>
      <c r="AA367" s="20" t="s">
        <v>1790</v>
      </c>
      <c r="AB367" s="20" t="s">
        <v>2009</v>
      </c>
      <c r="AC367" s="24">
        <v>1</v>
      </c>
      <c r="AD367" s="24"/>
      <c r="AE367" s="24"/>
      <c r="AF367" s="24"/>
      <c r="AG367" s="24"/>
      <c r="AH367" s="20"/>
      <c r="AI367" s="42"/>
    </row>
    <row r="368" spans="1:35">
      <c r="A368" s="14"/>
      <c r="B368" s="20"/>
      <c r="C368" s="20"/>
      <c r="D368" s="20"/>
      <c r="E368" s="20"/>
      <c r="F368" s="20" t="s">
        <v>2436</v>
      </c>
      <c r="G368" s="20" t="s">
        <v>405</v>
      </c>
      <c r="H368" s="20" t="s">
        <v>115</v>
      </c>
      <c r="I368" s="116" t="s">
        <v>2437</v>
      </c>
      <c r="J368" s="24">
        <v>1</v>
      </c>
      <c r="K368" s="24"/>
      <c r="L368" s="24">
        <v>1</v>
      </c>
      <c r="M368" s="24"/>
      <c r="N368" s="24"/>
      <c r="O368" s="24"/>
      <c r="P368" s="24"/>
      <c r="Q368" s="24"/>
      <c r="R368" s="24"/>
      <c r="S368" s="24"/>
      <c r="T368" s="24"/>
      <c r="U368" s="20" t="s">
        <v>2441</v>
      </c>
      <c r="V368" s="20" t="s">
        <v>355</v>
      </c>
      <c r="W368" s="53" t="s">
        <v>280</v>
      </c>
      <c r="X368" s="20" t="s">
        <v>227</v>
      </c>
      <c r="Y368" s="20"/>
      <c r="Z368" s="20"/>
      <c r="AA368" s="20" t="s">
        <v>1790</v>
      </c>
      <c r="AB368" s="20" t="s">
        <v>2009</v>
      </c>
      <c r="AC368" s="24">
        <v>1</v>
      </c>
      <c r="AD368" s="24"/>
      <c r="AE368" s="24"/>
      <c r="AF368" s="24"/>
      <c r="AG368" s="24"/>
      <c r="AH368" s="20"/>
      <c r="AI368" s="42"/>
    </row>
    <row r="369" spans="1:35">
      <c r="A369" s="14"/>
      <c r="B369" s="20"/>
      <c r="C369" s="20"/>
      <c r="D369" s="20"/>
      <c r="E369" s="20"/>
      <c r="F369" s="20" t="s">
        <v>2438</v>
      </c>
      <c r="G369" s="20" t="s">
        <v>2439</v>
      </c>
      <c r="H369" s="20" t="s">
        <v>283</v>
      </c>
      <c r="I369" s="116" t="s">
        <v>2440</v>
      </c>
      <c r="J369" s="24">
        <v>1</v>
      </c>
      <c r="K369" s="24"/>
      <c r="L369" s="24">
        <v>1</v>
      </c>
      <c r="M369" s="24"/>
      <c r="N369" s="24"/>
      <c r="O369" s="24"/>
      <c r="P369" s="24"/>
      <c r="Q369" s="24"/>
      <c r="R369" s="24"/>
      <c r="S369" s="24"/>
      <c r="T369" s="24"/>
      <c r="U369" s="20" t="s">
        <v>2441</v>
      </c>
      <c r="V369" s="20" t="s">
        <v>355</v>
      </c>
      <c r="W369" s="53" t="s">
        <v>280</v>
      </c>
      <c r="X369" s="20" t="s">
        <v>227</v>
      </c>
      <c r="Y369" s="20"/>
      <c r="Z369" s="20"/>
      <c r="AA369" s="20" t="s">
        <v>1790</v>
      </c>
      <c r="AB369" s="20" t="s">
        <v>2009</v>
      </c>
      <c r="AC369" s="24">
        <v>1</v>
      </c>
      <c r="AD369" s="24"/>
      <c r="AE369" s="24"/>
      <c r="AF369" s="24"/>
      <c r="AG369" s="24"/>
      <c r="AH369" s="20"/>
      <c r="AI369" s="42"/>
    </row>
    <row r="370" spans="1:35">
      <c r="A370" s="14"/>
      <c r="B370" s="20"/>
      <c r="C370" s="20" t="s">
        <v>2420</v>
      </c>
      <c r="D370" s="20" t="s">
        <v>1782</v>
      </c>
      <c r="E370" s="20" t="s">
        <v>2479</v>
      </c>
      <c r="F370" s="20" t="s">
        <v>2480</v>
      </c>
      <c r="G370" s="20" t="s">
        <v>2481</v>
      </c>
      <c r="H370" s="20" t="s">
        <v>136</v>
      </c>
      <c r="I370" s="116"/>
      <c r="J370" s="24">
        <v>1</v>
      </c>
      <c r="K370" s="24"/>
      <c r="L370" s="24">
        <v>1</v>
      </c>
      <c r="M370" s="24"/>
      <c r="N370" s="24"/>
      <c r="O370" s="24"/>
      <c r="P370" s="24"/>
      <c r="Q370" s="24"/>
      <c r="R370" s="24"/>
      <c r="S370" s="24"/>
      <c r="T370" s="24"/>
      <c r="U370" s="20" t="s">
        <v>2482</v>
      </c>
      <c r="V370" s="20" t="s">
        <v>872</v>
      </c>
      <c r="W370" s="53" t="s">
        <v>280</v>
      </c>
      <c r="X370" s="20" t="s">
        <v>227</v>
      </c>
      <c r="Y370" s="20"/>
      <c r="Z370" s="20"/>
      <c r="AA370" s="20" t="s">
        <v>2343</v>
      </c>
      <c r="AB370" s="20" t="s">
        <v>2009</v>
      </c>
      <c r="AC370" s="24">
        <v>1</v>
      </c>
      <c r="AD370" s="24"/>
      <c r="AE370" s="24"/>
      <c r="AF370" s="24"/>
      <c r="AG370" s="24"/>
      <c r="AH370" s="20"/>
      <c r="AI370" s="42"/>
    </row>
    <row r="371" spans="1:35">
      <c r="A371" s="14"/>
      <c r="B371" s="20"/>
      <c r="C371" s="20"/>
      <c r="D371" s="20"/>
      <c r="E371" s="20"/>
      <c r="F371" s="20"/>
      <c r="G371" s="20"/>
      <c r="H371" s="20"/>
      <c r="I371" s="116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0"/>
      <c r="V371" s="20"/>
      <c r="W371" s="53"/>
      <c r="X371" s="20"/>
      <c r="Y371" s="20"/>
      <c r="Z371" s="20"/>
      <c r="AA371" s="20" t="s">
        <v>2483</v>
      </c>
      <c r="AB371" s="20" t="s">
        <v>528</v>
      </c>
      <c r="AC371" s="24">
        <v>1</v>
      </c>
      <c r="AD371" s="24"/>
      <c r="AE371" s="24"/>
      <c r="AF371" s="24"/>
      <c r="AG371" s="24"/>
      <c r="AH371" s="20"/>
      <c r="AI371" s="42"/>
    </row>
    <row r="372" spans="1:35">
      <c r="A372" s="14"/>
      <c r="B372" s="20"/>
      <c r="C372" s="20"/>
      <c r="D372" s="20"/>
      <c r="E372" s="20"/>
      <c r="F372" s="20"/>
      <c r="G372" s="20"/>
      <c r="H372" s="20"/>
      <c r="I372" s="116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0"/>
      <c r="V372" s="20"/>
      <c r="W372" s="53"/>
      <c r="X372" s="20"/>
      <c r="Y372" s="20"/>
      <c r="Z372" s="20"/>
      <c r="AA372" s="20" t="s">
        <v>2484</v>
      </c>
      <c r="AB372" s="20" t="s">
        <v>1793</v>
      </c>
      <c r="AC372" s="24">
        <v>3</v>
      </c>
      <c r="AD372" s="24"/>
      <c r="AE372" s="24"/>
      <c r="AF372" s="24"/>
      <c r="AG372" s="24"/>
      <c r="AH372" s="20"/>
      <c r="AI372" s="42"/>
    </row>
    <row r="373" spans="1:35">
      <c r="A373" s="14"/>
      <c r="B373" s="20"/>
      <c r="C373" s="20"/>
      <c r="D373" s="20"/>
      <c r="E373" s="20"/>
      <c r="F373" s="20"/>
      <c r="G373" s="20"/>
      <c r="H373" s="20"/>
      <c r="I373" s="116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0"/>
      <c r="V373" s="20"/>
      <c r="W373" s="53"/>
      <c r="X373" s="20"/>
      <c r="Y373" s="20"/>
      <c r="Z373" s="20"/>
      <c r="AA373" s="20" t="s">
        <v>2485</v>
      </c>
      <c r="AB373" s="20" t="s">
        <v>1793</v>
      </c>
      <c r="AC373" s="24">
        <v>2</v>
      </c>
      <c r="AD373" s="24"/>
      <c r="AE373" s="24"/>
      <c r="AF373" s="24"/>
      <c r="AG373" s="24"/>
      <c r="AH373" s="20"/>
      <c r="AI373" s="42"/>
    </row>
    <row r="374" spans="1:35">
      <c r="A374" s="14"/>
      <c r="B374" s="20"/>
      <c r="C374" s="20"/>
      <c r="D374" s="20"/>
      <c r="E374" s="20"/>
      <c r="F374" s="20"/>
      <c r="G374" s="20"/>
      <c r="H374" s="20"/>
      <c r="I374" s="116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0"/>
      <c r="V374" s="20"/>
      <c r="W374" s="53"/>
      <c r="X374" s="20"/>
      <c r="Y374" s="20"/>
      <c r="Z374" s="20"/>
      <c r="AA374" s="20" t="s">
        <v>2486</v>
      </c>
      <c r="AB374" s="20" t="s">
        <v>526</v>
      </c>
      <c r="AC374" s="24">
        <v>2</v>
      </c>
      <c r="AD374" s="24"/>
      <c r="AE374" s="24"/>
      <c r="AF374" s="24"/>
      <c r="AG374" s="24"/>
      <c r="AH374" s="20"/>
      <c r="AI374" s="42"/>
    </row>
    <row r="375" spans="1:35">
      <c r="A375" s="14"/>
      <c r="B375" s="20"/>
      <c r="C375" s="20"/>
      <c r="D375" s="20"/>
      <c r="E375" s="20"/>
      <c r="F375" s="20"/>
      <c r="G375" s="20"/>
      <c r="H375" s="20"/>
      <c r="I375" s="116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0"/>
      <c r="V375" s="20"/>
      <c r="W375" s="53"/>
      <c r="X375" s="20"/>
      <c r="Y375" s="20"/>
      <c r="Z375" s="20"/>
      <c r="AA375" s="20" t="s">
        <v>2487</v>
      </c>
      <c r="AB375" s="20" t="s">
        <v>2488</v>
      </c>
      <c r="AC375" s="24">
        <v>2</v>
      </c>
      <c r="AD375" s="24"/>
      <c r="AE375" s="24"/>
      <c r="AF375" s="24"/>
      <c r="AG375" s="24"/>
      <c r="AH375" s="20"/>
      <c r="AI375" s="42"/>
    </row>
    <row r="376" spans="1:35">
      <c r="A376" s="14"/>
      <c r="B376" s="20"/>
      <c r="C376" s="20"/>
      <c r="D376" s="20"/>
      <c r="E376" s="20"/>
      <c r="F376" s="20"/>
      <c r="G376" s="20"/>
      <c r="H376" s="20"/>
      <c r="I376" s="116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0"/>
      <c r="V376" s="20"/>
      <c r="W376" s="53"/>
      <c r="X376" s="20"/>
      <c r="Y376" s="20"/>
      <c r="Z376" s="20"/>
      <c r="AA376" s="20" t="s">
        <v>2489</v>
      </c>
      <c r="AB376" s="20" t="s">
        <v>526</v>
      </c>
      <c r="AC376" s="24">
        <v>5</v>
      </c>
      <c r="AD376" s="24"/>
      <c r="AE376" s="24"/>
      <c r="AF376" s="24"/>
      <c r="AG376" s="24"/>
      <c r="AH376" s="20"/>
      <c r="AI376" s="42"/>
    </row>
    <row r="377" spans="1:35" ht="31.5">
      <c r="A377" s="14"/>
      <c r="B377" s="20"/>
      <c r="C377" s="20" t="s">
        <v>2420</v>
      </c>
      <c r="D377" s="20" t="s">
        <v>1782</v>
      </c>
      <c r="E377" s="20" t="s">
        <v>2490</v>
      </c>
      <c r="F377" s="20" t="s">
        <v>161</v>
      </c>
      <c r="G377" s="20" t="s">
        <v>1324</v>
      </c>
      <c r="H377" s="20" t="s">
        <v>742</v>
      </c>
      <c r="I377" s="116">
        <v>387590</v>
      </c>
      <c r="J377" s="24">
        <v>1</v>
      </c>
      <c r="K377" s="24"/>
      <c r="L377" s="24">
        <v>1</v>
      </c>
      <c r="M377" s="24"/>
      <c r="N377" s="24"/>
      <c r="O377" s="24"/>
      <c r="P377" s="24"/>
      <c r="Q377" s="24"/>
      <c r="R377" s="24"/>
      <c r="S377" s="24"/>
      <c r="T377" s="24"/>
      <c r="U377" s="20" t="s">
        <v>221</v>
      </c>
      <c r="V377" s="20" t="s">
        <v>218</v>
      </c>
      <c r="W377" s="53" t="s">
        <v>279</v>
      </c>
      <c r="X377" s="20" t="s">
        <v>227</v>
      </c>
      <c r="Y377" s="20"/>
      <c r="Z377" s="20"/>
      <c r="AA377" s="20" t="s">
        <v>2491</v>
      </c>
      <c r="AB377" s="20" t="s">
        <v>2009</v>
      </c>
      <c r="AC377" s="24">
        <v>1</v>
      </c>
      <c r="AD377" s="24"/>
      <c r="AE377" s="24"/>
      <c r="AF377" s="24"/>
      <c r="AG377" s="24"/>
      <c r="AH377" s="20"/>
      <c r="AI377" s="42"/>
    </row>
    <row r="378" spans="1:35">
      <c r="A378" s="14"/>
      <c r="B378" s="20"/>
      <c r="C378" s="20"/>
      <c r="D378" s="20"/>
      <c r="E378" s="20"/>
      <c r="F378" s="20"/>
      <c r="G378" s="20"/>
      <c r="H378" s="20"/>
      <c r="I378" s="116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0" t="s">
        <v>221</v>
      </c>
      <c r="V378" s="20" t="s">
        <v>218</v>
      </c>
      <c r="W378" s="53" t="s">
        <v>279</v>
      </c>
      <c r="X378" s="20" t="s">
        <v>227</v>
      </c>
      <c r="Y378" s="20"/>
      <c r="Z378" s="20"/>
      <c r="AA378" s="20" t="s">
        <v>2483</v>
      </c>
      <c r="AB378" s="20" t="s">
        <v>528</v>
      </c>
      <c r="AC378" s="24">
        <v>1</v>
      </c>
      <c r="AD378" s="24"/>
      <c r="AE378" s="24"/>
      <c r="AF378" s="24"/>
      <c r="AG378" s="24"/>
      <c r="AH378" s="20"/>
      <c r="AI378" s="42"/>
    </row>
    <row r="379" spans="1:35">
      <c r="A379" s="14"/>
      <c r="B379" s="20"/>
      <c r="C379" s="20"/>
      <c r="D379" s="20"/>
      <c r="E379" s="20"/>
      <c r="F379" s="20"/>
      <c r="G379" s="20"/>
      <c r="H379" s="20"/>
      <c r="I379" s="116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0" t="s">
        <v>221</v>
      </c>
      <c r="V379" s="20" t="s">
        <v>218</v>
      </c>
      <c r="W379" s="53" t="s">
        <v>279</v>
      </c>
      <c r="X379" s="20" t="s">
        <v>227</v>
      </c>
      <c r="Y379" s="20"/>
      <c r="Z379" s="20"/>
      <c r="AA379" s="20" t="s">
        <v>2484</v>
      </c>
      <c r="AB379" s="20" t="s">
        <v>1793</v>
      </c>
      <c r="AC379" s="24">
        <v>3</v>
      </c>
      <c r="AD379" s="24"/>
      <c r="AE379" s="24"/>
      <c r="AF379" s="24"/>
      <c r="AG379" s="24"/>
      <c r="AH379" s="20"/>
      <c r="AI379" s="42"/>
    </row>
    <row r="380" spans="1:35">
      <c r="A380" s="14"/>
      <c r="B380" s="20"/>
      <c r="C380" s="20"/>
      <c r="D380" s="20"/>
      <c r="E380" s="20"/>
      <c r="F380" s="20"/>
      <c r="G380" s="20"/>
      <c r="H380" s="20"/>
      <c r="I380" s="116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0" t="s">
        <v>221</v>
      </c>
      <c r="V380" s="20" t="s">
        <v>218</v>
      </c>
      <c r="W380" s="53" t="s">
        <v>279</v>
      </c>
      <c r="X380" s="20" t="s">
        <v>227</v>
      </c>
      <c r="Y380" s="20"/>
      <c r="Z380" s="20"/>
      <c r="AA380" s="20" t="s">
        <v>2485</v>
      </c>
      <c r="AB380" s="20" t="s">
        <v>1793</v>
      </c>
      <c r="AC380" s="24">
        <v>2</v>
      </c>
      <c r="AD380" s="24"/>
      <c r="AE380" s="24"/>
      <c r="AF380" s="24"/>
      <c r="AG380" s="24"/>
      <c r="AH380" s="20"/>
      <c r="AI380" s="42"/>
    </row>
    <row r="381" spans="1:35">
      <c r="A381" s="14"/>
      <c r="B381" s="20"/>
      <c r="C381" s="20"/>
      <c r="D381" s="20"/>
      <c r="E381" s="20"/>
      <c r="F381" s="20"/>
      <c r="G381" s="20"/>
      <c r="H381" s="20"/>
      <c r="I381" s="116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0" t="s">
        <v>221</v>
      </c>
      <c r="V381" s="20" t="s">
        <v>218</v>
      </c>
      <c r="W381" s="53" t="s">
        <v>279</v>
      </c>
      <c r="X381" s="20" t="s">
        <v>227</v>
      </c>
      <c r="Y381" s="20"/>
      <c r="Z381" s="20"/>
      <c r="AA381" s="20" t="s">
        <v>2486</v>
      </c>
      <c r="AB381" s="20" t="s">
        <v>526</v>
      </c>
      <c r="AC381" s="24">
        <v>2</v>
      </c>
      <c r="AD381" s="24"/>
      <c r="AE381" s="24"/>
      <c r="AF381" s="24"/>
      <c r="AG381" s="24"/>
      <c r="AH381" s="20"/>
      <c r="AI381" s="42"/>
    </row>
    <row r="382" spans="1:35">
      <c r="A382" s="14"/>
      <c r="B382" s="20"/>
      <c r="C382" s="20"/>
      <c r="D382" s="20"/>
      <c r="E382" s="20"/>
      <c r="F382" s="20"/>
      <c r="G382" s="20"/>
      <c r="H382" s="20"/>
      <c r="I382" s="116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0" t="s">
        <v>221</v>
      </c>
      <c r="V382" s="20" t="s">
        <v>218</v>
      </c>
      <c r="W382" s="53" t="s">
        <v>279</v>
      </c>
      <c r="X382" s="20" t="s">
        <v>227</v>
      </c>
      <c r="Y382" s="20"/>
      <c r="Z382" s="20"/>
      <c r="AA382" s="20" t="s">
        <v>2487</v>
      </c>
      <c r="AB382" s="20" t="s">
        <v>2488</v>
      </c>
      <c r="AC382" s="24">
        <v>2</v>
      </c>
      <c r="AD382" s="24"/>
      <c r="AE382" s="24"/>
      <c r="AF382" s="24"/>
      <c r="AG382" s="24"/>
      <c r="AH382" s="20"/>
      <c r="AI382" s="42"/>
    </row>
    <row r="383" spans="1:35">
      <c r="A383" s="14"/>
      <c r="B383" s="20"/>
      <c r="C383" s="20"/>
      <c r="D383" s="20"/>
      <c r="E383" s="20"/>
      <c r="F383" s="20"/>
      <c r="G383" s="20"/>
      <c r="H383" s="20"/>
      <c r="I383" s="116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0" t="s">
        <v>221</v>
      </c>
      <c r="V383" s="20" t="s">
        <v>218</v>
      </c>
      <c r="W383" s="53" t="s">
        <v>279</v>
      </c>
      <c r="X383" s="20" t="s">
        <v>227</v>
      </c>
      <c r="Y383" s="20"/>
      <c r="Z383" s="20"/>
      <c r="AA383" s="20" t="s">
        <v>2489</v>
      </c>
      <c r="AB383" s="20" t="s">
        <v>526</v>
      </c>
      <c r="AC383" s="24">
        <v>5</v>
      </c>
      <c r="AD383" s="24"/>
      <c r="AE383" s="24"/>
      <c r="AF383" s="24"/>
      <c r="AG383" s="24"/>
      <c r="AH383" s="20"/>
      <c r="AI383" s="42"/>
    </row>
    <row r="384" spans="1:35">
      <c r="A384" s="14"/>
      <c r="B384" s="20"/>
      <c r="C384" s="20" t="s">
        <v>2420</v>
      </c>
      <c r="D384" s="20" t="s">
        <v>79</v>
      </c>
      <c r="E384" s="20" t="s">
        <v>80</v>
      </c>
      <c r="F384" s="20" t="s">
        <v>153</v>
      </c>
      <c r="G384" s="20" t="s">
        <v>154</v>
      </c>
      <c r="H384" s="20"/>
      <c r="I384" s="116"/>
      <c r="J384" s="24">
        <v>1</v>
      </c>
      <c r="K384" s="24"/>
      <c r="L384" s="24">
        <v>1</v>
      </c>
      <c r="M384" s="24"/>
      <c r="N384" s="24"/>
      <c r="O384" s="24"/>
      <c r="P384" s="24"/>
      <c r="Q384" s="24"/>
      <c r="R384" s="24"/>
      <c r="S384" s="24"/>
      <c r="T384" s="24"/>
      <c r="U384" s="20" t="s">
        <v>221</v>
      </c>
      <c r="V384" s="20" t="s">
        <v>218</v>
      </c>
      <c r="W384" s="53" t="s">
        <v>279</v>
      </c>
      <c r="X384" s="20" t="s">
        <v>227</v>
      </c>
      <c r="Y384" s="20"/>
      <c r="Z384" s="20"/>
      <c r="AA384" s="20" t="s">
        <v>1476</v>
      </c>
      <c r="AB384" s="20" t="s">
        <v>2009</v>
      </c>
      <c r="AC384" s="24">
        <v>1</v>
      </c>
      <c r="AD384" s="24"/>
      <c r="AE384" s="24"/>
      <c r="AF384" s="24"/>
      <c r="AG384" s="24"/>
      <c r="AH384" s="20"/>
      <c r="AI384" s="42"/>
    </row>
    <row r="385" spans="1:35">
      <c r="A385" s="14"/>
      <c r="B385" s="20"/>
      <c r="C385" s="20" t="s">
        <v>2420</v>
      </c>
      <c r="D385" s="20" t="s">
        <v>79</v>
      </c>
      <c r="E385" s="20" t="s">
        <v>80</v>
      </c>
      <c r="F385" s="20" t="s">
        <v>2492</v>
      </c>
      <c r="G385" s="20" t="s">
        <v>689</v>
      </c>
      <c r="H385" s="20"/>
      <c r="I385" s="116"/>
      <c r="J385" s="24">
        <v>1</v>
      </c>
      <c r="K385" s="24"/>
      <c r="L385" s="24">
        <v>1</v>
      </c>
      <c r="M385" s="24"/>
      <c r="N385" s="24"/>
      <c r="O385" s="24"/>
      <c r="P385" s="24"/>
      <c r="Q385" s="24"/>
      <c r="R385" s="24"/>
      <c r="S385" s="24"/>
      <c r="T385" s="24"/>
      <c r="U385" s="20" t="s">
        <v>221</v>
      </c>
      <c r="V385" s="20" t="s">
        <v>218</v>
      </c>
      <c r="W385" s="53" t="s">
        <v>279</v>
      </c>
      <c r="X385" s="20" t="s">
        <v>227</v>
      </c>
      <c r="Y385" s="20"/>
      <c r="Z385" s="20"/>
      <c r="AA385" s="20" t="s">
        <v>1476</v>
      </c>
      <c r="AB385" s="20" t="s">
        <v>2009</v>
      </c>
      <c r="AC385" s="24">
        <v>1</v>
      </c>
      <c r="AD385" s="24"/>
      <c r="AE385" s="24"/>
      <c r="AF385" s="24"/>
      <c r="AG385" s="24"/>
      <c r="AH385" s="20"/>
      <c r="AI385" s="42"/>
    </row>
    <row r="386" spans="1:35">
      <c r="A386" s="14"/>
      <c r="B386" s="20"/>
      <c r="C386" s="20" t="s">
        <v>2420</v>
      </c>
      <c r="D386" s="20" t="s">
        <v>79</v>
      </c>
      <c r="E386" s="20" t="s">
        <v>80</v>
      </c>
      <c r="F386" s="20" t="s">
        <v>184</v>
      </c>
      <c r="G386" s="20" t="s">
        <v>2493</v>
      </c>
      <c r="H386" s="20"/>
      <c r="I386" s="116"/>
      <c r="J386" s="24">
        <v>1</v>
      </c>
      <c r="K386" s="24"/>
      <c r="L386" s="24">
        <v>1</v>
      </c>
      <c r="M386" s="24"/>
      <c r="N386" s="24"/>
      <c r="O386" s="24"/>
      <c r="P386" s="24"/>
      <c r="Q386" s="24"/>
      <c r="R386" s="24"/>
      <c r="S386" s="24"/>
      <c r="T386" s="24"/>
      <c r="U386" s="20" t="s">
        <v>221</v>
      </c>
      <c r="V386" s="20" t="s">
        <v>218</v>
      </c>
      <c r="W386" s="53" t="s">
        <v>279</v>
      </c>
      <c r="X386" s="20" t="s">
        <v>227</v>
      </c>
      <c r="Y386" s="20"/>
      <c r="Z386" s="20"/>
      <c r="AA386" s="20" t="s">
        <v>1476</v>
      </c>
      <c r="AB386" s="20" t="s">
        <v>2009</v>
      </c>
      <c r="AC386" s="24">
        <v>1</v>
      </c>
      <c r="AD386" s="24"/>
      <c r="AE386" s="24"/>
      <c r="AF386" s="24"/>
      <c r="AG386" s="24"/>
      <c r="AH386" s="20"/>
      <c r="AI386" s="42"/>
    </row>
    <row r="387" spans="1:35">
      <c r="A387" s="14"/>
      <c r="B387" s="20"/>
      <c r="C387" s="20" t="s">
        <v>2420</v>
      </c>
      <c r="D387" s="20" t="s">
        <v>79</v>
      </c>
      <c r="E387" s="20" t="s">
        <v>80</v>
      </c>
      <c r="F387" s="20" t="s">
        <v>184</v>
      </c>
      <c r="G387" s="20" t="s">
        <v>185</v>
      </c>
      <c r="H387" s="20"/>
      <c r="I387" s="116"/>
      <c r="J387" s="24">
        <v>1</v>
      </c>
      <c r="K387" s="24"/>
      <c r="L387" s="24">
        <v>1</v>
      </c>
      <c r="M387" s="24"/>
      <c r="N387" s="24"/>
      <c r="O387" s="24"/>
      <c r="P387" s="24"/>
      <c r="Q387" s="24"/>
      <c r="R387" s="24"/>
      <c r="S387" s="24"/>
      <c r="T387" s="24"/>
      <c r="U387" s="20" t="s">
        <v>221</v>
      </c>
      <c r="V387" s="20" t="s">
        <v>218</v>
      </c>
      <c r="W387" s="53" t="s">
        <v>279</v>
      </c>
      <c r="X387" s="20" t="s">
        <v>227</v>
      </c>
      <c r="Y387" s="20"/>
      <c r="Z387" s="20"/>
      <c r="AA387" s="20" t="s">
        <v>1476</v>
      </c>
      <c r="AB387" s="20" t="s">
        <v>2009</v>
      </c>
      <c r="AC387" s="24">
        <v>1</v>
      </c>
      <c r="AD387" s="24"/>
      <c r="AE387" s="24"/>
      <c r="AF387" s="24"/>
      <c r="AG387" s="24"/>
      <c r="AH387" s="20"/>
      <c r="AI387" s="42"/>
    </row>
    <row r="388" spans="1:35">
      <c r="A388" s="14"/>
      <c r="B388" s="20"/>
      <c r="C388" s="20" t="s">
        <v>2420</v>
      </c>
      <c r="D388" s="20" t="s">
        <v>79</v>
      </c>
      <c r="E388" s="20" t="s">
        <v>80</v>
      </c>
      <c r="F388" s="20" t="s">
        <v>2494</v>
      </c>
      <c r="G388" s="20" t="s">
        <v>2495</v>
      </c>
      <c r="H388" s="20"/>
      <c r="I388" s="116"/>
      <c r="J388" s="24">
        <v>1</v>
      </c>
      <c r="K388" s="24"/>
      <c r="L388" s="24">
        <v>1</v>
      </c>
      <c r="M388" s="24"/>
      <c r="N388" s="24"/>
      <c r="O388" s="24"/>
      <c r="P388" s="24"/>
      <c r="Q388" s="24"/>
      <c r="R388" s="24"/>
      <c r="S388" s="24"/>
      <c r="T388" s="24"/>
      <c r="U388" s="20" t="s">
        <v>221</v>
      </c>
      <c r="V388" s="20" t="s">
        <v>218</v>
      </c>
      <c r="W388" s="53" t="s">
        <v>279</v>
      </c>
      <c r="X388" s="20" t="s">
        <v>227</v>
      </c>
      <c r="Y388" s="20"/>
      <c r="Z388" s="20"/>
      <c r="AA388" s="20" t="s">
        <v>1476</v>
      </c>
      <c r="AB388" s="20" t="s">
        <v>2009</v>
      </c>
      <c r="AC388" s="24">
        <v>1</v>
      </c>
      <c r="AD388" s="24"/>
      <c r="AE388" s="24"/>
      <c r="AF388" s="24"/>
      <c r="AG388" s="24"/>
      <c r="AH388" s="20"/>
      <c r="AI388" s="42"/>
    </row>
    <row r="389" spans="1:35">
      <c r="A389" s="14"/>
      <c r="B389" s="20"/>
      <c r="C389" s="20" t="s">
        <v>2420</v>
      </c>
      <c r="D389" s="20" t="s">
        <v>79</v>
      </c>
      <c r="E389" s="20" t="s">
        <v>80</v>
      </c>
      <c r="F389" s="20" t="s">
        <v>106</v>
      </c>
      <c r="G389" s="20" t="s">
        <v>2085</v>
      </c>
      <c r="H389" s="20"/>
      <c r="I389" s="116"/>
      <c r="J389" s="24">
        <v>1</v>
      </c>
      <c r="K389" s="24"/>
      <c r="L389" s="24">
        <v>1</v>
      </c>
      <c r="M389" s="24"/>
      <c r="N389" s="24"/>
      <c r="O389" s="24"/>
      <c r="P389" s="24"/>
      <c r="Q389" s="24"/>
      <c r="R389" s="24"/>
      <c r="S389" s="24"/>
      <c r="T389" s="24"/>
      <c r="U389" s="20" t="s">
        <v>221</v>
      </c>
      <c r="V389" s="20" t="s">
        <v>218</v>
      </c>
      <c r="W389" s="53" t="s">
        <v>279</v>
      </c>
      <c r="X389" s="20" t="s">
        <v>227</v>
      </c>
      <c r="Y389" s="20"/>
      <c r="Z389" s="20"/>
      <c r="AA389" s="20" t="s">
        <v>1476</v>
      </c>
      <c r="AB389" s="20" t="s">
        <v>2009</v>
      </c>
      <c r="AC389" s="24">
        <v>1</v>
      </c>
      <c r="AD389" s="24"/>
      <c r="AE389" s="24"/>
      <c r="AF389" s="24"/>
      <c r="AG389" s="24"/>
      <c r="AH389" s="20"/>
      <c r="AI389" s="42"/>
    </row>
    <row r="390" spans="1:35">
      <c r="A390" s="14"/>
      <c r="B390" s="20"/>
      <c r="C390" s="20" t="s">
        <v>2420</v>
      </c>
      <c r="D390" s="20" t="s">
        <v>79</v>
      </c>
      <c r="E390" s="20" t="s">
        <v>80</v>
      </c>
      <c r="F390" s="20" t="s">
        <v>2496</v>
      </c>
      <c r="G390" s="20" t="s">
        <v>2048</v>
      </c>
      <c r="H390" s="20"/>
      <c r="I390" s="116" t="s">
        <v>2559</v>
      </c>
      <c r="J390" s="24">
        <v>1</v>
      </c>
      <c r="K390" s="24"/>
      <c r="L390" s="24">
        <v>1</v>
      </c>
      <c r="M390" s="24"/>
      <c r="N390" s="24"/>
      <c r="O390" s="24"/>
      <c r="P390" s="24"/>
      <c r="Q390" s="24"/>
      <c r="R390" s="24"/>
      <c r="S390" s="24"/>
      <c r="T390" s="24"/>
      <c r="U390" s="20" t="s">
        <v>221</v>
      </c>
      <c r="V390" s="20" t="s">
        <v>218</v>
      </c>
      <c r="W390" s="53" t="s">
        <v>279</v>
      </c>
      <c r="X390" s="20" t="s">
        <v>227</v>
      </c>
      <c r="Y390" s="20"/>
      <c r="Z390" s="20"/>
      <c r="AA390" s="20" t="s">
        <v>1476</v>
      </c>
      <c r="AB390" s="20" t="s">
        <v>2009</v>
      </c>
      <c r="AC390" s="24">
        <v>1</v>
      </c>
      <c r="AD390" s="24"/>
      <c r="AE390" s="24"/>
      <c r="AF390" s="24"/>
      <c r="AG390" s="24"/>
      <c r="AH390" s="20"/>
      <c r="AI390" s="42"/>
    </row>
    <row r="391" spans="1:35">
      <c r="A391" s="14"/>
      <c r="B391" s="20"/>
      <c r="C391" s="20" t="s">
        <v>2420</v>
      </c>
      <c r="D391" s="20" t="s">
        <v>79</v>
      </c>
      <c r="E391" s="20" t="s">
        <v>80</v>
      </c>
      <c r="F391" s="20" t="s">
        <v>719</v>
      </c>
      <c r="G391" s="20" t="s">
        <v>820</v>
      </c>
      <c r="H391" s="20" t="s">
        <v>120</v>
      </c>
      <c r="I391" s="116"/>
      <c r="J391" s="24">
        <v>1</v>
      </c>
      <c r="K391" s="24"/>
      <c r="L391" s="24">
        <v>1</v>
      </c>
      <c r="M391" s="24"/>
      <c r="N391" s="24"/>
      <c r="O391" s="24"/>
      <c r="P391" s="24"/>
      <c r="Q391" s="24"/>
      <c r="R391" s="24"/>
      <c r="S391" s="24"/>
      <c r="T391" s="24"/>
      <c r="U391" s="20" t="s">
        <v>221</v>
      </c>
      <c r="V391" s="20" t="s">
        <v>218</v>
      </c>
      <c r="W391" s="53" t="s">
        <v>279</v>
      </c>
      <c r="X391" s="20" t="s">
        <v>227</v>
      </c>
      <c r="Y391" s="20"/>
      <c r="Z391" s="20"/>
      <c r="AA391" s="20" t="s">
        <v>1476</v>
      </c>
      <c r="AB391" s="20" t="s">
        <v>2009</v>
      </c>
      <c r="AC391" s="24">
        <v>1</v>
      </c>
      <c r="AD391" s="24"/>
      <c r="AE391" s="24"/>
      <c r="AF391" s="24"/>
      <c r="AG391" s="24"/>
      <c r="AH391" s="20"/>
      <c r="AI391" s="42"/>
    </row>
    <row r="392" spans="1:35">
      <c r="A392" s="14"/>
      <c r="B392" s="20"/>
      <c r="C392" s="20" t="s">
        <v>2420</v>
      </c>
      <c r="D392" s="20" t="s">
        <v>79</v>
      </c>
      <c r="E392" s="20" t="s">
        <v>80</v>
      </c>
      <c r="F392" s="20" t="s">
        <v>2497</v>
      </c>
      <c r="G392" s="20" t="s">
        <v>1726</v>
      </c>
      <c r="H392" s="20" t="s">
        <v>126</v>
      </c>
      <c r="I392" s="116"/>
      <c r="J392" s="24">
        <v>1</v>
      </c>
      <c r="K392" s="24"/>
      <c r="L392" s="24">
        <v>1</v>
      </c>
      <c r="M392" s="24"/>
      <c r="N392" s="24"/>
      <c r="O392" s="24"/>
      <c r="P392" s="24"/>
      <c r="Q392" s="24"/>
      <c r="R392" s="24"/>
      <c r="S392" s="24"/>
      <c r="T392" s="24"/>
      <c r="U392" s="20" t="s">
        <v>221</v>
      </c>
      <c r="V392" s="20" t="s">
        <v>218</v>
      </c>
      <c r="W392" s="53" t="s">
        <v>279</v>
      </c>
      <c r="X392" s="20" t="s">
        <v>227</v>
      </c>
      <c r="Y392" s="20"/>
      <c r="Z392" s="20"/>
      <c r="AA392" s="20" t="s">
        <v>1476</v>
      </c>
      <c r="AB392" s="20" t="s">
        <v>2009</v>
      </c>
      <c r="AC392" s="24">
        <v>1</v>
      </c>
      <c r="AD392" s="24"/>
      <c r="AE392" s="24"/>
      <c r="AF392" s="24"/>
      <c r="AG392" s="24"/>
      <c r="AH392" s="20"/>
      <c r="AI392" s="42"/>
    </row>
    <row r="393" spans="1:35">
      <c r="A393" s="14"/>
      <c r="B393" s="20"/>
      <c r="C393" s="20" t="s">
        <v>2420</v>
      </c>
      <c r="D393" s="20" t="s">
        <v>79</v>
      </c>
      <c r="E393" s="20" t="s">
        <v>80</v>
      </c>
      <c r="F393" s="20" t="s">
        <v>2497</v>
      </c>
      <c r="G393" s="20" t="s">
        <v>2498</v>
      </c>
      <c r="H393" s="20" t="s">
        <v>115</v>
      </c>
      <c r="I393" s="116"/>
      <c r="J393" s="24">
        <v>1</v>
      </c>
      <c r="K393" s="24"/>
      <c r="L393" s="24">
        <v>1</v>
      </c>
      <c r="M393" s="24"/>
      <c r="N393" s="24"/>
      <c r="O393" s="24"/>
      <c r="P393" s="24"/>
      <c r="Q393" s="24"/>
      <c r="R393" s="24"/>
      <c r="S393" s="24"/>
      <c r="T393" s="24"/>
      <c r="U393" s="20" t="s">
        <v>221</v>
      </c>
      <c r="V393" s="20" t="s">
        <v>218</v>
      </c>
      <c r="W393" s="53" t="s">
        <v>279</v>
      </c>
      <c r="X393" s="20" t="s">
        <v>227</v>
      </c>
      <c r="Y393" s="20"/>
      <c r="Z393" s="20"/>
      <c r="AA393" s="20" t="s">
        <v>1476</v>
      </c>
      <c r="AB393" s="20" t="s">
        <v>2009</v>
      </c>
      <c r="AC393" s="24">
        <v>1</v>
      </c>
      <c r="AD393" s="24"/>
      <c r="AE393" s="24"/>
      <c r="AF393" s="24"/>
      <c r="AG393" s="24"/>
      <c r="AH393" s="20"/>
      <c r="AI393" s="42"/>
    </row>
    <row r="394" spans="1:35">
      <c r="A394" s="14"/>
      <c r="B394" s="20"/>
      <c r="C394" s="20" t="s">
        <v>2420</v>
      </c>
      <c r="D394" s="20" t="s">
        <v>79</v>
      </c>
      <c r="E394" s="20" t="s">
        <v>80</v>
      </c>
      <c r="F394" s="20" t="s">
        <v>161</v>
      </c>
      <c r="G394" s="20" t="s">
        <v>1324</v>
      </c>
      <c r="H394" s="20"/>
      <c r="I394" s="116"/>
      <c r="J394" s="24">
        <v>1</v>
      </c>
      <c r="K394" s="24"/>
      <c r="L394" s="24">
        <v>1</v>
      </c>
      <c r="M394" s="24"/>
      <c r="N394" s="24"/>
      <c r="O394" s="24"/>
      <c r="P394" s="24"/>
      <c r="Q394" s="24"/>
      <c r="R394" s="24"/>
      <c r="S394" s="24"/>
      <c r="T394" s="24"/>
      <c r="U394" s="20" t="s">
        <v>221</v>
      </c>
      <c r="V394" s="20" t="s">
        <v>218</v>
      </c>
      <c r="W394" s="53" t="s">
        <v>279</v>
      </c>
      <c r="X394" s="20" t="s">
        <v>227</v>
      </c>
      <c r="Y394" s="20"/>
      <c r="Z394" s="20"/>
      <c r="AA394" s="20" t="s">
        <v>1476</v>
      </c>
      <c r="AB394" s="20" t="s">
        <v>2009</v>
      </c>
      <c r="AC394" s="24">
        <v>1</v>
      </c>
      <c r="AD394" s="24"/>
      <c r="AE394" s="24"/>
      <c r="AF394" s="24"/>
      <c r="AG394" s="24"/>
      <c r="AH394" s="20"/>
      <c r="AI394" s="42"/>
    </row>
    <row r="395" spans="1:35">
      <c r="A395" s="14"/>
      <c r="B395" s="20"/>
      <c r="C395" s="20" t="s">
        <v>2420</v>
      </c>
      <c r="D395" s="20" t="s">
        <v>79</v>
      </c>
      <c r="E395" s="20" t="s">
        <v>80</v>
      </c>
      <c r="F395" s="20" t="s">
        <v>161</v>
      </c>
      <c r="G395" s="20" t="s">
        <v>1231</v>
      </c>
      <c r="H395" s="20"/>
      <c r="I395" s="116"/>
      <c r="J395" s="24">
        <v>1</v>
      </c>
      <c r="K395" s="24"/>
      <c r="L395" s="24">
        <v>1</v>
      </c>
      <c r="M395" s="24"/>
      <c r="N395" s="24"/>
      <c r="O395" s="24"/>
      <c r="P395" s="24"/>
      <c r="Q395" s="24"/>
      <c r="R395" s="24"/>
      <c r="S395" s="24"/>
      <c r="T395" s="24"/>
      <c r="U395" s="20" t="s">
        <v>221</v>
      </c>
      <c r="V395" s="20" t="s">
        <v>218</v>
      </c>
      <c r="W395" s="53" t="s">
        <v>279</v>
      </c>
      <c r="X395" s="20" t="s">
        <v>227</v>
      </c>
      <c r="Y395" s="20"/>
      <c r="Z395" s="20"/>
      <c r="AA395" s="20" t="s">
        <v>1476</v>
      </c>
      <c r="AB395" s="20" t="s">
        <v>2009</v>
      </c>
      <c r="AC395" s="24">
        <v>1</v>
      </c>
      <c r="AD395" s="24"/>
      <c r="AE395" s="24"/>
      <c r="AF395" s="24"/>
      <c r="AG395" s="24"/>
      <c r="AH395" s="20"/>
      <c r="AI395" s="42"/>
    </row>
    <row r="396" spans="1:35">
      <c r="A396" s="14"/>
      <c r="B396" s="20"/>
      <c r="C396" s="20" t="s">
        <v>2420</v>
      </c>
      <c r="D396" s="20" t="s">
        <v>79</v>
      </c>
      <c r="E396" s="20" t="s">
        <v>80</v>
      </c>
      <c r="F396" s="20" t="s">
        <v>1603</v>
      </c>
      <c r="G396" s="20" t="s">
        <v>2499</v>
      </c>
      <c r="H396" s="20"/>
      <c r="I396" s="116" t="s">
        <v>2500</v>
      </c>
      <c r="J396" s="24">
        <v>1</v>
      </c>
      <c r="K396" s="24"/>
      <c r="L396" s="24">
        <v>1</v>
      </c>
      <c r="M396" s="24"/>
      <c r="N396" s="24"/>
      <c r="O396" s="24"/>
      <c r="P396" s="24"/>
      <c r="Q396" s="24"/>
      <c r="R396" s="24"/>
      <c r="S396" s="24"/>
      <c r="T396" s="24"/>
      <c r="U396" s="20" t="s">
        <v>221</v>
      </c>
      <c r="V396" s="20" t="s">
        <v>218</v>
      </c>
      <c r="W396" s="53" t="s">
        <v>279</v>
      </c>
      <c r="X396" s="20" t="s">
        <v>227</v>
      </c>
      <c r="Y396" s="20"/>
      <c r="Z396" s="20"/>
      <c r="AA396" s="20" t="s">
        <v>1476</v>
      </c>
      <c r="AB396" s="20" t="s">
        <v>2009</v>
      </c>
      <c r="AC396" s="24">
        <v>1</v>
      </c>
      <c r="AD396" s="24"/>
      <c r="AE396" s="24"/>
      <c r="AF396" s="24"/>
      <c r="AG396" s="24"/>
      <c r="AH396" s="20"/>
      <c r="AI396" s="42"/>
    </row>
    <row r="397" spans="1:35">
      <c r="A397" s="14"/>
      <c r="B397" s="20"/>
      <c r="C397" s="20" t="s">
        <v>2420</v>
      </c>
      <c r="D397" s="20" t="s">
        <v>79</v>
      </c>
      <c r="E397" s="20" t="s">
        <v>80</v>
      </c>
      <c r="F397" s="20" t="s">
        <v>2501</v>
      </c>
      <c r="G397" s="20" t="s">
        <v>2502</v>
      </c>
      <c r="H397" s="20"/>
      <c r="I397" s="116">
        <v>25335</v>
      </c>
      <c r="J397" s="24">
        <v>1</v>
      </c>
      <c r="K397" s="24"/>
      <c r="L397" s="24">
        <v>1</v>
      </c>
      <c r="M397" s="24"/>
      <c r="N397" s="24"/>
      <c r="O397" s="24"/>
      <c r="P397" s="24"/>
      <c r="Q397" s="24"/>
      <c r="R397" s="24"/>
      <c r="S397" s="24"/>
      <c r="T397" s="24"/>
      <c r="U397" s="20" t="s">
        <v>221</v>
      </c>
      <c r="V397" s="20" t="s">
        <v>218</v>
      </c>
      <c r="W397" s="53" t="s">
        <v>279</v>
      </c>
      <c r="X397" s="20" t="s">
        <v>227</v>
      </c>
      <c r="Y397" s="20"/>
      <c r="Z397" s="20"/>
      <c r="AA397" s="20" t="s">
        <v>1476</v>
      </c>
      <c r="AB397" s="20" t="s">
        <v>2009</v>
      </c>
      <c r="AC397" s="24">
        <v>1</v>
      </c>
      <c r="AD397" s="24"/>
      <c r="AE397" s="24"/>
      <c r="AF397" s="24"/>
      <c r="AG397" s="24"/>
      <c r="AH397" s="20"/>
      <c r="AI397" s="42"/>
    </row>
    <row r="398" spans="1:35">
      <c r="A398" s="14"/>
      <c r="B398" s="20"/>
      <c r="C398" s="20" t="s">
        <v>2420</v>
      </c>
      <c r="D398" s="20" t="s">
        <v>79</v>
      </c>
      <c r="E398" s="20" t="s">
        <v>80</v>
      </c>
      <c r="F398" s="20" t="s">
        <v>174</v>
      </c>
      <c r="G398" s="20" t="s">
        <v>713</v>
      </c>
      <c r="H398" s="20"/>
      <c r="I398" s="116"/>
      <c r="J398" s="24">
        <v>1</v>
      </c>
      <c r="K398" s="24"/>
      <c r="L398" s="24">
        <v>1</v>
      </c>
      <c r="M398" s="24"/>
      <c r="N398" s="24"/>
      <c r="O398" s="24"/>
      <c r="P398" s="24"/>
      <c r="Q398" s="24"/>
      <c r="R398" s="24"/>
      <c r="S398" s="24"/>
      <c r="T398" s="24"/>
      <c r="U398" s="20" t="s">
        <v>221</v>
      </c>
      <c r="V398" s="20" t="s">
        <v>218</v>
      </c>
      <c r="W398" s="53" t="s">
        <v>279</v>
      </c>
      <c r="X398" s="20" t="s">
        <v>227</v>
      </c>
      <c r="Y398" s="20"/>
      <c r="Z398" s="20"/>
      <c r="AA398" s="20" t="s">
        <v>1476</v>
      </c>
      <c r="AB398" s="20" t="s">
        <v>2009</v>
      </c>
      <c r="AC398" s="24">
        <v>1</v>
      </c>
      <c r="AD398" s="24"/>
      <c r="AE398" s="24"/>
      <c r="AF398" s="24"/>
      <c r="AG398" s="24"/>
      <c r="AH398" s="20"/>
      <c r="AI398" s="42"/>
    </row>
    <row r="399" spans="1:35">
      <c r="A399" s="14"/>
      <c r="B399" s="20"/>
      <c r="C399" s="20" t="s">
        <v>2420</v>
      </c>
      <c r="D399" s="20" t="s">
        <v>79</v>
      </c>
      <c r="E399" s="20" t="s">
        <v>80</v>
      </c>
      <c r="F399" s="20" t="s">
        <v>2503</v>
      </c>
      <c r="G399" s="20" t="s">
        <v>2504</v>
      </c>
      <c r="H399" s="20"/>
      <c r="I399" s="116"/>
      <c r="J399" s="24">
        <v>1</v>
      </c>
      <c r="K399" s="24"/>
      <c r="L399" s="24">
        <v>1</v>
      </c>
      <c r="M399" s="24"/>
      <c r="N399" s="24"/>
      <c r="O399" s="24"/>
      <c r="P399" s="24"/>
      <c r="Q399" s="24"/>
      <c r="R399" s="24"/>
      <c r="S399" s="24"/>
      <c r="T399" s="24"/>
      <c r="U399" s="20" t="s">
        <v>221</v>
      </c>
      <c r="V399" s="20" t="s">
        <v>218</v>
      </c>
      <c r="W399" s="53" t="s">
        <v>279</v>
      </c>
      <c r="X399" s="20" t="s">
        <v>227</v>
      </c>
      <c r="Y399" s="20"/>
      <c r="Z399" s="20"/>
      <c r="AA399" s="20" t="s">
        <v>1476</v>
      </c>
      <c r="AB399" s="20" t="s">
        <v>2009</v>
      </c>
      <c r="AC399" s="24">
        <v>1</v>
      </c>
      <c r="AD399" s="24"/>
      <c r="AE399" s="24"/>
      <c r="AF399" s="24"/>
      <c r="AG399" s="24"/>
      <c r="AH399" s="20"/>
      <c r="AI399" s="42"/>
    </row>
    <row r="400" spans="1:35">
      <c r="A400" s="14"/>
      <c r="B400" s="20"/>
      <c r="C400" s="20" t="s">
        <v>2420</v>
      </c>
      <c r="D400" s="20" t="s">
        <v>79</v>
      </c>
      <c r="E400" s="20" t="s">
        <v>80</v>
      </c>
      <c r="F400" s="20" t="s">
        <v>174</v>
      </c>
      <c r="G400" s="20" t="s">
        <v>118</v>
      </c>
      <c r="H400" s="20"/>
      <c r="I400" s="116"/>
      <c r="J400" s="24">
        <v>1</v>
      </c>
      <c r="K400" s="24"/>
      <c r="L400" s="24">
        <v>1</v>
      </c>
      <c r="M400" s="24"/>
      <c r="N400" s="24"/>
      <c r="O400" s="24"/>
      <c r="P400" s="24"/>
      <c r="Q400" s="24"/>
      <c r="R400" s="24"/>
      <c r="S400" s="24"/>
      <c r="T400" s="24"/>
      <c r="U400" s="20" t="s">
        <v>221</v>
      </c>
      <c r="V400" s="20" t="s">
        <v>218</v>
      </c>
      <c r="W400" s="53" t="s">
        <v>279</v>
      </c>
      <c r="X400" s="20" t="s">
        <v>227</v>
      </c>
      <c r="Y400" s="20"/>
      <c r="Z400" s="20"/>
      <c r="AA400" s="20" t="s">
        <v>1476</v>
      </c>
      <c r="AB400" s="20" t="s">
        <v>2009</v>
      </c>
      <c r="AC400" s="24">
        <v>1</v>
      </c>
      <c r="AD400" s="24"/>
      <c r="AE400" s="24"/>
      <c r="AF400" s="24"/>
      <c r="AG400" s="24"/>
      <c r="AH400" s="20"/>
      <c r="AI400" s="42"/>
    </row>
    <row r="401" spans="1:35">
      <c r="A401" s="14"/>
      <c r="B401" s="20"/>
      <c r="C401" s="20" t="s">
        <v>2420</v>
      </c>
      <c r="D401" s="20" t="s">
        <v>79</v>
      </c>
      <c r="E401" s="20" t="s">
        <v>80</v>
      </c>
      <c r="F401" s="20" t="s">
        <v>2506</v>
      </c>
      <c r="G401" s="20" t="s">
        <v>2505</v>
      </c>
      <c r="H401" s="20"/>
      <c r="I401" s="116"/>
      <c r="J401" s="24">
        <v>1</v>
      </c>
      <c r="K401" s="24"/>
      <c r="L401" s="24">
        <v>1</v>
      </c>
      <c r="M401" s="24"/>
      <c r="N401" s="24"/>
      <c r="O401" s="24"/>
      <c r="P401" s="24"/>
      <c r="Q401" s="24"/>
      <c r="R401" s="24"/>
      <c r="S401" s="24"/>
      <c r="T401" s="24"/>
      <c r="U401" s="20" t="s">
        <v>221</v>
      </c>
      <c r="V401" s="20" t="s">
        <v>218</v>
      </c>
      <c r="W401" s="53" t="s">
        <v>279</v>
      </c>
      <c r="X401" s="20" t="s">
        <v>227</v>
      </c>
      <c r="Y401" s="20"/>
      <c r="Z401" s="20"/>
      <c r="AA401" s="20" t="s">
        <v>1476</v>
      </c>
      <c r="AB401" s="20" t="s">
        <v>2009</v>
      </c>
      <c r="AC401" s="24">
        <v>1</v>
      </c>
      <c r="AD401" s="24"/>
      <c r="AE401" s="24"/>
      <c r="AF401" s="24"/>
      <c r="AG401" s="24"/>
      <c r="AH401" s="20"/>
      <c r="AI401" s="42"/>
    </row>
    <row r="402" spans="1:35">
      <c r="A402" s="14"/>
      <c r="B402" s="20"/>
      <c r="C402" s="20" t="s">
        <v>2420</v>
      </c>
      <c r="D402" s="20" t="s">
        <v>79</v>
      </c>
      <c r="E402" s="20" t="s">
        <v>80</v>
      </c>
      <c r="F402" s="20" t="s">
        <v>2507</v>
      </c>
      <c r="G402" s="20" t="s">
        <v>150</v>
      </c>
      <c r="H402" s="20" t="s">
        <v>120</v>
      </c>
      <c r="I402" s="116"/>
      <c r="J402" s="24">
        <v>1</v>
      </c>
      <c r="K402" s="24"/>
      <c r="L402" s="24">
        <v>1</v>
      </c>
      <c r="M402" s="24"/>
      <c r="N402" s="24"/>
      <c r="O402" s="24"/>
      <c r="P402" s="24"/>
      <c r="Q402" s="24"/>
      <c r="R402" s="24"/>
      <c r="S402" s="24"/>
      <c r="T402" s="24"/>
      <c r="U402" s="20" t="s">
        <v>221</v>
      </c>
      <c r="V402" s="20" t="s">
        <v>218</v>
      </c>
      <c r="W402" s="53" t="s">
        <v>279</v>
      </c>
      <c r="X402" s="20" t="s">
        <v>227</v>
      </c>
      <c r="Y402" s="20"/>
      <c r="Z402" s="20"/>
      <c r="AA402" s="20" t="s">
        <v>1476</v>
      </c>
      <c r="AB402" s="20" t="s">
        <v>2009</v>
      </c>
      <c r="AC402" s="24">
        <v>1</v>
      </c>
      <c r="AD402" s="24"/>
      <c r="AE402" s="24"/>
      <c r="AF402" s="24"/>
      <c r="AG402" s="24"/>
      <c r="AH402" s="20"/>
      <c r="AI402" s="42"/>
    </row>
    <row r="403" spans="1:35">
      <c r="A403" s="14"/>
      <c r="B403" s="20"/>
      <c r="C403" s="20" t="s">
        <v>2420</v>
      </c>
      <c r="D403" s="20" t="s">
        <v>79</v>
      </c>
      <c r="E403" s="20" t="s">
        <v>80</v>
      </c>
      <c r="F403" s="20" t="s">
        <v>2508</v>
      </c>
      <c r="G403" s="20" t="s">
        <v>489</v>
      </c>
      <c r="H403" s="20" t="s">
        <v>115</v>
      </c>
      <c r="I403" s="116"/>
      <c r="J403" s="24">
        <v>1</v>
      </c>
      <c r="K403" s="24"/>
      <c r="L403" s="24">
        <v>1</v>
      </c>
      <c r="M403" s="24"/>
      <c r="N403" s="24"/>
      <c r="O403" s="24"/>
      <c r="P403" s="24"/>
      <c r="Q403" s="24"/>
      <c r="R403" s="24"/>
      <c r="S403" s="24"/>
      <c r="T403" s="24"/>
      <c r="U403" s="20" t="s">
        <v>221</v>
      </c>
      <c r="V403" s="20" t="s">
        <v>218</v>
      </c>
      <c r="W403" s="53" t="s">
        <v>279</v>
      </c>
      <c r="X403" s="20" t="s">
        <v>227</v>
      </c>
      <c r="Y403" s="20"/>
      <c r="Z403" s="20"/>
      <c r="AA403" s="20" t="s">
        <v>1476</v>
      </c>
      <c r="AB403" s="20" t="s">
        <v>2009</v>
      </c>
      <c r="AC403" s="24">
        <v>1</v>
      </c>
      <c r="AD403" s="24"/>
      <c r="AE403" s="24"/>
      <c r="AF403" s="24"/>
      <c r="AG403" s="24"/>
      <c r="AH403" s="20"/>
      <c r="AI403" s="42"/>
    </row>
    <row r="404" spans="1:35">
      <c r="A404" s="14"/>
      <c r="B404" s="20"/>
      <c r="C404" s="20" t="s">
        <v>2420</v>
      </c>
      <c r="D404" s="20" t="s">
        <v>79</v>
      </c>
      <c r="E404" s="20" t="s">
        <v>80</v>
      </c>
      <c r="F404" s="20" t="s">
        <v>1215</v>
      </c>
      <c r="G404" s="20" t="s">
        <v>2020</v>
      </c>
      <c r="H404" s="20"/>
      <c r="I404" s="116"/>
      <c r="J404" s="24">
        <v>1</v>
      </c>
      <c r="K404" s="24"/>
      <c r="L404" s="24">
        <v>1</v>
      </c>
      <c r="M404" s="24"/>
      <c r="N404" s="24"/>
      <c r="O404" s="24"/>
      <c r="P404" s="24"/>
      <c r="Q404" s="24"/>
      <c r="R404" s="24"/>
      <c r="S404" s="24"/>
      <c r="T404" s="24"/>
      <c r="U404" s="20" t="s">
        <v>221</v>
      </c>
      <c r="V404" s="20" t="s">
        <v>218</v>
      </c>
      <c r="W404" s="53" t="s">
        <v>279</v>
      </c>
      <c r="X404" s="20" t="s">
        <v>227</v>
      </c>
      <c r="Y404" s="20"/>
      <c r="Z404" s="20"/>
      <c r="AA404" s="20" t="s">
        <v>1476</v>
      </c>
      <c r="AB404" s="20" t="s">
        <v>2009</v>
      </c>
      <c r="AC404" s="24">
        <v>1</v>
      </c>
      <c r="AD404" s="24"/>
      <c r="AE404" s="24"/>
      <c r="AF404" s="24"/>
      <c r="AG404" s="24"/>
      <c r="AH404" s="20"/>
      <c r="AI404" s="42"/>
    </row>
    <row r="405" spans="1:35">
      <c r="A405" s="14"/>
      <c r="B405" s="20"/>
      <c r="C405" s="20" t="s">
        <v>2420</v>
      </c>
      <c r="D405" s="20" t="s">
        <v>79</v>
      </c>
      <c r="E405" s="20" t="s">
        <v>80</v>
      </c>
      <c r="F405" s="20" t="s">
        <v>2509</v>
      </c>
      <c r="G405" s="20" t="s">
        <v>2510</v>
      </c>
      <c r="H405" s="20" t="s">
        <v>588</v>
      </c>
      <c r="I405" s="116" t="s">
        <v>2515</v>
      </c>
      <c r="J405" s="24">
        <v>1</v>
      </c>
      <c r="K405" s="24"/>
      <c r="L405" s="24">
        <v>1</v>
      </c>
      <c r="M405" s="24"/>
      <c r="N405" s="24"/>
      <c r="O405" s="24"/>
      <c r="P405" s="24"/>
      <c r="Q405" s="24"/>
      <c r="R405" s="24"/>
      <c r="S405" s="24"/>
      <c r="T405" s="24"/>
      <c r="U405" s="20" t="s">
        <v>221</v>
      </c>
      <c r="V405" s="20" t="s">
        <v>218</v>
      </c>
      <c r="W405" s="53" t="s">
        <v>279</v>
      </c>
      <c r="X405" s="20" t="s">
        <v>227</v>
      </c>
      <c r="Y405" s="20"/>
      <c r="Z405" s="20"/>
      <c r="AA405" s="20" t="s">
        <v>1476</v>
      </c>
      <c r="AB405" s="20" t="s">
        <v>2009</v>
      </c>
      <c r="AC405" s="24">
        <v>1</v>
      </c>
      <c r="AD405" s="24"/>
      <c r="AE405" s="24"/>
      <c r="AF405" s="24"/>
      <c r="AG405" s="24"/>
      <c r="AH405" s="20"/>
      <c r="AI405" s="42"/>
    </row>
    <row r="406" spans="1:35">
      <c r="A406" s="14"/>
      <c r="B406" s="20"/>
      <c r="C406" s="20" t="s">
        <v>2420</v>
      </c>
      <c r="D406" s="20" t="s">
        <v>79</v>
      </c>
      <c r="E406" s="20" t="s">
        <v>80</v>
      </c>
      <c r="F406" s="20" t="s">
        <v>2511</v>
      </c>
      <c r="G406" s="20" t="s">
        <v>2512</v>
      </c>
      <c r="H406" s="20"/>
      <c r="I406" s="116" t="s">
        <v>2514</v>
      </c>
      <c r="J406" s="24">
        <v>1</v>
      </c>
      <c r="K406" s="24"/>
      <c r="L406" s="24">
        <v>1</v>
      </c>
      <c r="M406" s="24"/>
      <c r="N406" s="24"/>
      <c r="O406" s="24"/>
      <c r="P406" s="24"/>
      <c r="Q406" s="24"/>
      <c r="R406" s="24"/>
      <c r="S406" s="24"/>
      <c r="T406" s="24"/>
      <c r="U406" s="20" t="s">
        <v>221</v>
      </c>
      <c r="V406" s="20" t="s">
        <v>218</v>
      </c>
      <c r="W406" s="53" t="s">
        <v>279</v>
      </c>
      <c r="X406" s="20" t="s">
        <v>227</v>
      </c>
      <c r="Y406" s="20"/>
      <c r="Z406" s="20"/>
      <c r="AA406" s="20" t="s">
        <v>1476</v>
      </c>
      <c r="AB406" s="20" t="s">
        <v>2009</v>
      </c>
      <c r="AC406" s="24">
        <v>1</v>
      </c>
      <c r="AD406" s="24"/>
      <c r="AE406" s="24"/>
      <c r="AF406" s="24"/>
      <c r="AG406" s="24"/>
      <c r="AH406" s="20"/>
      <c r="AI406" s="42"/>
    </row>
    <row r="407" spans="1:35">
      <c r="A407" s="14"/>
      <c r="B407" s="20"/>
      <c r="C407" s="20" t="s">
        <v>2420</v>
      </c>
      <c r="D407" s="20" t="s">
        <v>79</v>
      </c>
      <c r="E407" s="20" t="s">
        <v>80</v>
      </c>
      <c r="F407" s="20" t="s">
        <v>1609</v>
      </c>
      <c r="G407" s="20" t="s">
        <v>2513</v>
      </c>
      <c r="H407" s="20" t="s">
        <v>115</v>
      </c>
      <c r="I407" s="116">
        <v>27855</v>
      </c>
      <c r="J407" s="24">
        <v>1</v>
      </c>
      <c r="K407" s="24"/>
      <c r="L407" s="24">
        <v>1</v>
      </c>
      <c r="M407" s="24"/>
      <c r="N407" s="24"/>
      <c r="O407" s="24"/>
      <c r="P407" s="24"/>
      <c r="Q407" s="24"/>
      <c r="R407" s="24"/>
      <c r="S407" s="24"/>
      <c r="T407" s="24"/>
      <c r="U407" s="20" t="s">
        <v>221</v>
      </c>
      <c r="V407" s="20" t="s">
        <v>218</v>
      </c>
      <c r="W407" s="53" t="s">
        <v>279</v>
      </c>
      <c r="X407" s="20" t="s">
        <v>227</v>
      </c>
      <c r="Y407" s="20"/>
      <c r="Z407" s="20"/>
      <c r="AA407" s="20" t="s">
        <v>1476</v>
      </c>
      <c r="AB407" s="20" t="s">
        <v>2009</v>
      </c>
      <c r="AC407" s="24">
        <v>1</v>
      </c>
      <c r="AD407" s="24"/>
      <c r="AE407" s="24"/>
      <c r="AF407" s="24"/>
      <c r="AG407" s="24"/>
      <c r="AH407" s="20"/>
      <c r="AI407" s="42"/>
    </row>
    <row r="408" spans="1:35">
      <c r="A408" s="14"/>
      <c r="B408" s="20"/>
      <c r="C408" s="20" t="s">
        <v>2420</v>
      </c>
      <c r="D408" s="20" t="s">
        <v>1782</v>
      </c>
      <c r="E408" s="20" t="s">
        <v>2587</v>
      </c>
      <c r="F408" s="20" t="s">
        <v>974</v>
      </c>
      <c r="G408" s="20" t="s">
        <v>745</v>
      </c>
      <c r="H408" s="20"/>
      <c r="I408" s="116"/>
      <c r="J408" s="24">
        <v>1</v>
      </c>
      <c r="K408" s="24"/>
      <c r="L408" s="24">
        <v>1</v>
      </c>
      <c r="M408" s="24"/>
      <c r="N408" s="24"/>
      <c r="O408" s="24"/>
      <c r="P408" s="24"/>
      <c r="Q408" s="24"/>
      <c r="R408" s="24"/>
      <c r="S408" s="24"/>
      <c r="T408" s="24"/>
      <c r="U408" s="20" t="s">
        <v>866</v>
      </c>
      <c r="V408" s="20" t="s">
        <v>293</v>
      </c>
      <c r="W408" s="53" t="s">
        <v>298</v>
      </c>
      <c r="X408" s="20" t="s">
        <v>227</v>
      </c>
      <c r="Y408" s="20"/>
      <c r="Z408" s="20"/>
      <c r="AA408" s="20" t="s">
        <v>2588</v>
      </c>
      <c r="AB408" s="20" t="s">
        <v>2371</v>
      </c>
      <c r="AC408" s="24">
        <v>1</v>
      </c>
      <c r="AD408" s="24"/>
      <c r="AE408" s="24"/>
      <c r="AF408" s="24"/>
      <c r="AG408" s="24"/>
      <c r="AH408" s="20"/>
      <c r="AI408" s="42"/>
    </row>
    <row r="409" spans="1:35">
      <c r="A409" s="14"/>
      <c r="B409" s="20"/>
      <c r="C409" s="20"/>
      <c r="D409" s="20"/>
      <c r="E409" s="20"/>
      <c r="F409" s="20"/>
      <c r="G409" s="20"/>
      <c r="H409" s="20"/>
      <c r="I409" s="116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0"/>
      <c r="V409" s="20"/>
      <c r="W409" s="53"/>
      <c r="X409" s="20"/>
      <c r="Y409" s="20"/>
      <c r="Z409" s="20"/>
      <c r="AA409" s="20" t="s">
        <v>1780</v>
      </c>
      <c r="AB409" s="20" t="s">
        <v>2009</v>
      </c>
      <c r="AC409" s="24">
        <v>5</v>
      </c>
      <c r="AD409" s="24"/>
      <c r="AE409" s="24"/>
      <c r="AF409" s="24"/>
      <c r="AG409" s="24"/>
      <c r="AH409" s="20"/>
      <c r="AI409" s="42"/>
    </row>
    <row r="410" spans="1:35">
      <c r="A410" s="14"/>
      <c r="B410" s="20"/>
      <c r="C410" s="20" t="s">
        <v>2420</v>
      </c>
      <c r="D410" s="20" t="s">
        <v>79</v>
      </c>
      <c r="E410" s="20" t="s">
        <v>80</v>
      </c>
      <c r="F410" s="20" t="s">
        <v>2589</v>
      </c>
      <c r="G410" s="20" t="s">
        <v>1123</v>
      </c>
      <c r="H410" s="20" t="s">
        <v>115</v>
      </c>
      <c r="I410" s="116">
        <v>25269</v>
      </c>
      <c r="J410" s="24">
        <v>1</v>
      </c>
      <c r="K410" s="24"/>
      <c r="L410" s="24">
        <v>1</v>
      </c>
      <c r="M410" s="24"/>
      <c r="N410" s="24"/>
      <c r="O410" s="24"/>
      <c r="P410" s="24"/>
      <c r="Q410" s="24"/>
      <c r="R410" s="24"/>
      <c r="S410" s="24"/>
      <c r="T410" s="24"/>
      <c r="U410" s="20" t="s">
        <v>2608</v>
      </c>
      <c r="V410" s="20" t="s">
        <v>519</v>
      </c>
      <c r="W410" s="53" t="s">
        <v>280</v>
      </c>
      <c r="X410" s="20" t="s">
        <v>227</v>
      </c>
      <c r="Y410" s="20">
        <v>9300294512</v>
      </c>
      <c r="Z410" s="20"/>
      <c r="AA410" s="20" t="s">
        <v>1476</v>
      </c>
      <c r="AB410" s="20" t="s">
        <v>2009</v>
      </c>
      <c r="AC410" s="24">
        <v>1</v>
      </c>
      <c r="AD410" s="24"/>
      <c r="AE410" s="24"/>
      <c r="AF410" s="24"/>
      <c r="AG410" s="24"/>
      <c r="AH410" s="20"/>
      <c r="AI410" s="42"/>
    </row>
    <row r="411" spans="1:35">
      <c r="A411" s="14"/>
      <c r="B411" s="20"/>
      <c r="C411" s="20" t="s">
        <v>2420</v>
      </c>
      <c r="D411" s="20" t="s">
        <v>79</v>
      </c>
      <c r="E411" s="20" t="s">
        <v>80</v>
      </c>
      <c r="F411" s="20" t="s">
        <v>147</v>
      </c>
      <c r="G411" s="20" t="s">
        <v>2590</v>
      </c>
      <c r="H411" s="20" t="s">
        <v>202</v>
      </c>
      <c r="I411" s="116">
        <v>28772</v>
      </c>
      <c r="J411" s="24">
        <v>1</v>
      </c>
      <c r="K411" s="24"/>
      <c r="L411" s="24">
        <v>1</v>
      </c>
      <c r="M411" s="24"/>
      <c r="N411" s="24"/>
      <c r="O411" s="24"/>
      <c r="P411" s="24"/>
      <c r="Q411" s="24"/>
      <c r="R411" s="24"/>
      <c r="S411" s="24"/>
      <c r="T411" s="24"/>
      <c r="U411" s="20" t="s">
        <v>2609</v>
      </c>
      <c r="V411" s="20" t="s">
        <v>519</v>
      </c>
      <c r="W411" s="53" t="s">
        <v>280</v>
      </c>
      <c r="X411" s="20" t="s">
        <v>227</v>
      </c>
      <c r="Y411" s="20">
        <v>9999941243</v>
      </c>
      <c r="Z411" s="20"/>
      <c r="AA411" s="20" t="s">
        <v>1476</v>
      </c>
      <c r="AB411" s="20" t="s">
        <v>2009</v>
      </c>
      <c r="AC411" s="24">
        <v>1</v>
      </c>
      <c r="AD411" s="24"/>
      <c r="AE411" s="24"/>
      <c r="AF411" s="24"/>
      <c r="AG411" s="24"/>
      <c r="AH411" s="20"/>
      <c r="AI411" s="42"/>
    </row>
    <row r="412" spans="1:35">
      <c r="A412" s="14"/>
      <c r="B412" s="20"/>
      <c r="C412" s="20" t="s">
        <v>2420</v>
      </c>
      <c r="D412" s="20" t="s">
        <v>79</v>
      </c>
      <c r="E412" s="20" t="s">
        <v>80</v>
      </c>
      <c r="F412" s="20" t="s">
        <v>1434</v>
      </c>
      <c r="G412" s="20" t="s">
        <v>198</v>
      </c>
      <c r="H412" s="20"/>
      <c r="I412" s="116" t="s">
        <v>2591</v>
      </c>
      <c r="J412" s="24">
        <v>1</v>
      </c>
      <c r="K412" s="24"/>
      <c r="L412" s="24">
        <v>1</v>
      </c>
      <c r="M412" s="24"/>
      <c r="N412" s="24"/>
      <c r="O412" s="24"/>
      <c r="P412" s="24"/>
      <c r="Q412" s="24"/>
      <c r="R412" s="24"/>
      <c r="S412" s="24"/>
      <c r="T412" s="24"/>
      <c r="U412" s="20" t="s">
        <v>2610</v>
      </c>
      <c r="V412" s="20" t="s">
        <v>519</v>
      </c>
      <c r="W412" s="53" t="s">
        <v>280</v>
      </c>
      <c r="X412" s="20" t="s">
        <v>227</v>
      </c>
      <c r="Y412" s="20"/>
      <c r="Z412" s="20"/>
      <c r="AA412" s="20" t="s">
        <v>1476</v>
      </c>
      <c r="AB412" s="20" t="s">
        <v>2009</v>
      </c>
      <c r="AC412" s="24">
        <v>1</v>
      </c>
      <c r="AD412" s="24"/>
      <c r="AE412" s="24"/>
      <c r="AF412" s="24"/>
      <c r="AG412" s="24"/>
      <c r="AH412" s="20"/>
      <c r="AI412" s="42"/>
    </row>
    <row r="413" spans="1:35">
      <c r="A413" s="14"/>
      <c r="B413" s="20"/>
      <c r="C413" s="20" t="s">
        <v>2420</v>
      </c>
      <c r="D413" s="20" t="s">
        <v>79</v>
      </c>
      <c r="E413" s="20" t="s">
        <v>80</v>
      </c>
      <c r="F413" s="20" t="s">
        <v>2592</v>
      </c>
      <c r="G413" s="20" t="s">
        <v>2593</v>
      </c>
      <c r="H413" s="20"/>
      <c r="I413" s="116" t="s">
        <v>2594</v>
      </c>
      <c r="J413" s="24">
        <v>1</v>
      </c>
      <c r="K413" s="24"/>
      <c r="L413" s="24">
        <v>1</v>
      </c>
      <c r="M413" s="24"/>
      <c r="N413" s="24"/>
      <c r="O413" s="24"/>
      <c r="P413" s="24"/>
      <c r="Q413" s="24"/>
      <c r="R413" s="24"/>
      <c r="S413" s="24"/>
      <c r="T413" s="24"/>
      <c r="U413" s="20" t="s">
        <v>2610</v>
      </c>
      <c r="V413" s="20" t="s">
        <v>519</v>
      </c>
      <c r="W413" s="53" t="s">
        <v>280</v>
      </c>
      <c r="X413" s="20" t="s">
        <v>227</v>
      </c>
      <c r="Y413" s="20"/>
      <c r="Z413" s="20"/>
      <c r="AA413" s="20" t="s">
        <v>1476</v>
      </c>
      <c r="AB413" s="20" t="s">
        <v>2009</v>
      </c>
      <c r="AC413" s="24">
        <v>1</v>
      </c>
      <c r="AD413" s="24"/>
      <c r="AE413" s="24"/>
      <c r="AF413" s="24"/>
      <c r="AG413" s="24"/>
      <c r="AH413" s="20"/>
      <c r="AI413" s="42"/>
    </row>
    <row r="414" spans="1:35">
      <c r="A414" s="14"/>
      <c r="B414" s="20"/>
      <c r="C414" s="20" t="s">
        <v>2420</v>
      </c>
      <c r="D414" s="20" t="s">
        <v>79</v>
      </c>
      <c r="E414" s="20" t="s">
        <v>80</v>
      </c>
      <c r="F414" s="20" t="s">
        <v>1434</v>
      </c>
      <c r="G414" s="20" t="s">
        <v>156</v>
      </c>
      <c r="H414" s="20"/>
      <c r="I414" s="116" t="s">
        <v>2595</v>
      </c>
      <c r="J414" s="24">
        <v>1</v>
      </c>
      <c r="K414" s="24"/>
      <c r="L414" s="24">
        <v>1</v>
      </c>
      <c r="M414" s="24"/>
      <c r="N414" s="24"/>
      <c r="O414" s="24"/>
      <c r="P414" s="24"/>
      <c r="Q414" s="24"/>
      <c r="R414" s="24"/>
      <c r="S414" s="24"/>
      <c r="T414" s="24"/>
      <c r="U414" s="20" t="s">
        <v>2610</v>
      </c>
      <c r="V414" s="20" t="s">
        <v>519</v>
      </c>
      <c r="W414" s="53" t="s">
        <v>280</v>
      </c>
      <c r="X414" s="20" t="s">
        <v>227</v>
      </c>
      <c r="Y414" s="20"/>
      <c r="Z414" s="20"/>
      <c r="AA414" s="20" t="s">
        <v>1476</v>
      </c>
      <c r="AB414" s="20" t="s">
        <v>2009</v>
      </c>
      <c r="AC414" s="24">
        <v>1</v>
      </c>
      <c r="AD414" s="24"/>
      <c r="AE414" s="24"/>
      <c r="AF414" s="24"/>
      <c r="AG414" s="24"/>
      <c r="AH414" s="20"/>
      <c r="AI414" s="42"/>
    </row>
    <row r="415" spans="1:35">
      <c r="A415" s="14"/>
      <c r="B415" s="20"/>
      <c r="C415" s="20" t="s">
        <v>2420</v>
      </c>
      <c r="D415" s="20" t="s">
        <v>79</v>
      </c>
      <c r="E415" s="20" t="s">
        <v>80</v>
      </c>
      <c r="F415" s="20" t="s">
        <v>2596</v>
      </c>
      <c r="G415" s="20" t="s">
        <v>1174</v>
      </c>
      <c r="H415" s="20"/>
      <c r="I415" s="116" t="s">
        <v>2597</v>
      </c>
      <c r="J415" s="24">
        <v>1</v>
      </c>
      <c r="K415" s="24"/>
      <c r="L415" s="24">
        <v>1</v>
      </c>
      <c r="M415" s="24"/>
      <c r="N415" s="24"/>
      <c r="O415" s="24"/>
      <c r="P415" s="24"/>
      <c r="Q415" s="24"/>
      <c r="R415" s="24"/>
      <c r="S415" s="24"/>
      <c r="T415" s="24"/>
      <c r="U415" s="20" t="s">
        <v>2608</v>
      </c>
      <c r="V415" s="20" t="s">
        <v>519</v>
      </c>
      <c r="W415" s="53" t="s">
        <v>280</v>
      </c>
      <c r="X415" s="20" t="s">
        <v>227</v>
      </c>
      <c r="Y415" s="20"/>
      <c r="Z415" s="20"/>
      <c r="AA415" s="20" t="s">
        <v>1476</v>
      </c>
      <c r="AB415" s="20" t="s">
        <v>2009</v>
      </c>
      <c r="AC415" s="24">
        <v>1</v>
      </c>
      <c r="AD415" s="24"/>
      <c r="AE415" s="24"/>
      <c r="AF415" s="24"/>
      <c r="AG415" s="24"/>
      <c r="AH415" s="20"/>
      <c r="AI415" s="42"/>
    </row>
    <row r="416" spans="1:35">
      <c r="A416" s="14"/>
      <c r="B416" s="20"/>
      <c r="C416" s="20" t="s">
        <v>2420</v>
      </c>
      <c r="D416" s="20" t="s">
        <v>79</v>
      </c>
      <c r="E416" s="20" t="s">
        <v>80</v>
      </c>
      <c r="F416" s="20" t="s">
        <v>2598</v>
      </c>
      <c r="G416" s="20" t="s">
        <v>123</v>
      </c>
      <c r="H416" s="20"/>
      <c r="I416" s="116" t="s">
        <v>2599</v>
      </c>
      <c r="J416" s="24">
        <v>1</v>
      </c>
      <c r="K416" s="24"/>
      <c r="L416" s="24">
        <v>1</v>
      </c>
      <c r="M416" s="24"/>
      <c r="N416" s="24"/>
      <c r="O416" s="24"/>
      <c r="P416" s="24"/>
      <c r="Q416" s="24"/>
      <c r="R416" s="24"/>
      <c r="S416" s="24"/>
      <c r="T416" s="24"/>
      <c r="U416" s="20" t="s">
        <v>2608</v>
      </c>
      <c r="V416" s="20" t="s">
        <v>519</v>
      </c>
      <c r="W416" s="53" t="s">
        <v>280</v>
      </c>
      <c r="X416" s="20" t="s">
        <v>227</v>
      </c>
      <c r="Y416" s="20"/>
      <c r="Z416" s="20"/>
      <c r="AA416" s="20" t="s">
        <v>1476</v>
      </c>
      <c r="AB416" s="20" t="s">
        <v>2009</v>
      </c>
      <c r="AC416" s="24">
        <v>1</v>
      </c>
      <c r="AD416" s="24"/>
      <c r="AE416" s="24"/>
      <c r="AF416" s="24"/>
      <c r="AG416" s="24"/>
      <c r="AH416" s="20"/>
      <c r="AI416" s="42"/>
    </row>
    <row r="417" spans="1:35">
      <c r="A417" s="14"/>
      <c r="B417" s="20"/>
      <c r="C417" s="20" t="s">
        <v>2420</v>
      </c>
      <c r="D417" s="20" t="s">
        <v>79</v>
      </c>
      <c r="E417" s="20" t="s">
        <v>80</v>
      </c>
      <c r="F417" s="20" t="s">
        <v>2600</v>
      </c>
      <c r="G417" s="20" t="s">
        <v>2601</v>
      </c>
      <c r="H417" s="20"/>
      <c r="I417" s="116">
        <v>31362</v>
      </c>
      <c r="J417" s="24">
        <v>1</v>
      </c>
      <c r="K417" s="24"/>
      <c r="L417" s="24">
        <v>1</v>
      </c>
      <c r="M417" s="24"/>
      <c r="N417" s="24"/>
      <c r="O417" s="24"/>
      <c r="P417" s="24"/>
      <c r="Q417" s="24"/>
      <c r="R417" s="24"/>
      <c r="S417" s="24"/>
      <c r="T417" s="24"/>
      <c r="U417" s="20" t="s">
        <v>2611</v>
      </c>
      <c r="V417" s="20" t="s">
        <v>519</v>
      </c>
      <c r="W417" s="53" t="s">
        <v>280</v>
      </c>
      <c r="X417" s="20" t="s">
        <v>227</v>
      </c>
      <c r="Y417" s="20">
        <v>9951444902</v>
      </c>
      <c r="Z417" s="20"/>
      <c r="AA417" s="20" t="s">
        <v>1476</v>
      </c>
      <c r="AB417" s="20" t="s">
        <v>2009</v>
      </c>
      <c r="AC417" s="24">
        <v>1</v>
      </c>
      <c r="AD417" s="24"/>
      <c r="AE417" s="24"/>
      <c r="AF417" s="24"/>
      <c r="AG417" s="24"/>
      <c r="AH417" s="20"/>
      <c r="AI417" s="42"/>
    </row>
    <row r="418" spans="1:35">
      <c r="A418" s="14"/>
      <c r="B418" s="20"/>
      <c r="C418" s="20" t="s">
        <v>2420</v>
      </c>
      <c r="D418" s="20" t="s">
        <v>79</v>
      </c>
      <c r="E418" s="20" t="s">
        <v>80</v>
      </c>
      <c r="F418" s="20" t="s">
        <v>2602</v>
      </c>
      <c r="G418" s="20" t="s">
        <v>2603</v>
      </c>
      <c r="H418" s="20" t="s">
        <v>126</v>
      </c>
      <c r="I418" s="116">
        <v>24718</v>
      </c>
      <c r="J418" s="24">
        <v>1</v>
      </c>
      <c r="K418" s="24"/>
      <c r="L418" s="24">
        <v>1</v>
      </c>
      <c r="M418" s="24"/>
      <c r="N418" s="24"/>
      <c r="O418" s="24"/>
      <c r="P418" s="24"/>
      <c r="Q418" s="24"/>
      <c r="R418" s="24"/>
      <c r="S418" s="24"/>
      <c r="T418" s="24"/>
      <c r="U418" s="20" t="s">
        <v>2608</v>
      </c>
      <c r="V418" s="20" t="s">
        <v>519</v>
      </c>
      <c r="W418" s="53" t="s">
        <v>280</v>
      </c>
      <c r="X418" s="20" t="s">
        <v>227</v>
      </c>
      <c r="Y418" s="20"/>
      <c r="Z418" s="20"/>
      <c r="AA418" s="20" t="s">
        <v>1476</v>
      </c>
      <c r="AB418" s="20" t="s">
        <v>2009</v>
      </c>
      <c r="AC418" s="24">
        <v>1</v>
      </c>
      <c r="AD418" s="24"/>
      <c r="AE418" s="24"/>
      <c r="AF418" s="24"/>
      <c r="AG418" s="24"/>
      <c r="AH418" s="20"/>
      <c r="AI418" s="42"/>
    </row>
    <row r="419" spans="1:35">
      <c r="A419" s="14"/>
      <c r="B419" s="20"/>
      <c r="C419" s="20" t="s">
        <v>2420</v>
      </c>
      <c r="D419" s="20" t="s">
        <v>79</v>
      </c>
      <c r="E419" s="20" t="s">
        <v>80</v>
      </c>
      <c r="F419" s="20" t="s">
        <v>2604</v>
      </c>
      <c r="G419" s="20" t="s">
        <v>741</v>
      </c>
      <c r="H419" s="20"/>
      <c r="I419" s="116" t="s">
        <v>2605</v>
      </c>
      <c r="J419" s="24">
        <v>1</v>
      </c>
      <c r="K419" s="24"/>
      <c r="L419" s="24">
        <v>1</v>
      </c>
      <c r="M419" s="24"/>
      <c r="N419" s="24"/>
      <c r="O419" s="24"/>
      <c r="P419" s="24"/>
      <c r="Q419" s="24"/>
      <c r="R419" s="24"/>
      <c r="S419" s="24"/>
      <c r="T419" s="24"/>
      <c r="U419" s="20" t="s">
        <v>2608</v>
      </c>
      <c r="V419" s="20" t="s">
        <v>519</v>
      </c>
      <c r="W419" s="53" t="s">
        <v>280</v>
      </c>
      <c r="X419" s="20" t="s">
        <v>227</v>
      </c>
      <c r="Y419" s="20">
        <v>9072370642</v>
      </c>
      <c r="Z419" s="20"/>
      <c r="AA419" s="20" t="s">
        <v>1476</v>
      </c>
      <c r="AB419" s="20" t="s">
        <v>2009</v>
      </c>
      <c r="AC419" s="24">
        <v>1</v>
      </c>
      <c r="AD419" s="24"/>
      <c r="AE419" s="24"/>
      <c r="AF419" s="24"/>
      <c r="AG419" s="24"/>
      <c r="AH419" s="20"/>
      <c r="AI419" s="42"/>
    </row>
    <row r="420" spans="1:35">
      <c r="A420" s="14"/>
      <c r="B420" s="20"/>
      <c r="C420" s="20" t="s">
        <v>2420</v>
      </c>
      <c r="D420" s="20" t="s">
        <v>79</v>
      </c>
      <c r="E420" s="20" t="s">
        <v>80</v>
      </c>
      <c r="F420" s="20" t="s">
        <v>1496</v>
      </c>
      <c r="G420" s="20" t="s">
        <v>2606</v>
      </c>
      <c r="H420" s="20" t="s">
        <v>409</v>
      </c>
      <c r="I420" s="116" t="s">
        <v>2607</v>
      </c>
      <c r="J420" s="24">
        <v>1</v>
      </c>
      <c r="K420" s="24"/>
      <c r="L420" s="24">
        <v>1</v>
      </c>
      <c r="M420" s="24"/>
      <c r="N420" s="24"/>
      <c r="O420" s="24"/>
      <c r="P420" s="24"/>
      <c r="Q420" s="24"/>
      <c r="R420" s="24"/>
      <c r="S420" s="24"/>
      <c r="T420" s="24"/>
      <c r="U420" s="20" t="s">
        <v>2608</v>
      </c>
      <c r="V420" s="20" t="s">
        <v>519</v>
      </c>
      <c r="W420" s="53" t="s">
        <v>280</v>
      </c>
      <c r="X420" s="20" t="s">
        <v>227</v>
      </c>
      <c r="Y420" s="20">
        <v>9103007502</v>
      </c>
      <c r="Z420" s="20"/>
      <c r="AA420" s="20" t="s">
        <v>1476</v>
      </c>
      <c r="AB420" s="20" t="s">
        <v>2009</v>
      </c>
      <c r="AC420" s="24">
        <v>1</v>
      </c>
      <c r="AD420" s="24"/>
      <c r="AE420" s="24"/>
      <c r="AF420" s="24"/>
      <c r="AG420" s="24"/>
      <c r="AH420" s="20"/>
      <c r="AI420" s="42"/>
    </row>
    <row r="421" spans="1:35">
      <c r="A421" s="14"/>
      <c r="B421" s="20"/>
      <c r="C421" s="20" t="s">
        <v>2420</v>
      </c>
      <c r="D421" s="20" t="s">
        <v>79</v>
      </c>
      <c r="E421" s="20" t="s">
        <v>80</v>
      </c>
      <c r="F421" s="20" t="s">
        <v>1809</v>
      </c>
      <c r="G421" s="20" t="s">
        <v>698</v>
      </c>
      <c r="H421" s="20" t="s">
        <v>126</v>
      </c>
      <c r="I421" s="116">
        <v>26451</v>
      </c>
      <c r="J421" s="24">
        <v>1</v>
      </c>
      <c r="K421" s="24"/>
      <c r="L421" s="24">
        <v>1</v>
      </c>
      <c r="M421" s="24"/>
      <c r="N421" s="24"/>
      <c r="O421" s="24"/>
      <c r="P421" s="24"/>
      <c r="Q421" s="24"/>
      <c r="R421" s="24"/>
      <c r="S421" s="24"/>
      <c r="T421" s="24"/>
      <c r="U421" s="84" t="s">
        <v>2670</v>
      </c>
      <c r="V421" s="53" t="s">
        <v>1280</v>
      </c>
      <c r="W421" s="53" t="s">
        <v>280</v>
      </c>
      <c r="X421" s="53" t="s">
        <v>227</v>
      </c>
      <c r="Y421" s="20"/>
      <c r="Z421" s="20"/>
      <c r="AA421" s="53" t="s">
        <v>2671</v>
      </c>
      <c r="AB421" s="53" t="s">
        <v>2371</v>
      </c>
      <c r="AC421" s="24">
        <v>1</v>
      </c>
      <c r="AD421" s="24"/>
      <c r="AE421" s="24"/>
      <c r="AF421" s="24"/>
      <c r="AG421" s="24"/>
      <c r="AH421" s="20"/>
      <c r="AI421" s="42"/>
    </row>
    <row r="422" spans="1:35">
      <c r="A422" s="14"/>
      <c r="B422" s="20"/>
      <c r="C422" s="20" t="s">
        <v>2420</v>
      </c>
      <c r="D422" s="20" t="s">
        <v>79</v>
      </c>
      <c r="E422" s="20" t="s">
        <v>80</v>
      </c>
      <c r="F422" s="20" t="s">
        <v>1154</v>
      </c>
      <c r="G422" s="20" t="s">
        <v>2549</v>
      </c>
      <c r="H422" s="20" t="s">
        <v>133</v>
      </c>
      <c r="I422" s="116">
        <v>26978</v>
      </c>
      <c r="J422" s="24">
        <v>1</v>
      </c>
      <c r="K422" s="24"/>
      <c r="L422" s="24">
        <v>1</v>
      </c>
      <c r="M422" s="24"/>
      <c r="N422" s="24"/>
      <c r="O422" s="24"/>
      <c r="P422" s="24"/>
      <c r="Q422" s="24"/>
      <c r="R422" s="24"/>
      <c r="S422" s="24"/>
      <c r="T422" s="24"/>
      <c r="U422" s="53" t="s">
        <v>2295</v>
      </c>
      <c r="V422" s="53" t="s">
        <v>1280</v>
      </c>
      <c r="W422" s="53" t="s">
        <v>280</v>
      </c>
      <c r="X422" s="53" t="s">
        <v>227</v>
      </c>
      <c r="Y422" s="20"/>
      <c r="Z422" s="20"/>
      <c r="AA422" s="53" t="s">
        <v>2672</v>
      </c>
      <c r="AB422" s="53" t="s">
        <v>2371</v>
      </c>
      <c r="AC422" s="24">
        <v>1</v>
      </c>
      <c r="AD422" s="24"/>
      <c r="AE422" s="24"/>
      <c r="AF422" s="24"/>
      <c r="AG422" s="24"/>
      <c r="AH422" s="20"/>
      <c r="AI422" s="42"/>
    </row>
    <row r="423" spans="1:35">
      <c r="A423" s="14"/>
      <c r="B423" s="20"/>
      <c r="C423" s="20" t="s">
        <v>2420</v>
      </c>
      <c r="D423" s="20" t="s">
        <v>79</v>
      </c>
      <c r="E423" s="20" t="s">
        <v>80</v>
      </c>
      <c r="F423" s="20" t="s">
        <v>110</v>
      </c>
      <c r="G423" s="20" t="s">
        <v>315</v>
      </c>
      <c r="H423" s="20"/>
      <c r="I423" s="116">
        <v>23076</v>
      </c>
      <c r="J423" s="24">
        <v>1</v>
      </c>
      <c r="K423" s="24"/>
      <c r="L423" s="24">
        <v>1</v>
      </c>
      <c r="M423" s="24"/>
      <c r="N423" s="24"/>
      <c r="O423" s="24"/>
      <c r="P423" s="24"/>
      <c r="Q423" s="24"/>
      <c r="R423" s="24"/>
      <c r="S423" s="24"/>
      <c r="T423" s="24"/>
      <c r="U423" s="53" t="s">
        <v>2670</v>
      </c>
      <c r="V423" s="53" t="s">
        <v>1280</v>
      </c>
      <c r="W423" s="53" t="s">
        <v>280</v>
      </c>
      <c r="X423" s="53" t="s">
        <v>227</v>
      </c>
      <c r="Y423" s="20"/>
      <c r="Z423" s="20"/>
      <c r="AA423" s="53" t="s">
        <v>2673</v>
      </c>
      <c r="AB423" s="53" t="s">
        <v>2371</v>
      </c>
      <c r="AC423" s="24">
        <v>1</v>
      </c>
      <c r="AD423" s="24"/>
      <c r="AE423" s="24"/>
      <c r="AF423" s="24"/>
      <c r="AG423" s="24"/>
      <c r="AH423" s="20"/>
      <c r="AI423" s="42"/>
    </row>
    <row r="424" spans="1:35">
      <c r="A424" s="14"/>
      <c r="B424" s="20"/>
      <c r="C424" s="20" t="s">
        <v>2420</v>
      </c>
      <c r="D424" s="20" t="s">
        <v>79</v>
      </c>
      <c r="E424" s="20" t="s">
        <v>80</v>
      </c>
      <c r="F424" s="20" t="s">
        <v>2668</v>
      </c>
      <c r="G424" s="20" t="s">
        <v>2590</v>
      </c>
      <c r="H424" s="20" t="s">
        <v>604</v>
      </c>
      <c r="I424" s="116">
        <v>29149</v>
      </c>
      <c r="J424" s="24">
        <v>1</v>
      </c>
      <c r="K424" s="24"/>
      <c r="L424" s="24">
        <v>1</v>
      </c>
      <c r="M424" s="24"/>
      <c r="N424" s="24"/>
      <c r="O424" s="24"/>
      <c r="P424" s="24"/>
      <c r="Q424" s="24"/>
      <c r="R424" s="24"/>
      <c r="S424" s="24"/>
      <c r="T424" s="24"/>
      <c r="U424" s="53" t="s">
        <v>2670</v>
      </c>
      <c r="V424" s="53" t="s">
        <v>1280</v>
      </c>
      <c r="W424" s="53" t="s">
        <v>280</v>
      </c>
      <c r="X424" s="53" t="s">
        <v>227</v>
      </c>
      <c r="Y424" s="20"/>
      <c r="Z424" s="20"/>
      <c r="AA424" s="53" t="s">
        <v>2674</v>
      </c>
      <c r="AB424" s="53" t="s">
        <v>2371</v>
      </c>
      <c r="AC424" s="24">
        <v>1</v>
      </c>
      <c r="AD424" s="24"/>
      <c r="AE424" s="24"/>
      <c r="AF424" s="24"/>
      <c r="AG424" s="24"/>
      <c r="AH424" s="20"/>
      <c r="AI424" s="42"/>
    </row>
    <row r="425" spans="1:35">
      <c r="A425" s="14"/>
      <c r="B425" s="20"/>
      <c r="C425" s="20" t="s">
        <v>2420</v>
      </c>
      <c r="D425" s="20" t="s">
        <v>79</v>
      </c>
      <c r="E425" s="20" t="s">
        <v>80</v>
      </c>
      <c r="F425" s="53" t="s">
        <v>1724</v>
      </c>
      <c r="G425" s="53" t="s">
        <v>1174</v>
      </c>
      <c r="H425" s="53" t="s">
        <v>1183</v>
      </c>
      <c r="I425" s="116">
        <v>30569</v>
      </c>
      <c r="J425" s="24">
        <v>1</v>
      </c>
      <c r="K425" s="24"/>
      <c r="L425" s="24">
        <v>1</v>
      </c>
      <c r="M425" s="24"/>
      <c r="N425" s="24"/>
      <c r="O425" s="24"/>
      <c r="P425" s="24"/>
      <c r="Q425" s="24"/>
      <c r="R425" s="24"/>
      <c r="S425" s="24"/>
      <c r="T425" s="24"/>
      <c r="U425" s="53" t="s">
        <v>2295</v>
      </c>
      <c r="V425" s="53" t="s">
        <v>1280</v>
      </c>
      <c r="W425" s="53" t="s">
        <v>280</v>
      </c>
      <c r="X425" s="53" t="s">
        <v>227</v>
      </c>
      <c r="Y425" s="20"/>
      <c r="Z425" s="20"/>
      <c r="AA425" s="53" t="s">
        <v>2675</v>
      </c>
      <c r="AB425" s="53" t="s">
        <v>2371</v>
      </c>
      <c r="AC425" s="24">
        <v>1</v>
      </c>
      <c r="AD425" s="24"/>
      <c r="AE425" s="24"/>
      <c r="AF425" s="24"/>
      <c r="AG425" s="24"/>
      <c r="AH425" s="20"/>
      <c r="AI425" s="42"/>
    </row>
    <row r="426" spans="1:35">
      <c r="A426" s="14"/>
      <c r="B426" s="20"/>
      <c r="C426" s="20" t="s">
        <v>2420</v>
      </c>
      <c r="D426" s="20" t="s">
        <v>79</v>
      </c>
      <c r="E426" s="20" t="s">
        <v>80</v>
      </c>
      <c r="F426" s="84" t="s">
        <v>2679</v>
      </c>
      <c r="G426" s="53" t="s">
        <v>2669</v>
      </c>
      <c r="H426" s="53" t="s">
        <v>144</v>
      </c>
      <c r="I426" s="213">
        <v>25920</v>
      </c>
      <c r="J426" s="24">
        <v>1</v>
      </c>
      <c r="K426" s="24"/>
      <c r="L426" s="24">
        <v>1</v>
      </c>
      <c r="M426" s="24"/>
      <c r="N426" s="24"/>
      <c r="O426" s="24"/>
      <c r="P426" s="24"/>
      <c r="Q426" s="24"/>
      <c r="R426" s="24"/>
      <c r="S426" s="24"/>
      <c r="T426" s="24"/>
      <c r="U426" s="53" t="s">
        <v>2295</v>
      </c>
      <c r="V426" s="53" t="s">
        <v>1280</v>
      </c>
      <c r="W426" s="53" t="s">
        <v>280</v>
      </c>
      <c r="X426" s="53" t="s">
        <v>227</v>
      </c>
      <c r="Y426" s="20"/>
      <c r="Z426" s="20"/>
      <c r="AA426" s="53" t="s">
        <v>2676</v>
      </c>
      <c r="AB426" s="53" t="s">
        <v>2371</v>
      </c>
      <c r="AC426" s="24">
        <v>1</v>
      </c>
      <c r="AD426" s="24"/>
      <c r="AE426" s="24"/>
      <c r="AF426" s="24"/>
      <c r="AG426" s="24"/>
      <c r="AH426" s="20"/>
      <c r="AI426" s="42"/>
    </row>
    <row r="427" spans="1:35">
      <c r="A427" s="14"/>
      <c r="B427" s="20"/>
      <c r="C427" s="20" t="s">
        <v>2420</v>
      </c>
      <c r="D427" s="20" t="s">
        <v>79</v>
      </c>
      <c r="E427" s="20" t="s">
        <v>80</v>
      </c>
      <c r="F427" s="53" t="s">
        <v>1227</v>
      </c>
      <c r="G427" s="53" t="s">
        <v>2324</v>
      </c>
      <c r="H427" s="214" t="s">
        <v>136</v>
      </c>
      <c r="I427" s="32">
        <v>24698</v>
      </c>
      <c r="J427" s="24">
        <v>1</v>
      </c>
      <c r="K427" s="24"/>
      <c r="L427" s="24">
        <v>1</v>
      </c>
      <c r="M427" s="24"/>
      <c r="N427" s="24"/>
      <c r="O427" s="24"/>
      <c r="P427" s="24"/>
      <c r="Q427" s="24"/>
      <c r="R427" s="24"/>
      <c r="S427" s="24"/>
      <c r="T427" s="24"/>
      <c r="U427" s="53" t="s">
        <v>2670</v>
      </c>
      <c r="V427" s="53" t="s">
        <v>1280</v>
      </c>
      <c r="W427" s="53" t="s">
        <v>280</v>
      </c>
      <c r="X427" s="53" t="s">
        <v>227</v>
      </c>
      <c r="Y427" s="20"/>
      <c r="Z427" s="20"/>
      <c r="AA427" s="53" t="s">
        <v>2677</v>
      </c>
      <c r="AB427" s="53" t="s">
        <v>2371</v>
      </c>
      <c r="AC427" s="24">
        <v>1</v>
      </c>
      <c r="AD427" s="24"/>
      <c r="AE427" s="24"/>
      <c r="AF427" s="24"/>
      <c r="AG427" s="24"/>
      <c r="AH427" s="20"/>
      <c r="AI427" s="42"/>
    </row>
    <row r="428" spans="1:35">
      <c r="A428" s="14"/>
      <c r="B428" s="20"/>
      <c r="C428" s="20" t="s">
        <v>2420</v>
      </c>
      <c r="D428" s="20" t="s">
        <v>79</v>
      </c>
      <c r="E428" s="20" t="s">
        <v>80</v>
      </c>
      <c r="F428" s="53" t="s">
        <v>2678</v>
      </c>
      <c r="G428" s="53" t="s">
        <v>1004</v>
      </c>
      <c r="H428" s="53" t="s">
        <v>286</v>
      </c>
      <c r="I428" s="211">
        <v>30207</v>
      </c>
      <c r="J428" s="24">
        <v>1</v>
      </c>
      <c r="K428" s="24"/>
      <c r="L428" s="24">
        <v>1</v>
      </c>
      <c r="M428" s="24"/>
      <c r="N428" s="24"/>
      <c r="O428" s="24"/>
      <c r="P428" s="24"/>
      <c r="Q428" s="24"/>
      <c r="R428" s="24"/>
      <c r="S428" s="24"/>
      <c r="T428" s="24"/>
      <c r="U428" s="53" t="s">
        <v>2680</v>
      </c>
      <c r="V428" s="53" t="s">
        <v>1280</v>
      </c>
      <c r="W428" s="53" t="s">
        <v>280</v>
      </c>
      <c r="X428" s="53" t="s">
        <v>227</v>
      </c>
      <c r="Y428" s="20"/>
      <c r="Z428" s="20"/>
      <c r="AA428" s="20" t="s">
        <v>1476</v>
      </c>
      <c r="AB428" s="20" t="s">
        <v>2009</v>
      </c>
      <c r="AC428" s="24">
        <v>1</v>
      </c>
      <c r="AD428" s="24"/>
      <c r="AE428" s="24"/>
      <c r="AF428" s="24"/>
      <c r="AG428" s="24"/>
      <c r="AH428" s="20"/>
      <c r="AI428" s="42"/>
    </row>
    <row r="429" spans="1:35">
      <c r="A429" s="14"/>
      <c r="B429" s="20"/>
      <c r="C429" s="20" t="s">
        <v>2420</v>
      </c>
      <c r="D429" s="20" t="s">
        <v>79</v>
      </c>
      <c r="E429" s="20" t="s">
        <v>80</v>
      </c>
      <c r="F429" s="53" t="s">
        <v>1812</v>
      </c>
      <c r="G429" s="53" t="s">
        <v>1720</v>
      </c>
      <c r="H429" s="53" t="s">
        <v>409</v>
      </c>
      <c r="I429" s="211">
        <v>24118</v>
      </c>
      <c r="J429" s="24">
        <v>1</v>
      </c>
      <c r="K429" s="24"/>
      <c r="L429" s="24">
        <v>1</v>
      </c>
      <c r="M429" s="24"/>
      <c r="N429" s="24"/>
      <c r="O429" s="24"/>
      <c r="P429" s="24"/>
      <c r="Q429" s="24"/>
      <c r="R429" s="24"/>
      <c r="S429" s="24"/>
      <c r="T429" s="24"/>
      <c r="U429" s="53" t="s">
        <v>2680</v>
      </c>
      <c r="V429" s="53" t="s">
        <v>1280</v>
      </c>
      <c r="W429" s="53" t="s">
        <v>280</v>
      </c>
      <c r="X429" s="53" t="s">
        <v>227</v>
      </c>
      <c r="Y429" s="20"/>
      <c r="Z429" s="20"/>
      <c r="AA429" s="20" t="s">
        <v>1476</v>
      </c>
      <c r="AB429" s="20" t="s">
        <v>2009</v>
      </c>
      <c r="AC429" s="24">
        <v>1</v>
      </c>
      <c r="AD429" s="24"/>
      <c r="AE429" s="24"/>
      <c r="AF429" s="24"/>
      <c r="AG429" s="24"/>
      <c r="AH429" s="20"/>
      <c r="AI429" s="42"/>
    </row>
    <row r="430" spans="1:35">
      <c r="A430" s="14"/>
      <c r="B430" s="20"/>
      <c r="C430" s="20" t="s">
        <v>2420</v>
      </c>
      <c r="D430" s="20" t="s">
        <v>79</v>
      </c>
      <c r="E430" s="20" t="s">
        <v>80</v>
      </c>
      <c r="F430" s="53" t="s">
        <v>110</v>
      </c>
      <c r="G430" s="53" t="s">
        <v>315</v>
      </c>
      <c r="H430" s="20"/>
      <c r="I430" s="116">
        <v>23076</v>
      </c>
      <c r="J430" s="24">
        <v>1</v>
      </c>
      <c r="K430" s="24"/>
      <c r="L430" s="24">
        <v>1</v>
      </c>
      <c r="M430" s="24"/>
      <c r="N430" s="24"/>
      <c r="O430" s="24"/>
      <c r="P430" s="24"/>
      <c r="Q430" s="24"/>
      <c r="R430" s="24"/>
      <c r="S430" s="24"/>
      <c r="T430" s="24"/>
      <c r="U430" s="53" t="s">
        <v>2670</v>
      </c>
      <c r="V430" s="53" t="s">
        <v>1280</v>
      </c>
      <c r="W430" s="53" t="s">
        <v>280</v>
      </c>
      <c r="X430" s="53" t="s">
        <v>227</v>
      </c>
      <c r="Y430" s="20"/>
      <c r="Z430" s="20"/>
      <c r="AA430" s="20" t="s">
        <v>1476</v>
      </c>
      <c r="AB430" s="20" t="s">
        <v>2009</v>
      </c>
      <c r="AC430" s="24">
        <v>1</v>
      </c>
      <c r="AD430" s="24"/>
      <c r="AE430" s="24"/>
      <c r="AF430" s="24"/>
      <c r="AG430" s="24"/>
      <c r="AH430" s="20"/>
      <c r="AI430" s="42"/>
    </row>
    <row r="431" spans="1:35">
      <c r="A431" s="14"/>
      <c r="B431" s="20"/>
      <c r="C431" s="20" t="s">
        <v>2420</v>
      </c>
      <c r="D431" s="20" t="s">
        <v>79</v>
      </c>
      <c r="E431" s="20" t="s">
        <v>80</v>
      </c>
      <c r="F431" s="53" t="s">
        <v>1227</v>
      </c>
      <c r="G431" s="53" t="s">
        <v>2324</v>
      </c>
      <c r="H431" s="214" t="s">
        <v>136</v>
      </c>
      <c r="I431" s="32">
        <v>24698</v>
      </c>
      <c r="J431" s="24">
        <v>1</v>
      </c>
      <c r="K431" s="24"/>
      <c r="L431" s="24">
        <v>1</v>
      </c>
      <c r="M431" s="24"/>
      <c r="N431" s="24"/>
      <c r="O431" s="24"/>
      <c r="P431" s="24"/>
      <c r="Q431" s="24"/>
      <c r="R431" s="24"/>
      <c r="S431" s="24"/>
      <c r="T431" s="24"/>
      <c r="U431" s="53" t="s">
        <v>2670</v>
      </c>
      <c r="V431" s="53" t="s">
        <v>1280</v>
      </c>
      <c r="W431" s="53" t="s">
        <v>280</v>
      </c>
      <c r="X431" s="53" t="s">
        <v>227</v>
      </c>
      <c r="Y431" s="20"/>
      <c r="Z431" s="20"/>
      <c r="AA431" s="20" t="s">
        <v>1476</v>
      </c>
      <c r="AB431" s="20" t="s">
        <v>2009</v>
      </c>
      <c r="AC431" s="24">
        <v>1</v>
      </c>
      <c r="AD431" s="24"/>
      <c r="AE431" s="24"/>
      <c r="AF431" s="24"/>
      <c r="AG431" s="24"/>
      <c r="AH431" s="20"/>
      <c r="AI431" s="42"/>
    </row>
    <row r="432" spans="1:35">
      <c r="A432" s="14"/>
      <c r="B432" s="20"/>
      <c r="C432" s="20" t="s">
        <v>2420</v>
      </c>
      <c r="D432" s="20" t="s">
        <v>79</v>
      </c>
      <c r="E432" s="20" t="s">
        <v>80</v>
      </c>
      <c r="F432" s="20" t="s">
        <v>1809</v>
      </c>
      <c r="G432" s="20" t="s">
        <v>698</v>
      </c>
      <c r="H432" s="20" t="s">
        <v>126</v>
      </c>
      <c r="I432" s="116">
        <v>26451</v>
      </c>
      <c r="J432" s="24">
        <v>1</v>
      </c>
      <c r="K432" s="24"/>
      <c r="L432" s="24">
        <v>1</v>
      </c>
      <c r="M432" s="24"/>
      <c r="N432" s="24"/>
      <c r="O432" s="24"/>
      <c r="P432" s="24"/>
      <c r="Q432" s="24"/>
      <c r="R432" s="24"/>
      <c r="S432" s="24"/>
      <c r="T432" s="24"/>
      <c r="U432" s="53" t="s">
        <v>2670</v>
      </c>
      <c r="V432" s="53" t="s">
        <v>1280</v>
      </c>
      <c r="W432" s="53" t="s">
        <v>280</v>
      </c>
      <c r="X432" s="53" t="s">
        <v>227</v>
      </c>
      <c r="Y432" s="20"/>
      <c r="Z432" s="20"/>
      <c r="AA432" s="20" t="s">
        <v>1476</v>
      </c>
      <c r="AB432" s="20" t="s">
        <v>2009</v>
      </c>
      <c r="AC432" s="24">
        <v>1</v>
      </c>
      <c r="AD432" s="24"/>
      <c r="AE432" s="24"/>
      <c r="AF432" s="24"/>
      <c r="AG432" s="24"/>
      <c r="AH432" s="20"/>
      <c r="AI432" s="42"/>
    </row>
    <row r="433" spans="1:35">
      <c r="A433" s="14"/>
      <c r="B433" s="20"/>
      <c r="C433" s="20" t="s">
        <v>2420</v>
      </c>
      <c r="D433" s="20" t="s">
        <v>79</v>
      </c>
      <c r="E433" s="20" t="s">
        <v>80</v>
      </c>
      <c r="F433" s="20" t="s">
        <v>2668</v>
      </c>
      <c r="G433" s="20" t="s">
        <v>2590</v>
      </c>
      <c r="H433" s="20" t="s">
        <v>604</v>
      </c>
      <c r="I433" s="116">
        <v>29149</v>
      </c>
      <c r="J433" s="24">
        <v>1</v>
      </c>
      <c r="K433" s="24"/>
      <c r="L433" s="24">
        <v>1</v>
      </c>
      <c r="M433" s="24"/>
      <c r="N433" s="24"/>
      <c r="O433" s="24"/>
      <c r="P433" s="24"/>
      <c r="Q433" s="24"/>
      <c r="R433" s="24"/>
      <c r="S433" s="24"/>
      <c r="T433" s="24"/>
      <c r="U433" s="53" t="s">
        <v>2670</v>
      </c>
      <c r="V433" s="53" t="s">
        <v>1280</v>
      </c>
      <c r="W433" s="53" t="s">
        <v>280</v>
      </c>
      <c r="X433" s="53" t="s">
        <v>227</v>
      </c>
      <c r="Y433" s="20"/>
      <c r="Z433" s="20"/>
      <c r="AA433" s="20" t="s">
        <v>1476</v>
      </c>
      <c r="AB433" s="20" t="s">
        <v>2009</v>
      </c>
      <c r="AC433" s="24">
        <v>1</v>
      </c>
      <c r="AD433" s="24"/>
      <c r="AE433" s="24"/>
      <c r="AF433" s="24"/>
      <c r="AG433" s="24"/>
      <c r="AH433" s="20"/>
      <c r="AI433" s="42"/>
    </row>
    <row r="434" spans="1:35">
      <c r="A434" s="14"/>
      <c r="B434" s="20"/>
      <c r="C434" s="20" t="s">
        <v>2420</v>
      </c>
      <c r="D434" s="20" t="s">
        <v>79</v>
      </c>
      <c r="E434" s="20" t="s">
        <v>80</v>
      </c>
      <c r="F434" s="20" t="s">
        <v>1154</v>
      </c>
      <c r="G434" s="20" t="s">
        <v>2549</v>
      </c>
      <c r="H434" s="20" t="s">
        <v>133</v>
      </c>
      <c r="I434" s="116">
        <v>26978</v>
      </c>
      <c r="J434" s="24">
        <v>1</v>
      </c>
      <c r="K434" s="24"/>
      <c r="L434" s="24">
        <v>1</v>
      </c>
      <c r="M434" s="24"/>
      <c r="N434" s="24"/>
      <c r="O434" s="24"/>
      <c r="P434" s="24"/>
      <c r="Q434" s="24"/>
      <c r="R434" s="24"/>
      <c r="S434" s="24"/>
      <c r="T434" s="24"/>
      <c r="U434" s="53" t="s">
        <v>2295</v>
      </c>
      <c r="V434" s="53" t="s">
        <v>1280</v>
      </c>
      <c r="W434" s="53" t="s">
        <v>280</v>
      </c>
      <c r="X434" s="53" t="s">
        <v>227</v>
      </c>
      <c r="Y434" s="20"/>
      <c r="Z434" s="20"/>
      <c r="AA434" s="20" t="s">
        <v>1476</v>
      </c>
      <c r="AB434" s="20" t="s">
        <v>2009</v>
      </c>
      <c r="AC434" s="24">
        <v>1</v>
      </c>
      <c r="AD434" s="24"/>
      <c r="AE434" s="24"/>
      <c r="AF434" s="24"/>
      <c r="AG434" s="24"/>
      <c r="AH434" s="20"/>
      <c r="AI434" s="42"/>
    </row>
    <row r="435" spans="1:35">
      <c r="A435" s="14"/>
      <c r="B435" s="20"/>
      <c r="C435" s="20" t="s">
        <v>2420</v>
      </c>
      <c r="D435" s="20" t="s">
        <v>79</v>
      </c>
      <c r="E435" s="20" t="s">
        <v>80</v>
      </c>
      <c r="F435" s="53" t="s">
        <v>1724</v>
      </c>
      <c r="G435" s="53" t="s">
        <v>1174</v>
      </c>
      <c r="H435" s="53" t="s">
        <v>1183</v>
      </c>
      <c r="I435" s="116">
        <v>30569</v>
      </c>
      <c r="J435" s="24">
        <v>1</v>
      </c>
      <c r="K435" s="24"/>
      <c r="L435" s="24">
        <v>1</v>
      </c>
      <c r="M435" s="24"/>
      <c r="N435" s="24"/>
      <c r="O435" s="24"/>
      <c r="P435" s="24"/>
      <c r="Q435" s="24"/>
      <c r="R435" s="24"/>
      <c r="S435" s="24"/>
      <c r="T435" s="24"/>
      <c r="U435" s="53" t="s">
        <v>2295</v>
      </c>
      <c r="V435" s="53" t="s">
        <v>1280</v>
      </c>
      <c r="W435" s="53" t="s">
        <v>280</v>
      </c>
      <c r="X435" s="53" t="s">
        <v>227</v>
      </c>
      <c r="Y435" s="20"/>
      <c r="Z435" s="20"/>
      <c r="AA435" s="20" t="s">
        <v>1476</v>
      </c>
      <c r="AB435" s="20" t="s">
        <v>2009</v>
      </c>
      <c r="AC435" s="24">
        <v>1</v>
      </c>
      <c r="AD435" s="24"/>
      <c r="AE435" s="24"/>
      <c r="AF435" s="24"/>
      <c r="AG435" s="24"/>
      <c r="AH435" s="20"/>
      <c r="AI435" s="42"/>
    </row>
    <row r="436" spans="1:35">
      <c r="A436" s="14"/>
      <c r="B436" s="20"/>
      <c r="C436" s="20" t="s">
        <v>2420</v>
      </c>
      <c r="D436" s="20" t="s">
        <v>79</v>
      </c>
      <c r="E436" s="20" t="s">
        <v>80</v>
      </c>
      <c r="F436" s="84" t="s">
        <v>2679</v>
      </c>
      <c r="G436" s="53" t="s">
        <v>2669</v>
      </c>
      <c r="H436" s="53" t="s">
        <v>144</v>
      </c>
      <c r="I436" s="213">
        <v>25920</v>
      </c>
      <c r="J436" s="24">
        <v>1</v>
      </c>
      <c r="K436" s="24"/>
      <c r="L436" s="24">
        <v>1</v>
      </c>
      <c r="M436" s="24"/>
      <c r="N436" s="24"/>
      <c r="O436" s="24"/>
      <c r="P436" s="24"/>
      <c r="Q436" s="24"/>
      <c r="R436" s="24"/>
      <c r="S436" s="24"/>
      <c r="T436" s="24"/>
      <c r="U436" s="53" t="s">
        <v>2295</v>
      </c>
      <c r="V436" s="53" t="s">
        <v>1280</v>
      </c>
      <c r="W436" s="53" t="s">
        <v>280</v>
      </c>
      <c r="X436" s="53" t="s">
        <v>227</v>
      </c>
      <c r="Y436" s="20"/>
      <c r="Z436" s="20"/>
      <c r="AA436" s="20" t="s">
        <v>1476</v>
      </c>
      <c r="AB436" s="20" t="s">
        <v>2009</v>
      </c>
      <c r="AC436" s="24">
        <v>1</v>
      </c>
      <c r="AD436" s="24"/>
      <c r="AE436" s="24"/>
      <c r="AF436" s="24"/>
      <c r="AG436" s="24"/>
      <c r="AH436" s="20"/>
      <c r="AI436" s="42"/>
    </row>
    <row r="437" spans="1:35">
      <c r="A437" s="14"/>
      <c r="B437" s="20"/>
      <c r="C437" s="20" t="s">
        <v>2420</v>
      </c>
      <c r="D437" s="20" t="s">
        <v>79</v>
      </c>
      <c r="E437" s="20" t="s">
        <v>80</v>
      </c>
      <c r="F437" s="84" t="s">
        <v>2734</v>
      </c>
      <c r="G437" s="53" t="s">
        <v>2735</v>
      </c>
      <c r="H437" s="53" t="s">
        <v>136</v>
      </c>
      <c r="I437" s="211">
        <v>22652</v>
      </c>
      <c r="J437" s="24"/>
      <c r="K437" s="24">
        <v>1</v>
      </c>
      <c r="L437" s="24">
        <v>1</v>
      </c>
      <c r="M437" s="24"/>
      <c r="N437" s="24"/>
      <c r="O437" s="24"/>
      <c r="P437" s="24"/>
      <c r="Q437" s="24"/>
      <c r="R437" s="24"/>
      <c r="S437" s="24"/>
      <c r="T437" s="24"/>
      <c r="U437" s="53" t="s">
        <v>2736</v>
      </c>
      <c r="V437" s="53" t="s">
        <v>873</v>
      </c>
      <c r="W437" s="53" t="s">
        <v>279</v>
      </c>
      <c r="X437" s="53" t="s">
        <v>227</v>
      </c>
      <c r="Y437" s="20"/>
      <c r="Z437" s="20"/>
      <c r="AA437" s="20" t="s">
        <v>1476</v>
      </c>
      <c r="AB437" s="20" t="s">
        <v>2009</v>
      </c>
      <c r="AC437" s="24">
        <v>1</v>
      </c>
      <c r="AD437" s="24"/>
      <c r="AE437" s="24"/>
      <c r="AF437" s="24"/>
      <c r="AG437" s="24"/>
      <c r="AH437" s="20"/>
      <c r="AI437" s="42"/>
    </row>
    <row r="438" spans="1:35">
      <c r="A438" s="14"/>
      <c r="B438" s="20"/>
      <c r="C438" s="20" t="s">
        <v>2420</v>
      </c>
      <c r="D438" s="20" t="s">
        <v>79</v>
      </c>
      <c r="E438" s="20" t="s">
        <v>80</v>
      </c>
      <c r="F438" s="84" t="s">
        <v>782</v>
      </c>
      <c r="G438" s="53" t="s">
        <v>996</v>
      </c>
      <c r="H438" s="53" t="s">
        <v>136</v>
      </c>
      <c r="I438" s="211">
        <v>23003</v>
      </c>
      <c r="J438" s="24">
        <v>1</v>
      </c>
      <c r="K438" s="24"/>
      <c r="L438" s="24">
        <v>1</v>
      </c>
      <c r="M438" s="24"/>
      <c r="N438" s="24"/>
      <c r="O438" s="24"/>
      <c r="P438" s="24"/>
      <c r="Q438" s="24"/>
      <c r="R438" s="24"/>
      <c r="S438" s="24"/>
      <c r="T438" s="24"/>
      <c r="U438" s="53" t="s">
        <v>2736</v>
      </c>
      <c r="V438" s="53" t="s">
        <v>873</v>
      </c>
      <c r="W438" s="53" t="s">
        <v>279</v>
      </c>
      <c r="X438" s="53" t="s">
        <v>227</v>
      </c>
      <c r="Y438" s="20"/>
      <c r="Z438" s="20"/>
      <c r="AA438" s="20" t="s">
        <v>1476</v>
      </c>
      <c r="AB438" s="20" t="s">
        <v>2009</v>
      </c>
      <c r="AC438" s="24">
        <v>1</v>
      </c>
      <c r="AD438" s="24"/>
      <c r="AE438" s="24"/>
      <c r="AF438" s="24"/>
      <c r="AG438" s="24"/>
      <c r="AH438" s="20"/>
      <c r="AI438" s="42"/>
    </row>
    <row r="439" spans="1:35">
      <c r="A439" s="14"/>
      <c r="B439" s="20"/>
      <c r="C439" s="20" t="s">
        <v>2420</v>
      </c>
      <c r="D439" s="20" t="s">
        <v>79</v>
      </c>
      <c r="E439" s="20" t="s">
        <v>80</v>
      </c>
      <c r="F439" s="53" t="s">
        <v>626</v>
      </c>
      <c r="G439" s="53" t="s">
        <v>2737</v>
      </c>
      <c r="H439" s="53" t="s">
        <v>115</v>
      </c>
      <c r="I439" s="211">
        <v>32793</v>
      </c>
      <c r="J439" s="24">
        <v>1</v>
      </c>
      <c r="K439" s="24"/>
      <c r="L439" s="24">
        <v>1</v>
      </c>
      <c r="M439" s="24"/>
      <c r="N439" s="24"/>
      <c r="O439" s="24"/>
      <c r="P439" s="24"/>
      <c r="Q439" s="24"/>
      <c r="R439" s="24"/>
      <c r="S439" s="24"/>
      <c r="T439" s="24"/>
      <c r="U439" s="53" t="s">
        <v>2736</v>
      </c>
      <c r="V439" s="53" t="s">
        <v>873</v>
      </c>
      <c r="W439" s="53" t="s">
        <v>279</v>
      </c>
      <c r="X439" s="53" t="s">
        <v>227</v>
      </c>
      <c r="Y439" s="20"/>
      <c r="Z439" s="20"/>
      <c r="AA439" s="20" t="s">
        <v>1476</v>
      </c>
      <c r="AB439" s="20" t="s">
        <v>2009</v>
      </c>
      <c r="AC439" s="24">
        <v>1</v>
      </c>
      <c r="AD439" s="24"/>
      <c r="AE439" s="24"/>
      <c r="AF439" s="24"/>
      <c r="AG439" s="24"/>
      <c r="AH439" s="20"/>
      <c r="AI439" s="42"/>
    </row>
    <row r="440" spans="1:35">
      <c r="A440" s="14"/>
      <c r="B440" s="20"/>
      <c r="C440" s="20" t="s">
        <v>2420</v>
      </c>
      <c r="D440" s="20" t="s">
        <v>79</v>
      </c>
      <c r="E440" s="20" t="s">
        <v>80</v>
      </c>
      <c r="F440" s="84" t="s">
        <v>782</v>
      </c>
      <c r="G440" s="53" t="s">
        <v>192</v>
      </c>
      <c r="H440" s="53" t="s">
        <v>136</v>
      </c>
      <c r="I440" s="211">
        <v>31780</v>
      </c>
      <c r="J440" s="24">
        <v>1</v>
      </c>
      <c r="K440" s="24"/>
      <c r="L440" s="24">
        <v>1</v>
      </c>
      <c r="M440" s="24"/>
      <c r="N440" s="24"/>
      <c r="O440" s="24"/>
      <c r="P440" s="24"/>
      <c r="Q440" s="24"/>
      <c r="R440" s="24"/>
      <c r="S440" s="24"/>
      <c r="T440" s="24"/>
      <c r="U440" s="53" t="s">
        <v>2736</v>
      </c>
      <c r="V440" s="53" t="s">
        <v>873</v>
      </c>
      <c r="W440" s="53" t="s">
        <v>279</v>
      </c>
      <c r="X440" s="53" t="s">
        <v>227</v>
      </c>
      <c r="Y440" s="20"/>
      <c r="Z440" s="20"/>
      <c r="AA440" s="20" t="s">
        <v>1476</v>
      </c>
      <c r="AB440" s="20" t="s">
        <v>2009</v>
      </c>
      <c r="AC440" s="24">
        <v>1</v>
      </c>
      <c r="AD440" s="24"/>
      <c r="AE440" s="24"/>
      <c r="AF440" s="24"/>
      <c r="AG440" s="24"/>
      <c r="AH440" s="20"/>
      <c r="AI440" s="42"/>
    </row>
    <row r="441" spans="1:35">
      <c r="A441" s="14"/>
      <c r="B441" s="20"/>
      <c r="C441" s="20" t="s">
        <v>2420</v>
      </c>
      <c r="D441" s="20" t="s">
        <v>79</v>
      </c>
      <c r="E441" s="20" t="s">
        <v>80</v>
      </c>
      <c r="F441" s="53" t="s">
        <v>2738</v>
      </c>
      <c r="G441" s="53" t="s">
        <v>695</v>
      </c>
      <c r="H441" s="53" t="s">
        <v>126</v>
      </c>
      <c r="I441" s="211">
        <v>29299</v>
      </c>
      <c r="J441" s="24"/>
      <c r="K441" s="75">
        <v>1</v>
      </c>
      <c r="L441" s="24">
        <v>1</v>
      </c>
      <c r="M441" s="24"/>
      <c r="N441" s="24"/>
      <c r="O441" s="24"/>
      <c r="P441" s="24"/>
      <c r="Q441" s="24"/>
      <c r="R441" s="24"/>
      <c r="S441" s="24"/>
      <c r="T441" s="24"/>
      <c r="U441" s="53" t="s">
        <v>2736</v>
      </c>
      <c r="V441" s="53" t="s">
        <v>873</v>
      </c>
      <c r="W441" s="53" t="s">
        <v>279</v>
      </c>
      <c r="X441" s="53" t="s">
        <v>227</v>
      </c>
      <c r="Y441" s="20"/>
      <c r="Z441" s="20"/>
      <c r="AA441" s="20" t="s">
        <v>1476</v>
      </c>
      <c r="AB441" s="20" t="s">
        <v>2009</v>
      </c>
      <c r="AC441" s="24">
        <v>1</v>
      </c>
      <c r="AD441" s="24"/>
      <c r="AE441" s="24"/>
      <c r="AF441" s="24"/>
      <c r="AG441" s="24"/>
      <c r="AH441" s="20"/>
      <c r="AI441" s="42"/>
    </row>
    <row r="442" spans="1:35">
      <c r="A442" s="14"/>
      <c r="B442" s="20"/>
      <c r="C442" s="20" t="s">
        <v>2420</v>
      </c>
      <c r="D442" s="20" t="s">
        <v>79</v>
      </c>
      <c r="E442" s="20" t="s">
        <v>80</v>
      </c>
      <c r="F442" s="53" t="s">
        <v>289</v>
      </c>
      <c r="G442" s="53" t="s">
        <v>159</v>
      </c>
      <c r="H442" s="53" t="s">
        <v>144</v>
      </c>
      <c r="I442" s="211">
        <v>30575</v>
      </c>
      <c r="J442" s="24">
        <v>1</v>
      </c>
      <c r="K442" s="24"/>
      <c r="L442" s="24">
        <v>1</v>
      </c>
      <c r="M442" s="24"/>
      <c r="N442" s="24"/>
      <c r="O442" s="24"/>
      <c r="P442" s="24"/>
      <c r="Q442" s="24"/>
      <c r="R442" s="24"/>
      <c r="S442" s="24"/>
      <c r="T442" s="24"/>
      <c r="U442" s="53" t="s">
        <v>2736</v>
      </c>
      <c r="V442" s="53" t="s">
        <v>873</v>
      </c>
      <c r="W442" s="53" t="s">
        <v>279</v>
      </c>
      <c r="X442" s="53" t="s">
        <v>227</v>
      </c>
      <c r="Y442" s="20"/>
      <c r="Z442" s="20"/>
      <c r="AA442" s="20" t="s">
        <v>1476</v>
      </c>
      <c r="AB442" s="20" t="s">
        <v>2009</v>
      </c>
      <c r="AC442" s="24">
        <v>1</v>
      </c>
      <c r="AD442" s="24"/>
      <c r="AE442" s="24"/>
      <c r="AF442" s="24"/>
      <c r="AG442" s="24"/>
      <c r="AH442" s="20"/>
      <c r="AI442" s="42"/>
    </row>
    <row r="443" spans="1:35">
      <c r="A443" s="14"/>
      <c r="B443" s="20"/>
      <c r="C443" s="20" t="s">
        <v>2420</v>
      </c>
      <c r="D443" s="20" t="s">
        <v>79</v>
      </c>
      <c r="E443" s="20" t="s">
        <v>80</v>
      </c>
      <c r="F443" s="53" t="s">
        <v>289</v>
      </c>
      <c r="G443" s="53" t="s">
        <v>2029</v>
      </c>
      <c r="H443" s="53" t="s">
        <v>144</v>
      </c>
      <c r="I443" s="211">
        <v>34225</v>
      </c>
      <c r="J443" s="24">
        <v>1</v>
      </c>
      <c r="K443" s="24"/>
      <c r="L443" s="24">
        <v>1</v>
      </c>
      <c r="M443" s="24"/>
      <c r="N443" s="24"/>
      <c r="O443" s="24"/>
      <c r="P443" s="24"/>
      <c r="Q443" s="24"/>
      <c r="R443" s="24"/>
      <c r="S443" s="24"/>
      <c r="T443" s="24"/>
      <c r="U443" s="53" t="s">
        <v>2736</v>
      </c>
      <c r="V443" s="53" t="s">
        <v>873</v>
      </c>
      <c r="W443" s="53" t="s">
        <v>279</v>
      </c>
      <c r="X443" s="53" t="s">
        <v>227</v>
      </c>
      <c r="Y443" s="20"/>
      <c r="Z443" s="20"/>
      <c r="AA443" s="20" t="s">
        <v>1476</v>
      </c>
      <c r="AB443" s="20" t="s">
        <v>2009</v>
      </c>
      <c r="AC443" s="24">
        <v>1</v>
      </c>
      <c r="AD443" s="24"/>
      <c r="AE443" s="24"/>
      <c r="AF443" s="24"/>
      <c r="AG443" s="24"/>
      <c r="AH443" s="20"/>
      <c r="AI443" s="42"/>
    </row>
    <row r="444" spans="1:35">
      <c r="A444" s="14"/>
      <c r="B444" s="20"/>
      <c r="C444" s="20" t="s">
        <v>2420</v>
      </c>
      <c r="D444" s="20" t="s">
        <v>79</v>
      </c>
      <c r="E444" s="20" t="s">
        <v>80</v>
      </c>
      <c r="F444" s="53" t="s">
        <v>1193</v>
      </c>
      <c r="G444" s="53" t="s">
        <v>1160</v>
      </c>
      <c r="H444" s="53" t="s">
        <v>115</v>
      </c>
      <c r="I444" s="211">
        <v>29744</v>
      </c>
      <c r="J444" s="24">
        <v>1</v>
      </c>
      <c r="K444" s="24"/>
      <c r="L444" s="24">
        <v>1</v>
      </c>
      <c r="M444" s="24"/>
      <c r="N444" s="24"/>
      <c r="O444" s="24"/>
      <c r="P444" s="24"/>
      <c r="Q444" s="24"/>
      <c r="R444" s="24"/>
      <c r="S444" s="24"/>
      <c r="T444" s="24"/>
      <c r="U444" s="53" t="s">
        <v>2736</v>
      </c>
      <c r="V444" s="53" t="s">
        <v>873</v>
      </c>
      <c r="W444" s="53" t="s">
        <v>279</v>
      </c>
      <c r="X444" s="53" t="s">
        <v>227</v>
      </c>
      <c r="Y444" s="20"/>
      <c r="Z444" s="20"/>
      <c r="AA444" s="20" t="s">
        <v>1476</v>
      </c>
      <c r="AB444" s="20" t="s">
        <v>2009</v>
      </c>
      <c r="AC444" s="24">
        <v>1</v>
      </c>
      <c r="AD444" s="24"/>
      <c r="AE444" s="24"/>
      <c r="AF444" s="24"/>
      <c r="AG444" s="24"/>
      <c r="AH444" s="20"/>
      <c r="AI444" s="42"/>
    </row>
    <row r="445" spans="1:35">
      <c r="A445" s="14"/>
      <c r="B445" s="20"/>
      <c r="C445" s="20" t="s">
        <v>2420</v>
      </c>
      <c r="D445" s="20" t="s">
        <v>79</v>
      </c>
      <c r="E445" s="20" t="s">
        <v>80</v>
      </c>
      <c r="F445" s="53" t="s">
        <v>2739</v>
      </c>
      <c r="G445" s="53" t="s">
        <v>2740</v>
      </c>
      <c r="H445" s="53" t="s">
        <v>160</v>
      </c>
      <c r="I445" s="211">
        <v>22963</v>
      </c>
      <c r="J445" s="24"/>
      <c r="K445" s="24">
        <v>1</v>
      </c>
      <c r="L445" s="24">
        <v>1</v>
      </c>
      <c r="M445" s="24"/>
      <c r="N445" s="24"/>
      <c r="O445" s="24"/>
      <c r="P445" s="24"/>
      <c r="Q445" s="24"/>
      <c r="R445" s="24"/>
      <c r="S445" s="24"/>
      <c r="T445" s="24"/>
      <c r="U445" s="53" t="s">
        <v>972</v>
      </c>
      <c r="V445" s="53" t="s">
        <v>873</v>
      </c>
      <c r="W445" s="53" t="s">
        <v>279</v>
      </c>
      <c r="X445" s="53" t="s">
        <v>227</v>
      </c>
      <c r="Y445" s="20"/>
      <c r="Z445" s="20"/>
      <c r="AA445" s="20" t="s">
        <v>1476</v>
      </c>
      <c r="AB445" s="20" t="s">
        <v>2009</v>
      </c>
      <c r="AC445" s="24">
        <v>1</v>
      </c>
      <c r="AD445" s="24"/>
      <c r="AE445" s="24"/>
      <c r="AF445" s="24"/>
      <c r="AG445" s="24"/>
      <c r="AH445" s="20"/>
      <c r="AI445" s="42"/>
    </row>
    <row r="446" spans="1:35">
      <c r="A446" s="14"/>
      <c r="B446" s="20"/>
      <c r="C446" s="20" t="s">
        <v>2420</v>
      </c>
      <c r="D446" s="20" t="s">
        <v>79</v>
      </c>
      <c r="E446" s="20" t="s">
        <v>80</v>
      </c>
      <c r="F446" s="53" t="s">
        <v>2739</v>
      </c>
      <c r="G446" s="53" t="s">
        <v>2593</v>
      </c>
      <c r="H446" s="53" t="s">
        <v>160</v>
      </c>
      <c r="I446" s="211">
        <v>34692</v>
      </c>
      <c r="J446" s="24">
        <v>1</v>
      </c>
      <c r="K446" s="24"/>
      <c r="L446" s="24">
        <v>1</v>
      </c>
      <c r="M446" s="24"/>
      <c r="N446" s="24"/>
      <c r="O446" s="24"/>
      <c r="P446" s="24"/>
      <c r="Q446" s="24"/>
      <c r="R446" s="24"/>
      <c r="S446" s="24"/>
      <c r="T446" s="24"/>
      <c r="U446" s="53" t="s">
        <v>972</v>
      </c>
      <c r="V446" s="53" t="s">
        <v>873</v>
      </c>
      <c r="W446" s="53" t="s">
        <v>279</v>
      </c>
      <c r="X446" s="53" t="s">
        <v>227</v>
      </c>
      <c r="Y446" s="20"/>
      <c r="Z446" s="20"/>
      <c r="AA446" s="20" t="s">
        <v>1476</v>
      </c>
      <c r="AB446" s="20" t="s">
        <v>2009</v>
      </c>
      <c r="AC446" s="24">
        <v>1</v>
      </c>
      <c r="AD446" s="24"/>
      <c r="AE446" s="24"/>
      <c r="AF446" s="24"/>
      <c r="AG446" s="24"/>
      <c r="AH446" s="20"/>
      <c r="AI446" s="42"/>
    </row>
    <row r="447" spans="1:35">
      <c r="A447" s="14"/>
      <c r="B447" s="20"/>
      <c r="C447" s="20" t="s">
        <v>2420</v>
      </c>
      <c r="D447" s="20" t="s">
        <v>79</v>
      </c>
      <c r="E447" s="20" t="s">
        <v>80</v>
      </c>
      <c r="F447" s="53" t="s">
        <v>2741</v>
      </c>
      <c r="G447" s="53" t="s">
        <v>2742</v>
      </c>
      <c r="H447" s="20"/>
      <c r="I447" s="211">
        <v>19955</v>
      </c>
      <c r="J447" s="24"/>
      <c r="K447" s="24">
        <v>1</v>
      </c>
      <c r="L447" s="24">
        <v>1</v>
      </c>
      <c r="M447" s="24"/>
      <c r="N447" s="24"/>
      <c r="O447" s="24"/>
      <c r="P447" s="24"/>
      <c r="Q447" s="24"/>
      <c r="R447" s="24"/>
      <c r="S447" s="24"/>
      <c r="T447" s="24"/>
      <c r="U447" s="53" t="s">
        <v>2736</v>
      </c>
      <c r="V447" s="53" t="s">
        <v>873</v>
      </c>
      <c r="W447" s="53" t="s">
        <v>279</v>
      </c>
      <c r="X447" s="53" t="s">
        <v>227</v>
      </c>
      <c r="Y447" s="20"/>
      <c r="Z447" s="20"/>
      <c r="AA447" s="20" t="s">
        <v>1476</v>
      </c>
      <c r="AB447" s="20" t="s">
        <v>2009</v>
      </c>
      <c r="AC447" s="24">
        <v>1</v>
      </c>
      <c r="AD447" s="24"/>
      <c r="AE447" s="24"/>
      <c r="AF447" s="24"/>
      <c r="AG447" s="24"/>
      <c r="AH447" s="20"/>
      <c r="AI447" s="42"/>
    </row>
    <row r="448" spans="1:35">
      <c r="A448" s="14"/>
      <c r="B448" s="20"/>
      <c r="C448" s="20" t="s">
        <v>2420</v>
      </c>
      <c r="D448" s="20" t="s">
        <v>79</v>
      </c>
      <c r="E448" s="20" t="s">
        <v>80</v>
      </c>
      <c r="F448" s="53" t="s">
        <v>2743</v>
      </c>
      <c r="G448" s="53" t="s">
        <v>2744</v>
      </c>
      <c r="H448" s="53" t="s">
        <v>113</v>
      </c>
      <c r="I448" s="224">
        <v>19955</v>
      </c>
      <c r="J448" s="24">
        <v>1</v>
      </c>
      <c r="K448" s="24"/>
      <c r="L448" s="24">
        <v>1</v>
      </c>
      <c r="M448" s="24"/>
      <c r="N448" s="24"/>
      <c r="O448" s="24"/>
      <c r="P448" s="24"/>
      <c r="Q448" s="24"/>
      <c r="R448" s="24"/>
      <c r="S448" s="24"/>
      <c r="T448" s="24"/>
      <c r="U448" s="53" t="s">
        <v>2736</v>
      </c>
      <c r="V448" s="53" t="s">
        <v>873</v>
      </c>
      <c r="W448" s="53" t="s">
        <v>279</v>
      </c>
      <c r="X448" s="53" t="s">
        <v>227</v>
      </c>
      <c r="Y448" s="20"/>
      <c r="Z448" s="20"/>
      <c r="AA448" s="20" t="s">
        <v>1476</v>
      </c>
      <c r="AB448" s="20" t="s">
        <v>2009</v>
      </c>
      <c r="AC448" s="24">
        <v>1</v>
      </c>
      <c r="AD448" s="24"/>
      <c r="AE448" s="24"/>
      <c r="AF448" s="24"/>
      <c r="AG448" s="24"/>
      <c r="AH448" s="20"/>
      <c r="AI448" s="42"/>
    </row>
    <row r="449" spans="1:35">
      <c r="A449" s="14"/>
      <c r="B449" s="20"/>
      <c r="C449" s="20" t="s">
        <v>2420</v>
      </c>
      <c r="D449" s="20" t="s">
        <v>79</v>
      </c>
      <c r="E449" s="20" t="s">
        <v>80</v>
      </c>
      <c r="F449" s="53" t="s">
        <v>2745</v>
      </c>
      <c r="G449" s="53" t="s">
        <v>570</v>
      </c>
      <c r="H449" s="53" t="s">
        <v>133</v>
      </c>
      <c r="I449" s="224">
        <v>30062</v>
      </c>
      <c r="J449" s="24"/>
      <c r="K449" s="24">
        <v>1</v>
      </c>
      <c r="L449" s="24">
        <v>1</v>
      </c>
      <c r="M449" s="24"/>
      <c r="N449" s="24"/>
      <c r="O449" s="24"/>
      <c r="P449" s="24"/>
      <c r="Q449" s="24"/>
      <c r="R449" s="24"/>
      <c r="S449" s="24"/>
      <c r="T449" s="24"/>
      <c r="U449" s="53" t="s">
        <v>2736</v>
      </c>
      <c r="V449" s="53" t="s">
        <v>873</v>
      </c>
      <c r="W449" s="53" t="s">
        <v>279</v>
      </c>
      <c r="X449" s="53" t="s">
        <v>227</v>
      </c>
      <c r="Y449" s="20"/>
      <c r="Z449" s="20"/>
      <c r="AA449" s="20" t="s">
        <v>1476</v>
      </c>
      <c r="AB449" s="20" t="s">
        <v>2009</v>
      </c>
      <c r="AC449" s="24">
        <v>1</v>
      </c>
      <c r="AD449" s="24"/>
      <c r="AE449" s="24"/>
      <c r="AF449" s="24"/>
      <c r="AG449" s="24"/>
      <c r="AH449" s="20"/>
      <c r="AI449" s="42"/>
    </row>
    <row r="450" spans="1:35">
      <c r="A450" s="14"/>
      <c r="B450" s="20"/>
      <c r="C450" s="20" t="s">
        <v>2420</v>
      </c>
      <c r="D450" s="20" t="s">
        <v>79</v>
      </c>
      <c r="E450" s="20" t="s">
        <v>80</v>
      </c>
      <c r="F450" s="53" t="s">
        <v>2746</v>
      </c>
      <c r="G450" s="53" t="s">
        <v>1847</v>
      </c>
      <c r="H450" s="53" t="s">
        <v>283</v>
      </c>
      <c r="I450" s="211">
        <v>25431</v>
      </c>
      <c r="J450" s="24">
        <v>1</v>
      </c>
      <c r="K450" s="24"/>
      <c r="L450" s="24">
        <v>1</v>
      </c>
      <c r="M450" s="24"/>
      <c r="N450" s="24"/>
      <c r="O450" s="24"/>
      <c r="P450" s="24"/>
      <c r="Q450" s="24"/>
      <c r="R450" s="24"/>
      <c r="S450" s="24"/>
      <c r="T450" s="24"/>
      <c r="U450" s="53" t="s">
        <v>972</v>
      </c>
      <c r="V450" s="53" t="s">
        <v>873</v>
      </c>
      <c r="W450" s="53" t="s">
        <v>279</v>
      </c>
      <c r="X450" s="53" t="s">
        <v>227</v>
      </c>
      <c r="Y450" s="20"/>
      <c r="Z450" s="20"/>
      <c r="AA450" s="20" t="s">
        <v>1476</v>
      </c>
      <c r="AB450" s="20" t="s">
        <v>2009</v>
      </c>
      <c r="AC450" s="24">
        <v>1</v>
      </c>
      <c r="AD450" s="24"/>
      <c r="AE450" s="24"/>
      <c r="AF450" s="24"/>
      <c r="AG450" s="24"/>
      <c r="AH450" s="20"/>
      <c r="AI450" s="42"/>
    </row>
    <row r="451" spans="1:35">
      <c r="A451" s="14"/>
      <c r="B451" s="20"/>
      <c r="C451" s="20" t="s">
        <v>2420</v>
      </c>
      <c r="D451" s="20" t="s">
        <v>79</v>
      </c>
      <c r="E451" s="20" t="s">
        <v>80</v>
      </c>
      <c r="F451" s="53" t="s">
        <v>2661</v>
      </c>
      <c r="G451" s="53" t="s">
        <v>123</v>
      </c>
      <c r="H451" s="53" t="s">
        <v>2303</v>
      </c>
      <c r="I451" s="211">
        <v>20832</v>
      </c>
      <c r="J451" s="24">
        <v>1</v>
      </c>
      <c r="K451" s="24"/>
      <c r="L451" s="24">
        <v>1</v>
      </c>
      <c r="M451" s="24"/>
      <c r="N451" s="24"/>
      <c r="O451" s="24"/>
      <c r="P451" s="24"/>
      <c r="Q451" s="24"/>
      <c r="R451" s="24"/>
      <c r="S451" s="24"/>
      <c r="T451" s="24"/>
      <c r="U451" s="53" t="s">
        <v>2736</v>
      </c>
      <c r="V451" s="53" t="s">
        <v>873</v>
      </c>
      <c r="W451" s="53" t="s">
        <v>279</v>
      </c>
      <c r="X451" s="53" t="s">
        <v>227</v>
      </c>
      <c r="Y451" s="20"/>
      <c r="Z451" s="20"/>
      <c r="AA451" s="20" t="s">
        <v>1476</v>
      </c>
      <c r="AB451" s="20" t="s">
        <v>2009</v>
      </c>
      <c r="AC451" s="24">
        <v>1</v>
      </c>
      <c r="AD451" s="24"/>
      <c r="AE451" s="24"/>
      <c r="AF451" s="24"/>
      <c r="AG451" s="24"/>
      <c r="AH451" s="20"/>
      <c r="AI451" s="42"/>
    </row>
    <row r="452" spans="1:35">
      <c r="A452" s="14"/>
      <c r="B452" s="20"/>
      <c r="C452" s="20" t="s">
        <v>2420</v>
      </c>
      <c r="D452" s="20" t="s">
        <v>79</v>
      </c>
      <c r="E452" s="20" t="s">
        <v>80</v>
      </c>
      <c r="F452" s="84" t="s">
        <v>2661</v>
      </c>
      <c r="G452" s="53" t="s">
        <v>2747</v>
      </c>
      <c r="H452" s="53" t="s">
        <v>126</v>
      </c>
      <c r="I452" s="211">
        <v>31716</v>
      </c>
      <c r="J452" s="24">
        <v>1</v>
      </c>
      <c r="K452" s="24"/>
      <c r="L452" s="24">
        <v>1</v>
      </c>
      <c r="M452" s="24"/>
      <c r="N452" s="24"/>
      <c r="O452" s="24"/>
      <c r="P452" s="24"/>
      <c r="Q452" s="24"/>
      <c r="R452" s="24"/>
      <c r="S452" s="24"/>
      <c r="T452" s="24"/>
      <c r="U452" s="53" t="s">
        <v>2736</v>
      </c>
      <c r="V452" s="53" t="s">
        <v>873</v>
      </c>
      <c r="W452" s="53" t="s">
        <v>279</v>
      </c>
      <c r="X452" s="53" t="s">
        <v>227</v>
      </c>
      <c r="Y452" s="20"/>
      <c r="Z452" s="20"/>
      <c r="AA452" s="20" t="s">
        <v>1476</v>
      </c>
      <c r="AB452" s="20" t="s">
        <v>2009</v>
      </c>
      <c r="AC452" s="24">
        <v>1</v>
      </c>
      <c r="AD452" s="24"/>
      <c r="AE452" s="24"/>
      <c r="AF452" s="24"/>
      <c r="AG452" s="24"/>
      <c r="AH452" s="20"/>
      <c r="AI452" s="42"/>
    </row>
    <row r="453" spans="1:35">
      <c r="A453" s="14"/>
      <c r="B453" s="20"/>
      <c r="C453" s="20" t="s">
        <v>2420</v>
      </c>
      <c r="D453" s="20" t="s">
        <v>79</v>
      </c>
      <c r="E453" s="20" t="s">
        <v>80</v>
      </c>
      <c r="F453" s="53" t="s">
        <v>2748</v>
      </c>
      <c r="G453" s="53" t="s">
        <v>795</v>
      </c>
      <c r="H453" s="53" t="s">
        <v>126</v>
      </c>
      <c r="I453" s="211">
        <v>24579</v>
      </c>
      <c r="J453" s="24">
        <v>1</v>
      </c>
      <c r="K453" s="24"/>
      <c r="L453" s="24">
        <v>1</v>
      </c>
      <c r="M453" s="24"/>
      <c r="N453" s="24"/>
      <c r="O453" s="24"/>
      <c r="P453" s="24"/>
      <c r="Q453" s="24"/>
      <c r="R453" s="24"/>
      <c r="S453" s="24"/>
      <c r="T453" s="24"/>
      <c r="U453" s="53" t="s">
        <v>2764</v>
      </c>
      <c r="V453" s="53" t="s">
        <v>873</v>
      </c>
      <c r="W453" s="53" t="s">
        <v>279</v>
      </c>
      <c r="X453" s="53" t="s">
        <v>227</v>
      </c>
      <c r="Y453" s="20"/>
      <c r="Z453" s="20"/>
      <c r="AA453" s="20" t="s">
        <v>1476</v>
      </c>
      <c r="AB453" s="20" t="s">
        <v>2009</v>
      </c>
      <c r="AC453" s="24">
        <v>1</v>
      </c>
      <c r="AD453" s="24"/>
      <c r="AE453" s="24"/>
      <c r="AF453" s="24"/>
      <c r="AG453" s="24"/>
      <c r="AH453" s="20"/>
      <c r="AI453" s="42"/>
    </row>
    <row r="454" spans="1:35">
      <c r="A454" s="14"/>
      <c r="B454" s="20"/>
      <c r="C454" s="20" t="s">
        <v>2420</v>
      </c>
      <c r="D454" s="20" t="s">
        <v>79</v>
      </c>
      <c r="E454" s="20" t="s">
        <v>80</v>
      </c>
      <c r="F454" s="53" t="s">
        <v>2749</v>
      </c>
      <c r="G454" s="53" t="s">
        <v>2750</v>
      </c>
      <c r="H454" s="53" t="s">
        <v>136</v>
      </c>
      <c r="I454" s="211">
        <v>30637</v>
      </c>
      <c r="J454" s="24">
        <v>1</v>
      </c>
      <c r="K454" s="24"/>
      <c r="L454" s="24">
        <v>1</v>
      </c>
      <c r="M454" s="24"/>
      <c r="N454" s="24"/>
      <c r="O454" s="24">
        <v>1</v>
      </c>
      <c r="P454" s="24"/>
      <c r="Q454" s="24"/>
      <c r="R454" s="24"/>
      <c r="S454" s="24"/>
      <c r="T454" s="24"/>
      <c r="U454" s="53" t="s">
        <v>2764</v>
      </c>
      <c r="V454" s="53" t="s">
        <v>873</v>
      </c>
      <c r="W454" s="53" t="s">
        <v>279</v>
      </c>
      <c r="X454" s="53" t="s">
        <v>227</v>
      </c>
      <c r="Y454" s="20"/>
      <c r="Z454" s="20"/>
      <c r="AA454" s="53" t="s">
        <v>1476</v>
      </c>
      <c r="AB454" s="20" t="s">
        <v>2009</v>
      </c>
      <c r="AC454" s="24">
        <v>1</v>
      </c>
      <c r="AD454" s="24"/>
      <c r="AE454" s="24"/>
      <c r="AF454" s="24"/>
      <c r="AG454" s="24"/>
      <c r="AH454" s="20"/>
      <c r="AI454" s="42"/>
    </row>
    <row r="455" spans="1:35">
      <c r="A455" s="14"/>
      <c r="B455" s="20"/>
      <c r="C455" s="20" t="s">
        <v>2420</v>
      </c>
      <c r="D455" s="20" t="s">
        <v>79</v>
      </c>
      <c r="E455" s="20" t="s">
        <v>80</v>
      </c>
      <c r="F455" s="53" t="s">
        <v>2751</v>
      </c>
      <c r="G455" s="53" t="s">
        <v>755</v>
      </c>
      <c r="H455" s="53" t="s">
        <v>160</v>
      </c>
      <c r="I455" s="211">
        <v>27067</v>
      </c>
      <c r="J455" s="24">
        <v>1</v>
      </c>
      <c r="K455" s="24"/>
      <c r="L455" s="24">
        <v>1</v>
      </c>
      <c r="M455" s="24"/>
      <c r="N455" s="24"/>
      <c r="O455" s="24">
        <v>1</v>
      </c>
      <c r="P455" s="24"/>
      <c r="Q455" s="24"/>
      <c r="R455" s="24"/>
      <c r="S455" s="24"/>
      <c r="T455" s="24"/>
      <c r="U455" s="53" t="s">
        <v>2764</v>
      </c>
      <c r="V455" s="53" t="s">
        <v>873</v>
      </c>
      <c r="W455" s="53" t="s">
        <v>279</v>
      </c>
      <c r="X455" s="53" t="s">
        <v>227</v>
      </c>
      <c r="Y455" s="20"/>
      <c r="Z455" s="20"/>
      <c r="AA455" s="20" t="s">
        <v>1476</v>
      </c>
      <c r="AB455" s="20" t="s">
        <v>2009</v>
      </c>
      <c r="AC455" s="24">
        <v>1</v>
      </c>
      <c r="AD455" s="24"/>
      <c r="AE455" s="24"/>
      <c r="AF455" s="24"/>
      <c r="AG455" s="24"/>
      <c r="AH455" s="20"/>
      <c r="AI455" s="42"/>
    </row>
    <row r="456" spans="1:35">
      <c r="A456" s="14"/>
      <c r="B456" s="20"/>
      <c r="C456" s="20" t="s">
        <v>2420</v>
      </c>
      <c r="D456" s="20" t="s">
        <v>79</v>
      </c>
      <c r="E456" s="20" t="s">
        <v>80</v>
      </c>
      <c r="F456" s="84" t="s">
        <v>401</v>
      </c>
      <c r="G456" s="53" t="s">
        <v>2170</v>
      </c>
      <c r="H456" s="53" t="s">
        <v>133</v>
      </c>
      <c r="I456" s="211">
        <v>34794</v>
      </c>
      <c r="J456" s="24">
        <v>1</v>
      </c>
      <c r="K456" s="24"/>
      <c r="L456" s="24">
        <v>1</v>
      </c>
      <c r="M456" s="24"/>
      <c r="N456" s="24"/>
      <c r="O456" s="24">
        <v>1</v>
      </c>
      <c r="P456" s="24"/>
      <c r="Q456" s="24"/>
      <c r="R456" s="24"/>
      <c r="S456" s="24"/>
      <c r="T456" s="24"/>
      <c r="U456" s="53" t="s">
        <v>2764</v>
      </c>
      <c r="V456" s="53" t="s">
        <v>873</v>
      </c>
      <c r="W456" s="53" t="s">
        <v>279</v>
      </c>
      <c r="X456" s="53" t="s">
        <v>227</v>
      </c>
      <c r="Y456" s="20"/>
      <c r="Z456" s="20"/>
      <c r="AA456" s="20" t="s">
        <v>1476</v>
      </c>
      <c r="AB456" s="20" t="s">
        <v>2009</v>
      </c>
      <c r="AC456" s="24">
        <v>1</v>
      </c>
      <c r="AD456" s="24"/>
      <c r="AE456" s="24"/>
      <c r="AF456" s="24"/>
      <c r="AG456" s="24"/>
      <c r="AH456" s="20"/>
      <c r="AI456" s="42"/>
    </row>
    <row r="457" spans="1:35">
      <c r="A457" s="14"/>
      <c r="B457" s="20"/>
      <c r="C457" s="20" t="s">
        <v>2420</v>
      </c>
      <c r="D457" s="20" t="s">
        <v>79</v>
      </c>
      <c r="E457" s="20" t="s">
        <v>80</v>
      </c>
      <c r="F457" s="53" t="s">
        <v>2752</v>
      </c>
      <c r="G457" s="53" t="s">
        <v>2753</v>
      </c>
      <c r="H457" s="53" t="s">
        <v>136</v>
      </c>
      <c r="I457" s="211">
        <v>20708</v>
      </c>
      <c r="J457" s="24">
        <v>1</v>
      </c>
      <c r="K457" s="24"/>
      <c r="L457" s="24">
        <v>1</v>
      </c>
      <c r="M457" s="24"/>
      <c r="N457" s="24"/>
      <c r="O457" s="24">
        <v>1</v>
      </c>
      <c r="P457" s="24"/>
      <c r="Q457" s="24"/>
      <c r="R457" s="24"/>
      <c r="S457" s="24"/>
      <c r="T457" s="24"/>
      <c r="U457" s="53" t="s">
        <v>2764</v>
      </c>
      <c r="V457" s="53" t="s">
        <v>873</v>
      </c>
      <c r="W457" s="53" t="s">
        <v>279</v>
      </c>
      <c r="X457" s="53" t="s">
        <v>227</v>
      </c>
      <c r="Y457" s="20"/>
      <c r="Z457" s="20"/>
      <c r="AA457" s="20" t="s">
        <v>1476</v>
      </c>
      <c r="AB457" s="20" t="s">
        <v>2009</v>
      </c>
      <c r="AC457" s="24">
        <v>1</v>
      </c>
      <c r="AD457" s="24"/>
      <c r="AE457" s="24"/>
      <c r="AF457" s="24"/>
      <c r="AG457" s="24"/>
      <c r="AH457" s="20"/>
      <c r="AI457" s="42"/>
    </row>
    <row r="458" spans="1:35">
      <c r="A458" s="14"/>
      <c r="B458" s="20"/>
      <c r="C458" s="20" t="s">
        <v>2420</v>
      </c>
      <c r="D458" s="20" t="s">
        <v>79</v>
      </c>
      <c r="E458" s="20" t="s">
        <v>80</v>
      </c>
      <c r="F458" s="84" t="s">
        <v>2754</v>
      </c>
      <c r="G458" s="53" t="s">
        <v>2755</v>
      </c>
      <c r="H458" s="53" t="s">
        <v>133</v>
      </c>
      <c r="I458" s="211">
        <v>23416</v>
      </c>
      <c r="J458" s="24">
        <v>1</v>
      </c>
      <c r="K458" s="24"/>
      <c r="L458" s="24">
        <v>1</v>
      </c>
      <c r="M458" s="24"/>
      <c r="N458" s="24"/>
      <c r="O458" s="24"/>
      <c r="P458" s="24"/>
      <c r="Q458" s="24"/>
      <c r="R458" s="24"/>
      <c r="S458" s="24"/>
      <c r="T458" s="24"/>
      <c r="U458" s="53" t="s">
        <v>2764</v>
      </c>
      <c r="V458" s="53" t="s">
        <v>873</v>
      </c>
      <c r="W458" s="53" t="s">
        <v>279</v>
      </c>
      <c r="X458" s="53" t="s">
        <v>227</v>
      </c>
      <c r="Y458" s="20"/>
      <c r="Z458" s="20"/>
      <c r="AA458" s="20" t="s">
        <v>1476</v>
      </c>
      <c r="AB458" s="20" t="s">
        <v>2009</v>
      </c>
      <c r="AC458" s="24">
        <v>1</v>
      </c>
      <c r="AD458" s="24"/>
      <c r="AE458" s="24"/>
      <c r="AF458" s="24"/>
      <c r="AG458" s="24"/>
      <c r="AH458" s="20"/>
      <c r="AI458" s="42"/>
    </row>
    <row r="459" spans="1:35">
      <c r="A459" s="14"/>
      <c r="B459" s="20"/>
      <c r="C459" s="20" t="s">
        <v>2420</v>
      </c>
      <c r="D459" s="20" t="s">
        <v>79</v>
      </c>
      <c r="E459" s="20" t="s">
        <v>80</v>
      </c>
      <c r="F459" s="84" t="s">
        <v>2756</v>
      </c>
      <c r="G459" s="53" t="s">
        <v>183</v>
      </c>
      <c r="H459" s="53" t="s">
        <v>144</v>
      </c>
      <c r="I459" s="211">
        <v>26572</v>
      </c>
      <c r="J459" s="24">
        <v>1</v>
      </c>
      <c r="K459" s="24"/>
      <c r="L459" s="24">
        <v>1</v>
      </c>
      <c r="M459" s="24"/>
      <c r="N459" s="24"/>
      <c r="O459" s="24">
        <v>1</v>
      </c>
      <c r="P459" s="24"/>
      <c r="Q459" s="24"/>
      <c r="R459" s="24"/>
      <c r="S459" s="24"/>
      <c r="T459" s="24"/>
      <c r="U459" s="53" t="s">
        <v>2765</v>
      </c>
      <c r="V459" s="53" t="s">
        <v>873</v>
      </c>
      <c r="W459" s="53" t="s">
        <v>279</v>
      </c>
      <c r="X459" s="53" t="s">
        <v>227</v>
      </c>
      <c r="Y459" s="20"/>
      <c r="Z459" s="20"/>
      <c r="AA459" s="20" t="s">
        <v>1476</v>
      </c>
      <c r="AB459" s="20" t="s">
        <v>2009</v>
      </c>
      <c r="AC459" s="24">
        <v>1</v>
      </c>
      <c r="AD459" s="24"/>
      <c r="AE459" s="24"/>
      <c r="AF459" s="24"/>
      <c r="AG459" s="24"/>
      <c r="AH459" s="20"/>
      <c r="AI459" s="42"/>
    </row>
    <row r="460" spans="1:35">
      <c r="A460" s="14"/>
      <c r="B460" s="20"/>
      <c r="C460" s="20" t="s">
        <v>2420</v>
      </c>
      <c r="D460" s="20" t="s">
        <v>79</v>
      </c>
      <c r="E460" s="20" t="s">
        <v>80</v>
      </c>
      <c r="F460" s="53" t="s">
        <v>2757</v>
      </c>
      <c r="G460" s="53" t="s">
        <v>2758</v>
      </c>
      <c r="H460" s="53" t="s">
        <v>126</v>
      </c>
      <c r="I460" s="211">
        <v>27397</v>
      </c>
      <c r="J460" s="24">
        <v>1</v>
      </c>
      <c r="K460" s="24"/>
      <c r="L460" s="24">
        <v>1</v>
      </c>
      <c r="M460" s="24"/>
      <c r="N460" s="24"/>
      <c r="O460" s="24"/>
      <c r="P460" s="24"/>
      <c r="Q460" s="24"/>
      <c r="R460" s="24"/>
      <c r="S460" s="24"/>
      <c r="T460" s="24"/>
      <c r="U460" s="53" t="s">
        <v>2766</v>
      </c>
      <c r="V460" s="53" t="s">
        <v>873</v>
      </c>
      <c r="W460" s="53" t="s">
        <v>279</v>
      </c>
      <c r="X460" s="53" t="s">
        <v>227</v>
      </c>
      <c r="Y460" s="20"/>
      <c r="Z460" s="20"/>
      <c r="AA460" s="20" t="s">
        <v>1476</v>
      </c>
      <c r="AB460" s="20" t="s">
        <v>2009</v>
      </c>
      <c r="AC460" s="24">
        <v>1</v>
      </c>
      <c r="AD460" s="24"/>
      <c r="AE460" s="24"/>
      <c r="AF460" s="24"/>
      <c r="AG460" s="24"/>
      <c r="AH460" s="20"/>
      <c r="AI460" s="42"/>
    </row>
    <row r="461" spans="1:35">
      <c r="A461" s="14"/>
      <c r="B461" s="20"/>
      <c r="C461" s="20" t="s">
        <v>2420</v>
      </c>
      <c r="D461" s="20" t="s">
        <v>79</v>
      </c>
      <c r="E461" s="20" t="s">
        <v>80</v>
      </c>
      <c r="F461" s="53" t="s">
        <v>2759</v>
      </c>
      <c r="G461" s="53" t="s">
        <v>776</v>
      </c>
      <c r="H461" s="53" t="s">
        <v>202</v>
      </c>
      <c r="I461" s="211">
        <v>36129</v>
      </c>
      <c r="J461" s="24">
        <v>1</v>
      </c>
      <c r="K461" s="24"/>
      <c r="L461" s="24">
        <v>1</v>
      </c>
      <c r="M461" s="24"/>
      <c r="N461" s="24"/>
      <c r="O461" s="24"/>
      <c r="P461" s="24"/>
      <c r="Q461" s="24"/>
      <c r="R461" s="24"/>
      <c r="S461" s="24"/>
      <c r="T461" s="24"/>
      <c r="U461" s="53" t="s">
        <v>2766</v>
      </c>
      <c r="V461" s="53" t="s">
        <v>873</v>
      </c>
      <c r="W461" s="53" t="s">
        <v>279</v>
      </c>
      <c r="X461" s="53" t="s">
        <v>227</v>
      </c>
      <c r="Y461" s="20"/>
      <c r="Z461" s="20"/>
      <c r="AA461" s="20" t="s">
        <v>1476</v>
      </c>
      <c r="AB461" s="20" t="s">
        <v>2009</v>
      </c>
      <c r="AC461" s="24">
        <v>1</v>
      </c>
      <c r="AD461" s="24"/>
      <c r="AE461" s="24"/>
      <c r="AF461" s="24"/>
      <c r="AG461" s="24"/>
      <c r="AH461" s="20"/>
      <c r="AI461" s="42"/>
    </row>
    <row r="462" spans="1:35">
      <c r="A462" s="14"/>
      <c r="B462" s="20"/>
      <c r="C462" s="20" t="s">
        <v>2420</v>
      </c>
      <c r="D462" s="20" t="s">
        <v>79</v>
      </c>
      <c r="E462" s="20" t="s">
        <v>80</v>
      </c>
      <c r="F462" s="53" t="s">
        <v>2573</v>
      </c>
      <c r="G462" s="53" t="s">
        <v>2577</v>
      </c>
      <c r="H462" s="53" t="s">
        <v>202</v>
      </c>
      <c r="I462" s="211">
        <v>29809</v>
      </c>
      <c r="J462" s="24">
        <v>1</v>
      </c>
      <c r="K462" s="24"/>
      <c r="L462" s="24">
        <v>1</v>
      </c>
      <c r="M462" s="24"/>
      <c r="N462" s="24"/>
      <c r="O462" s="24"/>
      <c r="P462" s="24"/>
      <c r="Q462" s="24"/>
      <c r="R462" s="24"/>
      <c r="S462" s="24"/>
      <c r="T462" s="24"/>
      <c r="U462" s="53" t="s">
        <v>972</v>
      </c>
      <c r="V462" s="53" t="s">
        <v>873</v>
      </c>
      <c r="W462" s="53" t="s">
        <v>279</v>
      </c>
      <c r="X462" s="53" t="s">
        <v>227</v>
      </c>
      <c r="Y462" s="20"/>
      <c r="Z462" s="20"/>
      <c r="AA462" s="20" t="s">
        <v>1476</v>
      </c>
      <c r="AB462" s="20" t="s">
        <v>2009</v>
      </c>
      <c r="AC462" s="24">
        <v>1</v>
      </c>
      <c r="AD462" s="24"/>
      <c r="AE462" s="24"/>
      <c r="AF462" s="24"/>
      <c r="AG462" s="24"/>
      <c r="AH462" s="20"/>
      <c r="AI462" s="42"/>
    </row>
    <row r="463" spans="1:35">
      <c r="A463" s="14"/>
      <c r="B463" s="20"/>
      <c r="C463" s="20" t="s">
        <v>2420</v>
      </c>
      <c r="D463" s="20" t="s">
        <v>79</v>
      </c>
      <c r="E463" s="20" t="s">
        <v>80</v>
      </c>
      <c r="F463" s="53" t="s">
        <v>2767</v>
      </c>
      <c r="G463" s="53" t="s">
        <v>1445</v>
      </c>
      <c r="H463" s="53" t="s">
        <v>115</v>
      </c>
      <c r="I463" s="211">
        <v>27889</v>
      </c>
      <c r="J463" s="24">
        <v>1</v>
      </c>
      <c r="K463" s="24"/>
      <c r="L463" s="24">
        <v>1</v>
      </c>
      <c r="M463" s="24"/>
      <c r="N463" s="24"/>
      <c r="O463" s="24"/>
      <c r="P463" s="24"/>
      <c r="Q463" s="24"/>
      <c r="R463" s="24"/>
      <c r="S463" s="24"/>
      <c r="T463" s="24"/>
      <c r="U463" s="53" t="s">
        <v>2766</v>
      </c>
      <c r="V463" s="53" t="s">
        <v>873</v>
      </c>
      <c r="W463" s="53" t="s">
        <v>279</v>
      </c>
      <c r="X463" s="53" t="s">
        <v>227</v>
      </c>
      <c r="Y463" s="20"/>
      <c r="Z463" s="20"/>
      <c r="AA463" s="20" t="s">
        <v>1476</v>
      </c>
      <c r="AB463" s="20" t="s">
        <v>2009</v>
      </c>
      <c r="AC463" s="24">
        <v>1</v>
      </c>
      <c r="AD463" s="24"/>
      <c r="AE463" s="24"/>
      <c r="AF463" s="24"/>
      <c r="AG463" s="24"/>
      <c r="AH463" s="20"/>
      <c r="AI463" s="42"/>
    </row>
    <row r="464" spans="1:35">
      <c r="A464" s="14"/>
      <c r="B464" s="20"/>
      <c r="C464" s="20" t="s">
        <v>2420</v>
      </c>
      <c r="D464" s="20" t="s">
        <v>79</v>
      </c>
      <c r="E464" s="20" t="s">
        <v>80</v>
      </c>
      <c r="F464" s="53" t="s">
        <v>2760</v>
      </c>
      <c r="G464" s="53" t="s">
        <v>1304</v>
      </c>
      <c r="H464" s="53" t="s">
        <v>202</v>
      </c>
      <c r="I464" s="211">
        <v>28121</v>
      </c>
      <c r="J464" s="24">
        <v>1</v>
      </c>
      <c r="K464" s="24"/>
      <c r="L464" s="24">
        <v>1</v>
      </c>
      <c r="M464" s="24"/>
      <c r="N464" s="24"/>
      <c r="O464" s="24"/>
      <c r="P464" s="24"/>
      <c r="Q464" s="24"/>
      <c r="R464" s="24"/>
      <c r="S464" s="24"/>
      <c r="T464" s="24"/>
      <c r="U464" s="53" t="s">
        <v>2766</v>
      </c>
      <c r="V464" s="53" t="s">
        <v>873</v>
      </c>
      <c r="W464" s="53" t="s">
        <v>279</v>
      </c>
      <c r="X464" s="53" t="s">
        <v>227</v>
      </c>
      <c r="Y464" s="20"/>
      <c r="Z464" s="20"/>
      <c r="AA464" s="20" t="s">
        <v>1476</v>
      </c>
      <c r="AB464" s="20" t="s">
        <v>2009</v>
      </c>
      <c r="AC464" s="24">
        <v>1</v>
      </c>
      <c r="AD464" s="24"/>
      <c r="AE464" s="24"/>
      <c r="AF464" s="24"/>
      <c r="AG464" s="24"/>
      <c r="AH464" s="20"/>
      <c r="AI464" s="42"/>
    </row>
    <row r="465" spans="1:35">
      <c r="A465" s="14"/>
      <c r="B465" s="20"/>
      <c r="C465" s="20" t="s">
        <v>2420</v>
      </c>
      <c r="D465" s="20" t="s">
        <v>79</v>
      </c>
      <c r="E465" s="20" t="s">
        <v>80</v>
      </c>
      <c r="F465" s="53" t="s">
        <v>2761</v>
      </c>
      <c r="G465" s="53" t="s">
        <v>183</v>
      </c>
      <c r="H465" s="53" t="s">
        <v>160</v>
      </c>
      <c r="I465" s="211">
        <v>30098</v>
      </c>
      <c r="J465" s="24">
        <v>1</v>
      </c>
      <c r="K465" s="24"/>
      <c r="L465" s="24">
        <v>1</v>
      </c>
      <c r="M465" s="24"/>
      <c r="N465" s="24"/>
      <c r="O465" s="24"/>
      <c r="P465" s="24"/>
      <c r="Q465" s="24"/>
      <c r="R465" s="24"/>
      <c r="S465" s="24"/>
      <c r="T465" s="24"/>
      <c r="U465" s="53" t="s">
        <v>2765</v>
      </c>
      <c r="V465" s="53" t="s">
        <v>873</v>
      </c>
      <c r="W465" s="53" t="s">
        <v>279</v>
      </c>
      <c r="X465" s="53" t="s">
        <v>227</v>
      </c>
      <c r="Y465" s="20"/>
      <c r="Z465" s="20"/>
      <c r="AA465" s="20" t="s">
        <v>1476</v>
      </c>
      <c r="AB465" s="20" t="s">
        <v>2009</v>
      </c>
      <c r="AC465" s="24">
        <v>1</v>
      </c>
      <c r="AD465" s="24"/>
      <c r="AE465" s="24"/>
      <c r="AF465" s="24"/>
      <c r="AG465" s="24"/>
      <c r="AH465" s="20"/>
      <c r="AI465" s="42"/>
    </row>
    <row r="466" spans="1:35">
      <c r="A466" s="14"/>
      <c r="B466" s="20"/>
      <c r="C466" s="20" t="s">
        <v>2420</v>
      </c>
      <c r="D466" s="20" t="s">
        <v>79</v>
      </c>
      <c r="E466" s="20" t="s">
        <v>80</v>
      </c>
      <c r="F466" s="53" t="s">
        <v>2762</v>
      </c>
      <c r="G466" s="53" t="s">
        <v>2763</v>
      </c>
      <c r="H466" s="53" t="s">
        <v>286</v>
      </c>
      <c r="I466" s="211">
        <v>35384</v>
      </c>
      <c r="J466" s="24"/>
      <c r="K466" s="24">
        <v>1</v>
      </c>
      <c r="L466" s="24">
        <v>1</v>
      </c>
      <c r="M466" s="24"/>
      <c r="N466" s="24"/>
      <c r="O466" s="24"/>
      <c r="P466" s="24"/>
      <c r="Q466" s="24"/>
      <c r="R466" s="24"/>
      <c r="S466" s="24"/>
      <c r="T466" s="24"/>
      <c r="U466" s="53" t="s">
        <v>2768</v>
      </c>
      <c r="V466" s="53" t="s">
        <v>873</v>
      </c>
      <c r="W466" s="53" t="s">
        <v>279</v>
      </c>
      <c r="X466" s="53" t="s">
        <v>227</v>
      </c>
      <c r="Y466" s="20"/>
      <c r="Z466" s="20"/>
      <c r="AA466" s="20" t="s">
        <v>1476</v>
      </c>
      <c r="AB466" s="20" t="s">
        <v>2009</v>
      </c>
      <c r="AC466" s="24">
        <v>1</v>
      </c>
      <c r="AD466" s="24"/>
      <c r="AE466" s="24"/>
      <c r="AF466" s="24"/>
      <c r="AG466" s="24"/>
      <c r="AH466" s="20"/>
      <c r="AI466" s="42"/>
    </row>
    <row r="467" spans="1:35">
      <c r="A467" s="14"/>
      <c r="B467" s="20"/>
      <c r="C467" s="20" t="s">
        <v>2420</v>
      </c>
      <c r="D467" s="20" t="s">
        <v>79</v>
      </c>
      <c r="E467" s="20" t="s">
        <v>80</v>
      </c>
      <c r="F467" s="53" t="s">
        <v>2769</v>
      </c>
      <c r="G467" s="53" t="s">
        <v>2770</v>
      </c>
      <c r="H467" s="214" t="s">
        <v>136</v>
      </c>
      <c r="I467" s="214">
        <v>25222</v>
      </c>
      <c r="J467" s="24">
        <v>1</v>
      </c>
      <c r="K467" s="24"/>
      <c r="L467" s="24">
        <v>1</v>
      </c>
      <c r="M467" s="24"/>
      <c r="N467" s="24"/>
      <c r="O467" s="24"/>
      <c r="P467" s="24"/>
      <c r="Q467" s="24"/>
      <c r="R467" s="24"/>
      <c r="S467" s="24"/>
      <c r="T467" s="24"/>
      <c r="U467" s="53" t="s">
        <v>980</v>
      </c>
      <c r="V467" s="53" t="s">
        <v>873</v>
      </c>
      <c r="W467" s="53" t="s">
        <v>279</v>
      </c>
      <c r="X467" s="53" t="s">
        <v>227</v>
      </c>
      <c r="Y467" s="20"/>
      <c r="Z467" s="20"/>
      <c r="AA467" s="53" t="s">
        <v>2796</v>
      </c>
      <c r="AB467" s="53" t="s">
        <v>2371</v>
      </c>
      <c r="AC467" s="24">
        <v>1</v>
      </c>
      <c r="AD467" s="24"/>
      <c r="AE467" s="24"/>
      <c r="AF467" s="24"/>
      <c r="AG467" s="24"/>
      <c r="AH467" s="20"/>
      <c r="AI467" s="42"/>
    </row>
    <row r="468" spans="1:35">
      <c r="A468" s="14"/>
      <c r="B468" s="20"/>
      <c r="C468" s="20" t="s">
        <v>2420</v>
      </c>
      <c r="D468" s="20" t="s">
        <v>79</v>
      </c>
      <c r="E468" s="20" t="s">
        <v>80</v>
      </c>
      <c r="F468" s="53" t="s">
        <v>573</v>
      </c>
      <c r="G468" s="53" t="s">
        <v>2771</v>
      </c>
      <c r="H468" s="53" t="s">
        <v>409</v>
      </c>
      <c r="I468" s="211">
        <v>28098</v>
      </c>
      <c r="J468" s="24"/>
      <c r="K468" s="24">
        <v>1</v>
      </c>
      <c r="L468" s="24">
        <v>1</v>
      </c>
      <c r="M468" s="24"/>
      <c r="N468" s="24"/>
      <c r="O468" s="24"/>
      <c r="P468" s="24"/>
      <c r="Q468" s="24"/>
      <c r="R468" s="24"/>
      <c r="S468" s="24"/>
      <c r="T468" s="24"/>
      <c r="U468" s="53" t="s">
        <v>980</v>
      </c>
      <c r="V468" s="53" t="s">
        <v>873</v>
      </c>
      <c r="W468" s="53" t="s">
        <v>279</v>
      </c>
      <c r="X468" s="53" t="s">
        <v>227</v>
      </c>
      <c r="Y468" s="20"/>
      <c r="Z468" s="20"/>
      <c r="AA468" s="20"/>
      <c r="AB468" s="53" t="s">
        <v>2371</v>
      </c>
      <c r="AC468" s="24">
        <v>1</v>
      </c>
      <c r="AD468" s="24"/>
      <c r="AE468" s="24"/>
      <c r="AF468" s="24"/>
      <c r="AG468" s="24"/>
      <c r="AH468" s="20"/>
      <c r="AI468" s="42"/>
    </row>
    <row r="469" spans="1:35">
      <c r="A469" s="14"/>
      <c r="B469" s="20"/>
      <c r="C469" s="20" t="s">
        <v>2420</v>
      </c>
      <c r="D469" s="20" t="s">
        <v>79</v>
      </c>
      <c r="E469" s="20" t="s">
        <v>80</v>
      </c>
      <c r="F469" s="53" t="s">
        <v>2661</v>
      </c>
      <c r="G469" s="53" t="s">
        <v>2642</v>
      </c>
      <c r="H469" s="53"/>
      <c r="I469" s="211">
        <v>28337</v>
      </c>
      <c r="J469" s="24">
        <v>1</v>
      </c>
      <c r="K469" s="24"/>
      <c r="L469" s="24">
        <v>1</v>
      </c>
      <c r="M469" s="24"/>
      <c r="N469" s="24"/>
      <c r="O469" s="24"/>
      <c r="P469" s="24"/>
      <c r="Q469" s="24"/>
      <c r="R469" s="24"/>
      <c r="S469" s="24"/>
      <c r="T469" s="24"/>
      <c r="U469" s="53" t="s">
        <v>2736</v>
      </c>
      <c r="V469" s="53" t="s">
        <v>873</v>
      </c>
      <c r="W469" s="53" t="s">
        <v>279</v>
      </c>
      <c r="X469" s="53" t="s">
        <v>227</v>
      </c>
      <c r="Y469" s="20"/>
      <c r="Z469" s="20"/>
      <c r="AA469" s="20"/>
      <c r="AB469" s="53" t="s">
        <v>2371</v>
      </c>
      <c r="AC469" s="24">
        <v>1</v>
      </c>
      <c r="AD469" s="24"/>
      <c r="AE469" s="24"/>
      <c r="AF469" s="24"/>
      <c r="AG469" s="24"/>
      <c r="AH469" s="20"/>
      <c r="AI469" s="42"/>
    </row>
    <row r="470" spans="1:35">
      <c r="A470" s="14"/>
      <c r="B470" s="20"/>
      <c r="C470" s="20" t="s">
        <v>2420</v>
      </c>
      <c r="D470" s="20" t="s">
        <v>79</v>
      </c>
      <c r="E470" s="20" t="s">
        <v>80</v>
      </c>
      <c r="F470" s="53" t="s">
        <v>2772</v>
      </c>
      <c r="G470" s="53" t="s">
        <v>1229</v>
      </c>
      <c r="H470" s="53" t="s">
        <v>144</v>
      </c>
      <c r="I470" s="211">
        <v>27473</v>
      </c>
      <c r="J470" s="24">
        <v>1</v>
      </c>
      <c r="K470" s="24"/>
      <c r="L470" s="24">
        <v>1</v>
      </c>
      <c r="M470" s="24"/>
      <c r="N470" s="24"/>
      <c r="O470" s="24"/>
      <c r="P470" s="24"/>
      <c r="Q470" s="24"/>
      <c r="R470" s="24"/>
      <c r="S470" s="24"/>
      <c r="T470" s="24"/>
      <c r="U470" s="53" t="s">
        <v>222</v>
      </c>
      <c r="V470" s="53" t="s">
        <v>873</v>
      </c>
      <c r="W470" s="53" t="s">
        <v>279</v>
      </c>
      <c r="X470" s="53" t="s">
        <v>227</v>
      </c>
      <c r="Y470" s="20"/>
      <c r="Z470" s="20"/>
      <c r="AA470" s="20"/>
      <c r="AB470" s="53" t="s">
        <v>2371</v>
      </c>
      <c r="AC470" s="24">
        <v>1</v>
      </c>
      <c r="AD470" s="24"/>
      <c r="AE470" s="24"/>
      <c r="AF470" s="24"/>
      <c r="AG470" s="24"/>
      <c r="AH470" s="20"/>
      <c r="AI470" s="42"/>
    </row>
    <row r="471" spans="1:35">
      <c r="A471" s="14"/>
      <c r="B471" s="20"/>
      <c r="C471" s="20" t="s">
        <v>2420</v>
      </c>
      <c r="D471" s="20" t="s">
        <v>79</v>
      </c>
      <c r="E471" s="20" t="s">
        <v>80</v>
      </c>
      <c r="F471" s="53" t="s">
        <v>2773</v>
      </c>
      <c r="G471" s="53" t="s">
        <v>2774</v>
      </c>
      <c r="H471" s="53" t="s">
        <v>120</v>
      </c>
      <c r="I471" s="211">
        <v>32646</v>
      </c>
      <c r="J471" s="24">
        <v>1</v>
      </c>
      <c r="K471" s="24"/>
      <c r="L471" s="24">
        <v>1</v>
      </c>
      <c r="M471" s="24"/>
      <c r="N471" s="24"/>
      <c r="O471" s="24"/>
      <c r="P471" s="24"/>
      <c r="Q471" s="24"/>
      <c r="R471" s="24"/>
      <c r="S471" s="24"/>
      <c r="T471" s="24"/>
      <c r="U471" s="53" t="s">
        <v>980</v>
      </c>
      <c r="V471" s="53" t="s">
        <v>873</v>
      </c>
      <c r="W471" s="53" t="s">
        <v>279</v>
      </c>
      <c r="X471" s="53" t="s">
        <v>227</v>
      </c>
      <c r="Y471" s="20"/>
      <c r="Z471" s="20"/>
      <c r="AA471" s="53" t="s">
        <v>2797</v>
      </c>
      <c r="AB471" s="53" t="s">
        <v>2371</v>
      </c>
      <c r="AC471" s="24">
        <v>1</v>
      </c>
      <c r="AD471" s="24"/>
      <c r="AE471" s="24"/>
      <c r="AF471" s="24"/>
      <c r="AG471" s="24"/>
      <c r="AH471" s="20"/>
      <c r="AI471" s="42"/>
    </row>
    <row r="472" spans="1:35">
      <c r="A472" s="14"/>
      <c r="B472" s="20"/>
      <c r="C472" s="20" t="s">
        <v>2420</v>
      </c>
      <c r="D472" s="20" t="s">
        <v>79</v>
      </c>
      <c r="E472" s="20" t="s">
        <v>80</v>
      </c>
      <c r="F472" s="53" t="s">
        <v>964</v>
      </c>
      <c r="G472" s="53" t="s">
        <v>1355</v>
      </c>
      <c r="H472" s="53" t="s">
        <v>113</v>
      </c>
      <c r="I472" s="211">
        <v>35329</v>
      </c>
      <c r="J472" s="24">
        <v>1</v>
      </c>
      <c r="K472" s="24"/>
      <c r="L472" s="24">
        <v>1</v>
      </c>
      <c r="M472" s="24"/>
      <c r="N472" s="24"/>
      <c r="O472" s="24"/>
      <c r="P472" s="24"/>
      <c r="Q472" s="24"/>
      <c r="R472" s="24"/>
      <c r="S472" s="24"/>
      <c r="T472" s="24"/>
      <c r="U472" s="53" t="s">
        <v>966</v>
      </c>
      <c r="V472" s="53" t="s">
        <v>873</v>
      </c>
      <c r="W472" s="53" t="s">
        <v>279</v>
      </c>
      <c r="X472" s="53" t="s">
        <v>227</v>
      </c>
      <c r="Y472" s="20"/>
      <c r="Z472" s="20"/>
      <c r="AA472" s="20"/>
      <c r="AB472" s="53" t="s">
        <v>2371</v>
      </c>
      <c r="AC472" s="24">
        <v>1</v>
      </c>
      <c r="AD472" s="24"/>
      <c r="AE472" s="24"/>
      <c r="AF472" s="24"/>
      <c r="AG472" s="24"/>
      <c r="AH472" s="20"/>
      <c r="AI472" s="42"/>
    </row>
    <row r="473" spans="1:35">
      <c r="A473" s="14"/>
      <c r="B473" s="20"/>
      <c r="C473" s="20" t="s">
        <v>2420</v>
      </c>
      <c r="D473" s="20" t="s">
        <v>79</v>
      </c>
      <c r="E473" s="20" t="s">
        <v>80</v>
      </c>
      <c r="F473" s="53" t="s">
        <v>2775</v>
      </c>
      <c r="G473" s="53" t="s">
        <v>2776</v>
      </c>
      <c r="H473" s="53"/>
      <c r="I473" s="211">
        <v>36566</v>
      </c>
      <c r="J473" s="24">
        <v>1</v>
      </c>
      <c r="K473" s="24"/>
      <c r="L473" s="24">
        <v>1</v>
      </c>
      <c r="M473" s="24"/>
      <c r="N473" s="24"/>
      <c r="O473" s="24"/>
      <c r="P473" s="24"/>
      <c r="Q473" s="24"/>
      <c r="R473" s="24"/>
      <c r="S473" s="24"/>
      <c r="T473" s="24"/>
      <c r="U473" s="53" t="s">
        <v>972</v>
      </c>
      <c r="V473" s="53" t="s">
        <v>873</v>
      </c>
      <c r="W473" s="53" t="s">
        <v>279</v>
      </c>
      <c r="X473" s="53" t="s">
        <v>227</v>
      </c>
      <c r="Y473" s="20"/>
      <c r="Z473" s="20"/>
      <c r="AA473" s="20"/>
      <c r="AB473" s="53" t="s">
        <v>2371</v>
      </c>
      <c r="AC473" s="24">
        <v>1</v>
      </c>
      <c r="AD473" s="24"/>
      <c r="AE473" s="24"/>
      <c r="AF473" s="24"/>
      <c r="AG473" s="24"/>
      <c r="AH473" s="20"/>
      <c r="AI473" s="42"/>
    </row>
    <row r="474" spans="1:35">
      <c r="A474" s="14"/>
      <c r="B474" s="20"/>
      <c r="C474" s="20" t="s">
        <v>2420</v>
      </c>
      <c r="D474" s="20" t="s">
        <v>79</v>
      </c>
      <c r="E474" s="20" t="s">
        <v>80</v>
      </c>
      <c r="F474" s="53" t="s">
        <v>2777</v>
      </c>
      <c r="G474" s="53" t="s">
        <v>2048</v>
      </c>
      <c r="H474" s="53" t="s">
        <v>136</v>
      </c>
      <c r="I474" s="211">
        <v>21326</v>
      </c>
      <c r="J474" s="24">
        <v>1</v>
      </c>
      <c r="K474" s="24"/>
      <c r="L474" s="24">
        <v>1</v>
      </c>
      <c r="M474" s="24">
        <v>1</v>
      </c>
      <c r="N474" s="24"/>
      <c r="O474" s="24"/>
      <c r="P474" s="24"/>
      <c r="Q474" s="24"/>
      <c r="R474" s="24"/>
      <c r="S474" s="24"/>
      <c r="T474" s="24"/>
      <c r="U474" s="53" t="s">
        <v>222</v>
      </c>
      <c r="V474" s="53" t="s">
        <v>873</v>
      </c>
      <c r="W474" s="53" t="s">
        <v>279</v>
      </c>
      <c r="X474" s="53" t="s">
        <v>227</v>
      </c>
      <c r="Y474" s="20"/>
      <c r="Z474" s="20"/>
      <c r="AA474" s="20"/>
      <c r="AB474" s="53" t="s">
        <v>2371</v>
      </c>
      <c r="AC474" s="24">
        <v>1</v>
      </c>
      <c r="AD474" s="24"/>
      <c r="AE474" s="24"/>
      <c r="AF474" s="24"/>
      <c r="AG474" s="24"/>
      <c r="AH474" s="20"/>
      <c r="AI474" s="42"/>
    </row>
    <row r="475" spans="1:35">
      <c r="A475" s="14"/>
      <c r="B475" s="20"/>
      <c r="C475" s="20" t="s">
        <v>2420</v>
      </c>
      <c r="D475" s="20" t="s">
        <v>79</v>
      </c>
      <c r="E475" s="20" t="s">
        <v>80</v>
      </c>
      <c r="F475" s="53" t="s">
        <v>2778</v>
      </c>
      <c r="G475" s="53" t="s">
        <v>998</v>
      </c>
      <c r="H475" s="53"/>
      <c r="I475" s="211">
        <v>25267</v>
      </c>
      <c r="J475" s="24">
        <v>1</v>
      </c>
      <c r="K475" s="24"/>
      <c r="L475" s="24">
        <v>1</v>
      </c>
      <c r="M475" s="24"/>
      <c r="N475" s="24"/>
      <c r="O475" s="24"/>
      <c r="P475" s="24"/>
      <c r="Q475" s="24"/>
      <c r="R475" s="24"/>
      <c r="S475" s="24"/>
      <c r="T475" s="24"/>
      <c r="U475" s="53" t="s">
        <v>966</v>
      </c>
      <c r="V475" s="53" t="s">
        <v>873</v>
      </c>
      <c r="W475" s="53" t="s">
        <v>279</v>
      </c>
      <c r="X475" s="53" t="s">
        <v>227</v>
      </c>
      <c r="Y475" s="20"/>
      <c r="Z475" s="20"/>
      <c r="AA475" s="20"/>
      <c r="AB475" s="53" t="s">
        <v>2371</v>
      </c>
      <c r="AC475" s="24">
        <v>1</v>
      </c>
      <c r="AD475" s="24"/>
      <c r="AE475" s="24"/>
      <c r="AF475" s="24"/>
      <c r="AG475" s="24"/>
      <c r="AH475" s="20"/>
      <c r="AI475" s="42"/>
    </row>
    <row r="476" spans="1:35">
      <c r="A476" s="14"/>
      <c r="B476" s="20"/>
      <c r="C476" s="20" t="s">
        <v>2420</v>
      </c>
      <c r="D476" s="20" t="s">
        <v>79</v>
      </c>
      <c r="E476" s="20" t="s">
        <v>80</v>
      </c>
      <c r="F476" s="53" t="s">
        <v>2779</v>
      </c>
      <c r="G476" s="53" t="s">
        <v>2780</v>
      </c>
      <c r="H476" s="53"/>
      <c r="I476" s="211">
        <v>26860</v>
      </c>
      <c r="J476" s="24">
        <v>1</v>
      </c>
      <c r="K476" s="24"/>
      <c r="L476" s="24">
        <v>1</v>
      </c>
      <c r="M476" s="24"/>
      <c r="N476" s="24"/>
      <c r="O476" s="24"/>
      <c r="P476" s="24"/>
      <c r="Q476" s="24"/>
      <c r="R476" s="24"/>
      <c r="S476" s="24"/>
      <c r="T476" s="24"/>
      <c r="U476" s="53" t="s">
        <v>2781</v>
      </c>
      <c r="V476" s="53" t="s">
        <v>873</v>
      </c>
      <c r="W476" s="53" t="s">
        <v>279</v>
      </c>
      <c r="X476" s="53" t="s">
        <v>227</v>
      </c>
      <c r="Y476" s="20"/>
      <c r="Z476" s="20"/>
      <c r="AA476" s="20"/>
      <c r="AB476" s="53" t="s">
        <v>2371</v>
      </c>
      <c r="AC476" s="24">
        <v>1</v>
      </c>
      <c r="AD476" s="24"/>
      <c r="AE476" s="24"/>
      <c r="AF476" s="24"/>
      <c r="AG476" s="24"/>
      <c r="AH476" s="20"/>
      <c r="AI476" s="42"/>
    </row>
    <row r="477" spans="1:35">
      <c r="A477" s="223" t="s">
        <v>93</v>
      </c>
      <c r="B477" s="20"/>
      <c r="C477" s="20" t="s">
        <v>2420</v>
      </c>
      <c r="D477" s="20" t="s">
        <v>79</v>
      </c>
      <c r="E477" s="20" t="s">
        <v>80</v>
      </c>
      <c r="F477" s="53" t="s">
        <v>2782</v>
      </c>
      <c r="G477" s="53" t="s">
        <v>1158</v>
      </c>
      <c r="H477" s="53" t="s">
        <v>286</v>
      </c>
      <c r="I477" s="211">
        <v>26192</v>
      </c>
      <c r="J477" s="24">
        <v>1</v>
      </c>
      <c r="K477" s="24"/>
      <c r="L477" s="24">
        <v>1</v>
      </c>
      <c r="M477" s="24"/>
      <c r="N477" s="24"/>
      <c r="O477" s="24"/>
      <c r="P477" s="24"/>
      <c r="Q477" s="24"/>
      <c r="R477" s="24"/>
      <c r="S477" s="24"/>
      <c r="T477" s="24"/>
      <c r="U477" s="53" t="s">
        <v>980</v>
      </c>
      <c r="V477" s="53" t="s">
        <v>873</v>
      </c>
      <c r="W477" s="53" t="s">
        <v>279</v>
      </c>
      <c r="X477" s="53" t="s">
        <v>227</v>
      </c>
      <c r="Y477" s="20"/>
      <c r="Z477" s="20"/>
      <c r="AA477" s="53" t="s">
        <v>2798</v>
      </c>
      <c r="AB477" s="53" t="s">
        <v>2371</v>
      </c>
      <c r="AC477" s="24">
        <v>1</v>
      </c>
      <c r="AD477" s="24"/>
      <c r="AE477" s="24"/>
      <c r="AF477" s="24"/>
      <c r="AG477" s="24"/>
      <c r="AH477" s="20"/>
      <c r="AI477" s="42"/>
    </row>
    <row r="478" spans="1:35">
      <c r="A478" s="14"/>
      <c r="B478" s="20"/>
      <c r="C478" s="20" t="s">
        <v>2420</v>
      </c>
      <c r="D478" s="20" t="s">
        <v>79</v>
      </c>
      <c r="E478" s="20" t="s">
        <v>80</v>
      </c>
      <c r="F478" s="53" t="s">
        <v>2783</v>
      </c>
      <c r="G478" s="53" t="s">
        <v>2784</v>
      </c>
      <c r="H478" s="53" t="s">
        <v>144</v>
      </c>
      <c r="I478" s="211">
        <v>25350</v>
      </c>
      <c r="J478" s="24">
        <v>1</v>
      </c>
      <c r="K478" s="24"/>
      <c r="L478" s="24">
        <v>1</v>
      </c>
      <c r="M478" s="24"/>
      <c r="N478" s="24"/>
      <c r="O478" s="24"/>
      <c r="P478" s="24"/>
      <c r="Q478" s="24"/>
      <c r="R478" s="24"/>
      <c r="S478" s="24"/>
      <c r="T478" s="24"/>
      <c r="U478" s="53" t="s">
        <v>980</v>
      </c>
      <c r="V478" s="53" t="s">
        <v>873</v>
      </c>
      <c r="W478" s="53" t="s">
        <v>279</v>
      </c>
      <c r="X478" s="53" t="s">
        <v>227</v>
      </c>
      <c r="Y478" s="20"/>
      <c r="Z478" s="20"/>
      <c r="AA478" s="53" t="s">
        <v>2799</v>
      </c>
      <c r="AB478" s="53" t="s">
        <v>2371</v>
      </c>
      <c r="AC478" s="24">
        <v>1</v>
      </c>
      <c r="AD478" s="24"/>
      <c r="AE478" s="24"/>
      <c r="AF478" s="24"/>
      <c r="AG478" s="24"/>
      <c r="AH478" s="20"/>
      <c r="AI478" s="42"/>
    </row>
    <row r="479" spans="1:35">
      <c r="A479" s="14"/>
      <c r="B479" s="20"/>
      <c r="C479" s="20" t="s">
        <v>2420</v>
      </c>
      <c r="D479" s="20" t="s">
        <v>79</v>
      </c>
      <c r="E479" s="20" t="s">
        <v>80</v>
      </c>
      <c r="F479" s="53" t="s">
        <v>2785</v>
      </c>
      <c r="G479" s="53" t="s">
        <v>400</v>
      </c>
      <c r="H479" s="53" t="s">
        <v>202</v>
      </c>
      <c r="I479" s="211">
        <v>24445</v>
      </c>
      <c r="J479" s="24">
        <v>1</v>
      </c>
      <c r="K479" s="24"/>
      <c r="L479" s="24">
        <v>1</v>
      </c>
      <c r="M479" s="24"/>
      <c r="N479" s="24"/>
      <c r="O479" s="24"/>
      <c r="P479" s="24"/>
      <c r="Q479" s="24"/>
      <c r="R479" s="24"/>
      <c r="S479" s="24"/>
      <c r="T479" s="24"/>
      <c r="U479" s="53" t="s">
        <v>980</v>
      </c>
      <c r="V479" s="53" t="s">
        <v>873</v>
      </c>
      <c r="W479" s="53" t="s">
        <v>279</v>
      </c>
      <c r="X479" s="53" t="s">
        <v>227</v>
      </c>
      <c r="Y479" s="20"/>
      <c r="Z479" s="20"/>
      <c r="AA479" s="53" t="s">
        <v>2800</v>
      </c>
      <c r="AB479" s="53" t="s">
        <v>2371</v>
      </c>
      <c r="AC479" s="24">
        <v>1</v>
      </c>
      <c r="AD479" s="24"/>
      <c r="AE479" s="24"/>
      <c r="AF479" s="24"/>
      <c r="AG479" s="24"/>
      <c r="AH479" s="20"/>
      <c r="AI479" s="42"/>
    </row>
    <row r="480" spans="1:35">
      <c r="A480" s="14"/>
      <c r="B480" s="20"/>
      <c r="C480" s="20" t="s">
        <v>2420</v>
      </c>
      <c r="D480" s="20" t="s">
        <v>79</v>
      </c>
      <c r="E480" s="20" t="s">
        <v>80</v>
      </c>
      <c r="F480" s="53" t="s">
        <v>746</v>
      </c>
      <c r="G480" s="53" t="s">
        <v>1304</v>
      </c>
      <c r="H480" s="53" t="s">
        <v>120</v>
      </c>
      <c r="I480" s="211">
        <v>21070</v>
      </c>
      <c r="J480" s="24">
        <v>1</v>
      </c>
      <c r="K480" s="75" t="s">
        <v>93</v>
      </c>
      <c r="L480" s="24">
        <v>1</v>
      </c>
      <c r="M480" s="24">
        <v>1</v>
      </c>
      <c r="N480" s="24"/>
      <c r="O480" s="24"/>
      <c r="P480" s="24"/>
      <c r="Q480" s="24"/>
      <c r="R480" s="24"/>
      <c r="S480" s="24"/>
      <c r="T480" s="24"/>
      <c r="U480" s="53" t="s">
        <v>980</v>
      </c>
      <c r="V480" s="53" t="s">
        <v>873</v>
      </c>
      <c r="W480" s="53" t="s">
        <v>279</v>
      </c>
      <c r="X480" s="53" t="s">
        <v>227</v>
      </c>
      <c r="Y480" s="20"/>
      <c r="Z480" s="20"/>
      <c r="AA480" s="53" t="s">
        <v>2801</v>
      </c>
      <c r="AB480" s="53" t="s">
        <v>2371</v>
      </c>
      <c r="AC480" s="24">
        <v>1</v>
      </c>
      <c r="AD480" s="24"/>
      <c r="AE480" s="24"/>
      <c r="AF480" s="24"/>
      <c r="AG480" s="24"/>
      <c r="AH480" s="20"/>
      <c r="AI480" s="42"/>
    </row>
    <row r="481" spans="1:35">
      <c r="A481" s="14"/>
      <c r="B481" s="20"/>
      <c r="C481" s="20" t="s">
        <v>2420</v>
      </c>
      <c r="D481" s="20" t="s">
        <v>79</v>
      </c>
      <c r="E481" s="20" t="s">
        <v>80</v>
      </c>
      <c r="F481" s="53" t="s">
        <v>1521</v>
      </c>
      <c r="G481" s="53" t="s">
        <v>2786</v>
      </c>
      <c r="H481" s="53" t="s">
        <v>136</v>
      </c>
      <c r="I481" s="211">
        <v>31993</v>
      </c>
      <c r="J481" s="24">
        <v>1</v>
      </c>
      <c r="K481" s="24"/>
      <c r="L481" s="24">
        <v>1</v>
      </c>
      <c r="M481" s="24"/>
      <c r="N481" s="24"/>
      <c r="O481" s="24"/>
      <c r="P481" s="24"/>
      <c r="Q481" s="24"/>
      <c r="R481" s="24"/>
      <c r="S481" s="24"/>
      <c r="T481" s="24"/>
      <c r="U481" s="53" t="s">
        <v>980</v>
      </c>
      <c r="V481" s="53" t="s">
        <v>873</v>
      </c>
      <c r="W481" s="53" t="s">
        <v>279</v>
      </c>
      <c r="X481" s="53" t="s">
        <v>227</v>
      </c>
      <c r="Y481" s="20"/>
      <c r="Z481" s="20"/>
      <c r="AA481" s="53" t="s">
        <v>2802</v>
      </c>
      <c r="AB481" s="53" t="s">
        <v>2371</v>
      </c>
      <c r="AC481" s="24">
        <v>1</v>
      </c>
      <c r="AD481" s="24"/>
      <c r="AE481" s="24"/>
      <c r="AF481" s="24"/>
      <c r="AG481" s="24"/>
      <c r="AH481" s="20"/>
      <c r="AI481" s="42"/>
    </row>
    <row r="482" spans="1:35">
      <c r="A482" s="14"/>
      <c r="B482" s="20"/>
      <c r="C482" s="20" t="s">
        <v>2420</v>
      </c>
      <c r="D482" s="20" t="s">
        <v>79</v>
      </c>
      <c r="E482" s="20" t="s">
        <v>80</v>
      </c>
      <c r="F482" s="53" t="s">
        <v>2787</v>
      </c>
      <c r="G482" s="53" t="s">
        <v>121</v>
      </c>
      <c r="H482" s="53" t="s">
        <v>126</v>
      </c>
      <c r="I482" s="211">
        <v>34072</v>
      </c>
      <c r="J482" s="24">
        <v>1</v>
      </c>
      <c r="K482" s="24"/>
      <c r="L482" s="24">
        <v>1</v>
      </c>
      <c r="M482" s="24"/>
      <c r="N482" s="24"/>
      <c r="O482" s="24"/>
      <c r="P482" s="24"/>
      <c r="Q482" s="24"/>
      <c r="R482" s="24"/>
      <c r="S482" s="24"/>
      <c r="T482" s="24"/>
      <c r="U482" s="53" t="s">
        <v>980</v>
      </c>
      <c r="V482" s="53" t="s">
        <v>873</v>
      </c>
      <c r="W482" s="53" t="s">
        <v>279</v>
      </c>
      <c r="X482" s="53" t="s">
        <v>227</v>
      </c>
      <c r="Y482" s="20"/>
      <c r="Z482" s="20"/>
      <c r="AA482" s="53" t="s">
        <v>2803</v>
      </c>
      <c r="AB482" s="53" t="s">
        <v>2371</v>
      </c>
      <c r="AC482" s="24">
        <v>1</v>
      </c>
      <c r="AD482" s="24"/>
      <c r="AE482" s="24"/>
      <c r="AF482" s="24"/>
      <c r="AG482" s="24"/>
      <c r="AH482" s="20"/>
      <c r="AI482" s="42"/>
    </row>
    <row r="483" spans="1:35">
      <c r="A483" s="14"/>
      <c r="B483" s="20"/>
      <c r="C483" s="20" t="s">
        <v>2420</v>
      </c>
      <c r="D483" s="20" t="s">
        <v>79</v>
      </c>
      <c r="E483" s="20" t="s">
        <v>80</v>
      </c>
      <c r="F483" s="53" t="s">
        <v>979</v>
      </c>
      <c r="G483" s="53" t="s">
        <v>2788</v>
      </c>
      <c r="H483" s="53" t="s">
        <v>133</v>
      </c>
      <c r="I483" s="211">
        <v>30768</v>
      </c>
      <c r="J483" s="24">
        <v>1</v>
      </c>
      <c r="K483" s="24"/>
      <c r="L483" s="24">
        <v>1</v>
      </c>
      <c r="M483" s="24"/>
      <c r="N483" s="24"/>
      <c r="O483" s="24"/>
      <c r="P483" s="24"/>
      <c r="Q483" s="24"/>
      <c r="R483" s="24"/>
      <c r="S483" s="24"/>
      <c r="T483" s="24"/>
      <c r="U483" s="53" t="s">
        <v>980</v>
      </c>
      <c r="V483" s="53" t="s">
        <v>873</v>
      </c>
      <c r="W483" s="53" t="s">
        <v>279</v>
      </c>
      <c r="X483" s="53" t="s">
        <v>227</v>
      </c>
      <c r="Y483" s="20"/>
      <c r="Z483" s="20"/>
      <c r="AA483" s="53" t="s">
        <v>2804</v>
      </c>
      <c r="AB483" s="53" t="s">
        <v>2371</v>
      </c>
      <c r="AC483" s="24">
        <v>1</v>
      </c>
      <c r="AD483" s="24"/>
      <c r="AE483" s="24"/>
      <c r="AF483" s="24"/>
      <c r="AG483" s="24"/>
      <c r="AH483" s="20"/>
      <c r="AI483" s="42"/>
    </row>
    <row r="484" spans="1:35">
      <c r="A484" s="14"/>
      <c r="B484" s="20"/>
      <c r="C484" s="20" t="s">
        <v>2420</v>
      </c>
      <c r="D484" s="20" t="s">
        <v>79</v>
      </c>
      <c r="E484" s="20" t="s">
        <v>80</v>
      </c>
      <c r="F484" s="53" t="s">
        <v>2789</v>
      </c>
      <c r="G484" s="53" t="s">
        <v>2790</v>
      </c>
      <c r="H484" s="53" t="s">
        <v>1183</v>
      </c>
      <c r="I484" s="211">
        <v>24354</v>
      </c>
      <c r="J484" s="24">
        <v>1</v>
      </c>
      <c r="K484" s="24"/>
      <c r="L484" s="24">
        <v>1</v>
      </c>
      <c r="M484" s="24"/>
      <c r="N484" s="24"/>
      <c r="O484" s="24"/>
      <c r="P484" s="24"/>
      <c r="Q484" s="24"/>
      <c r="R484" s="24"/>
      <c r="S484" s="24"/>
      <c r="T484" s="24"/>
      <c r="U484" s="53" t="s">
        <v>980</v>
      </c>
      <c r="V484" s="53" t="s">
        <v>873</v>
      </c>
      <c r="W484" s="53" t="s">
        <v>279</v>
      </c>
      <c r="X484" s="53" t="s">
        <v>227</v>
      </c>
      <c r="Y484" s="20"/>
      <c r="Z484" s="20"/>
      <c r="AA484" s="53" t="s">
        <v>2805</v>
      </c>
      <c r="AB484" s="53" t="s">
        <v>2371</v>
      </c>
      <c r="AC484" s="24">
        <v>1</v>
      </c>
      <c r="AD484" s="24"/>
      <c r="AE484" s="24"/>
      <c r="AF484" s="24"/>
      <c r="AG484" s="24"/>
      <c r="AH484" s="20"/>
      <c r="AI484" s="42"/>
    </row>
    <row r="485" spans="1:35">
      <c r="A485" s="14"/>
      <c r="B485" s="20"/>
      <c r="C485" s="20" t="s">
        <v>2420</v>
      </c>
      <c r="D485" s="20" t="s">
        <v>79</v>
      </c>
      <c r="E485" s="20" t="s">
        <v>80</v>
      </c>
      <c r="F485" s="53" t="s">
        <v>2791</v>
      </c>
      <c r="G485" s="53" t="s">
        <v>1158</v>
      </c>
      <c r="H485" s="53" t="s">
        <v>120</v>
      </c>
      <c r="I485" s="211">
        <v>26502</v>
      </c>
      <c r="J485" s="24">
        <v>1</v>
      </c>
      <c r="K485" s="24"/>
      <c r="L485" s="24">
        <v>1</v>
      </c>
      <c r="M485" s="24"/>
      <c r="N485" s="24"/>
      <c r="O485" s="24"/>
      <c r="P485" s="24"/>
      <c r="Q485" s="24"/>
      <c r="R485" s="24"/>
      <c r="S485" s="24"/>
      <c r="T485" s="24"/>
      <c r="U485" s="53" t="s">
        <v>980</v>
      </c>
      <c r="V485" s="53" t="s">
        <v>873</v>
      </c>
      <c r="W485" s="53" t="s">
        <v>279</v>
      </c>
      <c r="X485" s="53" t="s">
        <v>227</v>
      </c>
      <c r="Y485" s="20"/>
      <c r="Z485" s="20"/>
      <c r="AA485" s="53" t="s">
        <v>2807</v>
      </c>
      <c r="AB485" s="53" t="s">
        <v>2371</v>
      </c>
      <c r="AC485" s="24">
        <v>1</v>
      </c>
      <c r="AD485" s="24"/>
      <c r="AE485" s="24"/>
      <c r="AF485" s="24"/>
      <c r="AG485" s="24"/>
      <c r="AH485" s="20"/>
      <c r="AI485" s="42"/>
    </row>
    <row r="486" spans="1:35">
      <c r="A486" s="14"/>
      <c r="B486" s="20"/>
      <c r="C486" s="20" t="s">
        <v>2420</v>
      </c>
      <c r="D486" s="20" t="s">
        <v>79</v>
      </c>
      <c r="E486" s="20" t="s">
        <v>80</v>
      </c>
      <c r="F486" s="53" t="s">
        <v>2792</v>
      </c>
      <c r="G486" s="53" t="s">
        <v>795</v>
      </c>
      <c r="H486" s="53" t="s">
        <v>286</v>
      </c>
      <c r="I486" s="211">
        <v>16581</v>
      </c>
      <c r="J486" s="24">
        <v>1</v>
      </c>
      <c r="K486" s="24"/>
      <c r="L486" s="24">
        <v>1</v>
      </c>
      <c r="M486" s="24">
        <v>1</v>
      </c>
      <c r="N486" s="24"/>
      <c r="O486" s="24"/>
      <c r="P486" s="24"/>
      <c r="Q486" s="24"/>
      <c r="R486" s="24"/>
      <c r="S486" s="24"/>
      <c r="T486" s="24"/>
      <c r="U486" s="53" t="s">
        <v>980</v>
      </c>
      <c r="V486" s="53" t="s">
        <v>873</v>
      </c>
      <c r="W486" s="53" t="s">
        <v>279</v>
      </c>
      <c r="X486" s="53" t="s">
        <v>227</v>
      </c>
      <c r="Y486" s="20"/>
      <c r="Z486" s="20"/>
      <c r="AA486" s="53" t="s">
        <v>2806</v>
      </c>
      <c r="AB486" s="53" t="s">
        <v>2371</v>
      </c>
      <c r="AC486" s="24">
        <v>1</v>
      </c>
      <c r="AD486" s="24"/>
      <c r="AE486" s="24"/>
      <c r="AF486" s="24"/>
      <c r="AG486" s="24"/>
      <c r="AH486" s="20"/>
      <c r="AI486" s="42"/>
    </row>
    <row r="487" spans="1:35">
      <c r="A487" s="14"/>
      <c r="B487" s="20"/>
      <c r="C487" s="20" t="s">
        <v>2420</v>
      </c>
      <c r="D487" s="20" t="s">
        <v>79</v>
      </c>
      <c r="E487" s="20" t="s">
        <v>80</v>
      </c>
      <c r="F487" s="53" t="s">
        <v>2793</v>
      </c>
      <c r="G487" s="53" t="s">
        <v>1468</v>
      </c>
      <c r="H487" s="53" t="s">
        <v>286</v>
      </c>
      <c r="I487" s="211">
        <v>17606</v>
      </c>
      <c r="J487" s="24">
        <v>1</v>
      </c>
      <c r="K487" s="24"/>
      <c r="L487" s="24">
        <v>1</v>
      </c>
      <c r="M487" s="24">
        <v>1</v>
      </c>
      <c r="N487" s="24"/>
      <c r="O487" s="24"/>
      <c r="P487" s="24"/>
      <c r="Q487" s="24"/>
      <c r="R487" s="24"/>
      <c r="S487" s="24"/>
      <c r="T487" s="24"/>
      <c r="U487" s="53" t="s">
        <v>980</v>
      </c>
      <c r="V487" s="53" t="s">
        <v>873</v>
      </c>
      <c r="W487" s="53" t="s">
        <v>279</v>
      </c>
      <c r="X487" s="53" t="s">
        <v>227</v>
      </c>
      <c r="Y487" s="20"/>
      <c r="Z487" s="20"/>
      <c r="AA487" s="53" t="s">
        <v>2808</v>
      </c>
      <c r="AB487" s="53" t="s">
        <v>2371</v>
      </c>
      <c r="AC487" s="24">
        <v>1</v>
      </c>
      <c r="AD487" s="24"/>
      <c r="AE487" s="24"/>
      <c r="AF487" s="24"/>
      <c r="AG487" s="24"/>
      <c r="AH487" s="20"/>
      <c r="AI487" s="42"/>
    </row>
    <row r="488" spans="1:35">
      <c r="A488" s="14"/>
      <c r="B488" s="20"/>
      <c r="C488" s="20" t="s">
        <v>2420</v>
      </c>
      <c r="D488" s="20" t="s">
        <v>79</v>
      </c>
      <c r="E488" s="20" t="s">
        <v>80</v>
      </c>
      <c r="F488" s="53" t="s">
        <v>774</v>
      </c>
      <c r="G488" s="53" t="s">
        <v>1381</v>
      </c>
      <c r="H488" s="53" t="s">
        <v>120</v>
      </c>
      <c r="I488" s="211">
        <v>33964</v>
      </c>
      <c r="J488" s="24">
        <v>1</v>
      </c>
      <c r="K488" s="24"/>
      <c r="L488" s="24">
        <v>1</v>
      </c>
      <c r="M488" s="24"/>
      <c r="N488" s="24"/>
      <c r="O488" s="24"/>
      <c r="P488" s="24"/>
      <c r="Q488" s="24"/>
      <c r="R488" s="24"/>
      <c r="S488" s="24"/>
      <c r="T488" s="24"/>
      <c r="U488" s="53" t="s">
        <v>980</v>
      </c>
      <c r="V488" s="53" t="s">
        <v>873</v>
      </c>
      <c r="W488" s="53" t="s">
        <v>279</v>
      </c>
      <c r="X488" s="53" t="s">
        <v>227</v>
      </c>
      <c r="Y488" s="20"/>
      <c r="Z488" s="20"/>
      <c r="AA488" s="53" t="s">
        <v>2809</v>
      </c>
      <c r="AB488" s="53" t="s">
        <v>2371</v>
      </c>
      <c r="AC488" s="24">
        <v>1</v>
      </c>
      <c r="AD488" s="24"/>
      <c r="AE488" s="24"/>
      <c r="AF488" s="24"/>
      <c r="AG488" s="24"/>
      <c r="AH488" s="20"/>
      <c r="AI488" s="42"/>
    </row>
    <row r="489" spans="1:35">
      <c r="A489" s="14"/>
      <c r="B489" s="20"/>
      <c r="C489" s="20" t="s">
        <v>2420</v>
      </c>
      <c r="D489" s="20" t="s">
        <v>79</v>
      </c>
      <c r="E489" s="20" t="s">
        <v>80</v>
      </c>
      <c r="F489" s="53" t="s">
        <v>131</v>
      </c>
      <c r="G489" s="53" t="s">
        <v>2085</v>
      </c>
      <c r="H489" s="53" t="s">
        <v>286</v>
      </c>
      <c r="I489" s="211">
        <v>33173</v>
      </c>
      <c r="J489" s="24">
        <v>1</v>
      </c>
      <c r="K489" s="24"/>
      <c r="L489" s="24">
        <v>1</v>
      </c>
      <c r="M489" s="24"/>
      <c r="N489" s="24"/>
      <c r="O489" s="24"/>
      <c r="P489" s="24"/>
      <c r="Q489" s="24"/>
      <c r="R489" s="24"/>
      <c r="S489" s="24"/>
      <c r="T489" s="24"/>
      <c r="U489" s="53" t="s">
        <v>980</v>
      </c>
      <c r="V489" s="53" t="s">
        <v>873</v>
      </c>
      <c r="W489" s="53" t="s">
        <v>279</v>
      </c>
      <c r="X489" s="53" t="s">
        <v>227</v>
      </c>
      <c r="Y489" s="20"/>
      <c r="Z489" s="20"/>
      <c r="AA489" s="53" t="s">
        <v>2810</v>
      </c>
      <c r="AB489" s="53" t="s">
        <v>2371</v>
      </c>
      <c r="AC489" s="24">
        <v>1</v>
      </c>
      <c r="AD489" s="24"/>
      <c r="AE489" s="24"/>
      <c r="AF489" s="24"/>
      <c r="AG489" s="24"/>
      <c r="AH489" s="20"/>
      <c r="AI489" s="42"/>
    </row>
    <row r="490" spans="1:35">
      <c r="A490" s="14"/>
      <c r="B490" s="20"/>
      <c r="C490" s="20" t="s">
        <v>2420</v>
      </c>
      <c r="D490" s="20" t="s">
        <v>79</v>
      </c>
      <c r="E490" s="20" t="s">
        <v>80</v>
      </c>
      <c r="F490" s="53" t="s">
        <v>2794</v>
      </c>
      <c r="G490" s="53" t="s">
        <v>154</v>
      </c>
      <c r="H490" s="53" t="s">
        <v>115</v>
      </c>
      <c r="I490" s="211">
        <v>32311</v>
      </c>
      <c r="J490" s="24">
        <v>1</v>
      </c>
      <c r="K490" s="24"/>
      <c r="L490" s="24">
        <v>1</v>
      </c>
      <c r="M490" s="24"/>
      <c r="N490" s="24"/>
      <c r="O490" s="24"/>
      <c r="P490" s="24"/>
      <c r="Q490" s="24"/>
      <c r="R490" s="24"/>
      <c r="S490" s="24"/>
      <c r="T490" s="24"/>
      <c r="U490" s="53" t="s">
        <v>980</v>
      </c>
      <c r="V490" s="53" t="s">
        <v>873</v>
      </c>
      <c r="W490" s="53" t="s">
        <v>279</v>
      </c>
      <c r="X490" s="53" t="s">
        <v>227</v>
      </c>
      <c r="Y490" s="20"/>
      <c r="Z490" s="20"/>
      <c r="AA490" s="53" t="s">
        <v>2797</v>
      </c>
      <c r="AB490" s="53" t="s">
        <v>2371</v>
      </c>
      <c r="AC490" s="24">
        <v>1</v>
      </c>
      <c r="AD490" s="24"/>
      <c r="AE490" s="24"/>
      <c r="AF490" s="24"/>
      <c r="AG490" s="24"/>
      <c r="AH490" s="20"/>
      <c r="AI490" s="42"/>
    </row>
    <row r="491" spans="1:35">
      <c r="A491" s="14"/>
      <c r="B491" s="20"/>
      <c r="C491" s="20" t="s">
        <v>2420</v>
      </c>
      <c r="D491" s="20" t="s">
        <v>79</v>
      </c>
      <c r="E491" s="20" t="s">
        <v>80</v>
      </c>
      <c r="F491" s="53" t="s">
        <v>2795</v>
      </c>
      <c r="G491" s="53" t="s">
        <v>745</v>
      </c>
      <c r="H491" s="53" t="s">
        <v>136</v>
      </c>
      <c r="I491" s="211">
        <v>24214</v>
      </c>
      <c r="J491" s="24">
        <v>1</v>
      </c>
      <c r="K491" s="24"/>
      <c r="L491" s="24">
        <v>1</v>
      </c>
      <c r="M491" s="24"/>
      <c r="N491" s="24"/>
      <c r="O491" s="24"/>
      <c r="P491" s="24"/>
      <c r="Q491" s="24"/>
      <c r="R491" s="24"/>
      <c r="S491" s="24"/>
      <c r="T491" s="24"/>
      <c r="U491" s="53" t="s">
        <v>980</v>
      </c>
      <c r="V491" s="53" t="s">
        <v>873</v>
      </c>
      <c r="W491" s="53" t="s">
        <v>279</v>
      </c>
      <c r="X491" s="53" t="s">
        <v>227</v>
      </c>
      <c r="Y491" s="20"/>
      <c r="Z491" s="20"/>
      <c r="AA491" s="53" t="s">
        <v>2811</v>
      </c>
      <c r="AB491" s="53" t="s">
        <v>2371</v>
      </c>
      <c r="AC491" s="24">
        <v>1</v>
      </c>
      <c r="AD491" s="24"/>
      <c r="AE491" s="24"/>
      <c r="AF491" s="24"/>
      <c r="AG491" s="24"/>
      <c r="AH491" s="20"/>
      <c r="AI491" s="42"/>
    </row>
    <row r="492" spans="1:35">
      <c r="A492" s="14"/>
      <c r="B492" s="20"/>
      <c r="C492" s="20" t="s">
        <v>2420</v>
      </c>
      <c r="D492" s="20" t="s">
        <v>79</v>
      </c>
      <c r="E492" s="20" t="s">
        <v>80</v>
      </c>
      <c r="F492" s="53" t="s">
        <v>2812</v>
      </c>
      <c r="G492" s="53" t="s">
        <v>2813</v>
      </c>
      <c r="H492" s="53"/>
      <c r="I492" s="211">
        <v>28476</v>
      </c>
      <c r="J492" s="24">
        <v>1</v>
      </c>
      <c r="K492" s="24"/>
      <c r="L492" s="24">
        <v>1</v>
      </c>
      <c r="M492" s="24"/>
      <c r="N492" s="24"/>
      <c r="O492" s="24">
        <v>1</v>
      </c>
      <c r="P492" s="24"/>
      <c r="Q492" s="24"/>
      <c r="R492" s="24"/>
      <c r="S492" s="24"/>
      <c r="T492" s="24"/>
      <c r="U492" s="20" t="s">
        <v>2826</v>
      </c>
      <c r="V492" s="53" t="s">
        <v>873</v>
      </c>
      <c r="W492" s="53" t="s">
        <v>279</v>
      </c>
      <c r="X492" s="53" t="s">
        <v>227</v>
      </c>
      <c r="Y492" s="20">
        <v>9123422370</v>
      </c>
      <c r="Z492" s="20"/>
      <c r="AA492" s="53" t="s">
        <v>2827</v>
      </c>
      <c r="AB492" s="53" t="s">
        <v>2371</v>
      </c>
      <c r="AC492" s="24">
        <v>1</v>
      </c>
      <c r="AD492" s="24"/>
      <c r="AE492" s="24"/>
      <c r="AF492" s="24"/>
      <c r="AG492" s="24"/>
      <c r="AH492" s="20"/>
      <c r="AI492" s="42"/>
    </row>
    <row r="493" spans="1:35">
      <c r="A493" s="14"/>
      <c r="B493" s="20"/>
      <c r="C493" s="20" t="s">
        <v>2420</v>
      </c>
      <c r="D493" s="20" t="s">
        <v>79</v>
      </c>
      <c r="E493" s="20" t="s">
        <v>80</v>
      </c>
      <c r="F493" s="53" t="s">
        <v>1155</v>
      </c>
      <c r="G493" s="53" t="s">
        <v>1347</v>
      </c>
      <c r="H493" s="53" t="s">
        <v>133</v>
      </c>
      <c r="I493" s="211">
        <v>22478</v>
      </c>
      <c r="J493" s="24">
        <v>1</v>
      </c>
      <c r="K493" s="24"/>
      <c r="L493" s="24">
        <v>1</v>
      </c>
      <c r="M493" s="24"/>
      <c r="N493" s="24"/>
      <c r="O493" s="24"/>
      <c r="P493" s="24"/>
      <c r="Q493" s="24"/>
      <c r="R493" s="24"/>
      <c r="S493" s="24"/>
      <c r="T493" s="24"/>
      <c r="U493" s="20" t="s">
        <v>978</v>
      </c>
      <c r="V493" s="53" t="s">
        <v>873</v>
      </c>
      <c r="W493" s="53" t="s">
        <v>279</v>
      </c>
      <c r="X493" s="53" t="s">
        <v>227</v>
      </c>
      <c r="Y493" s="20">
        <v>9350358691</v>
      </c>
      <c r="Z493" s="20"/>
      <c r="AA493" s="20" t="s">
        <v>2832</v>
      </c>
      <c r="AB493" s="53" t="s">
        <v>2371</v>
      </c>
      <c r="AC493" s="24">
        <v>1</v>
      </c>
      <c r="AD493" s="24"/>
      <c r="AE493" s="24"/>
      <c r="AF493" s="24"/>
      <c r="AG493" s="24"/>
      <c r="AH493" s="20"/>
      <c r="AI493" s="42"/>
    </row>
    <row r="494" spans="1:35">
      <c r="A494" s="14"/>
      <c r="B494" s="20"/>
      <c r="C494" s="20" t="s">
        <v>2420</v>
      </c>
      <c r="D494" s="20" t="s">
        <v>79</v>
      </c>
      <c r="E494" s="20" t="s">
        <v>80</v>
      </c>
      <c r="F494" s="53" t="s">
        <v>2814</v>
      </c>
      <c r="G494" s="53" t="s">
        <v>1047</v>
      </c>
      <c r="H494" s="53" t="s">
        <v>126</v>
      </c>
      <c r="I494" s="211">
        <v>34438</v>
      </c>
      <c r="J494" s="24">
        <v>1</v>
      </c>
      <c r="K494" s="24"/>
      <c r="L494" s="24">
        <v>1</v>
      </c>
      <c r="M494" s="24"/>
      <c r="N494" s="24"/>
      <c r="O494" s="24"/>
      <c r="P494" s="24"/>
      <c r="Q494" s="24"/>
      <c r="R494" s="24"/>
      <c r="S494" s="24"/>
      <c r="T494" s="24"/>
      <c r="U494" s="20" t="s">
        <v>980</v>
      </c>
      <c r="V494" s="53" t="s">
        <v>873</v>
      </c>
      <c r="W494" s="53" t="s">
        <v>279</v>
      </c>
      <c r="X494" s="53" t="s">
        <v>227</v>
      </c>
      <c r="Y494" s="20">
        <v>9702214038</v>
      </c>
      <c r="Z494" s="20"/>
      <c r="AA494" s="20" t="s">
        <v>2828</v>
      </c>
      <c r="AB494" s="53" t="s">
        <v>2371</v>
      </c>
      <c r="AC494" s="24">
        <v>1</v>
      </c>
      <c r="AD494" s="24"/>
      <c r="AE494" s="24"/>
      <c r="AF494" s="24"/>
      <c r="AG494" s="24"/>
      <c r="AH494" s="20"/>
      <c r="AI494" s="42"/>
    </row>
    <row r="495" spans="1:35">
      <c r="A495" s="14"/>
      <c r="B495" s="20"/>
      <c r="C495" s="20" t="s">
        <v>2420</v>
      </c>
      <c r="D495" s="20" t="s">
        <v>79</v>
      </c>
      <c r="E495" s="20" t="s">
        <v>80</v>
      </c>
      <c r="F495" s="53" t="s">
        <v>2815</v>
      </c>
      <c r="G495" s="53" t="s">
        <v>989</v>
      </c>
      <c r="H495" s="53" t="s">
        <v>283</v>
      </c>
      <c r="I495" s="211">
        <v>27495</v>
      </c>
      <c r="J495" s="24">
        <v>1</v>
      </c>
      <c r="K495" s="24"/>
      <c r="L495" s="24">
        <v>1</v>
      </c>
      <c r="M495" s="24"/>
      <c r="N495" s="24"/>
      <c r="O495" s="24"/>
      <c r="P495" s="24"/>
      <c r="Q495" s="24"/>
      <c r="R495" s="24"/>
      <c r="S495" s="24"/>
      <c r="T495" s="24"/>
      <c r="U495" s="20" t="s">
        <v>980</v>
      </c>
      <c r="V495" s="53" t="s">
        <v>873</v>
      </c>
      <c r="W495" s="53" t="s">
        <v>279</v>
      </c>
      <c r="X495" s="53" t="s">
        <v>227</v>
      </c>
      <c r="Y495" s="20">
        <v>9653145961</v>
      </c>
      <c r="Z495" s="20"/>
      <c r="AA495" s="20" t="s">
        <v>2829</v>
      </c>
      <c r="AB495" s="53" t="s">
        <v>2371</v>
      </c>
      <c r="AC495" s="24">
        <v>1</v>
      </c>
      <c r="AD495" s="24"/>
      <c r="AE495" s="24"/>
      <c r="AF495" s="24"/>
      <c r="AG495" s="24"/>
      <c r="AH495" s="20"/>
      <c r="AI495" s="42"/>
    </row>
    <row r="496" spans="1:35">
      <c r="A496" s="14"/>
      <c r="B496" s="20"/>
      <c r="C496" s="20" t="s">
        <v>2420</v>
      </c>
      <c r="D496" s="20" t="s">
        <v>79</v>
      </c>
      <c r="E496" s="20" t="s">
        <v>80</v>
      </c>
      <c r="F496" s="53" t="s">
        <v>1927</v>
      </c>
      <c r="G496" s="53" t="s">
        <v>2816</v>
      </c>
      <c r="H496" s="53" t="s">
        <v>120</v>
      </c>
      <c r="I496" s="211">
        <v>29760</v>
      </c>
      <c r="J496" s="24" t="s">
        <v>93</v>
      </c>
      <c r="K496" s="24">
        <v>1</v>
      </c>
      <c r="L496" s="24">
        <v>1</v>
      </c>
      <c r="M496" s="24"/>
      <c r="N496" s="24"/>
      <c r="O496" s="24"/>
      <c r="P496" s="24"/>
      <c r="Q496" s="24"/>
      <c r="R496" s="24"/>
      <c r="S496" s="24"/>
      <c r="T496" s="24"/>
      <c r="U496" s="20" t="s">
        <v>980</v>
      </c>
      <c r="V496" s="53" t="s">
        <v>873</v>
      </c>
      <c r="W496" s="53" t="s">
        <v>279</v>
      </c>
      <c r="X496" s="53" t="s">
        <v>227</v>
      </c>
      <c r="Y496" s="20">
        <v>9972002695</v>
      </c>
      <c r="Z496" s="20"/>
      <c r="AA496" s="20" t="s">
        <v>2833</v>
      </c>
      <c r="AB496" s="53" t="s">
        <v>2371</v>
      </c>
      <c r="AC496" s="24">
        <v>1</v>
      </c>
      <c r="AD496" s="24"/>
      <c r="AE496" s="24"/>
      <c r="AF496" s="24"/>
      <c r="AG496" s="24"/>
      <c r="AH496" s="20"/>
      <c r="AI496" s="42"/>
    </row>
    <row r="497" spans="1:35">
      <c r="A497" s="14"/>
      <c r="B497" s="20"/>
      <c r="C497" s="20" t="s">
        <v>2420</v>
      </c>
      <c r="D497" s="20" t="s">
        <v>79</v>
      </c>
      <c r="E497" s="20" t="s">
        <v>80</v>
      </c>
      <c r="F497" s="53" t="s">
        <v>2817</v>
      </c>
      <c r="G497" s="53" t="s">
        <v>989</v>
      </c>
      <c r="H497" s="214" t="s">
        <v>93</v>
      </c>
      <c r="I497" s="214">
        <v>30769</v>
      </c>
      <c r="J497" s="24">
        <v>1</v>
      </c>
      <c r="K497" s="24"/>
      <c r="L497" s="24">
        <v>1</v>
      </c>
      <c r="M497" s="24"/>
      <c r="N497" s="24"/>
      <c r="O497" s="24"/>
      <c r="P497" s="24"/>
      <c r="Q497" s="24"/>
      <c r="R497" s="24"/>
      <c r="S497" s="24"/>
      <c r="T497" s="24"/>
      <c r="U497" s="20" t="s">
        <v>980</v>
      </c>
      <c r="V497" s="53" t="s">
        <v>873</v>
      </c>
      <c r="W497" s="53" t="s">
        <v>279</v>
      </c>
      <c r="X497" s="53" t="s">
        <v>227</v>
      </c>
      <c r="Y497" s="20">
        <v>9356576283</v>
      </c>
      <c r="Z497" s="20"/>
      <c r="AA497" s="20" t="s">
        <v>2834</v>
      </c>
      <c r="AB497" s="53" t="s">
        <v>2371</v>
      </c>
      <c r="AC497" s="24">
        <v>1</v>
      </c>
      <c r="AD497" s="24"/>
      <c r="AE497" s="24"/>
      <c r="AF497" s="24"/>
      <c r="AG497" s="24"/>
      <c r="AH497" s="20"/>
      <c r="AI497" s="42"/>
    </row>
    <row r="498" spans="1:35">
      <c r="A498" s="14"/>
      <c r="B498" s="20"/>
      <c r="C498" s="20" t="s">
        <v>2420</v>
      </c>
      <c r="D498" s="20" t="s">
        <v>79</v>
      </c>
      <c r="E498" s="20" t="s">
        <v>80</v>
      </c>
      <c r="F498" s="53" t="s">
        <v>2818</v>
      </c>
      <c r="G498" s="53" t="s">
        <v>2819</v>
      </c>
      <c r="H498" s="53" t="s">
        <v>144</v>
      </c>
      <c r="I498" s="211">
        <v>27668</v>
      </c>
      <c r="J498" s="24">
        <v>1</v>
      </c>
      <c r="K498" s="24"/>
      <c r="L498" s="24">
        <v>1</v>
      </c>
      <c r="M498" s="24"/>
      <c r="N498" s="24"/>
      <c r="O498" s="24"/>
      <c r="P498" s="24"/>
      <c r="Q498" s="24"/>
      <c r="R498" s="24"/>
      <c r="S498" s="24"/>
      <c r="T498" s="24"/>
      <c r="U498" s="20" t="s">
        <v>980</v>
      </c>
      <c r="V498" s="53" t="s">
        <v>873</v>
      </c>
      <c r="W498" s="53" t="s">
        <v>279</v>
      </c>
      <c r="X498" s="53" t="s">
        <v>227</v>
      </c>
      <c r="Y498" s="20">
        <v>9123240890</v>
      </c>
      <c r="Z498" s="20"/>
      <c r="AA498" s="20" t="s">
        <v>2830</v>
      </c>
      <c r="AB498" s="53" t="s">
        <v>2371</v>
      </c>
      <c r="AC498" s="24">
        <v>1</v>
      </c>
      <c r="AD498" s="24"/>
      <c r="AE498" s="24"/>
      <c r="AF498" s="24"/>
      <c r="AG498" s="24"/>
      <c r="AH498" s="20"/>
      <c r="AI498" s="42"/>
    </row>
    <row r="499" spans="1:35">
      <c r="A499" s="14"/>
      <c r="B499" s="20"/>
      <c r="C499" s="20" t="s">
        <v>2420</v>
      </c>
      <c r="D499" s="20" t="s">
        <v>79</v>
      </c>
      <c r="E499" s="20" t="s">
        <v>80</v>
      </c>
      <c r="F499" s="53" t="s">
        <v>2820</v>
      </c>
      <c r="G499" s="53" t="s">
        <v>832</v>
      </c>
      <c r="H499" s="53" t="s">
        <v>286</v>
      </c>
      <c r="I499" s="211">
        <v>29098</v>
      </c>
      <c r="J499" s="24">
        <v>1</v>
      </c>
      <c r="K499" s="24"/>
      <c r="L499" s="24">
        <v>1</v>
      </c>
      <c r="M499" s="24"/>
      <c r="N499" s="24"/>
      <c r="O499" s="24"/>
      <c r="P499" s="24"/>
      <c r="Q499" s="24"/>
      <c r="R499" s="24"/>
      <c r="S499" s="24"/>
      <c r="T499" s="24"/>
      <c r="U499" s="20" t="s">
        <v>980</v>
      </c>
      <c r="V499" s="53" t="s">
        <v>873</v>
      </c>
      <c r="W499" s="53" t="s">
        <v>279</v>
      </c>
      <c r="X499" s="53" t="s">
        <v>227</v>
      </c>
      <c r="Y499" s="20">
        <v>9557088486</v>
      </c>
      <c r="Z499" s="20"/>
      <c r="AA499" s="20" t="s">
        <v>2831</v>
      </c>
      <c r="AB499" s="53" t="s">
        <v>2371</v>
      </c>
      <c r="AC499" s="24">
        <v>1</v>
      </c>
      <c r="AD499" s="24"/>
      <c r="AE499" s="24"/>
      <c r="AF499" s="24"/>
      <c r="AG499" s="24"/>
      <c r="AH499" s="20"/>
      <c r="AI499" s="42"/>
    </row>
    <row r="500" spans="1:35">
      <c r="A500" s="14"/>
      <c r="B500" s="20"/>
      <c r="C500" s="20" t="s">
        <v>2420</v>
      </c>
      <c r="D500" s="20" t="s">
        <v>79</v>
      </c>
      <c r="E500" s="20" t="s">
        <v>80</v>
      </c>
      <c r="F500" s="53" t="s">
        <v>2821</v>
      </c>
      <c r="G500" s="53" t="s">
        <v>204</v>
      </c>
      <c r="H500" s="53" t="s">
        <v>1040</v>
      </c>
      <c r="I500" s="211">
        <v>27463</v>
      </c>
      <c r="J500" s="24"/>
      <c r="K500" s="24">
        <v>1</v>
      </c>
      <c r="L500" s="24">
        <v>1</v>
      </c>
      <c r="M500" s="24"/>
      <c r="N500" s="24"/>
      <c r="O500" s="24"/>
      <c r="P500" s="24"/>
      <c r="Q500" s="24"/>
      <c r="R500" s="24"/>
      <c r="S500" s="24"/>
      <c r="T500" s="24"/>
      <c r="U500" s="20" t="s">
        <v>980</v>
      </c>
      <c r="V500" s="53" t="s">
        <v>873</v>
      </c>
      <c r="W500" s="53" t="s">
        <v>279</v>
      </c>
      <c r="X500" s="53" t="s">
        <v>227</v>
      </c>
      <c r="Y500" s="20">
        <v>9380804524</v>
      </c>
      <c r="Z500" s="20"/>
      <c r="AA500" s="20" t="s">
        <v>2836</v>
      </c>
      <c r="AB500" s="53" t="s">
        <v>2371</v>
      </c>
      <c r="AC500" s="24">
        <v>1</v>
      </c>
      <c r="AD500" s="24"/>
      <c r="AE500" s="24"/>
      <c r="AF500" s="24"/>
      <c r="AG500" s="24"/>
      <c r="AH500" s="20"/>
      <c r="AI500" s="42"/>
    </row>
    <row r="501" spans="1:35">
      <c r="A501" s="14"/>
      <c r="B501" s="20"/>
      <c r="C501" s="20" t="s">
        <v>2420</v>
      </c>
      <c r="D501" s="20" t="s">
        <v>79</v>
      </c>
      <c r="E501" s="20" t="s">
        <v>80</v>
      </c>
      <c r="F501" s="53" t="s">
        <v>2822</v>
      </c>
      <c r="G501" s="53" t="s">
        <v>1158</v>
      </c>
      <c r="H501" s="53"/>
      <c r="I501" s="211">
        <v>35704</v>
      </c>
      <c r="J501" s="24">
        <v>1</v>
      </c>
      <c r="K501" s="24"/>
      <c r="L501" s="24">
        <v>1</v>
      </c>
      <c r="M501" s="24"/>
      <c r="N501" s="24"/>
      <c r="O501" s="24"/>
      <c r="P501" s="24"/>
      <c r="Q501" s="24"/>
      <c r="R501" s="24"/>
      <c r="S501" s="24"/>
      <c r="T501" s="24"/>
      <c r="U501" s="20" t="s">
        <v>980</v>
      </c>
      <c r="V501" s="53" t="s">
        <v>873</v>
      </c>
      <c r="W501" s="53" t="s">
        <v>279</v>
      </c>
      <c r="X501" s="53" t="s">
        <v>227</v>
      </c>
      <c r="Y501" s="20">
        <v>9090108793</v>
      </c>
      <c r="Z501" s="20"/>
      <c r="AA501" s="20" t="s">
        <v>2837</v>
      </c>
      <c r="AB501" s="53" t="s">
        <v>2371</v>
      </c>
      <c r="AC501" s="24">
        <v>1</v>
      </c>
      <c r="AD501" s="24"/>
      <c r="AE501" s="24"/>
      <c r="AF501" s="24"/>
      <c r="AG501" s="24"/>
      <c r="AH501" s="20"/>
      <c r="AI501" s="42"/>
    </row>
    <row r="502" spans="1:35">
      <c r="A502" s="14"/>
      <c r="B502" s="20"/>
      <c r="C502" s="20" t="s">
        <v>2420</v>
      </c>
      <c r="D502" s="20" t="s">
        <v>79</v>
      </c>
      <c r="E502" s="20" t="s">
        <v>80</v>
      </c>
      <c r="F502" s="53" t="s">
        <v>2823</v>
      </c>
      <c r="G502" s="53" t="s">
        <v>187</v>
      </c>
      <c r="H502" s="53"/>
      <c r="I502" s="211">
        <v>24430</v>
      </c>
      <c r="J502" s="24">
        <v>1</v>
      </c>
      <c r="K502" s="24"/>
      <c r="L502" s="24">
        <v>1</v>
      </c>
      <c r="M502" s="24"/>
      <c r="N502" s="24"/>
      <c r="O502" s="24"/>
      <c r="P502" s="24"/>
      <c r="Q502" s="24"/>
      <c r="R502" s="24"/>
      <c r="S502" s="24"/>
      <c r="T502" s="24"/>
      <c r="U502" s="20" t="s">
        <v>980</v>
      </c>
      <c r="V502" s="53" t="s">
        <v>873</v>
      </c>
      <c r="W502" s="53" t="s">
        <v>279</v>
      </c>
      <c r="X502" s="53" t="s">
        <v>227</v>
      </c>
      <c r="Y502" s="20">
        <v>9051728263</v>
      </c>
      <c r="Z502" s="20"/>
      <c r="AA502" s="20" t="s">
        <v>2835</v>
      </c>
      <c r="AB502" s="53" t="s">
        <v>2371</v>
      </c>
      <c r="AC502" s="24">
        <v>1</v>
      </c>
      <c r="AD502" s="24"/>
      <c r="AE502" s="24"/>
      <c r="AF502" s="24"/>
      <c r="AG502" s="24"/>
      <c r="AH502" s="20"/>
      <c r="AI502" s="42"/>
    </row>
    <row r="503" spans="1:35">
      <c r="A503" s="14"/>
      <c r="B503" s="20"/>
      <c r="C503" s="20" t="s">
        <v>2420</v>
      </c>
      <c r="D503" s="20" t="s">
        <v>79</v>
      </c>
      <c r="E503" s="20" t="s">
        <v>80</v>
      </c>
      <c r="F503" s="53" t="s">
        <v>2824</v>
      </c>
      <c r="G503" s="53" t="s">
        <v>188</v>
      </c>
      <c r="H503" s="53" t="s">
        <v>126</v>
      </c>
      <c r="I503" s="211">
        <v>32152</v>
      </c>
      <c r="J503" s="24">
        <v>1</v>
      </c>
      <c r="K503" s="24"/>
      <c r="L503" s="24">
        <v>1</v>
      </c>
      <c r="M503" s="24"/>
      <c r="N503" s="24"/>
      <c r="O503" s="24"/>
      <c r="P503" s="24"/>
      <c r="Q503" s="24"/>
      <c r="R503" s="24"/>
      <c r="S503" s="24"/>
      <c r="T503" s="24"/>
      <c r="U503" s="20" t="s">
        <v>980</v>
      </c>
      <c r="V503" s="53" t="s">
        <v>873</v>
      </c>
      <c r="W503" s="53" t="s">
        <v>279</v>
      </c>
      <c r="X503" s="53" t="s">
        <v>227</v>
      </c>
      <c r="Y503" s="20"/>
      <c r="Z503" s="20"/>
      <c r="AA503" s="20" t="s">
        <v>2838</v>
      </c>
      <c r="AB503" s="53" t="s">
        <v>2371</v>
      </c>
      <c r="AC503" s="24">
        <v>1</v>
      </c>
      <c r="AD503" s="24"/>
      <c r="AE503" s="24"/>
      <c r="AF503" s="24"/>
      <c r="AG503" s="24"/>
      <c r="AH503" s="20"/>
      <c r="AI503" s="42"/>
    </row>
    <row r="504" spans="1:35">
      <c r="A504" s="14"/>
      <c r="B504" s="20"/>
      <c r="C504" s="20" t="s">
        <v>2420</v>
      </c>
      <c r="D504" s="20" t="s">
        <v>79</v>
      </c>
      <c r="E504" s="20" t="s">
        <v>80</v>
      </c>
      <c r="F504" s="53" t="s">
        <v>548</v>
      </c>
      <c r="G504" s="53" t="s">
        <v>432</v>
      </c>
      <c r="H504" s="53" t="s">
        <v>286</v>
      </c>
      <c r="I504" s="211">
        <v>25004</v>
      </c>
      <c r="J504" s="24"/>
      <c r="K504" s="24">
        <v>1</v>
      </c>
      <c r="L504" s="24">
        <v>1</v>
      </c>
      <c r="M504" s="24"/>
      <c r="N504" s="24"/>
      <c r="O504" s="24"/>
      <c r="P504" s="24"/>
      <c r="Q504" s="24"/>
      <c r="R504" s="24"/>
      <c r="S504" s="24"/>
      <c r="T504" s="24"/>
      <c r="U504" s="20" t="s">
        <v>980</v>
      </c>
      <c r="V504" s="53" t="s">
        <v>873</v>
      </c>
      <c r="W504" s="53" t="s">
        <v>279</v>
      </c>
      <c r="X504" s="53" t="s">
        <v>227</v>
      </c>
      <c r="Y504" s="20">
        <v>9755962086</v>
      </c>
      <c r="Z504" s="20"/>
      <c r="AA504" s="20" t="s">
        <v>2839</v>
      </c>
      <c r="AB504" s="53" t="s">
        <v>2371</v>
      </c>
      <c r="AC504" s="24">
        <v>1</v>
      </c>
      <c r="AD504" s="24"/>
      <c r="AE504" s="24"/>
      <c r="AF504" s="24"/>
      <c r="AG504" s="24"/>
      <c r="AH504" s="20"/>
      <c r="AI504" s="42"/>
    </row>
    <row r="505" spans="1:35">
      <c r="A505" s="14"/>
      <c r="B505" s="20"/>
      <c r="C505" s="20" t="s">
        <v>2420</v>
      </c>
      <c r="D505" s="20" t="s">
        <v>79</v>
      </c>
      <c r="E505" s="20" t="s">
        <v>80</v>
      </c>
      <c r="F505" s="53" t="s">
        <v>2825</v>
      </c>
      <c r="G505" s="53" t="s">
        <v>891</v>
      </c>
      <c r="H505" s="53"/>
      <c r="I505" s="211">
        <v>24381</v>
      </c>
      <c r="J505" s="24">
        <v>1</v>
      </c>
      <c r="K505" s="24"/>
      <c r="L505" s="24">
        <v>1</v>
      </c>
      <c r="M505" s="24"/>
      <c r="N505" s="24"/>
      <c r="O505" s="24"/>
      <c r="P505" s="24"/>
      <c r="Q505" s="24"/>
      <c r="R505" s="24"/>
      <c r="S505" s="24"/>
      <c r="T505" s="24"/>
      <c r="U505" s="20" t="s">
        <v>980</v>
      </c>
      <c r="V505" s="53" t="s">
        <v>873</v>
      </c>
      <c r="W505" s="53" t="s">
        <v>279</v>
      </c>
      <c r="X505" s="53" t="s">
        <v>227</v>
      </c>
      <c r="Y505" s="20"/>
      <c r="Z505" s="20"/>
      <c r="AA505" s="20" t="s">
        <v>2840</v>
      </c>
      <c r="AB505" s="53" t="s">
        <v>2371</v>
      </c>
      <c r="AC505" s="24">
        <v>1</v>
      </c>
      <c r="AD505" s="24"/>
      <c r="AE505" s="24"/>
      <c r="AF505" s="24"/>
      <c r="AG505" s="24"/>
      <c r="AH505" s="20"/>
      <c r="AI505" s="42"/>
    </row>
    <row r="506" spans="1:35">
      <c r="A506" s="14"/>
      <c r="B506" s="20"/>
      <c r="C506" s="20" t="s">
        <v>2420</v>
      </c>
      <c r="D506" s="20" t="s">
        <v>79</v>
      </c>
      <c r="E506" s="20" t="s">
        <v>80</v>
      </c>
      <c r="F506" s="53" t="s">
        <v>1927</v>
      </c>
      <c r="G506" s="53" t="s">
        <v>1468</v>
      </c>
      <c r="H506" s="53"/>
      <c r="I506" s="211">
        <v>33675</v>
      </c>
      <c r="J506" s="24">
        <v>1</v>
      </c>
      <c r="K506" s="24"/>
      <c r="L506" s="24">
        <v>1</v>
      </c>
      <c r="M506" s="24"/>
      <c r="N506" s="24"/>
      <c r="O506" s="24"/>
      <c r="P506" s="24"/>
      <c r="Q506" s="24"/>
      <c r="R506" s="24"/>
      <c r="S506" s="24"/>
      <c r="T506" s="24"/>
      <c r="U506" s="20" t="s">
        <v>980</v>
      </c>
      <c r="V506" s="53" t="s">
        <v>873</v>
      </c>
      <c r="W506" s="53" t="s">
        <v>279</v>
      </c>
      <c r="X506" s="53" t="s">
        <v>227</v>
      </c>
      <c r="Y506" s="20"/>
      <c r="Z506" s="20"/>
      <c r="AA506" s="20" t="s">
        <v>2841</v>
      </c>
      <c r="AB506" s="53" t="s">
        <v>2371</v>
      </c>
      <c r="AC506" s="24">
        <v>1</v>
      </c>
      <c r="AD506" s="24"/>
      <c r="AE506" s="24"/>
      <c r="AF506" s="24"/>
      <c r="AG506" s="24"/>
      <c r="AH506" s="20"/>
      <c r="AI506" s="42"/>
    </row>
    <row r="507" spans="1:35">
      <c r="A507" s="14"/>
      <c r="B507" s="20"/>
      <c r="C507" s="20" t="s">
        <v>2420</v>
      </c>
      <c r="D507" s="20" t="s">
        <v>79</v>
      </c>
      <c r="E507" s="20" t="s">
        <v>80</v>
      </c>
      <c r="F507" s="53" t="s">
        <v>2877</v>
      </c>
      <c r="G507" s="53" t="s">
        <v>2325</v>
      </c>
      <c r="H507" s="53"/>
      <c r="I507" s="211">
        <v>28432</v>
      </c>
      <c r="J507" s="24">
        <v>1</v>
      </c>
      <c r="K507" s="24"/>
      <c r="L507" s="24">
        <v>1</v>
      </c>
      <c r="M507" s="24"/>
      <c r="N507" s="24"/>
      <c r="O507" s="24"/>
      <c r="P507" s="24"/>
      <c r="Q507" s="24"/>
      <c r="R507" s="24"/>
      <c r="S507" s="24"/>
      <c r="T507" s="24"/>
      <c r="U507" s="20" t="s">
        <v>2890</v>
      </c>
      <c r="V507" s="20" t="s">
        <v>872</v>
      </c>
      <c r="W507" s="53" t="s">
        <v>280</v>
      </c>
      <c r="X507" s="20" t="s">
        <v>227</v>
      </c>
      <c r="Y507" s="20"/>
      <c r="Z507" s="20"/>
      <c r="AA507" s="20" t="s">
        <v>1476</v>
      </c>
      <c r="AB507" s="20" t="s">
        <v>2371</v>
      </c>
      <c r="AC507" s="24">
        <v>1</v>
      </c>
      <c r="AD507" s="24"/>
      <c r="AE507" s="24"/>
      <c r="AF507" s="24"/>
      <c r="AG507" s="24"/>
      <c r="AH507" s="20"/>
      <c r="AI507" s="42"/>
    </row>
    <row r="508" spans="1:35">
      <c r="A508" s="14"/>
      <c r="B508" s="20"/>
      <c r="C508" s="20" t="s">
        <v>2420</v>
      </c>
      <c r="D508" s="20" t="s">
        <v>79</v>
      </c>
      <c r="E508" s="20" t="s">
        <v>80</v>
      </c>
      <c r="F508" s="53" t="s">
        <v>2878</v>
      </c>
      <c r="G508" s="53" t="s">
        <v>2879</v>
      </c>
      <c r="H508" s="53"/>
      <c r="I508" s="211">
        <v>25578</v>
      </c>
      <c r="J508" s="24">
        <v>1</v>
      </c>
      <c r="K508" s="24"/>
      <c r="L508" s="24">
        <v>1</v>
      </c>
      <c r="M508" s="24"/>
      <c r="N508" s="24"/>
      <c r="O508" s="24"/>
      <c r="P508" s="24"/>
      <c r="Q508" s="24"/>
      <c r="R508" s="24"/>
      <c r="S508" s="24"/>
      <c r="T508" s="24"/>
      <c r="U508" s="20" t="s">
        <v>2890</v>
      </c>
      <c r="V508" s="20" t="s">
        <v>872</v>
      </c>
      <c r="W508" s="53" t="s">
        <v>280</v>
      </c>
      <c r="X508" s="20" t="s">
        <v>227</v>
      </c>
      <c r="Y508" s="20"/>
      <c r="Z508" s="20"/>
      <c r="AA508" s="20" t="s">
        <v>1476</v>
      </c>
      <c r="AB508" s="53" t="s">
        <v>2371</v>
      </c>
      <c r="AC508" s="24">
        <v>1</v>
      </c>
      <c r="AD508" s="24"/>
      <c r="AE508" s="24"/>
      <c r="AF508" s="24"/>
      <c r="AG508" s="24"/>
      <c r="AH508" s="20"/>
      <c r="AI508" s="42"/>
    </row>
    <row r="509" spans="1:35">
      <c r="A509" s="14"/>
      <c r="B509" s="20"/>
      <c r="C509" s="20" t="s">
        <v>2420</v>
      </c>
      <c r="D509" s="20" t="s">
        <v>79</v>
      </c>
      <c r="E509" s="20" t="s">
        <v>80</v>
      </c>
      <c r="F509" s="53" t="s">
        <v>961</v>
      </c>
      <c r="G509" s="53" t="s">
        <v>2640</v>
      </c>
      <c r="H509" s="53" t="s">
        <v>160</v>
      </c>
      <c r="I509" s="211">
        <v>22303</v>
      </c>
      <c r="J509" s="24">
        <v>1</v>
      </c>
      <c r="K509" s="24"/>
      <c r="L509" s="24">
        <v>1</v>
      </c>
      <c r="M509" s="24"/>
      <c r="N509" s="24"/>
      <c r="O509" s="24"/>
      <c r="P509" s="24"/>
      <c r="Q509" s="24"/>
      <c r="R509" s="24"/>
      <c r="S509" s="24"/>
      <c r="T509" s="24"/>
      <c r="U509" s="20" t="s">
        <v>2890</v>
      </c>
      <c r="V509" s="20" t="s">
        <v>872</v>
      </c>
      <c r="W509" s="53" t="s">
        <v>280</v>
      </c>
      <c r="X509" s="20" t="s">
        <v>227</v>
      </c>
      <c r="Y509" s="20"/>
      <c r="Z509" s="20"/>
      <c r="AA509" s="20" t="s">
        <v>1476</v>
      </c>
      <c r="AB509" s="53" t="s">
        <v>2371</v>
      </c>
      <c r="AC509" s="24">
        <v>1</v>
      </c>
      <c r="AD509" s="24"/>
      <c r="AE509" s="24"/>
      <c r="AF509" s="24"/>
      <c r="AG509" s="24"/>
      <c r="AH509" s="20"/>
      <c r="AI509" s="42"/>
    </row>
    <row r="510" spans="1:35">
      <c r="A510" s="14"/>
      <c r="B510" s="20"/>
      <c r="C510" s="20" t="s">
        <v>2420</v>
      </c>
      <c r="D510" s="20" t="s">
        <v>79</v>
      </c>
      <c r="E510" s="20" t="s">
        <v>80</v>
      </c>
      <c r="F510" s="53" t="s">
        <v>2880</v>
      </c>
      <c r="G510" s="53" t="s">
        <v>2881</v>
      </c>
      <c r="H510" s="53" t="s">
        <v>283</v>
      </c>
      <c r="I510" s="211">
        <v>37973</v>
      </c>
      <c r="J510" s="24">
        <v>1</v>
      </c>
      <c r="K510" s="24"/>
      <c r="L510" s="24">
        <v>1</v>
      </c>
      <c r="M510" s="24"/>
      <c r="N510" s="24"/>
      <c r="O510" s="24"/>
      <c r="P510" s="24"/>
      <c r="Q510" s="24"/>
      <c r="R510" s="24"/>
      <c r="S510" s="24"/>
      <c r="T510" s="24"/>
      <c r="U510" s="20" t="s">
        <v>2890</v>
      </c>
      <c r="V510" s="20" t="s">
        <v>872</v>
      </c>
      <c r="W510" s="53" t="s">
        <v>280</v>
      </c>
      <c r="X510" s="20" t="s">
        <v>227</v>
      </c>
      <c r="Y510" s="20"/>
      <c r="Z510" s="20"/>
      <c r="AA510" s="20" t="s">
        <v>1476</v>
      </c>
      <c r="AB510" s="53" t="s">
        <v>2371</v>
      </c>
      <c r="AC510" s="24">
        <v>1</v>
      </c>
      <c r="AD510" s="24"/>
      <c r="AE510" s="24"/>
      <c r="AF510" s="24"/>
      <c r="AG510" s="24"/>
      <c r="AH510" s="20"/>
      <c r="AI510" s="42"/>
    </row>
    <row r="511" spans="1:35">
      <c r="A511" s="14"/>
      <c r="B511" s="20"/>
      <c r="C511" s="20" t="s">
        <v>2420</v>
      </c>
      <c r="D511" s="20" t="s">
        <v>79</v>
      </c>
      <c r="E511" s="20" t="s">
        <v>80</v>
      </c>
      <c r="F511" s="53" t="s">
        <v>2882</v>
      </c>
      <c r="G511" s="53" t="s">
        <v>2883</v>
      </c>
      <c r="H511" s="53" t="s">
        <v>409</v>
      </c>
      <c r="I511" s="211">
        <v>28228</v>
      </c>
      <c r="J511" s="24">
        <v>1</v>
      </c>
      <c r="K511" s="24"/>
      <c r="L511" s="24">
        <v>1</v>
      </c>
      <c r="M511" s="24"/>
      <c r="N511" s="24"/>
      <c r="O511" s="24"/>
      <c r="P511" s="24"/>
      <c r="Q511" s="24"/>
      <c r="R511" s="24"/>
      <c r="S511" s="24"/>
      <c r="T511" s="24"/>
      <c r="U511" s="20" t="s">
        <v>1023</v>
      </c>
      <c r="V511" s="20" t="s">
        <v>872</v>
      </c>
      <c r="W511" s="53" t="s">
        <v>280</v>
      </c>
      <c r="X511" s="20" t="s">
        <v>227</v>
      </c>
      <c r="Y511" s="20"/>
      <c r="Z511" s="20"/>
      <c r="AA511" s="20" t="s">
        <v>1476</v>
      </c>
      <c r="AB511" s="53" t="s">
        <v>2371</v>
      </c>
      <c r="AC511" s="24">
        <v>1</v>
      </c>
      <c r="AD511" s="24"/>
      <c r="AE511" s="24"/>
      <c r="AF511" s="24"/>
      <c r="AG511" s="24"/>
      <c r="AH511" s="20"/>
      <c r="AI511" s="42"/>
    </row>
    <row r="512" spans="1:35">
      <c r="A512" s="14"/>
      <c r="B512" s="20"/>
      <c r="C512" s="20" t="s">
        <v>2420</v>
      </c>
      <c r="D512" s="20" t="s">
        <v>79</v>
      </c>
      <c r="E512" s="20" t="s">
        <v>80</v>
      </c>
      <c r="F512" s="53" t="s">
        <v>395</v>
      </c>
      <c r="G512" s="53" t="s">
        <v>2884</v>
      </c>
      <c r="H512" s="53"/>
      <c r="I512" s="211">
        <v>28531</v>
      </c>
      <c r="J512" s="24">
        <v>1</v>
      </c>
      <c r="K512" s="24"/>
      <c r="L512" s="24">
        <v>1</v>
      </c>
      <c r="M512" s="24"/>
      <c r="N512" s="24"/>
      <c r="O512" s="24"/>
      <c r="P512" s="24"/>
      <c r="Q512" s="24"/>
      <c r="R512" s="24"/>
      <c r="S512" s="24"/>
      <c r="T512" s="24"/>
      <c r="U512" s="20" t="s">
        <v>2073</v>
      </c>
      <c r="V512" s="20" t="s">
        <v>872</v>
      </c>
      <c r="W512" s="53" t="s">
        <v>280</v>
      </c>
      <c r="X512" s="20" t="s">
        <v>227</v>
      </c>
      <c r="Y512" s="20"/>
      <c r="Z512" s="20"/>
      <c r="AA512" s="20" t="s">
        <v>1476</v>
      </c>
      <c r="AB512" s="20" t="s">
        <v>2371</v>
      </c>
      <c r="AC512" s="24">
        <v>1</v>
      </c>
      <c r="AD512" s="24"/>
      <c r="AE512" s="24"/>
      <c r="AF512" s="24"/>
      <c r="AG512" s="24"/>
      <c r="AH512" s="20"/>
      <c r="AI512" s="42"/>
    </row>
    <row r="513" spans="1:35">
      <c r="A513" s="14"/>
      <c r="B513" s="20"/>
      <c r="C513" s="20" t="s">
        <v>2420</v>
      </c>
      <c r="D513" s="20" t="s">
        <v>79</v>
      </c>
      <c r="E513" s="20" t="s">
        <v>80</v>
      </c>
      <c r="F513" s="53" t="s">
        <v>2885</v>
      </c>
      <c r="G513" s="53" t="s">
        <v>2886</v>
      </c>
      <c r="H513" s="53"/>
      <c r="I513" s="211">
        <v>25583</v>
      </c>
      <c r="J513" s="24">
        <v>1</v>
      </c>
      <c r="K513" s="24"/>
      <c r="L513" s="24">
        <v>1</v>
      </c>
      <c r="M513" s="24"/>
      <c r="N513" s="24"/>
      <c r="O513" s="24"/>
      <c r="P513" s="24"/>
      <c r="Q513" s="24"/>
      <c r="R513" s="24"/>
      <c r="S513" s="24"/>
      <c r="T513" s="24"/>
      <c r="U513" s="20" t="s">
        <v>1023</v>
      </c>
      <c r="V513" s="20" t="s">
        <v>872</v>
      </c>
      <c r="W513" s="53" t="s">
        <v>280</v>
      </c>
      <c r="X513" s="20" t="s">
        <v>227</v>
      </c>
      <c r="Y513" s="20"/>
      <c r="Z513" s="20"/>
      <c r="AA513" s="20" t="s">
        <v>1476</v>
      </c>
      <c r="AB513" s="53" t="s">
        <v>2371</v>
      </c>
      <c r="AC513" s="24">
        <v>1</v>
      </c>
      <c r="AD513" s="24"/>
      <c r="AE513" s="24"/>
      <c r="AF513" s="24"/>
      <c r="AG513" s="24"/>
      <c r="AH513" s="20"/>
      <c r="AI513" s="42"/>
    </row>
    <row r="514" spans="1:35">
      <c r="A514" s="14"/>
      <c r="B514" s="20"/>
      <c r="C514" s="20" t="s">
        <v>2420</v>
      </c>
      <c r="D514" s="20" t="s">
        <v>79</v>
      </c>
      <c r="E514" s="20" t="s">
        <v>80</v>
      </c>
      <c r="F514" s="53" t="s">
        <v>2887</v>
      </c>
      <c r="G514" s="53" t="s">
        <v>2590</v>
      </c>
      <c r="H514" s="53" t="s">
        <v>126</v>
      </c>
      <c r="I514" s="211">
        <v>27428</v>
      </c>
      <c r="J514" s="24">
        <v>1</v>
      </c>
      <c r="K514" s="24"/>
      <c r="L514" s="24">
        <v>1</v>
      </c>
      <c r="M514" s="24"/>
      <c r="N514" s="24"/>
      <c r="O514" s="24"/>
      <c r="P514" s="24"/>
      <c r="Q514" s="24"/>
      <c r="R514" s="24"/>
      <c r="S514" s="24"/>
      <c r="T514" s="24"/>
      <c r="U514" s="20" t="s">
        <v>2482</v>
      </c>
      <c r="V514" s="20" t="s">
        <v>872</v>
      </c>
      <c r="W514" s="53" t="s">
        <v>280</v>
      </c>
      <c r="X514" s="20" t="s">
        <v>227</v>
      </c>
      <c r="Y514" s="20"/>
      <c r="Z514" s="20"/>
      <c r="AA514" s="20" t="s">
        <v>1476</v>
      </c>
      <c r="AB514" s="53" t="s">
        <v>2371</v>
      </c>
      <c r="AC514" s="24">
        <v>1</v>
      </c>
      <c r="AD514" s="24"/>
      <c r="AE514" s="24"/>
      <c r="AF514" s="24"/>
      <c r="AG514" s="24"/>
      <c r="AH514" s="20"/>
      <c r="AI514" s="42"/>
    </row>
    <row r="515" spans="1:35">
      <c r="A515" s="14"/>
      <c r="B515" s="20"/>
      <c r="C515" s="20" t="s">
        <v>2420</v>
      </c>
      <c r="D515" s="20" t="s">
        <v>79</v>
      </c>
      <c r="E515" s="20" t="s">
        <v>80</v>
      </c>
      <c r="F515" s="53" t="s">
        <v>2888</v>
      </c>
      <c r="G515" s="53" t="s">
        <v>389</v>
      </c>
      <c r="H515" s="214" t="s">
        <v>93</v>
      </c>
      <c r="I515" s="214">
        <v>27918</v>
      </c>
      <c r="J515" s="24">
        <v>1</v>
      </c>
      <c r="K515" s="24"/>
      <c r="L515" s="24">
        <v>1</v>
      </c>
      <c r="M515" s="24"/>
      <c r="N515" s="24"/>
      <c r="O515" s="24"/>
      <c r="P515" s="24"/>
      <c r="Q515" s="24"/>
      <c r="R515" s="24"/>
      <c r="S515" s="24"/>
      <c r="T515" s="24"/>
      <c r="U515" s="20" t="s">
        <v>2891</v>
      </c>
      <c r="V515" s="20" t="s">
        <v>872</v>
      </c>
      <c r="W515" s="53" t="s">
        <v>280</v>
      </c>
      <c r="X515" s="20" t="s">
        <v>227</v>
      </c>
      <c r="Y515" s="20"/>
      <c r="Z515" s="20"/>
      <c r="AA515" s="20" t="s">
        <v>1476</v>
      </c>
      <c r="AB515" s="53" t="s">
        <v>2371</v>
      </c>
      <c r="AC515" s="24">
        <v>1</v>
      </c>
      <c r="AD515" s="24"/>
      <c r="AE515" s="24"/>
      <c r="AF515" s="24"/>
      <c r="AG515" s="24"/>
      <c r="AH515" s="20"/>
      <c r="AI515" s="42"/>
    </row>
    <row r="516" spans="1:35">
      <c r="A516" s="223" t="s">
        <v>93</v>
      </c>
      <c r="B516" s="20"/>
      <c r="C516" s="20" t="s">
        <v>2420</v>
      </c>
      <c r="D516" s="20" t="s">
        <v>79</v>
      </c>
      <c r="E516" s="20" t="s">
        <v>80</v>
      </c>
      <c r="F516" s="53" t="s">
        <v>2889</v>
      </c>
      <c r="G516" s="53" t="s">
        <v>1233</v>
      </c>
      <c r="H516" s="53" t="s">
        <v>202</v>
      </c>
      <c r="I516" s="211">
        <v>27033</v>
      </c>
      <c r="J516" s="24"/>
      <c r="K516" s="24">
        <v>1</v>
      </c>
      <c r="L516" s="24">
        <v>1</v>
      </c>
      <c r="M516" s="24"/>
      <c r="N516" s="24"/>
      <c r="O516" s="24"/>
      <c r="P516" s="24"/>
      <c r="Q516" s="24"/>
      <c r="R516" s="24"/>
      <c r="S516" s="24"/>
      <c r="T516" s="24"/>
      <c r="U516" s="20" t="s">
        <v>2892</v>
      </c>
      <c r="V516" s="20" t="s">
        <v>872</v>
      </c>
      <c r="W516" s="53" t="s">
        <v>280</v>
      </c>
      <c r="X516" s="20" t="s">
        <v>227</v>
      </c>
      <c r="Y516" s="20"/>
      <c r="Z516" s="20"/>
      <c r="AA516" s="20" t="s">
        <v>1476</v>
      </c>
      <c r="AB516" s="53" t="s">
        <v>2371</v>
      </c>
      <c r="AC516" s="24">
        <v>1</v>
      </c>
      <c r="AD516" s="24"/>
      <c r="AE516" s="24"/>
      <c r="AF516" s="24"/>
      <c r="AG516" s="24"/>
      <c r="AH516" s="20"/>
      <c r="AI516" s="42"/>
    </row>
    <row r="517" spans="1:35">
      <c r="A517" s="223" t="s">
        <v>93</v>
      </c>
      <c r="B517" s="20"/>
      <c r="C517" s="20" t="s">
        <v>2420</v>
      </c>
      <c r="D517" s="20" t="s">
        <v>79</v>
      </c>
      <c r="E517" s="20" t="s">
        <v>80</v>
      </c>
      <c r="F517" s="53" t="s">
        <v>2893</v>
      </c>
      <c r="G517" s="53" t="s">
        <v>1608</v>
      </c>
      <c r="H517" s="53" t="s">
        <v>588</v>
      </c>
      <c r="I517" s="211">
        <v>29174</v>
      </c>
      <c r="J517" s="24">
        <v>1</v>
      </c>
      <c r="K517" s="24"/>
      <c r="L517" s="24">
        <v>1</v>
      </c>
      <c r="M517" s="24"/>
      <c r="N517" s="24"/>
      <c r="O517" s="24"/>
      <c r="P517" s="24"/>
      <c r="Q517" s="24"/>
      <c r="R517" s="24"/>
      <c r="S517" s="24"/>
      <c r="T517" s="24"/>
      <c r="U517" s="20" t="s">
        <v>1610</v>
      </c>
      <c r="V517" s="20" t="s">
        <v>355</v>
      </c>
      <c r="W517" s="53" t="s">
        <v>280</v>
      </c>
      <c r="X517" s="20" t="s">
        <v>227</v>
      </c>
      <c r="Y517" s="20"/>
      <c r="Z517" s="20"/>
      <c r="AA517" s="20" t="s">
        <v>1476</v>
      </c>
      <c r="AB517" s="53" t="s">
        <v>2371</v>
      </c>
      <c r="AC517" s="24">
        <v>1</v>
      </c>
      <c r="AD517" s="24"/>
      <c r="AE517" s="24"/>
      <c r="AF517" s="24"/>
      <c r="AG517" s="24"/>
      <c r="AH517" s="20"/>
      <c r="AI517" s="42"/>
    </row>
    <row r="518" spans="1:35">
      <c r="A518" s="14"/>
      <c r="B518" s="20"/>
      <c r="C518" s="20" t="s">
        <v>2420</v>
      </c>
      <c r="D518" s="20" t="s">
        <v>79</v>
      </c>
      <c r="E518" s="20" t="s">
        <v>80</v>
      </c>
      <c r="F518" s="53" t="s">
        <v>1609</v>
      </c>
      <c r="G518" s="53" t="s">
        <v>400</v>
      </c>
      <c r="H518" s="53" t="s">
        <v>604</v>
      </c>
      <c r="I518" s="211">
        <v>19208</v>
      </c>
      <c r="J518" s="24">
        <v>1</v>
      </c>
      <c r="K518" s="24"/>
      <c r="L518" s="24">
        <v>1</v>
      </c>
      <c r="M518" s="24">
        <v>1</v>
      </c>
      <c r="N518" s="24"/>
      <c r="O518" s="24"/>
      <c r="P518" s="24"/>
      <c r="Q518" s="24"/>
      <c r="R518" s="24"/>
      <c r="S518" s="24"/>
      <c r="T518" s="24"/>
      <c r="U518" s="20" t="s">
        <v>1610</v>
      </c>
      <c r="V518" s="20" t="s">
        <v>355</v>
      </c>
      <c r="W518" s="53" t="s">
        <v>280</v>
      </c>
      <c r="X518" s="20" t="s">
        <v>227</v>
      </c>
      <c r="Y518" s="20"/>
      <c r="Z518" s="20"/>
      <c r="AA518" s="20" t="s">
        <v>1476</v>
      </c>
      <c r="AB518" s="20" t="s">
        <v>2371</v>
      </c>
      <c r="AC518" s="24">
        <v>1</v>
      </c>
      <c r="AD518" s="24"/>
      <c r="AE518" s="24"/>
      <c r="AF518" s="24"/>
      <c r="AG518" s="24"/>
      <c r="AH518" s="20"/>
      <c r="AI518" s="42"/>
    </row>
    <row r="519" spans="1:35">
      <c r="A519" s="14"/>
      <c r="B519" s="20"/>
      <c r="C519" s="20" t="s">
        <v>2420</v>
      </c>
      <c r="D519" s="20" t="s">
        <v>79</v>
      </c>
      <c r="E519" s="20" t="s">
        <v>80</v>
      </c>
      <c r="F519" s="53" t="s">
        <v>2894</v>
      </c>
      <c r="G519" s="53" t="s">
        <v>996</v>
      </c>
      <c r="H519" s="53"/>
      <c r="I519" s="211">
        <v>27732</v>
      </c>
      <c r="J519" s="24">
        <v>1</v>
      </c>
      <c r="K519" s="24"/>
      <c r="L519" s="24">
        <v>1</v>
      </c>
      <c r="M519" s="24"/>
      <c r="N519" s="24"/>
      <c r="O519" s="24"/>
      <c r="P519" s="24"/>
      <c r="Q519" s="24"/>
      <c r="R519" s="24"/>
      <c r="S519" s="24"/>
      <c r="T519" s="24"/>
      <c r="U519" s="20" t="s">
        <v>2900</v>
      </c>
      <c r="V519" s="20" t="s">
        <v>293</v>
      </c>
      <c r="W519" s="53" t="s">
        <v>298</v>
      </c>
      <c r="X519" s="20" t="s">
        <v>227</v>
      </c>
      <c r="Y519" s="20"/>
      <c r="Z519" s="20"/>
      <c r="AA519" s="20" t="s">
        <v>1476</v>
      </c>
      <c r="AB519" s="53" t="s">
        <v>2371</v>
      </c>
      <c r="AC519" s="24">
        <v>1</v>
      </c>
      <c r="AD519" s="24"/>
      <c r="AE519" s="24"/>
      <c r="AF519" s="24"/>
      <c r="AG519" s="24"/>
      <c r="AH519" s="20"/>
      <c r="AI519" s="42"/>
    </row>
    <row r="520" spans="1:35">
      <c r="A520" s="14"/>
      <c r="B520" s="20"/>
      <c r="C520" s="20" t="s">
        <v>2420</v>
      </c>
      <c r="D520" s="20" t="s">
        <v>79</v>
      </c>
      <c r="E520" s="20" t="s">
        <v>80</v>
      </c>
      <c r="F520" s="53" t="s">
        <v>702</v>
      </c>
      <c r="G520" s="53" t="s">
        <v>2895</v>
      </c>
      <c r="H520" s="53" t="s">
        <v>126</v>
      </c>
      <c r="I520" s="211">
        <v>21648</v>
      </c>
      <c r="J520" s="24">
        <v>1</v>
      </c>
      <c r="K520" s="24"/>
      <c r="L520" s="24">
        <v>1</v>
      </c>
      <c r="M520" s="24">
        <v>1</v>
      </c>
      <c r="N520" s="24"/>
      <c r="O520" s="24"/>
      <c r="P520" s="24"/>
      <c r="Q520" s="24"/>
      <c r="R520" s="24"/>
      <c r="S520" s="24"/>
      <c r="T520" s="24"/>
      <c r="U520" s="20" t="s">
        <v>2901</v>
      </c>
      <c r="V520" s="20" t="s">
        <v>218</v>
      </c>
      <c r="W520" s="53" t="s">
        <v>279</v>
      </c>
      <c r="X520" s="20" t="s">
        <v>227</v>
      </c>
      <c r="Y520" s="20"/>
      <c r="Z520" s="20"/>
      <c r="AA520" s="20" t="s">
        <v>1476</v>
      </c>
      <c r="AB520" s="53" t="s">
        <v>2371</v>
      </c>
      <c r="AC520" s="24">
        <v>1</v>
      </c>
      <c r="AD520" s="24"/>
      <c r="AE520" s="24"/>
      <c r="AF520" s="24"/>
      <c r="AG520" s="24"/>
      <c r="AH520" s="20"/>
      <c r="AI520" s="42"/>
    </row>
    <row r="521" spans="1:35">
      <c r="A521" s="14" t="s">
        <v>93</v>
      </c>
      <c r="B521" s="20"/>
      <c r="C521" s="20" t="s">
        <v>2420</v>
      </c>
      <c r="D521" s="20" t="s">
        <v>79</v>
      </c>
      <c r="E521" s="20" t="s">
        <v>80</v>
      </c>
      <c r="F521" s="53" t="s">
        <v>312</v>
      </c>
      <c r="G521" s="53" t="s">
        <v>1078</v>
      </c>
      <c r="H521" s="53"/>
      <c r="I521" s="211">
        <v>27843</v>
      </c>
      <c r="J521" s="24"/>
      <c r="K521" s="24">
        <v>1</v>
      </c>
      <c r="L521" s="24"/>
      <c r="M521" s="24"/>
      <c r="N521" s="24"/>
      <c r="O521" s="24"/>
      <c r="P521" s="24"/>
      <c r="Q521" s="24"/>
      <c r="R521" s="24"/>
      <c r="S521" s="24"/>
      <c r="T521" s="24"/>
      <c r="U521" s="20" t="s">
        <v>2901</v>
      </c>
      <c r="V521" s="20" t="s">
        <v>218</v>
      </c>
      <c r="W521" s="53" t="s">
        <v>279</v>
      </c>
      <c r="X521" s="20" t="s">
        <v>227</v>
      </c>
      <c r="Y521" s="20"/>
      <c r="Z521" s="20"/>
      <c r="AA521" s="20" t="s">
        <v>1476</v>
      </c>
      <c r="AB521" s="53" t="s">
        <v>2371</v>
      </c>
      <c r="AC521" s="24">
        <v>1</v>
      </c>
      <c r="AD521" s="24"/>
      <c r="AE521" s="24"/>
      <c r="AF521" s="24"/>
      <c r="AG521" s="24"/>
      <c r="AH521" s="20"/>
      <c r="AI521" s="42"/>
    </row>
    <row r="522" spans="1:35">
      <c r="A522" s="14"/>
      <c r="B522" s="20"/>
      <c r="C522" s="20" t="s">
        <v>2420</v>
      </c>
      <c r="D522" s="20" t="s">
        <v>79</v>
      </c>
      <c r="E522" s="20" t="s">
        <v>80</v>
      </c>
      <c r="F522" s="53" t="s">
        <v>1144</v>
      </c>
      <c r="G522" s="53" t="s">
        <v>2896</v>
      </c>
      <c r="H522" s="214" t="s">
        <v>93</v>
      </c>
      <c r="I522" s="214">
        <v>28787</v>
      </c>
      <c r="J522" s="24">
        <v>1</v>
      </c>
      <c r="K522" s="24"/>
      <c r="L522" s="24">
        <v>1</v>
      </c>
      <c r="M522" s="24"/>
      <c r="N522" s="24"/>
      <c r="O522" s="24"/>
      <c r="P522" s="24"/>
      <c r="Q522" s="24"/>
      <c r="R522" s="24"/>
      <c r="S522" s="24"/>
      <c r="T522" s="24"/>
      <c r="U522" s="20" t="s">
        <v>2902</v>
      </c>
      <c r="V522" s="20" t="s">
        <v>2903</v>
      </c>
      <c r="W522" s="53" t="s">
        <v>279</v>
      </c>
      <c r="X522" s="20" t="s">
        <v>227</v>
      </c>
      <c r="Y522" s="20"/>
      <c r="Z522" s="20"/>
      <c r="AA522" s="20" t="s">
        <v>1476</v>
      </c>
      <c r="AB522" s="20" t="s">
        <v>2371</v>
      </c>
      <c r="AC522" s="24">
        <v>1</v>
      </c>
      <c r="AD522" s="24"/>
      <c r="AE522" s="24"/>
      <c r="AF522" s="24"/>
      <c r="AG522" s="24"/>
      <c r="AH522" s="20"/>
      <c r="AI522" s="42"/>
    </row>
    <row r="523" spans="1:35">
      <c r="A523" s="14"/>
      <c r="B523" s="20"/>
      <c r="C523" s="20" t="s">
        <v>2420</v>
      </c>
      <c r="D523" s="20" t="s">
        <v>79</v>
      </c>
      <c r="E523" s="20" t="s">
        <v>80</v>
      </c>
      <c r="F523" s="53" t="s">
        <v>2897</v>
      </c>
      <c r="G523" s="53" t="s">
        <v>2898</v>
      </c>
      <c r="H523" s="53"/>
      <c r="I523" s="211">
        <v>27726</v>
      </c>
      <c r="J523" s="24" t="s">
        <v>93</v>
      </c>
      <c r="K523" s="24">
        <v>1</v>
      </c>
      <c r="L523" s="24">
        <v>1</v>
      </c>
      <c r="M523" s="24"/>
      <c r="N523" s="24"/>
      <c r="O523" s="24"/>
      <c r="P523" s="24"/>
      <c r="Q523" s="24"/>
      <c r="R523" s="24"/>
      <c r="S523" s="24"/>
      <c r="T523" s="24"/>
      <c r="U523" s="20" t="s">
        <v>297</v>
      </c>
      <c r="V523" s="20" t="s">
        <v>1610</v>
      </c>
      <c r="W523" s="53" t="s">
        <v>279</v>
      </c>
      <c r="X523" s="20" t="s">
        <v>227</v>
      </c>
      <c r="Y523" s="20"/>
      <c r="Z523" s="20"/>
      <c r="AA523" s="20" t="s">
        <v>1476</v>
      </c>
      <c r="AB523" s="53" t="s">
        <v>2371</v>
      </c>
      <c r="AC523" s="24">
        <v>1</v>
      </c>
      <c r="AD523" s="24"/>
      <c r="AE523" s="24"/>
      <c r="AF523" s="24"/>
      <c r="AG523" s="24"/>
      <c r="AH523" s="20"/>
      <c r="AI523" s="42"/>
    </row>
    <row r="524" spans="1:35">
      <c r="A524" s="14"/>
      <c r="B524" s="20"/>
      <c r="C524" s="20" t="s">
        <v>2420</v>
      </c>
      <c r="D524" s="20" t="s">
        <v>79</v>
      </c>
      <c r="E524" s="20" t="s">
        <v>80</v>
      </c>
      <c r="F524" s="53" t="s">
        <v>1778</v>
      </c>
      <c r="G524" s="53" t="s">
        <v>2899</v>
      </c>
      <c r="H524" s="53"/>
      <c r="I524" s="211">
        <v>29138</v>
      </c>
      <c r="J524" s="24">
        <v>1</v>
      </c>
      <c r="K524" s="24"/>
      <c r="L524" s="24">
        <v>1</v>
      </c>
      <c r="M524" s="24"/>
      <c r="N524" s="24"/>
      <c r="O524" s="24"/>
      <c r="P524" s="24"/>
      <c r="Q524" s="24"/>
      <c r="R524" s="24"/>
      <c r="S524" s="24"/>
      <c r="T524" s="24"/>
      <c r="U524" s="20" t="s">
        <v>297</v>
      </c>
      <c r="V524" s="20" t="s">
        <v>1610</v>
      </c>
      <c r="W524" s="53" t="s">
        <v>279</v>
      </c>
      <c r="X524" s="20" t="s">
        <v>227</v>
      </c>
      <c r="Y524" s="20"/>
      <c r="Z524" s="20"/>
      <c r="AA524" s="20" t="s">
        <v>1476</v>
      </c>
      <c r="AB524" s="53" t="s">
        <v>2371</v>
      </c>
      <c r="AC524" s="24">
        <v>1</v>
      </c>
      <c r="AD524" s="24"/>
      <c r="AE524" s="24"/>
      <c r="AF524" s="24"/>
      <c r="AG524" s="24"/>
      <c r="AH524" s="20"/>
      <c r="AI524" s="42"/>
    </row>
    <row r="525" spans="1:35">
      <c r="A525" s="14"/>
      <c r="B525" s="20"/>
      <c r="C525" s="20" t="s">
        <v>2420</v>
      </c>
      <c r="D525" s="20" t="s">
        <v>79</v>
      </c>
      <c r="E525" s="20" t="s">
        <v>80</v>
      </c>
      <c r="F525" s="53" t="s">
        <v>2904</v>
      </c>
      <c r="G525" s="53" t="s">
        <v>2905</v>
      </c>
      <c r="H525" s="53" t="s">
        <v>120</v>
      </c>
      <c r="I525" s="211">
        <v>33945</v>
      </c>
      <c r="J525" s="24">
        <v>1</v>
      </c>
      <c r="K525" s="24"/>
      <c r="L525" s="24">
        <v>1</v>
      </c>
      <c r="M525" s="24"/>
      <c r="N525" s="24"/>
      <c r="O525" s="24"/>
      <c r="P525" s="24"/>
      <c r="Q525" s="24"/>
      <c r="R525" s="24"/>
      <c r="S525" s="24"/>
      <c r="T525" s="24"/>
      <c r="U525" s="20" t="s">
        <v>93</v>
      </c>
      <c r="V525" s="20" t="s">
        <v>2903</v>
      </c>
      <c r="W525" s="53" t="s">
        <v>279</v>
      </c>
      <c r="X525" s="20" t="s">
        <v>227</v>
      </c>
      <c r="Y525" s="20"/>
      <c r="Z525" s="20"/>
      <c r="AA525" s="20" t="s">
        <v>1476</v>
      </c>
      <c r="AB525" s="53" t="s">
        <v>2371</v>
      </c>
      <c r="AC525" s="24">
        <v>1</v>
      </c>
      <c r="AD525" s="24"/>
      <c r="AE525" s="24"/>
      <c r="AF525" s="24"/>
      <c r="AG525" s="24"/>
      <c r="AH525" s="20"/>
      <c r="AI525" s="42"/>
    </row>
    <row r="526" spans="1:35">
      <c r="A526" s="14"/>
      <c r="B526" s="20"/>
      <c r="C526" s="20" t="s">
        <v>2420</v>
      </c>
      <c r="D526" s="20" t="s">
        <v>79</v>
      </c>
      <c r="E526" s="20" t="s">
        <v>80</v>
      </c>
      <c r="F526" s="53" t="s">
        <v>1526</v>
      </c>
      <c r="G526" s="53" t="s">
        <v>1547</v>
      </c>
      <c r="H526" s="53" t="s">
        <v>115</v>
      </c>
      <c r="I526" s="211">
        <v>24607</v>
      </c>
      <c r="J526" s="24">
        <v>1</v>
      </c>
      <c r="K526" s="24"/>
      <c r="L526" s="24">
        <v>1</v>
      </c>
      <c r="M526" s="24"/>
      <c r="N526" s="24"/>
      <c r="O526" s="24"/>
      <c r="P526" s="24"/>
      <c r="Q526" s="24"/>
      <c r="R526" s="24"/>
      <c r="S526" s="24"/>
      <c r="T526" s="24"/>
      <c r="U526" s="20" t="s">
        <v>1369</v>
      </c>
      <c r="V526" s="20" t="s">
        <v>1443</v>
      </c>
      <c r="W526" s="53" t="s">
        <v>280</v>
      </c>
      <c r="X526" s="20" t="s">
        <v>227</v>
      </c>
      <c r="Y526" s="20"/>
      <c r="Z526" s="20"/>
      <c r="AA526" s="20" t="s">
        <v>1476</v>
      </c>
      <c r="AB526" s="53" t="s">
        <v>2371</v>
      </c>
      <c r="AC526" s="24">
        <v>1</v>
      </c>
      <c r="AD526" s="24"/>
      <c r="AE526" s="24"/>
      <c r="AF526" s="24"/>
      <c r="AG526" s="24"/>
      <c r="AH526" s="20"/>
      <c r="AI526" s="42"/>
    </row>
    <row r="527" spans="1:35">
      <c r="A527" s="14"/>
      <c r="B527" s="20"/>
      <c r="C527" s="20" t="s">
        <v>2420</v>
      </c>
      <c r="D527" s="20" t="s">
        <v>79</v>
      </c>
      <c r="E527" s="20" t="s">
        <v>80</v>
      </c>
      <c r="F527" s="53" t="s">
        <v>2906</v>
      </c>
      <c r="G527" s="53" t="s">
        <v>2907</v>
      </c>
      <c r="H527" s="53" t="s">
        <v>117</v>
      </c>
      <c r="I527" s="211">
        <v>30299</v>
      </c>
      <c r="J527" s="24">
        <v>1</v>
      </c>
      <c r="K527" s="24"/>
      <c r="L527" s="24">
        <v>1</v>
      </c>
      <c r="M527" s="24"/>
      <c r="N527" s="24"/>
      <c r="O527" s="24"/>
      <c r="P527" s="24"/>
      <c r="Q527" s="24"/>
      <c r="R527" s="24"/>
      <c r="S527" s="24"/>
      <c r="T527" s="24"/>
      <c r="U527" s="20" t="s">
        <v>1369</v>
      </c>
      <c r="V527" s="20" t="s">
        <v>1443</v>
      </c>
      <c r="W527" s="53" t="s">
        <v>280</v>
      </c>
      <c r="X527" s="20" t="s">
        <v>227</v>
      </c>
      <c r="Y527" s="20"/>
      <c r="Z527" s="20"/>
      <c r="AA527" s="20" t="s">
        <v>1476</v>
      </c>
      <c r="AB527" s="53" t="s">
        <v>2371</v>
      </c>
      <c r="AC527" s="24">
        <v>1</v>
      </c>
      <c r="AD527" s="24"/>
      <c r="AE527" s="24"/>
      <c r="AF527" s="24"/>
      <c r="AG527" s="24"/>
      <c r="AH527" s="20"/>
      <c r="AI527" s="42"/>
    </row>
    <row r="528" spans="1:35">
      <c r="A528" s="14"/>
      <c r="B528" s="20"/>
      <c r="C528" s="20" t="s">
        <v>2420</v>
      </c>
      <c r="D528" s="20" t="s">
        <v>79</v>
      </c>
      <c r="E528" s="20" t="s">
        <v>80</v>
      </c>
      <c r="F528" s="20" t="s">
        <v>746</v>
      </c>
      <c r="G528" s="20" t="s">
        <v>2914</v>
      </c>
      <c r="H528" s="20" t="s">
        <v>115</v>
      </c>
      <c r="I528" s="211"/>
      <c r="J528" s="24">
        <v>1</v>
      </c>
      <c r="K528" s="24" t="s">
        <v>93</v>
      </c>
      <c r="L528" s="24">
        <v>1</v>
      </c>
      <c r="M528" s="24"/>
      <c r="N528" s="24"/>
      <c r="O528" s="24"/>
      <c r="P528" s="24"/>
      <c r="Q528" s="24"/>
      <c r="R528" s="24"/>
      <c r="S528" s="24"/>
      <c r="T528" s="24"/>
      <c r="U528" s="20" t="s">
        <v>3016</v>
      </c>
      <c r="V528" s="20" t="s">
        <v>952</v>
      </c>
      <c r="W528" s="53" t="s">
        <v>280</v>
      </c>
      <c r="X528" s="20" t="s">
        <v>227</v>
      </c>
      <c r="Y528" s="20"/>
      <c r="Z528" s="20"/>
      <c r="AA528" s="20" t="s">
        <v>1476</v>
      </c>
      <c r="AB528" s="53" t="s">
        <v>2371</v>
      </c>
      <c r="AC528" s="24">
        <v>1</v>
      </c>
      <c r="AD528" s="24"/>
      <c r="AE528" s="24"/>
      <c r="AF528" s="24"/>
      <c r="AG528" s="24"/>
      <c r="AH528" s="20"/>
      <c r="AI528" s="42"/>
    </row>
    <row r="529" spans="1:35">
      <c r="A529" s="14"/>
      <c r="B529" s="20"/>
      <c r="C529" s="20" t="s">
        <v>2420</v>
      </c>
      <c r="D529" s="20" t="s">
        <v>79</v>
      </c>
      <c r="E529" s="20" t="s">
        <v>80</v>
      </c>
      <c r="F529" s="20" t="s">
        <v>3014</v>
      </c>
      <c r="G529" s="20" t="s">
        <v>3015</v>
      </c>
      <c r="H529" s="20" t="s">
        <v>1040</v>
      </c>
      <c r="I529" s="211"/>
      <c r="J529" s="24">
        <v>1</v>
      </c>
      <c r="K529" s="24"/>
      <c r="L529" s="24">
        <v>1</v>
      </c>
      <c r="M529" s="24"/>
      <c r="N529" s="24"/>
      <c r="O529" s="24"/>
      <c r="P529" s="24"/>
      <c r="Q529" s="24"/>
      <c r="R529" s="24"/>
      <c r="S529" s="24"/>
      <c r="T529" s="24"/>
      <c r="U529" s="20" t="s">
        <v>3016</v>
      </c>
      <c r="V529" s="20" t="s">
        <v>952</v>
      </c>
      <c r="W529" s="53" t="s">
        <v>280</v>
      </c>
      <c r="X529" s="20" t="s">
        <v>227</v>
      </c>
      <c r="Y529" s="20"/>
      <c r="Z529" s="20"/>
      <c r="AA529" s="20" t="s">
        <v>1476</v>
      </c>
      <c r="AB529" s="53" t="s">
        <v>2371</v>
      </c>
      <c r="AC529" s="24">
        <v>1</v>
      </c>
      <c r="AD529" s="24"/>
      <c r="AE529" s="24"/>
      <c r="AF529" s="24"/>
      <c r="AG529" s="24"/>
      <c r="AH529" s="20"/>
      <c r="AI529" s="42"/>
    </row>
    <row r="530" spans="1:35">
      <c r="A530" s="14"/>
      <c r="B530" s="20"/>
      <c r="C530" s="20" t="s">
        <v>2420</v>
      </c>
      <c r="D530" s="20" t="s">
        <v>79</v>
      </c>
      <c r="E530" s="20" t="s">
        <v>80</v>
      </c>
      <c r="F530" s="20" t="s">
        <v>3017</v>
      </c>
      <c r="G530" s="20" t="s">
        <v>3018</v>
      </c>
      <c r="H530" s="20" t="s">
        <v>160</v>
      </c>
      <c r="I530" s="211"/>
      <c r="J530" s="24" t="s">
        <v>93</v>
      </c>
      <c r="K530" s="24">
        <v>1</v>
      </c>
      <c r="L530" s="24">
        <v>1</v>
      </c>
      <c r="M530" s="24"/>
      <c r="N530" s="24"/>
      <c r="O530" s="24"/>
      <c r="P530" s="24"/>
      <c r="Q530" s="24"/>
      <c r="R530" s="24"/>
      <c r="S530" s="24"/>
      <c r="T530" s="24"/>
      <c r="U530" s="20" t="s">
        <v>3021</v>
      </c>
      <c r="V530" s="20" t="s">
        <v>952</v>
      </c>
      <c r="W530" s="53" t="s">
        <v>280</v>
      </c>
      <c r="X530" s="20" t="s">
        <v>227</v>
      </c>
      <c r="Y530" s="20"/>
      <c r="Z530" s="20"/>
      <c r="AA530" s="20" t="s">
        <v>1476</v>
      </c>
      <c r="AB530" s="53" t="s">
        <v>2371</v>
      </c>
      <c r="AC530" s="24">
        <v>1</v>
      </c>
      <c r="AD530" s="24"/>
      <c r="AE530" s="24"/>
      <c r="AF530" s="24"/>
      <c r="AG530" s="24"/>
      <c r="AH530" s="20"/>
      <c r="AI530" s="42"/>
    </row>
    <row r="531" spans="1:35">
      <c r="A531" s="14"/>
      <c r="B531" s="20"/>
      <c r="C531" s="20" t="s">
        <v>2420</v>
      </c>
      <c r="D531" s="20" t="s">
        <v>79</v>
      </c>
      <c r="E531" s="20" t="s">
        <v>80</v>
      </c>
      <c r="F531" s="20" t="s">
        <v>3019</v>
      </c>
      <c r="G531" s="20" t="s">
        <v>3020</v>
      </c>
      <c r="H531" s="20" t="s">
        <v>588</v>
      </c>
      <c r="I531" s="211"/>
      <c r="J531" s="24" t="s">
        <v>93</v>
      </c>
      <c r="K531" s="24">
        <v>1</v>
      </c>
      <c r="L531" s="24">
        <v>1</v>
      </c>
      <c r="M531" s="24"/>
      <c r="N531" s="24"/>
      <c r="O531" s="24"/>
      <c r="P531" s="24"/>
      <c r="Q531" s="24"/>
      <c r="R531" s="24"/>
      <c r="S531" s="24"/>
      <c r="T531" s="24"/>
      <c r="U531" s="20" t="s">
        <v>3021</v>
      </c>
      <c r="V531" s="20" t="s">
        <v>952</v>
      </c>
      <c r="W531" s="53" t="s">
        <v>280</v>
      </c>
      <c r="X531" s="20" t="s">
        <v>227</v>
      </c>
      <c r="Y531" s="20"/>
      <c r="Z531" s="20"/>
      <c r="AA531" s="20" t="s">
        <v>1476</v>
      </c>
      <c r="AB531" s="53" t="s">
        <v>2371</v>
      </c>
      <c r="AC531" s="24">
        <v>1</v>
      </c>
      <c r="AD531" s="24"/>
      <c r="AE531" s="24"/>
      <c r="AF531" s="24"/>
      <c r="AG531" s="24"/>
      <c r="AH531" s="20"/>
      <c r="AI531" s="42"/>
    </row>
    <row r="532" spans="1:35">
      <c r="A532" s="14"/>
      <c r="B532" s="20"/>
      <c r="C532" s="20" t="s">
        <v>2420</v>
      </c>
      <c r="D532" s="20" t="s">
        <v>79</v>
      </c>
      <c r="E532" s="20" t="s">
        <v>80</v>
      </c>
      <c r="F532" s="20" t="s">
        <v>3022</v>
      </c>
      <c r="G532" s="20" t="s">
        <v>2029</v>
      </c>
      <c r="H532" s="20" t="s">
        <v>588</v>
      </c>
      <c r="I532" s="211"/>
      <c r="J532" s="24">
        <v>1</v>
      </c>
      <c r="K532" s="24"/>
      <c r="L532" s="24">
        <v>1</v>
      </c>
      <c r="M532" s="24"/>
      <c r="N532" s="24"/>
      <c r="O532" s="24"/>
      <c r="P532" s="24"/>
      <c r="Q532" s="24"/>
      <c r="R532" s="24"/>
      <c r="S532" s="24"/>
      <c r="T532" s="24"/>
      <c r="U532" s="20" t="s">
        <v>2959</v>
      </c>
      <c r="V532" s="20" t="s">
        <v>952</v>
      </c>
      <c r="W532" s="53" t="s">
        <v>280</v>
      </c>
      <c r="X532" s="20" t="s">
        <v>227</v>
      </c>
      <c r="Y532" s="20"/>
      <c r="Z532" s="20"/>
      <c r="AA532" s="20" t="s">
        <v>1476</v>
      </c>
      <c r="AB532" s="53" t="s">
        <v>2371</v>
      </c>
      <c r="AC532" s="24">
        <v>1</v>
      </c>
      <c r="AD532" s="24"/>
      <c r="AE532" s="24"/>
      <c r="AF532" s="24"/>
      <c r="AG532" s="24"/>
      <c r="AH532" s="20"/>
      <c r="AI532" s="42"/>
    </row>
    <row r="533" spans="1:35">
      <c r="A533" s="14"/>
      <c r="B533" s="20"/>
      <c r="C533" s="20" t="s">
        <v>2420</v>
      </c>
      <c r="D533" s="20" t="s">
        <v>79</v>
      </c>
      <c r="E533" s="20" t="s">
        <v>80</v>
      </c>
      <c r="F533" s="20" t="s">
        <v>2963</v>
      </c>
      <c r="G533" s="20" t="s">
        <v>2967</v>
      </c>
      <c r="H533" s="20" t="s">
        <v>120</v>
      </c>
      <c r="I533" s="211"/>
      <c r="J533" s="24">
        <v>1</v>
      </c>
      <c r="K533" s="24"/>
      <c r="L533" s="24">
        <v>1</v>
      </c>
      <c r="M533" s="24"/>
      <c r="N533" s="24"/>
      <c r="O533" s="24"/>
      <c r="P533" s="24"/>
      <c r="Q533" s="24"/>
      <c r="R533" s="24"/>
      <c r="S533" s="24"/>
      <c r="T533" s="24"/>
      <c r="U533" s="20" t="s">
        <v>2959</v>
      </c>
      <c r="V533" s="20" t="s">
        <v>952</v>
      </c>
      <c r="W533" s="53" t="s">
        <v>280</v>
      </c>
      <c r="X533" s="20" t="s">
        <v>227</v>
      </c>
      <c r="Y533" s="20"/>
      <c r="Z533" s="20"/>
      <c r="AA533" s="20" t="s">
        <v>1476</v>
      </c>
      <c r="AB533" s="53" t="s">
        <v>2371</v>
      </c>
      <c r="AC533" s="24">
        <v>1</v>
      </c>
      <c r="AD533" s="24"/>
      <c r="AE533" s="24"/>
      <c r="AF533" s="24"/>
      <c r="AG533" s="24"/>
      <c r="AH533" s="20"/>
      <c r="AI533" s="42"/>
    </row>
    <row r="534" spans="1:35">
      <c r="A534" s="14"/>
      <c r="B534" s="20"/>
      <c r="C534" s="20" t="s">
        <v>2420</v>
      </c>
      <c r="D534" s="20" t="s">
        <v>79</v>
      </c>
      <c r="E534" s="20" t="s">
        <v>80</v>
      </c>
      <c r="F534" s="20" t="s">
        <v>3023</v>
      </c>
      <c r="G534" s="20" t="s">
        <v>2075</v>
      </c>
      <c r="H534" s="20" t="s">
        <v>160</v>
      </c>
      <c r="I534" s="211"/>
      <c r="J534" s="24">
        <v>1</v>
      </c>
      <c r="K534" s="24"/>
      <c r="L534" s="24">
        <v>1</v>
      </c>
      <c r="M534" s="24"/>
      <c r="N534" s="24"/>
      <c r="O534" s="24"/>
      <c r="P534" s="24"/>
      <c r="Q534" s="24"/>
      <c r="R534" s="24"/>
      <c r="S534" s="24"/>
      <c r="T534" s="24"/>
      <c r="U534" s="20" t="s">
        <v>3030</v>
      </c>
      <c r="V534" s="20" t="s">
        <v>952</v>
      </c>
      <c r="W534" s="53" t="s">
        <v>280</v>
      </c>
      <c r="X534" s="20" t="s">
        <v>227</v>
      </c>
      <c r="Y534" s="20"/>
      <c r="Z534" s="20"/>
      <c r="AA534" s="20" t="s">
        <v>1476</v>
      </c>
      <c r="AB534" s="53" t="s">
        <v>2371</v>
      </c>
      <c r="AC534" s="24">
        <v>1</v>
      </c>
      <c r="AD534" s="24"/>
      <c r="AE534" s="24"/>
      <c r="AF534" s="24"/>
      <c r="AG534" s="24"/>
      <c r="AH534" s="20"/>
      <c r="AI534" s="42"/>
    </row>
    <row r="535" spans="1:35">
      <c r="A535" s="14"/>
      <c r="B535" s="20"/>
      <c r="C535" s="20" t="s">
        <v>2420</v>
      </c>
      <c r="D535" s="20" t="s">
        <v>79</v>
      </c>
      <c r="E535" s="20" t="s">
        <v>80</v>
      </c>
      <c r="F535" s="20" t="s">
        <v>3024</v>
      </c>
      <c r="G535" s="20" t="s">
        <v>3025</v>
      </c>
      <c r="H535" s="20" t="s">
        <v>120</v>
      </c>
      <c r="I535" s="211"/>
      <c r="J535" s="24">
        <v>1</v>
      </c>
      <c r="K535" s="24"/>
      <c r="L535" s="24">
        <v>1</v>
      </c>
      <c r="M535" s="24"/>
      <c r="N535" s="24"/>
      <c r="O535" s="24"/>
      <c r="P535" s="24"/>
      <c r="Q535" s="24"/>
      <c r="R535" s="24"/>
      <c r="S535" s="24"/>
      <c r="T535" s="24"/>
      <c r="U535" s="20" t="s">
        <v>3031</v>
      </c>
      <c r="V535" s="20" t="s">
        <v>952</v>
      </c>
      <c r="W535" s="53" t="s">
        <v>280</v>
      </c>
      <c r="X535" s="20" t="s">
        <v>227</v>
      </c>
      <c r="Y535" s="20"/>
      <c r="Z535" s="20"/>
      <c r="AA535" s="20" t="s">
        <v>1476</v>
      </c>
      <c r="AB535" s="53" t="s">
        <v>2371</v>
      </c>
      <c r="AC535" s="24">
        <v>1</v>
      </c>
      <c r="AD535" s="24"/>
      <c r="AE535" s="24"/>
      <c r="AF535" s="24"/>
      <c r="AG535" s="24"/>
      <c r="AH535" s="20"/>
      <c r="AI535" s="42"/>
    </row>
    <row r="536" spans="1:35">
      <c r="A536" s="14"/>
      <c r="B536" s="20"/>
      <c r="C536" s="20" t="s">
        <v>2420</v>
      </c>
      <c r="D536" s="20" t="s">
        <v>79</v>
      </c>
      <c r="E536" s="20" t="s">
        <v>80</v>
      </c>
      <c r="F536" s="20" t="s">
        <v>3026</v>
      </c>
      <c r="G536" s="20" t="s">
        <v>3027</v>
      </c>
      <c r="H536" s="20" t="s">
        <v>120</v>
      </c>
      <c r="I536" s="211"/>
      <c r="J536" s="24">
        <v>1</v>
      </c>
      <c r="K536" s="24"/>
      <c r="L536" s="24">
        <v>1</v>
      </c>
      <c r="M536" s="24"/>
      <c r="N536" s="24"/>
      <c r="O536" s="24"/>
      <c r="P536" s="24"/>
      <c r="Q536" s="24"/>
      <c r="R536" s="24"/>
      <c r="S536" s="24"/>
      <c r="T536" s="24"/>
      <c r="U536" s="20" t="s">
        <v>3031</v>
      </c>
      <c r="V536" s="20" t="s">
        <v>952</v>
      </c>
      <c r="W536" s="53" t="s">
        <v>280</v>
      </c>
      <c r="X536" s="20" t="s">
        <v>227</v>
      </c>
      <c r="Y536" s="20"/>
      <c r="Z536" s="20"/>
      <c r="AA536" s="20" t="s">
        <v>1476</v>
      </c>
      <c r="AB536" s="53" t="s">
        <v>2371</v>
      </c>
      <c r="AC536" s="24">
        <v>1</v>
      </c>
      <c r="AD536" s="24"/>
      <c r="AE536" s="24"/>
      <c r="AF536" s="24"/>
      <c r="AG536" s="24"/>
      <c r="AH536" s="20"/>
      <c r="AI536" s="42"/>
    </row>
    <row r="537" spans="1:35">
      <c r="A537" s="14"/>
      <c r="B537" s="20"/>
      <c r="C537" s="20" t="s">
        <v>2420</v>
      </c>
      <c r="D537" s="20" t="s">
        <v>79</v>
      </c>
      <c r="E537" s="20" t="s">
        <v>80</v>
      </c>
      <c r="F537" s="20" t="s">
        <v>3028</v>
      </c>
      <c r="G537" s="20" t="s">
        <v>2879</v>
      </c>
      <c r="H537" s="20" t="s">
        <v>286</v>
      </c>
      <c r="I537" s="211"/>
      <c r="J537" s="24">
        <v>1</v>
      </c>
      <c r="K537" s="24"/>
      <c r="L537" s="24">
        <v>1</v>
      </c>
      <c r="M537" s="24"/>
      <c r="N537" s="24"/>
      <c r="O537" s="24"/>
      <c r="P537" s="24"/>
      <c r="Q537" s="24"/>
      <c r="R537" s="24"/>
      <c r="S537" s="24"/>
      <c r="T537" s="24"/>
      <c r="U537" s="20" t="s">
        <v>3031</v>
      </c>
      <c r="V537" s="20" t="s">
        <v>952</v>
      </c>
      <c r="W537" s="53" t="s">
        <v>280</v>
      </c>
      <c r="X537" s="20" t="s">
        <v>227</v>
      </c>
      <c r="Y537" s="20"/>
      <c r="Z537" s="20"/>
      <c r="AA537" s="20" t="s">
        <v>1476</v>
      </c>
      <c r="AB537" s="53" t="s">
        <v>2371</v>
      </c>
      <c r="AC537" s="24">
        <v>1</v>
      </c>
      <c r="AD537" s="24"/>
      <c r="AE537" s="24"/>
      <c r="AF537" s="24"/>
      <c r="AG537" s="24"/>
      <c r="AH537" s="20"/>
      <c r="AI537" s="42"/>
    </row>
    <row r="538" spans="1:35">
      <c r="A538" s="14"/>
      <c r="B538" s="20"/>
      <c r="C538" s="20" t="s">
        <v>2420</v>
      </c>
      <c r="D538" s="20" t="s">
        <v>79</v>
      </c>
      <c r="E538" s="20" t="s">
        <v>80</v>
      </c>
      <c r="F538" s="20" t="s">
        <v>3029</v>
      </c>
      <c r="G538" s="20" t="s">
        <v>689</v>
      </c>
      <c r="H538" s="20" t="s">
        <v>286</v>
      </c>
      <c r="I538" s="211"/>
      <c r="J538" s="24">
        <v>1</v>
      </c>
      <c r="K538" s="24"/>
      <c r="L538" s="24">
        <v>1</v>
      </c>
      <c r="M538" s="24"/>
      <c r="N538" s="24"/>
      <c r="O538" s="24"/>
      <c r="P538" s="24"/>
      <c r="Q538" s="24"/>
      <c r="R538" s="24"/>
      <c r="S538" s="24"/>
      <c r="T538" s="24"/>
      <c r="U538" s="20" t="s">
        <v>3031</v>
      </c>
      <c r="V538" s="20" t="s">
        <v>952</v>
      </c>
      <c r="W538" s="53" t="s">
        <v>280</v>
      </c>
      <c r="X538" s="20" t="s">
        <v>227</v>
      </c>
      <c r="Y538" s="20"/>
      <c r="Z538" s="20"/>
      <c r="AA538" s="20" t="s">
        <v>1476</v>
      </c>
      <c r="AB538" s="53" t="s">
        <v>2371</v>
      </c>
      <c r="AC538" s="24">
        <v>1</v>
      </c>
      <c r="AD538" s="24"/>
      <c r="AE538" s="24"/>
      <c r="AF538" s="24"/>
      <c r="AG538" s="24"/>
      <c r="AH538" s="20"/>
      <c r="AI538" s="42"/>
    </row>
    <row r="539" spans="1:35">
      <c r="A539" s="14"/>
      <c r="B539" s="20"/>
      <c r="C539" s="20" t="s">
        <v>2420</v>
      </c>
      <c r="D539" s="20" t="s">
        <v>79</v>
      </c>
      <c r="E539" s="20" t="s">
        <v>80</v>
      </c>
      <c r="F539" s="20" t="s">
        <v>3014</v>
      </c>
      <c r="G539" s="20" t="s">
        <v>1076</v>
      </c>
      <c r="H539" s="20" t="s">
        <v>604</v>
      </c>
      <c r="I539" s="211"/>
      <c r="J539" s="24">
        <v>1</v>
      </c>
      <c r="K539" s="24"/>
      <c r="L539" s="24">
        <v>1</v>
      </c>
      <c r="M539" s="24"/>
      <c r="N539" s="24"/>
      <c r="O539" s="24"/>
      <c r="P539" s="24"/>
      <c r="Q539" s="24"/>
      <c r="R539" s="24"/>
      <c r="S539" s="24"/>
      <c r="T539" s="24"/>
      <c r="U539" s="20" t="s">
        <v>3016</v>
      </c>
      <c r="V539" s="20" t="s">
        <v>952</v>
      </c>
      <c r="W539" s="53" t="s">
        <v>280</v>
      </c>
      <c r="X539" s="20" t="s">
        <v>227</v>
      </c>
      <c r="Y539" s="20"/>
      <c r="Z539" s="20"/>
      <c r="AA539" s="53" t="s">
        <v>3034</v>
      </c>
      <c r="AB539" s="53" t="s">
        <v>2371</v>
      </c>
      <c r="AC539" s="24">
        <v>1</v>
      </c>
      <c r="AD539" s="24"/>
      <c r="AE539" s="24"/>
      <c r="AF539" s="24"/>
      <c r="AG539" s="24"/>
      <c r="AH539" s="20"/>
      <c r="AI539" s="42"/>
    </row>
    <row r="540" spans="1:35">
      <c r="A540" s="14"/>
      <c r="B540" s="20"/>
      <c r="C540" s="20" t="s">
        <v>2420</v>
      </c>
      <c r="D540" s="20" t="s">
        <v>79</v>
      </c>
      <c r="E540" s="20" t="s">
        <v>80</v>
      </c>
      <c r="F540" s="20" t="s">
        <v>3032</v>
      </c>
      <c r="G540" s="20" t="s">
        <v>3033</v>
      </c>
      <c r="H540" s="20" t="s">
        <v>120</v>
      </c>
      <c r="I540" s="211"/>
      <c r="J540" s="24"/>
      <c r="K540" s="24">
        <v>1</v>
      </c>
      <c r="L540" s="24">
        <v>1</v>
      </c>
      <c r="M540" s="24"/>
      <c r="N540" s="24"/>
      <c r="O540" s="24"/>
      <c r="P540" s="24"/>
      <c r="Q540" s="24"/>
      <c r="R540" s="24"/>
      <c r="S540" s="24"/>
      <c r="T540" s="24"/>
      <c r="U540" s="20" t="s">
        <v>3021</v>
      </c>
      <c r="V540" s="20" t="s">
        <v>952</v>
      </c>
      <c r="W540" s="53" t="s">
        <v>280</v>
      </c>
      <c r="X540" s="20" t="s">
        <v>227</v>
      </c>
      <c r="Y540" s="20"/>
      <c r="Z540" s="20"/>
      <c r="AA540" s="53" t="s">
        <v>3035</v>
      </c>
      <c r="AB540" s="53" t="s">
        <v>2371</v>
      </c>
      <c r="AC540" s="24">
        <v>1</v>
      </c>
      <c r="AD540" s="24"/>
      <c r="AE540" s="24"/>
      <c r="AF540" s="24"/>
      <c r="AG540" s="24"/>
      <c r="AH540" s="20"/>
      <c r="AI540" s="42"/>
    </row>
    <row r="541" spans="1:35">
      <c r="A541" s="14"/>
      <c r="B541" s="20"/>
      <c r="C541" s="20" t="s">
        <v>2420</v>
      </c>
      <c r="D541" s="20" t="s">
        <v>79</v>
      </c>
      <c r="E541" s="20" t="s">
        <v>80</v>
      </c>
      <c r="F541" s="20" t="s">
        <v>2960</v>
      </c>
      <c r="G541" s="20" t="s">
        <v>2961</v>
      </c>
      <c r="H541" s="20" t="s">
        <v>1040</v>
      </c>
      <c r="I541" s="211"/>
      <c r="J541" s="24">
        <v>1</v>
      </c>
      <c r="K541" s="24"/>
      <c r="L541" s="24">
        <v>1</v>
      </c>
      <c r="M541" s="24"/>
      <c r="N541" s="24"/>
      <c r="O541" s="24"/>
      <c r="P541" s="24"/>
      <c r="Q541" s="24"/>
      <c r="R541" s="24"/>
      <c r="S541" s="24"/>
      <c r="T541" s="24"/>
      <c r="U541" s="20" t="s">
        <v>2959</v>
      </c>
      <c r="V541" s="20" t="s">
        <v>952</v>
      </c>
      <c r="W541" s="53" t="s">
        <v>280</v>
      </c>
      <c r="X541" s="20" t="s">
        <v>227</v>
      </c>
      <c r="Y541" s="20"/>
      <c r="Z541" s="20"/>
      <c r="AA541" s="20" t="s">
        <v>3036</v>
      </c>
      <c r="AB541" s="53" t="s">
        <v>2371</v>
      </c>
      <c r="AC541" s="24">
        <v>1</v>
      </c>
      <c r="AD541" s="24"/>
      <c r="AE541" s="24"/>
      <c r="AF541" s="24"/>
      <c r="AG541" s="24"/>
      <c r="AH541" s="20"/>
      <c r="AI541" s="42"/>
    </row>
    <row r="542" spans="1:35">
      <c r="A542" s="14"/>
      <c r="B542" s="20"/>
      <c r="C542" s="20" t="s">
        <v>2420</v>
      </c>
      <c r="D542" s="20" t="s">
        <v>79</v>
      </c>
      <c r="E542" s="20" t="s">
        <v>80</v>
      </c>
      <c r="F542" s="20" t="s">
        <v>451</v>
      </c>
      <c r="G542" s="20" t="s">
        <v>2590</v>
      </c>
      <c r="H542" s="20" t="s">
        <v>286</v>
      </c>
      <c r="I542" s="211"/>
      <c r="J542" s="24">
        <v>1</v>
      </c>
      <c r="K542" s="24"/>
      <c r="L542" s="24">
        <v>1</v>
      </c>
      <c r="M542" s="24"/>
      <c r="N542" s="24"/>
      <c r="O542" s="24"/>
      <c r="P542" s="24"/>
      <c r="Q542" s="24"/>
      <c r="R542" s="24"/>
      <c r="S542" s="24"/>
      <c r="T542" s="24"/>
      <c r="U542" s="20" t="s">
        <v>3030</v>
      </c>
      <c r="V542" s="20" t="s">
        <v>952</v>
      </c>
      <c r="W542" s="53" t="s">
        <v>280</v>
      </c>
      <c r="X542" s="20" t="s">
        <v>227</v>
      </c>
      <c r="Y542" s="20"/>
      <c r="Z542" s="20"/>
      <c r="AA542" s="20" t="s">
        <v>3037</v>
      </c>
      <c r="AB542" s="53" t="s">
        <v>2371</v>
      </c>
      <c r="AC542" s="24">
        <v>1</v>
      </c>
      <c r="AD542" s="24"/>
      <c r="AE542" s="24"/>
      <c r="AF542" s="24"/>
      <c r="AG542" s="24"/>
      <c r="AH542" s="20"/>
      <c r="AI542" s="42"/>
    </row>
    <row r="543" spans="1:35">
      <c r="A543" s="14"/>
      <c r="B543" s="20"/>
      <c r="C543" s="20" t="s">
        <v>2420</v>
      </c>
      <c r="D543" s="20" t="s">
        <v>79</v>
      </c>
      <c r="E543" s="20" t="s">
        <v>80</v>
      </c>
      <c r="F543" s="20" t="s">
        <v>3026</v>
      </c>
      <c r="G543" s="20" t="s">
        <v>3027</v>
      </c>
      <c r="H543" s="20" t="s">
        <v>120</v>
      </c>
      <c r="I543" s="211"/>
      <c r="J543" s="24">
        <v>1</v>
      </c>
      <c r="K543" s="24"/>
      <c r="L543" s="24">
        <v>1</v>
      </c>
      <c r="M543" s="24"/>
      <c r="N543" s="24"/>
      <c r="O543" s="24"/>
      <c r="P543" s="24"/>
      <c r="Q543" s="24"/>
      <c r="R543" s="24"/>
      <c r="S543" s="24"/>
      <c r="T543" s="24"/>
      <c r="U543" s="20" t="s">
        <v>3031</v>
      </c>
      <c r="V543" s="20" t="s">
        <v>952</v>
      </c>
      <c r="W543" s="53" t="s">
        <v>280</v>
      </c>
      <c r="X543" s="20" t="s">
        <v>227</v>
      </c>
      <c r="Y543" s="20"/>
      <c r="Z543" s="20"/>
      <c r="AA543" s="20" t="s">
        <v>3038</v>
      </c>
      <c r="AB543" s="53" t="s">
        <v>2371</v>
      </c>
      <c r="AC543" s="24">
        <v>1</v>
      </c>
      <c r="AD543" s="24"/>
      <c r="AE543" s="24"/>
      <c r="AF543" s="24"/>
      <c r="AG543" s="24"/>
      <c r="AH543" s="20"/>
      <c r="AI543" s="42"/>
    </row>
    <row r="544" spans="1:35">
      <c r="A544" s="14"/>
      <c r="B544" s="20"/>
      <c r="C544" s="20" t="s">
        <v>2420</v>
      </c>
      <c r="D544" s="20" t="s">
        <v>79</v>
      </c>
      <c r="E544" s="20" t="s">
        <v>80</v>
      </c>
      <c r="F544" s="20" t="s">
        <v>1729</v>
      </c>
      <c r="G544" s="20" t="s">
        <v>2430</v>
      </c>
      <c r="H544" s="20" t="s">
        <v>286</v>
      </c>
      <c r="I544" s="211"/>
      <c r="J544" s="24">
        <v>1</v>
      </c>
      <c r="K544" s="24"/>
      <c r="L544" s="24">
        <v>1</v>
      </c>
      <c r="M544" s="24"/>
      <c r="N544" s="24"/>
      <c r="O544" s="24"/>
      <c r="P544" s="24"/>
      <c r="Q544" s="24"/>
      <c r="R544" s="24"/>
      <c r="S544" s="24"/>
      <c r="T544" s="24"/>
      <c r="U544" s="20" t="s">
        <v>3042</v>
      </c>
      <c r="V544" s="20" t="s">
        <v>952</v>
      </c>
      <c r="W544" s="53" t="s">
        <v>280</v>
      </c>
      <c r="X544" s="20" t="s">
        <v>227</v>
      </c>
      <c r="Y544" s="20"/>
      <c r="Z544" s="20"/>
      <c r="AA544" s="20" t="s">
        <v>2673</v>
      </c>
      <c r="AB544" s="53" t="s">
        <v>2371</v>
      </c>
      <c r="AC544" s="24">
        <v>1</v>
      </c>
      <c r="AD544" s="24"/>
      <c r="AE544" s="24"/>
      <c r="AF544" s="24"/>
      <c r="AG544" s="24"/>
      <c r="AH544" s="20"/>
      <c r="AI544" s="42"/>
    </row>
    <row r="545" spans="1:35">
      <c r="A545" s="14"/>
      <c r="B545" s="20"/>
      <c r="C545" s="20" t="s">
        <v>2420</v>
      </c>
      <c r="D545" s="20" t="s">
        <v>79</v>
      </c>
      <c r="E545" s="20" t="s">
        <v>80</v>
      </c>
      <c r="F545" s="20" t="s">
        <v>3040</v>
      </c>
      <c r="G545" s="20" t="s">
        <v>3041</v>
      </c>
      <c r="H545" s="20" t="s">
        <v>115</v>
      </c>
      <c r="I545" s="211"/>
      <c r="J545" s="24">
        <v>1</v>
      </c>
      <c r="K545" s="24"/>
      <c r="L545" s="24">
        <v>1</v>
      </c>
      <c r="M545" s="24"/>
      <c r="N545" s="24"/>
      <c r="O545" s="24"/>
      <c r="P545" s="24"/>
      <c r="Q545" s="24"/>
      <c r="R545" s="24"/>
      <c r="S545" s="24"/>
      <c r="T545" s="24"/>
      <c r="U545" s="20" t="s">
        <v>1470</v>
      </c>
      <c r="V545" s="20" t="s">
        <v>952</v>
      </c>
      <c r="W545" s="53" t="s">
        <v>280</v>
      </c>
      <c r="X545" s="20" t="s">
        <v>227</v>
      </c>
      <c r="Y545" s="20"/>
      <c r="Z545" s="20"/>
      <c r="AA545" s="20" t="s">
        <v>3039</v>
      </c>
      <c r="AB545" s="53" t="s">
        <v>2371</v>
      </c>
      <c r="AC545" s="24">
        <v>1</v>
      </c>
      <c r="AD545" s="24"/>
      <c r="AE545" s="24"/>
      <c r="AF545" s="24"/>
      <c r="AG545" s="24"/>
      <c r="AH545" s="20"/>
      <c r="AI545" s="42"/>
    </row>
    <row r="546" spans="1:35">
      <c r="A546" s="14"/>
      <c r="B546" s="20"/>
      <c r="C546" s="20" t="s">
        <v>3158</v>
      </c>
      <c r="D546" s="20" t="s">
        <v>79</v>
      </c>
      <c r="E546" s="20" t="s">
        <v>80</v>
      </c>
      <c r="F546" s="20" t="s">
        <v>1075</v>
      </c>
      <c r="G546" s="20" t="s">
        <v>1076</v>
      </c>
      <c r="H546" s="20" t="s">
        <v>126</v>
      </c>
      <c r="I546" s="211"/>
      <c r="J546" s="24">
        <v>1</v>
      </c>
      <c r="K546" s="24"/>
      <c r="L546" s="24">
        <v>1</v>
      </c>
      <c r="M546" s="24"/>
      <c r="N546" s="24"/>
      <c r="O546" s="24"/>
      <c r="P546" s="24"/>
      <c r="Q546" s="24"/>
      <c r="R546" s="24"/>
      <c r="S546" s="24"/>
      <c r="T546" s="24"/>
      <c r="U546" s="20" t="s">
        <v>3166</v>
      </c>
      <c r="V546" s="20" t="s">
        <v>355</v>
      </c>
      <c r="W546" s="53" t="s">
        <v>298</v>
      </c>
      <c r="X546" s="20" t="s">
        <v>227</v>
      </c>
      <c r="Y546" s="20"/>
      <c r="Z546" s="20"/>
      <c r="AA546" s="20" t="s">
        <v>3167</v>
      </c>
      <c r="AB546" s="53" t="s">
        <v>2371</v>
      </c>
      <c r="AC546" s="24">
        <v>1</v>
      </c>
      <c r="AD546" s="24"/>
      <c r="AE546" s="24"/>
      <c r="AF546" s="24"/>
      <c r="AG546" s="24"/>
      <c r="AH546" s="20"/>
      <c r="AI546" s="42"/>
    </row>
    <row r="547" spans="1:35">
      <c r="A547" s="14"/>
      <c r="B547" s="20"/>
      <c r="C547" s="20" t="s">
        <v>3158</v>
      </c>
      <c r="D547" s="20" t="s">
        <v>79</v>
      </c>
      <c r="E547" s="20" t="s">
        <v>80</v>
      </c>
      <c r="F547" s="20" t="s">
        <v>3168</v>
      </c>
      <c r="G547" s="20" t="s">
        <v>3169</v>
      </c>
      <c r="H547" s="20" t="s">
        <v>160</v>
      </c>
      <c r="I547" s="211"/>
      <c r="J547" s="24">
        <v>1</v>
      </c>
      <c r="K547" s="24"/>
      <c r="L547" s="24">
        <v>1</v>
      </c>
      <c r="M547" s="24"/>
      <c r="N547" s="24"/>
      <c r="O547" s="24"/>
      <c r="P547" s="24"/>
      <c r="Q547" s="24"/>
      <c r="R547" s="24"/>
      <c r="S547" s="24"/>
      <c r="T547" s="24"/>
      <c r="U547" s="20" t="s">
        <v>222</v>
      </c>
      <c r="V547" s="20" t="s">
        <v>355</v>
      </c>
      <c r="W547" s="53" t="s">
        <v>298</v>
      </c>
      <c r="X547" s="20" t="s">
        <v>227</v>
      </c>
      <c r="Y547" s="20"/>
      <c r="Z547" s="20"/>
      <c r="AA547" s="20" t="s">
        <v>3167</v>
      </c>
      <c r="AB547" s="53" t="s">
        <v>2371</v>
      </c>
      <c r="AC547" s="24">
        <v>1</v>
      </c>
      <c r="AD547" s="24"/>
      <c r="AE547" s="24"/>
      <c r="AF547" s="24"/>
      <c r="AG547" s="24"/>
      <c r="AH547" s="20"/>
      <c r="AI547" s="42"/>
    </row>
    <row r="548" spans="1:35">
      <c r="A548" s="14"/>
      <c r="B548" s="20"/>
      <c r="C548" s="20" t="s">
        <v>3158</v>
      </c>
      <c r="D548" s="20" t="s">
        <v>1782</v>
      </c>
      <c r="E548" s="20" t="s">
        <v>1963</v>
      </c>
      <c r="F548" s="20" t="s">
        <v>883</v>
      </c>
      <c r="G548" s="20" t="s">
        <v>884</v>
      </c>
      <c r="H548" s="20" t="s">
        <v>144</v>
      </c>
      <c r="I548" s="211"/>
      <c r="J548" s="24"/>
      <c r="K548" s="24">
        <v>1</v>
      </c>
      <c r="L548" s="24"/>
      <c r="M548" s="24"/>
      <c r="N548" s="24"/>
      <c r="O548" s="24"/>
      <c r="P548" s="24"/>
      <c r="Q548" s="24">
        <v>1</v>
      </c>
      <c r="R548" s="24" t="s">
        <v>1009</v>
      </c>
      <c r="S548" s="24"/>
      <c r="T548" s="24"/>
      <c r="U548" s="20" t="s">
        <v>222</v>
      </c>
      <c r="V548" s="20" t="s">
        <v>218</v>
      </c>
      <c r="W548" s="53" t="s">
        <v>279</v>
      </c>
      <c r="X548" s="20" t="s">
        <v>227</v>
      </c>
      <c r="Y548" s="20"/>
      <c r="Z548" s="20"/>
      <c r="AA548" s="20" t="s">
        <v>2129</v>
      </c>
      <c r="AB548" s="53" t="s">
        <v>1815</v>
      </c>
      <c r="AC548" s="24">
        <v>92</v>
      </c>
      <c r="AD548" s="24"/>
      <c r="AE548" s="24"/>
      <c r="AF548" s="24"/>
      <c r="AG548" s="24"/>
      <c r="AH548" s="20"/>
      <c r="AI548" s="42"/>
    </row>
    <row r="549" spans="1:35">
      <c r="A549" s="14"/>
      <c r="B549" s="20"/>
      <c r="C549" s="20" t="s">
        <v>3158</v>
      </c>
      <c r="D549" s="20" t="s">
        <v>1782</v>
      </c>
      <c r="E549" s="20" t="s">
        <v>3207</v>
      </c>
      <c r="F549" s="20" t="s">
        <v>3208</v>
      </c>
      <c r="G549" s="20" t="s">
        <v>198</v>
      </c>
      <c r="H549" s="20" t="s">
        <v>160</v>
      </c>
      <c r="I549" s="211"/>
      <c r="J549" s="24">
        <v>1</v>
      </c>
      <c r="K549" s="24"/>
      <c r="L549" s="24">
        <v>1</v>
      </c>
      <c r="M549" s="24"/>
      <c r="N549" s="24">
        <v>1</v>
      </c>
      <c r="O549" s="24"/>
      <c r="P549" s="24"/>
      <c r="Q549" s="24">
        <v>1</v>
      </c>
      <c r="R549" s="24" t="s">
        <v>3209</v>
      </c>
      <c r="S549" s="24"/>
      <c r="T549" s="24"/>
      <c r="U549" s="20" t="s">
        <v>1446</v>
      </c>
      <c r="V549" s="20" t="s">
        <v>949</v>
      </c>
      <c r="W549" s="53" t="s">
        <v>280</v>
      </c>
      <c r="X549" s="20" t="s">
        <v>227</v>
      </c>
      <c r="Y549" s="20"/>
      <c r="Z549" s="20"/>
      <c r="AA549" s="20" t="s">
        <v>3210</v>
      </c>
      <c r="AB549" s="53" t="s">
        <v>2371</v>
      </c>
      <c r="AC549" s="24">
        <v>1</v>
      </c>
      <c r="AD549" s="24"/>
      <c r="AE549" s="24"/>
      <c r="AF549" s="24"/>
      <c r="AG549" s="24"/>
      <c r="AH549" s="20"/>
      <c r="AI549" s="42"/>
    </row>
    <row r="550" spans="1:35">
      <c r="A550" s="14"/>
      <c r="B550" s="20"/>
      <c r="C550" s="20"/>
      <c r="D550" s="20"/>
      <c r="E550" s="20"/>
      <c r="F550" s="20"/>
      <c r="G550" s="20"/>
      <c r="H550" s="20"/>
      <c r="I550" s="211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0"/>
      <c r="V550" s="20"/>
      <c r="W550" s="53"/>
      <c r="X550" s="20"/>
      <c r="Y550" s="20"/>
      <c r="Z550" s="20"/>
      <c r="AA550" s="20" t="s">
        <v>2130</v>
      </c>
      <c r="AB550" s="53" t="s">
        <v>3211</v>
      </c>
      <c r="AC550" s="24">
        <v>25</v>
      </c>
      <c r="AD550" s="24"/>
      <c r="AE550" s="24"/>
      <c r="AF550" s="24"/>
      <c r="AG550" s="24"/>
      <c r="AH550" s="20"/>
      <c r="AI550" s="42"/>
    </row>
    <row r="551" spans="1:35" hidden="1">
      <c r="A551" s="14"/>
      <c r="B551" s="20"/>
      <c r="C551" s="20"/>
      <c r="D551" s="20"/>
      <c r="E551" s="20"/>
      <c r="F551" s="20"/>
      <c r="G551" s="20"/>
      <c r="H551" s="20"/>
      <c r="I551" s="211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0"/>
      <c r="V551" s="20"/>
      <c r="W551" s="53"/>
      <c r="X551" s="20"/>
      <c r="Y551" s="20"/>
      <c r="Z551" s="20"/>
      <c r="AA551" s="20" t="s">
        <v>3212</v>
      </c>
      <c r="AB551" s="53" t="s">
        <v>1815</v>
      </c>
      <c r="AC551" s="24">
        <v>2</v>
      </c>
      <c r="AD551" s="24"/>
      <c r="AE551" s="24"/>
      <c r="AF551" s="24"/>
      <c r="AG551" s="24"/>
      <c r="AH551" s="20"/>
      <c r="AI551" s="42"/>
    </row>
    <row r="552" spans="1:35" hidden="1">
      <c r="A552" s="14"/>
      <c r="B552" s="20"/>
      <c r="C552" s="20"/>
      <c r="D552" s="20"/>
      <c r="E552" s="20"/>
      <c r="F552" s="20"/>
      <c r="G552" s="20"/>
      <c r="H552" s="20"/>
      <c r="I552" s="211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0"/>
      <c r="V552" s="20"/>
      <c r="W552" s="53"/>
      <c r="X552" s="20"/>
      <c r="Y552" s="20"/>
      <c r="Z552" s="20"/>
      <c r="AA552" s="20"/>
      <c r="AB552" s="53"/>
      <c r="AC552" s="24"/>
      <c r="AD552" s="24"/>
      <c r="AE552" s="24"/>
      <c r="AF552" s="24"/>
      <c r="AG552" s="24"/>
      <c r="AH552" s="20"/>
      <c r="AI552" s="42"/>
    </row>
    <row r="553" spans="1:35" hidden="1">
      <c r="A553" s="14"/>
      <c r="B553" s="20"/>
      <c r="C553" s="20"/>
      <c r="D553" s="20"/>
      <c r="E553" s="20"/>
      <c r="F553" s="20"/>
      <c r="G553" s="20"/>
      <c r="H553" s="20"/>
      <c r="I553" s="211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0"/>
      <c r="V553" s="20"/>
      <c r="W553" s="53"/>
      <c r="X553" s="20"/>
      <c r="Y553" s="20"/>
      <c r="Z553" s="20"/>
      <c r="AA553" s="20"/>
      <c r="AB553" s="53"/>
      <c r="AC553" s="24"/>
      <c r="AD553" s="24"/>
      <c r="AE553" s="24"/>
      <c r="AF553" s="24"/>
      <c r="AG553" s="24"/>
      <c r="AH553" s="20"/>
      <c r="AI553" s="42"/>
    </row>
    <row r="554" spans="1:35" hidden="1">
      <c r="A554" s="14"/>
      <c r="B554" s="20"/>
      <c r="C554" s="20"/>
      <c r="D554" s="20"/>
      <c r="E554" s="20"/>
      <c r="F554" s="20"/>
      <c r="G554" s="20"/>
      <c r="H554" s="20"/>
      <c r="I554" s="211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0"/>
      <c r="V554" s="20"/>
      <c r="W554" s="53"/>
      <c r="X554" s="20"/>
      <c r="Y554" s="20"/>
      <c r="Z554" s="20"/>
      <c r="AA554" s="20"/>
      <c r="AB554" s="53"/>
      <c r="AC554" s="24"/>
      <c r="AD554" s="24"/>
      <c r="AE554" s="24"/>
      <c r="AF554" s="24"/>
      <c r="AG554" s="24"/>
      <c r="AH554" s="20"/>
      <c r="AI554" s="42"/>
    </row>
    <row r="555" spans="1:35" hidden="1">
      <c r="A555" s="14"/>
      <c r="B555" s="20"/>
      <c r="C555" s="20"/>
      <c r="D555" s="20"/>
      <c r="E555" s="20"/>
      <c r="F555" s="20"/>
      <c r="G555" s="20"/>
      <c r="H555" s="20"/>
      <c r="I555" s="211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0"/>
      <c r="V555" s="20"/>
      <c r="W555" s="53"/>
      <c r="X555" s="20"/>
      <c r="Y555" s="20"/>
      <c r="Z555" s="20"/>
      <c r="AA555" s="20"/>
      <c r="AB555" s="53"/>
      <c r="AC555" s="24"/>
      <c r="AD555" s="24"/>
      <c r="AE555" s="24"/>
      <c r="AF555" s="24"/>
      <c r="AG555" s="24"/>
      <c r="AH555" s="20"/>
      <c r="AI555" s="42"/>
    </row>
    <row r="556" spans="1:35" hidden="1">
      <c r="A556" s="14"/>
      <c r="B556" s="20"/>
      <c r="C556" s="20"/>
      <c r="D556" s="20"/>
      <c r="E556" s="20"/>
      <c r="F556" s="20"/>
      <c r="G556" s="20"/>
      <c r="H556" s="20"/>
      <c r="I556" s="211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0"/>
      <c r="V556" s="20"/>
      <c r="W556" s="53"/>
      <c r="X556" s="20"/>
      <c r="Y556" s="20"/>
      <c r="Z556" s="20"/>
      <c r="AA556" s="20"/>
      <c r="AB556" s="53"/>
      <c r="AC556" s="24"/>
      <c r="AD556" s="24"/>
      <c r="AE556" s="24"/>
      <c r="AF556" s="24"/>
      <c r="AG556" s="24"/>
      <c r="AH556" s="20"/>
      <c r="AI556" s="42"/>
    </row>
    <row r="557" spans="1:35" hidden="1">
      <c r="A557" s="14"/>
      <c r="B557" s="20"/>
      <c r="C557" s="20"/>
      <c r="D557" s="20"/>
      <c r="E557" s="20"/>
      <c r="F557" s="20"/>
      <c r="G557" s="20"/>
      <c r="H557" s="20"/>
      <c r="I557" s="211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0"/>
      <c r="V557" s="20"/>
      <c r="W557" s="53"/>
      <c r="X557" s="20"/>
      <c r="Y557" s="20"/>
      <c r="Z557" s="20"/>
      <c r="AA557" s="20"/>
      <c r="AB557" s="53"/>
      <c r="AC557" s="24"/>
      <c r="AD557" s="24"/>
      <c r="AE557" s="24"/>
      <c r="AF557" s="24"/>
      <c r="AG557" s="24"/>
      <c r="AH557" s="20"/>
      <c r="AI557" s="42"/>
    </row>
    <row r="558" spans="1:35" hidden="1">
      <c r="A558" s="14"/>
      <c r="B558" s="20"/>
      <c r="C558" s="20"/>
      <c r="D558" s="20"/>
      <c r="E558" s="20"/>
      <c r="F558" s="20"/>
      <c r="G558" s="20"/>
      <c r="H558" s="20"/>
      <c r="I558" s="211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0"/>
      <c r="V558" s="20"/>
      <c r="W558" s="53"/>
      <c r="X558" s="20"/>
      <c r="Y558" s="20"/>
      <c r="Z558" s="20"/>
      <c r="AA558" s="20"/>
      <c r="AB558" s="53"/>
      <c r="AC558" s="24"/>
      <c r="AD558" s="24"/>
      <c r="AE558" s="24"/>
      <c r="AF558" s="24"/>
      <c r="AG558" s="24"/>
      <c r="AH558" s="20"/>
      <c r="AI558" s="42"/>
    </row>
    <row r="559" spans="1:35" hidden="1">
      <c r="A559" s="14"/>
      <c r="B559" s="20"/>
      <c r="C559" s="20"/>
      <c r="D559" s="20"/>
      <c r="E559" s="20"/>
      <c r="F559" s="20"/>
      <c r="G559" s="20"/>
      <c r="H559" s="20"/>
      <c r="I559" s="211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0"/>
      <c r="V559" s="20"/>
      <c r="W559" s="53"/>
      <c r="X559" s="20"/>
      <c r="Y559" s="20"/>
      <c r="Z559" s="20"/>
      <c r="AA559" s="20"/>
      <c r="AB559" s="53"/>
      <c r="AC559" s="24"/>
      <c r="AD559" s="24"/>
      <c r="AE559" s="24"/>
      <c r="AF559" s="24"/>
      <c r="AG559" s="24"/>
      <c r="AH559" s="20"/>
      <c r="AI559" s="42"/>
    </row>
    <row r="560" spans="1:35" hidden="1">
      <c r="A560" s="14"/>
      <c r="B560" s="20"/>
      <c r="C560" s="20"/>
      <c r="D560" s="20"/>
      <c r="E560" s="20"/>
      <c r="F560" s="20"/>
      <c r="G560" s="20"/>
      <c r="H560" s="20"/>
      <c r="I560" s="211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0"/>
      <c r="V560" s="20"/>
      <c r="W560" s="53"/>
      <c r="X560" s="20"/>
      <c r="Y560" s="20"/>
      <c r="Z560" s="20"/>
      <c r="AA560" s="20"/>
      <c r="AB560" s="53"/>
      <c r="AC560" s="24"/>
      <c r="AD560" s="24"/>
      <c r="AE560" s="24"/>
      <c r="AF560" s="24"/>
      <c r="AG560" s="24"/>
      <c r="AH560" s="20"/>
      <c r="AI560" s="42"/>
    </row>
    <row r="561" spans="1:35" hidden="1">
      <c r="A561" s="14"/>
      <c r="B561" s="20"/>
      <c r="C561" s="20"/>
      <c r="D561" s="20"/>
      <c r="E561" s="20"/>
      <c r="F561" s="20"/>
      <c r="G561" s="20"/>
      <c r="H561" s="20"/>
      <c r="I561" s="211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0"/>
      <c r="V561" s="20"/>
      <c r="W561" s="53"/>
      <c r="X561" s="20"/>
      <c r="Y561" s="20"/>
      <c r="Z561" s="20"/>
      <c r="AA561" s="20"/>
      <c r="AB561" s="53"/>
      <c r="AC561" s="24"/>
      <c r="AD561" s="24"/>
      <c r="AE561" s="24"/>
      <c r="AF561" s="24"/>
      <c r="AG561" s="24"/>
      <c r="AH561" s="20"/>
      <c r="AI561" s="42"/>
    </row>
    <row r="562" spans="1:35" hidden="1">
      <c r="A562" s="14"/>
      <c r="B562" s="20"/>
      <c r="C562" s="20"/>
      <c r="D562" s="20"/>
      <c r="E562" s="20"/>
      <c r="F562" s="20"/>
      <c r="G562" s="20"/>
      <c r="H562" s="20"/>
      <c r="I562" s="211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0"/>
      <c r="V562" s="20"/>
      <c r="W562" s="53"/>
      <c r="X562" s="20"/>
      <c r="Y562" s="20"/>
      <c r="Z562" s="20"/>
      <c r="AA562" s="20"/>
      <c r="AB562" s="53"/>
      <c r="AC562" s="24"/>
      <c r="AD562" s="24"/>
      <c r="AE562" s="24"/>
      <c r="AF562" s="24"/>
      <c r="AG562" s="24"/>
      <c r="AH562" s="20"/>
      <c r="AI562" s="42"/>
    </row>
    <row r="563" spans="1:35" hidden="1">
      <c r="A563" s="14"/>
      <c r="B563" s="20"/>
      <c r="C563" s="20"/>
      <c r="D563" s="20"/>
      <c r="E563" s="20"/>
      <c r="F563" s="20"/>
      <c r="G563" s="20"/>
      <c r="H563" s="20"/>
      <c r="I563" s="211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0"/>
      <c r="V563" s="20"/>
      <c r="W563" s="53"/>
      <c r="X563" s="20"/>
      <c r="Y563" s="20"/>
      <c r="Z563" s="20"/>
      <c r="AA563" s="20"/>
      <c r="AB563" s="53"/>
      <c r="AC563" s="24"/>
      <c r="AD563" s="24"/>
      <c r="AE563" s="24"/>
      <c r="AF563" s="24"/>
      <c r="AG563" s="24"/>
      <c r="AH563" s="20"/>
      <c r="AI563" s="42"/>
    </row>
    <row r="564" spans="1:35" hidden="1">
      <c r="A564" s="14"/>
      <c r="B564" s="20"/>
      <c r="C564" s="20"/>
      <c r="D564" s="20"/>
      <c r="E564" s="20"/>
      <c r="F564" s="20"/>
      <c r="G564" s="20"/>
      <c r="H564" s="20"/>
      <c r="I564" s="211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0"/>
      <c r="V564" s="20"/>
      <c r="W564" s="53"/>
      <c r="X564" s="20"/>
      <c r="Y564" s="20"/>
      <c r="Z564" s="20"/>
      <c r="AA564" s="20"/>
      <c r="AB564" s="53"/>
      <c r="AC564" s="24"/>
      <c r="AD564" s="24"/>
      <c r="AE564" s="24"/>
      <c r="AF564" s="24"/>
      <c r="AG564" s="24"/>
      <c r="AH564" s="20"/>
      <c r="AI564" s="42"/>
    </row>
    <row r="565" spans="1:35">
      <c r="A565" s="14"/>
      <c r="B565" s="20"/>
      <c r="C565" s="20"/>
      <c r="D565" s="20"/>
      <c r="E565" s="20"/>
      <c r="F565" s="20"/>
      <c r="G565" s="20"/>
      <c r="H565" s="20"/>
      <c r="I565" s="211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0"/>
      <c r="V565" s="20"/>
      <c r="W565" s="53"/>
      <c r="X565" s="20"/>
      <c r="Y565" s="20"/>
      <c r="Z565" s="20"/>
      <c r="AA565" s="20"/>
      <c r="AB565" s="20"/>
      <c r="AC565" s="24"/>
      <c r="AD565" s="24"/>
      <c r="AE565" s="24"/>
      <c r="AF565" s="24"/>
      <c r="AG565" s="24"/>
      <c r="AH565" s="20"/>
      <c r="AI565" s="42"/>
    </row>
    <row r="566" spans="1:35" s="6" customFormat="1">
      <c r="A566" s="18"/>
      <c r="B566" s="19"/>
      <c r="C566" s="19" t="s">
        <v>84</v>
      </c>
      <c r="D566" s="19"/>
      <c r="E566" s="19"/>
      <c r="F566" s="19"/>
      <c r="G566" s="19"/>
      <c r="H566" s="19"/>
      <c r="I566" s="212"/>
      <c r="J566" s="31">
        <f>SUM(J568:J577)</f>
        <v>10</v>
      </c>
      <c r="K566" s="31">
        <f>SUM(K568:K577)</f>
        <v>0</v>
      </c>
      <c r="L566" s="31">
        <f>SUM(L568:L577)</f>
        <v>10</v>
      </c>
      <c r="M566" s="31">
        <f>SUM(M568:M577)</f>
        <v>0</v>
      </c>
      <c r="N566" s="31">
        <f>SUM(N568:N577)</f>
        <v>0</v>
      </c>
      <c r="O566" s="31"/>
      <c r="P566" s="31">
        <f>SUM(P568:P577)</f>
        <v>0</v>
      </c>
      <c r="Q566" s="31">
        <f>SUM(Q568:Q577)</f>
        <v>0</v>
      </c>
      <c r="R566" s="31"/>
      <c r="S566" s="31">
        <f>SUM(S568:S577)</f>
        <v>0</v>
      </c>
      <c r="T566" s="31">
        <f>SUM(T568:T577)</f>
        <v>0</v>
      </c>
      <c r="U566" s="19"/>
      <c r="V566" s="19"/>
      <c r="W566" s="19"/>
      <c r="X566" s="19"/>
      <c r="Y566" s="19"/>
      <c r="Z566" s="19"/>
      <c r="AA566" s="19"/>
      <c r="AB566" s="19"/>
      <c r="AC566" s="31">
        <f>SUM(AC568:AC577)</f>
        <v>10</v>
      </c>
      <c r="AD566" s="31">
        <f>SUM(AD568:AD577)</f>
        <v>0</v>
      </c>
      <c r="AE566" s="31" t="e">
        <f>AVERAGE(AE568:AE577)</f>
        <v>#DIV/0!</v>
      </c>
      <c r="AF566" s="31" t="e">
        <f>AVERAGE(AF568:AF577)</f>
        <v>#DIV/0!</v>
      </c>
      <c r="AG566" s="31" t="e">
        <f>AVERAGE(AG568:AG577)</f>
        <v>#DIV/0!</v>
      </c>
      <c r="AH566" s="19"/>
      <c r="AI566" s="41"/>
    </row>
    <row r="567" spans="1:35">
      <c r="A567" s="14"/>
      <c r="B567" s="20"/>
      <c r="C567" s="53" t="s">
        <v>3230</v>
      </c>
      <c r="D567" s="53" t="s">
        <v>79</v>
      </c>
      <c r="E567" s="53" t="s">
        <v>80</v>
      </c>
      <c r="F567" s="53" t="s">
        <v>3305</v>
      </c>
      <c r="G567" s="53" t="s">
        <v>3306</v>
      </c>
      <c r="H567" s="53" t="s">
        <v>115</v>
      </c>
      <c r="I567" s="211">
        <v>20538</v>
      </c>
      <c r="J567" s="24">
        <v>1</v>
      </c>
      <c r="K567" s="24"/>
      <c r="L567" s="24">
        <v>1</v>
      </c>
      <c r="M567" s="24"/>
      <c r="N567" s="24"/>
      <c r="O567" s="24"/>
      <c r="P567" s="24"/>
      <c r="Q567" s="24"/>
      <c r="R567" s="24"/>
      <c r="S567" s="24"/>
      <c r="T567" s="24"/>
      <c r="U567" s="53" t="s">
        <v>216</v>
      </c>
      <c r="V567" s="53" t="s">
        <v>218</v>
      </c>
      <c r="W567" s="53" t="s">
        <v>279</v>
      </c>
      <c r="X567" s="53" t="s">
        <v>227</v>
      </c>
      <c r="Y567" s="20"/>
      <c r="Z567" s="20"/>
      <c r="AA567" s="53" t="s">
        <v>1476</v>
      </c>
      <c r="AB567" s="53" t="s">
        <v>2371</v>
      </c>
      <c r="AC567" s="24">
        <v>1</v>
      </c>
      <c r="AD567" s="24"/>
      <c r="AE567" s="24"/>
      <c r="AF567" s="24"/>
      <c r="AG567" s="24"/>
      <c r="AH567" s="20"/>
      <c r="AI567" s="42"/>
    </row>
    <row r="568" spans="1:35">
      <c r="A568" s="14"/>
      <c r="B568" s="20"/>
      <c r="C568" s="53" t="s">
        <v>3230</v>
      </c>
      <c r="D568" s="53" t="s">
        <v>79</v>
      </c>
      <c r="E568" s="53" t="s">
        <v>80</v>
      </c>
      <c r="F568" s="53" t="s">
        <v>2954</v>
      </c>
      <c r="G568" s="53" t="s">
        <v>2955</v>
      </c>
      <c r="H568" s="53" t="s">
        <v>588</v>
      </c>
      <c r="I568" s="211">
        <v>27762</v>
      </c>
      <c r="J568" s="24">
        <v>1</v>
      </c>
      <c r="K568" s="24"/>
      <c r="L568" s="24">
        <v>1</v>
      </c>
      <c r="M568" s="24"/>
      <c r="N568" s="24"/>
      <c r="O568" s="24"/>
      <c r="P568" s="24"/>
      <c r="Q568" s="24"/>
      <c r="R568" s="24"/>
      <c r="S568" s="24"/>
      <c r="T568" s="24"/>
      <c r="U568" s="53" t="s">
        <v>856</v>
      </c>
      <c r="V568" s="53" t="s">
        <v>293</v>
      </c>
      <c r="W568" s="53" t="s">
        <v>298</v>
      </c>
      <c r="X568" s="53" t="s">
        <v>227</v>
      </c>
      <c r="Y568" s="20"/>
      <c r="Z568" s="20"/>
      <c r="AA568" s="53" t="s">
        <v>3304</v>
      </c>
      <c r="AB568" s="53" t="s">
        <v>2371</v>
      </c>
      <c r="AC568" s="24">
        <v>1</v>
      </c>
      <c r="AD568" s="24"/>
      <c r="AE568" s="24"/>
      <c r="AF568" s="24"/>
      <c r="AG568" s="24"/>
      <c r="AH568" s="20"/>
      <c r="AI568" s="42"/>
    </row>
    <row r="569" spans="1:35">
      <c r="A569" s="14"/>
      <c r="B569" s="20"/>
      <c r="C569" s="53" t="s">
        <v>3230</v>
      </c>
      <c r="D569" s="53" t="s">
        <v>79</v>
      </c>
      <c r="E569" s="53" t="s">
        <v>80</v>
      </c>
      <c r="F569" s="53" t="s">
        <v>2907</v>
      </c>
      <c r="G569" s="53" t="s">
        <v>3389</v>
      </c>
      <c r="H569" s="53" t="s">
        <v>120</v>
      </c>
      <c r="I569" s="211">
        <v>28273</v>
      </c>
      <c r="J569" s="24">
        <v>1</v>
      </c>
      <c r="K569" s="24"/>
      <c r="L569" s="24">
        <v>1</v>
      </c>
      <c r="M569" s="24"/>
      <c r="N569" s="24"/>
      <c r="O569" s="24"/>
      <c r="P569" s="24"/>
      <c r="Q569" s="24"/>
      <c r="R569" s="24"/>
      <c r="S569" s="24"/>
      <c r="T569" s="24"/>
      <c r="U569" s="53" t="s">
        <v>1369</v>
      </c>
      <c r="V569" s="53" t="s">
        <v>1443</v>
      </c>
      <c r="W569" s="53" t="s">
        <v>280</v>
      </c>
      <c r="X569" s="53" t="s">
        <v>227</v>
      </c>
      <c r="Y569" s="20"/>
      <c r="Z569" s="20"/>
      <c r="AA569" s="53" t="s">
        <v>3523</v>
      </c>
      <c r="AB569" s="53" t="s">
        <v>2371</v>
      </c>
      <c r="AC569" s="24">
        <v>1</v>
      </c>
      <c r="AD569" s="24"/>
      <c r="AE569" s="24"/>
      <c r="AF569" s="24"/>
      <c r="AG569" s="24"/>
      <c r="AH569" s="20"/>
      <c r="AI569" s="42"/>
    </row>
    <row r="570" spans="1:35">
      <c r="A570" s="14"/>
      <c r="B570" s="20"/>
      <c r="C570" s="53" t="s">
        <v>3230</v>
      </c>
      <c r="D570" s="53" t="s">
        <v>79</v>
      </c>
      <c r="E570" s="53" t="s">
        <v>80</v>
      </c>
      <c r="F570" s="53" t="s">
        <v>1326</v>
      </c>
      <c r="G570" s="53" t="s">
        <v>1327</v>
      </c>
      <c r="H570" s="20"/>
      <c r="I570" s="211">
        <v>26978</v>
      </c>
      <c r="J570" s="24">
        <v>1</v>
      </c>
      <c r="K570" s="24"/>
      <c r="L570" s="24">
        <v>1</v>
      </c>
      <c r="M570" s="24"/>
      <c r="N570" s="24"/>
      <c r="O570" s="24"/>
      <c r="P570" s="24"/>
      <c r="Q570" s="24"/>
      <c r="R570" s="24"/>
      <c r="S570" s="24"/>
      <c r="T570" s="24"/>
      <c r="U570" s="53" t="s">
        <v>221</v>
      </c>
      <c r="V570" s="53" t="s">
        <v>218</v>
      </c>
      <c r="W570" s="53" t="s">
        <v>279</v>
      </c>
      <c r="X570" s="53" t="s">
        <v>227</v>
      </c>
      <c r="Y570" s="20"/>
      <c r="Z570" s="20"/>
      <c r="AA570" s="53" t="s">
        <v>3524</v>
      </c>
      <c r="AB570" s="53" t="s">
        <v>2371</v>
      </c>
      <c r="AC570" s="24">
        <v>1</v>
      </c>
      <c r="AD570" s="24"/>
      <c r="AE570" s="24"/>
      <c r="AF570" s="24"/>
      <c r="AG570" s="24"/>
      <c r="AH570" s="20"/>
      <c r="AI570" s="42"/>
    </row>
    <row r="571" spans="1:35">
      <c r="A571" s="14"/>
      <c r="B571" s="20"/>
      <c r="C571" s="53" t="s">
        <v>3230</v>
      </c>
      <c r="D571" s="53" t="s">
        <v>79</v>
      </c>
      <c r="E571" s="53" t="s">
        <v>80</v>
      </c>
      <c r="F571" s="53" t="s">
        <v>3526</v>
      </c>
      <c r="G571" s="53" t="s">
        <v>2577</v>
      </c>
      <c r="H571" s="53" t="s">
        <v>126</v>
      </c>
      <c r="I571" s="211">
        <v>27073</v>
      </c>
      <c r="J571" s="24">
        <v>1</v>
      </c>
      <c r="K571" s="24"/>
      <c r="L571" s="75">
        <v>1</v>
      </c>
      <c r="M571" s="24"/>
      <c r="N571" s="24"/>
      <c r="O571" s="24"/>
      <c r="P571" s="24"/>
      <c r="Q571" s="24"/>
      <c r="R571" s="24"/>
      <c r="S571" s="24"/>
      <c r="T571" s="24"/>
      <c r="U571" s="53" t="s">
        <v>2611</v>
      </c>
      <c r="V571" s="53" t="s">
        <v>519</v>
      </c>
      <c r="W571" s="53" t="s">
        <v>280</v>
      </c>
      <c r="X571" s="53" t="s">
        <v>227</v>
      </c>
      <c r="Y571" s="20"/>
      <c r="Z571" s="20"/>
      <c r="AA571" s="53" t="s">
        <v>3525</v>
      </c>
      <c r="AB571" s="53" t="s">
        <v>2371</v>
      </c>
      <c r="AC571" s="24">
        <v>1</v>
      </c>
      <c r="AD571" s="24"/>
      <c r="AE571" s="24"/>
      <c r="AF571" s="24"/>
      <c r="AG571" s="24"/>
      <c r="AH571" s="20"/>
      <c r="AI571" s="42"/>
    </row>
    <row r="572" spans="1:35">
      <c r="A572" s="14"/>
      <c r="B572" s="20"/>
      <c r="C572" s="20" t="s">
        <v>3230</v>
      </c>
      <c r="D572" s="53" t="s">
        <v>79</v>
      </c>
      <c r="E572" s="53" t="s">
        <v>80</v>
      </c>
      <c r="F572" s="20" t="s">
        <v>3767</v>
      </c>
      <c r="G572" s="20" t="s">
        <v>3768</v>
      </c>
      <c r="H572" s="20" t="s">
        <v>113</v>
      </c>
      <c r="I572" s="211">
        <v>35394</v>
      </c>
      <c r="J572" s="24">
        <v>1</v>
      </c>
      <c r="K572" s="24"/>
      <c r="L572" s="24">
        <v>1</v>
      </c>
      <c r="M572" s="24"/>
      <c r="N572" s="24"/>
      <c r="O572" s="24"/>
      <c r="P572" s="24"/>
      <c r="Q572" s="24"/>
      <c r="R572" s="24"/>
      <c r="S572" s="24"/>
      <c r="T572" s="24"/>
      <c r="U572" s="20"/>
      <c r="V572" s="20" t="s">
        <v>350</v>
      </c>
      <c r="W572" s="53" t="s">
        <v>279</v>
      </c>
      <c r="X572" s="20" t="s">
        <v>227</v>
      </c>
      <c r="Y572" s="20"/>
      <c r="Z572" s="20"/>
      <c r="AA572" s="53" t="s">
        <v>3769</v>
      </c>
      <c r="AB572" s="20" t="s">
        <v>2371</v>
      </c>
      <c r="AC572" s="24">
        <v>1</v>
      </c>
      <c r="AD572" s="24"/>
      <c r="AE572" s="24"/>
      <c r="AF572" s="24"/>
      <c r="AG572" s="24"/>
      <c r="AH572" s="20"/>
      <c r="AI572" s="42"/>
    </row>
    <row r="573" spans="1:35">
      <c r="A573" s="14"/>
      <c r="B573" s="20"/>
      <c r="C573" s="53" t="s">
        <v>3230</v>
      </c>
      <c r="D573" s="53" t="s">
        <v>79</v>
      </c>
      <c r="E573" s="53" t="s">
        <v>80</v>
      </c>
      <c r="F573" s="20" t="s">
        <v>130</v>
      </c>
      <c r="G573" s="20" t="s">
        <v>3770</v>
      </c>
      <c r="H573" s="20" t="s">
        <v>286</v>
      </c>
      <c r="I573" s="211">
        <v>31007</v>
      </c>
      <c r="J573" s="24">
        <v>1</v>
      </c>
      <c r="K573" s="24"/>
      <c r="L573" s="24">
        <v>1</v>
      </c>
      <c r="M573" s="24"/>
      <c r="N573" s="24"/>
      <c r="O573" s="24"/>
      <c r="P573" s="24"/>
      <c r="Q573" s="24"/>
      <c r="R573" s="24"/>
      <c r="S573" s="24"/>
      <c r="T573" s="24"/>
      <c r="U573" s="20" t="s">
        <v>2073</v>
      </c>
      <c r="V573" s="20" t="s">
        <v>872</v>
      </c>
      <c r="W573" s="53" t="s">
        <v>298</v>
      </c>
      <c r="X573" s="20" t="s">
        <v>227</v>
      </c>
      <c r="Y573" s="20"/>
      <c r="Z573" s="20"/>
      <c r="AA573" s="53" t="s">
        <v>3771</v>
      </c>
      <c r="AB573" s="20" t="s">
        <v>2371</v>
      </c>
      <c r="AC573" s="24">
        <v>1</v>
      </c>
      <c r="AD573" s="24"/>
      <c r="AE573" s="24"/>
      <c r="AF573" s="24"/>
      <c r="AG573" s="24"/>
      <c r="AH573" s="20"/>
      <c r="AI573" s="42"/>
    </row>
    <row r="574" spans="1:35">
      <c r="A574" s="14"/>
      <c r="B574" s="20"/>
      <c r="C574" s="20" t="s">
        <v>3230</v>
      </c>
      <c r="D574" s="53" t="s">
        <v>79</v>
      </c>
      <c r="E574" s="53" t="s">
        <v>80</v>
      </c>
      <c r="F574" s="20" t="s">
        <v>392</v>
      </c>
      <c r="G574" s="20" t="s">
        <v>3772</v>
      </c>
      <c r="H574" s="20" t="s">
        <v>115</v>
      </c>
      <c r="I574" s="211">
        <v>34382</v>
      </c>
      <c r="J574" s="24">
        <v>1</v>
      </c>
      <c r="K574" s="24"/>
      <c r="L574" s="24">
        <v>1</v>
      </c>
      <c r="M574" s="24"/>
      <c r="N574" s="24"/>
      <c r="O574" s="24"/>
      <c r="P574" s="24"/>
      <c r="Q574" s="24"/>
      <c r="R574" s="24"/>
      <c r="S574" s="24"/>
      <c r="T574" s="24"/>
      <c r="U574" s="20" t="s">
        <v>1023</v>
      </c>
      <c r="V574" s="20" t="s">
        <v>872</v>
      </c>
      <c r="W574" s="53" t="s">
        <v>298</v>
      </c>
      <c r="X574" s="20" t="s">
        <v>227</v>
      </c>
      <c r="Y574" s="20"/>
      <c r="Z574" s="20"/>
      <c r="AA574" s="53" t="s">
        <v>3773</v>
      </c>
      <c r="AB574" s="20" t="s">
        <v>2371</v>
      </c>
      <c r="AC574" s="24">
        <v>1</v>
      </c>
      <c r="AD574" s="24"/>
      <c r="AE574" s="24"/>
      <c r="AF574" s="24"/>
      <c r="AG574" s="24"/>
      <c r="AH574" s="20"/>
      <c r="AI574" s="42"/>
    </row>
    <row r="575" spans="1:35">
      <c r="A575" s="14"/>
      <c r="B575" s="20"/>
      <c r="C575" s="53" t="s">
        <v>3230</v>
      </c>
      <c r="D575" s="53" t="s">
        <v>79</v>
      </c>
      <c r="E575" s="53" t="s">
        <v>80</v>
      </c>
      <c r="F575" s="20" t="s">
        <v>3774</v>
      </c>
      <c r="G575" s="20" t="s">
        <v>2056</v>
      </c>
      <c r="H575" s="20" t="s">
        <v>117</v>
      </c>
      <c r="I575" s="211">
        <v>34799</v>
      </c>
      <c r="J575" s="24">
        <v>1</v>
      </c>
      <c r="K575" s="24"/>
      <c r="L575" s="24">
        <v>1</v>
      </c>
      <c r="M575" s="24"/>
      <c r="N575" s="24"/>
      <c r="O575" s="24"/>
      <c r="P575" s="24"/>
      <c r="Q575" s="24"/>
      <c r="R575" s="24"/>
      <c r="S575" s="24"/>
      <c r="T575" s="24"/>
      <c r="U575" s="20" t="s">
        <v>3775</v>
      </c>
      <c r="V575" s="20" t="s">
        <v>949</v>
      </c>
      <c r="W575" s="53" t="s">
        <v>298</v>
      </c>
      <c r="X575" s="20" t="s">
        <v>227</v>
      </c>
      <c r="Y575" s="20"/>
      <c r="Z575" s="20"/>
      <c r="AA575" s="53" t="s">
        <v>3776</v>
      </c>
      <c r="AB575" s="20" t="s">
        <v>2371</v>
      </c>
      <c r="AC575" s="24">
        <v>1</v>
      </c>
      <c r="AD575" s="24"/>
      <c r="AE575" s="24"/>
      <c r="AF575" s="24"/>
      <c r="AG575" s="24"/>
      <c r="AH575" s="20"/>
      <c r="AI575" s="42"/>
    </row>
    <row r="576" spans="1:35">
      <c r="A576" s="14"/>
      <c r="B576" s="20"/>
      <c r="C576" s="20" t="s">
        <v>3230</v>
      </c>
      <c r="D576" s="53" t="s">
        <v>79</v>
      </c>
      <c r="E576" s="53" t="s">
        <v>80</v>
      </c>
      <c r="F576" s="20" t="s">
        <v>1203</v>
      </c>
      <c r="G576" s="20" t="s">
        <v>389</v>
      </c>
      <c r="H576" s="20"/>
      <c r="I576" s="211">
        <v>26750</v>
      </c>
      <c r="J576" s="24">
        <v>1</v>
      </c>
      <c r="K576" s="24"/>
      <c r="L576" s="24">
        <v>1</v>
      </c>
      <c r="M576" s="24"/>
      <c r="N576" s="24"/>
      <c r="O576" s="24"/>
      <c r="P576" s="24"/>
      <c r="Q576" s="24"/>
      <c r="R576" s="24"/>
      <c r="S576" s="24"/>
      <c r="T576" s="24"/>
      <c r="U576" s="20"/>
      <c r="V576" s="20" t="s">
        <v>218</v>
      </c>
      <c r="W576" s="53" t="s">
        <v>279</v>
      </c>
      <c r="X576" s="20" t="s">
        <v>227</v>
      </c>
      <c r="Y576" s="20"/>
      <c r="Z576" s="20"/>
      <c r="AA576" s="53" t="s">
        <v>3777</v>
      </c>
      <c r="AB576" s="20" t="s">
        <v>2371</v>
      </c>
      <c r="AC576" s="24">
        <v>1</v>
      </c>
      <c r="AD576" s="24"/>
      <c r="AE576" s="24"/>
      <c r="AF576" s="24"/>
      <c r="AG576" s="24"/>
      <c r="AH576" s="20"/>
      <c r="AI576" s="42"/>
    </row>
    <row r="577" spans="1:35" ht="31.5">
      <c r="A577" s="14"/>
      <c r="B577" s="20"/>
      <c r="C577" s="53" t="s">
        <v>3230</v>
      </c>
      <c r="D577" s="53" t="s">
        <v>79</v>
      </c>
      <c r="E577" s="53" t="s">
        <v>80</v>
      </c>
      <c r="F577" s="20" t="s">
        <v>3335</v>
      </c>
      <c r="G577" s="20" t="s">
        <v>1492</v>
      </c>
      <c r="H577" s="20" t="s">
        <v>202</v>
      </c>
      <c r="I577" s="211">
        <v>31387</v>
      </c>
      <c r="J577" s="24">
        <v>1</v>
      </c>
      <c r="K577" s="24"/>
      <c r="L577" s="24">
        <v>1</v>
      </c>
      <c r="M577" s="24"/>
      <c r="N577" s="24"/>
      <c r="O577" s="24"/>
      <c r="P577" s="24"/>
      <c r="Q577" s="24"/>
      <c r="R577" s="24"/>
      <c r="S577" s="24"/>
      <c r="T577" s="24"/>
      <c r="U577" s="20" t="s">
        <v>945</v>
      </c>
      <c r="V577" s="20" t="s">
        <v>218</v>
      </c>
      <c r="W577" s="53" t="s">
        <v>279</v>
      </c>
      <c r="X577" s="20" t="s">
        <v>227</v>
      </c>
      <c r="Y577" s="20"/>
      <c r="Z577" s="20"/>
      <c r="AA577" s="53" t="s">
        <v>3778</v>
      </c>
      <c r="AB577" s="20" t="s">
        <v>2371</v>
      </c>
      <c r="AC577" s="24">
        <v>1</v>
      </c>
      <c r="AD577" s="24"/>
      <c r="AE577" s="24"/>
      <c r="AF577" s="24"/>
      <c r="AG577" s="24"/>
      <c r="AH577" s="20"/>
      <c r="AI577" s="42"/>
    </row>
    <row r="578" spans="1:35" ht="31.5">
      <c r="A578" s="98"/>
      <c r="B578" s="99"/>
      <c r="C578" s="20" t="s">
        <v>3230</v>
      </c>
      <c r="D578" s="53" t="s">
        <v>79</v>
      </c>
      <c r="E578" s="53" t="s">
        <v>80</v>
      </c>
      <c r="F578" s="99" t="s">
        <v>3335</v>
      </c>
      <c r="G578" s="99" t="s">
        <v>3779</v>
      </c>
      <c r="H578" s="99" t="s">
        <v>202</v>
      </c>
      <c r="I578" s="247">
        <v>27430</v>
      </c>
      <c r="J578" s="101">
        <v>1</v>
      </c>
      <c r="K578" s="101"/>
      <c r="L578" s="101">
        <v>1</v>
      </c>
      <c r="M578" s="101"/>
      <c r="N578" s="101"/>
      <c r="O578" s="101"/>
      <c r="P578" s="101"/>
      <c r="Q578" s="101"/>
      <c r="R578" s="101"/>
      <c r="S578" s="101"/>
      <c r="T578" s="101"/>
      <c r="U578" s="99" t="s">
        <v>945</v>
      </c>
      <c r="V578" s="20" t="s">
        <v>218</v>
      </c>
      <c r="W578" s="53" t="s">
        <v>279</v>
      </c>
      <c r="X578" s="20" t="s">
        <v>227</v>
      </c>
      <c r="Y578" s="99"/>
      <c r="Z578" s="99"/>
      <c r="AA578" s="53" t="s">
        <v>3778</v>
      </c>
      <c r="AB578" s="99"/>
      <c r="AC578" s="101"/>
      <c r="AD578" s="101"/>
      <c r="AE578" s="101"/>
      <c r="AF578" s="101"/>
      <c r="AG578" s="101"/>
      <c r="AH578" s="99"/>
      <c r="AI578" s="105"/>
    </row>
    <row r="579" spans="1:35" ht="31.5">
      <c r="A579" s="98"/>
      <c r="B579" s="99"/>
      <c r="C579" s="53" t="s">
        <v>3230</v>
      </c>
      <c r="D579" s="53" t="s">
        <v>79</v>
      </c>
      <c r="E579" s="53" t="s">
        <v>80</v>
      </c>
      <c r="F579" s="99" t="s">
        <v>3335</v>
      </c>
      <c r="G579" s="99" t="s">
        <v>3780</v>
      </c>
      <c r="H579" s="99" t="s">
        <v>202</v>
      </c>
      <c r="I579" s="247">
        <v>24465</v>
      </c>
      <c r="J579" s="101">
        <v>1</v>
      </c>
      <c r="K579" s="101"/>
      <c r="L579" s="101">
        <v>1</v>
      </c>
      <c r="M579" s="101"/>
      <c r="N579" s="101"/>
      <c r="O579" s="101"/>
      <c r="P579" s="101"/>
      <c r="Q579" s="101"/>
      <c r="R579" s="101"/>
      <c r="S579" s="101"/>
      <c r="T579" s="101"/>
      <c r="U579" s="99" t="s">
        <v>945</v>
      </c>
      <c r="V579" s="20" t="s">
        <v>218</v>
      </c>
      <c r="W579" s="53" t="s">
        <v>279</v>
      </c>
      <c r="X579" s="20" t="s">
        <v>227</v>
      </c>
      <c r="Y579" s="99"/>
      <c r="Z579" s="99"/>
      <c r="AA579" s="53" t="s">
        <v>3778</v>
      </c>
      <c r="AB579" s="99"/>
      <c r="AC579" s="101"/>
      <c r="AD579" s="101"/>
      <c r="AE579" s="101"/>
      <c r="AF579" s="101"/>
      <c r="AG579" s="101"/>
      <c r="AH579" s="99"/>
      <c r="AI579" s="105"/>
    </row>
    <row r="580" spans="1:35" ht="31.5">
      <c r="A580" s="98"/>
      <c r="B580" s="99"/>
      <c r="C580" s="20" t="s">
        <v>3230</v>
      </c>
      <c r="D580" s="53" t="s">
        <v>79</v>
      </c>
      <c r="E580" s="53" t="s">
        <v>80</v>
      </c>
      <c r="F580" s="99" t="s">
        <v>3781</v>
      </c>
      <c r="G580" s="99" t="s">
        <v>3782</v>
      </c>
      <c r="H580" s="99" t="s">
        <v>283</v>
      </c>
      <c r="I580" s="247">
        <v>25383</v>
      </c>
      <c r="J580" s="101">
        <v>1</v>
      </c>
      <c r="K580" s="101"/>
      <c r="L580" s="101">
        <v>1</v>
      </c>
      <c r="M580" s="101"/>
      <c r="N580" s="101"/>
      <c r="O580" s="101"/>
      <c r="P580" s="101"/>
      <c r="Q580" s="101"/>
      <c r="R580" s="101"/>
      <c r="S580" s="101"/>
      <c r="T580" s="101"/>
      <c r="U580" s="99" t="s">
        <v>945</v>
      </c>
      <c r="V580" s="20" t="s">
        <v>218</v>
      </c>
      <c r="W580" s="53" t="s">
        <v>279</v>
      </c>
      <c r="X580" s="20" t="s">
        <v>227</v>
      </c>
      <c r="Y580" s="99"/>
      <c r="Z580" s="99"/>
      <c r="AA580" s="53" t="s">
        <v>3789</v>
      </c>
      <c r="AB580" s="99" t="s">
        <v>2371</v>
      </c>
      <c r="AC580" s="101">
        <v>1</v>
      </c>
      <c r="AD580" s="101"/>
      <c r="AE580" s="101"/>
      <c r="AF580" s="101"/>
      <c r="AG580" s="101"/>
      <c r="AH580" s="99"/>
      <c r="AI580" s="105"/>
    </row>
    <row r="581" spans="1:35" ht="31.5">
      <c r="A581" s="98"/>
      <c r="B581" s="99"/>
      <c r="C581" s="53" t="s">
        <v>3230</v>
      </c>
      <c r="D581" s="53" t="s">
        <v>79</v>
      </c>
      <c r="E581" s="53" t="s">
        <v>80</v>
      </c>
      <c r="F581" s="99" t="s">
        <v>3781</v>
      </c>
      <c r="G581" s="99" t="s">
        <v>1047</v>
      </c>
      <c r="H581" s="99" t="s">
        <v>160</v>
      </c>
      <c r="I581" s="247">
        <v>35792</v>
      </c>
      <c r="J581" s="101">
        <v>1</v>
      </c>
      <c r="K581" s="101"/>
      <c r="L581" s="101">
        <v>1</v>
      </c>
      <c r="M581" s="101"/>
      <c r="N581" s="101"/>
      <c r="O581" s="101"/>
      <c r="P581" s="101"/>
      <c r="Q581" s="101"/>
      <c r="R581" s="101"/>
      <c r="S581" s="101"/>
      <c r="T581" s="101"/>
      <c r="U581" s="99" t="s">
        <v>945</v>
      </c>
      <c r="V581" s="20" t="s">
        <v>218</v>
      </c>
      <c r="W581" s="53" t="s">
        <v>279</v>
      </c>
      <c r="X581" s="20" t="s">
        <v>227</v>
      </c>
      <c r="Y581" s="99"/>
      <c r="Z581" s="99"/>
      <c r="AA581" s="53" t="s">
        <v>3789</v>
      </c>
      <c r="AB581" s="99"/>
      <c r="AC581" s="101"/>
      <c r="AD581" s="101"/>
      <c r="AE581" s="101"/>
      <c r="AF581" s="101"/>
      <c r="AG581" s="101"/>
      <c r="AH581" s="99"/>
      <c r="AI581" s="105"/>
    </row>
    <row r="582" spans="1:35" ht="31.5">
      <c r="A582" s="98"/>
      <c r="B582" s="99"/>
      <c r="C582" s="20" t="s">
        <v>3230</v>
      </c>
      <c r="D582" s="53" t="s">
        <v>79</v>
      </c>
      <c r="E582" s="53" t="s">
        <v>80</v>
      </c>
      <c r="F582" s="99" t="s">
        <v>3783</v>
      </c>
      <c r="G582" s="99" t="s">
        <v>1726</v>
      </c>
      <c r="H582" s="99" t="s">
        <v>115</v>
      </c>
      <c r="I582" s="247">
        <v>29605</v>
      </c>
      <c r="J582" s="101">
        <v>1</v>
      </c>
      <c r="K582" s="101"/>
      <c r="L582" s="101">
        <v>1</v>
      </c>
      <c r="M582" s="101"/>
      <c r="N582" s="101"/>
      <c r="O582" s="101"/>
      <c r="P582" s="101"/>
      <c r="Q582" s="101"/>
      <c r="R582" s="101"/>
      <c r="S582" s="101"/>
      <c r="T582" s="101"/>
      <c r="U582" s="99" t="s">
        <v>945</v>
      </c>
      <c r="V582" s="20" t="s">
        <v>218</v>
      </c>
      <c r="W582" s="53" t="s">
        <v>279</v>
      </c>
      <c r="X582" s="20" t="s">
        <v>227</v>
      </c>
      <c r="Y582" s="99"/>
      <c r="Z582" s="99"/>
      <c r="AA582" s="53" t="s">
        <v>3789</v>
      </c>
      <c r="AB582" s="99"/>
      <c r="AC582" s="101"/>
      <c r="AD582" s="101"/>
      <c r="AE582" s="101"/>
      <c r="AF582" s="101"/>
      <c r="AG582" s="101"/>
      <c r="AH582" s="99"/>
      <c r="AI582" s="105"/>
    </row>
    <row r="583" spans="1:35" ht="31.5">
      <c r="A583" s="98"/>
      <c r="B583" s="99"/>
      <c r="C583" s="53" t="s">
        <v>3230</v>
      </c>
      <c r="D583" s="53" t="s">
        <v>79</v>
      </c>
      <c r="E583" s="53" t="s">
        <v>80</v>
      </c>
      <c r="F583" s="99" t="s">
        <v>3369</v>
      </c>
      <c r="G583" s="99" t="s">
        <v>3784</v>
      </c>
      <c r="H583" s="99" t="s">
        <v>126</v>
      </c>
      <c r="I583" s="247">
        <v>32118</v>
      </c>
      <c r="J583" s="101">
        <v>1</v>
      </c>
      <c r="K583" s="101"/>
      <c r="L583" s="101">
        <v>1</v>
      </c>
      <c r="M583" s="101"/>
      <c r="N583" s="101"/>
      <c r="O583" s="101"/>
      <c r="P583" s="101"/>
      <c r="Q583" s="101"/>
      <c r="R583" s="101"/>
      <c r="S583" s="101"/>
      <c r="T583" s="101"/>
      <c r="U583" s="99" t="s">
        <v>945</v>
      </c>
      <c r="V583" s="20" t="s">
        <v>218</v>
      </c>
      <c r="W583" s="53" t="s">
        <v>279</v>
      </c>
      <c r="X583" s="20" t="s">
        <v>227</v>
      </c>
      <c r="Y583" s="99"/>
      <c r="Z583" s="99"/>
      <c r="AA583" s="53" t="s">
        <v>3790</v>
      </c>
      <c r="AB583" s="99" t="s">
        <v>2371</v>
      </c>
      <c r="AC583" s="101">
        <v>1</v>
      </c>
      <c r="AD583" s="101"/>
      <c r="AE583" s="101"/>
      <c r="AF583" s="101"/>
      <c r="AG583" s="101"/>
      <c r="AH583" s="99"/>
      <c r="AI583" s="105"/>
    </row>
    <row r="584" spans="1:35" ht="31.5">
      <c r="A584" s="98"/>
      <c r="B584" s="99"/>
      <c r="C584" s="20" t="s">
        <v>3230</v>
      </c>
      <c r="D584" s="53" t="s">
        <v>79</v>
      </c>
      <c r="E584" s="53" t="s">
        <v>80</v>
      </c>
      <c r="F584" s="99" t="s">
        <v>1434</v>
      </c>
      <c r="G584" s="99" t="s">
        <v>3785</v>
      </c>
      <c r="H584" s="99" t="s">
        <v>421</v>
      </c>
      <c r="I584" s="247">
        <v>25743</v>
      </c>
      <c r="J584" s="101"/>
      <c r="K584" s="101">
        <v>1</v>
      </c>
      <c r="L584" s="101">
        <v>1</v>
      </c>
      <c r="M584" s="101"/>
      <c r="N584" s="101"/>
      <c r="O584" s="101"/>
      <c r="P584" s="101"/>
      <c r="Q584" s="101"/>
      <c r="R584" s="101"/>
      <c r="S584" s="101"/>
      <c r="T584" s="101"/>
      <c r="U584" s="99" t="s">
        <v>945</v>
      </c>
      <c r="V584" s="20" t="s">
        <v>218</v>
      </c>
      <c r="W584" s="53" t="s">
        <v>279</v>
      </c>
      <c r="X584" s="20" t="s">
        <v>227</v>
      </c>
      <c r="Y584" s="99"/>
      <c r="Z584" s="99"/>
      <c r="AA584" s="53" t="s">
        <v>3790</v>
      </c>
      <c r="AB584" s="99"/>
      <c r="AC584" s="101"/>
      <c r="AD584" s="101"/>
      <c r="AE584" s="101"/>
      <c r="AF584" s="101"/>
      <c r="AG584" s="101"/>
      <c r="AH584" s="99"/>
      <c r="AI584" s="105"/>
    </row>
    <row r="585" spans="1:35" ht="31.5">
      <c r="A585" s="98"/>
      <c r="B585" s="99"/>
      <c r="C585" s="53" t="s">
        <v>3230</v>
      </c>
      <c r="D585" s="53" t="s">
        <v>79</v>
      </c>
      <c r="E585" s="53" t="s">
        <v>80</v>
      </c>
      <c r="F585" s="99" t="s">
        <v>3369</v>
      </c>
      <c r="G585" s="99" t="s">
        <v>119</v>
      </c>
      <c r="H585" s="99" t="s">
        <v>126</v>
      </c>
      <c r="I585" s="247">
        <v>36042</v>
      </c>
      <c r="J585" s="101">
        <v>1</v>
      </c>
      <c r="K585" s="101"/>
      <c r="L585" s="101">
        <v>1</v>
      </c>
      <c r="M585" s="101"/>
      <c r="N585" s="101"/>
      <c r="O585" s="101"/>
      <c r="P585" s="101"/>
      <c r="Q585" s="101"/>
      <c r="R585" s="101"/>
      <c r="S585" s="101"/>
      <c r="T585" s="101"/>
      <c r="U585" s="99" t="s">
        <v>945</v>
      </c>
      <c r="V585" s="20" t="s">
        <v>218</v>
      </c>
      <c r="W585" s="53" t="s">
        <v>279</v>
      </c>
      <c r="X585" s="20" t="s">
        <v>227</v>
      </c>
      <c r="Y585" s="99"/>
      <c r="Z585" s="99"/>
      <c r="AA585" s="53" t="s">
        <v>3790</v>
      </c>
      <c r="AB585" s="99"/>
      <c r="AC585" s="101"/>
      <c r="AD585" s="101"/>
      <c r="AE585" s="101"/>
      <c r="AF585" s="101"/>
      <c r="AG585" s="101"/>
      <c r="AH585" s="99"/>
      <c r="AI585" s="105"/>
    </row>
    <row r="586" spans="1:35" ht="31.5">
      <c r="A586" s="98"/>
      <c r="B586" s="99"/>
      <c r="C586" s="20" t="s">
        <v>3230</v>
      </c>
      <c r="D586" s="53" t="s">
        <v>79</v>
      </c>
      <c r="E586" s="53" t="s">
        <v>80</v>
      </c>
      <c r="F586" s="99" t="s">
        <v>3368</v>
      </c>
      <c r="G586" s="99" t="s">
        <v>319</v>
      </c>
      <c r="H586" s="99" t="s">
        <v>421</v>
      </c>
      <c r="I586" s="247">
        <v>26042</v>
      </c>
      <c r="J586" s="101"/>
      <c r="K586" s="101">
        <v>1</v>
      </c>
      <c r="L586" s="101">
        <v>1</v>
      </c>
      <c r="M586" s="101"/>
      <c r="N586" s="101"/>
      <c r="O586" s="101"/>
      <c r="P586" s="101"/>
      <c r="Q586" s="101"/>
      <c r="R586" s="101"/>
      <c r="S586" s="101"/>
      <c r="T586" s="101"/>
      <c r="U586" s="99" t="s">
        <v>945</v>
      </c>
      <c r="V586" s="20" t="s">
        <v>218</v>
      </c>
      <c r="W586" s="53" t="s">
        <v>279</v>
      </c>
      <c r="X586" s="20" t="s">
        <v>227</v>
      </c>
      <c r="Y586" s="99"/>
      <c r="Z586" s="99"/>
      <c r="AA586" s="53" t="s">
        <v>3791</v>
      </c>
      <c r="AB586" s="99" t="s">
        <v>2371</v>
      </c>
      <c r="AC586" s="101">
        <v>1</v>
      </c>
      <c r="AD586" s="101"/>
      <c r="AE586" s="101"/>
      <c r="AF586" s="101"/>
      <c r="AG586" s="101"/>
      <c r="AH586" s="99"/>
      <c r="AI586" s="105"/>
    </row>
    <row r="587" spans="1:35" ht="31.5">
      <c r="A587" s="98"/>
      <c r="B587" s="99"/>
      <c r="C587" s="53" t="s">
        <v>3230</v>
      </c>
      <c r="D587" s="53" t="s">
        <v>79</v>
      </c>
      <c r="E587" s="53" t="s">
        <v>80</v>
      </c>
      <c r="F587" s="99" t="s">
        <v>3368</v>
      </c>
      <c r="G587" s="99" t="s">
        <v>3786</v>
      </c>
      <c r="H587" s="99" t="s">
        <v>126</v>
      </c>
      <c r="I587" s="247">
        <v>28223</v>
      </c>
      <c r="J587" s="101">
        <v>1</v>
      </c>
      <c r="K587" s="101"/>
      <c r="L587" s="101">
        <v>1</v>
      </c>
      <c r="M587" s="101"/>
      <c r="N587" s="101"/>
      <c r="O587" s="101"/>
      <c r="P587" s="101"/>
      <c r="Q587" s="101"/>
      <c r="R587" s="101"/>
      <c r="S587" s="101"/>
      <c r="T587" s="101"/>
      <c r="U587" s="99" t="s">
        <v>945</v>
      </c>
      <c r="V587" s="20" t="s">
        <v>218</v>
      </c>
      <c r="W587" s="53" t="s">
        <v>279</v>
      </c>
      <c r="X587" s="20" t="s">
        <v>227</v>
      </c>
      <c r="Y587" s="99"/>
      <c r="Z587" s="99"/>
      <c r="AA587" s="53" t="s">
        <v>3791</v>
      </c>
      <c r="AB587" s="99"/>
      <c r="AC587" s="101"/>
      <c r="AD587" s="101"/>
      <c r="AE587" s="101"/>
      <c r="AF587" s="101"/>
      <c r="AG587" s="101"/>
      <c r="AH587" s="99"/>
      <c r="AI587" s="105"/>
    </row>
    <row r="588" spans="1:35" ht="31.5">
      <c r="A588" s="98"/>
      <c r="B588" s="99"/>
      <c r="C588" s="20" t="s">
        <v>3230</v>
      </c>
      <c r="D588" s="53" t="s">
        <v>79</v>
      </c>
      <c r="E588" s="53" t="s">
        <v>80</v>
      </c>
      <c r="F588" s="99" t="s">
        <v>3787</v>
      </c>
      <c r="G588" s="99" t="s">
        <v>2085</v>
      </c>
      <c r="H588" s="99" t="s">
        <v>133</v>
      </c>
      <c r="I588" s="247">
        <v>28619</v>
      </c>
      <c r="J588" s="101">
        <v>1</v>
      </c>
      <c r="K588" s="101"/>
      <c r="L588" s="101">
        <v>1</v>
      </c>
      <c r="M588" s="101"/>
      <c r="N588" s="101"/>
      <c r="O588" s="101"/>
      <c r="P588" s="101"/>
      <c r="Q588" s="101"/>
      <c r="R588" s="101"/>
      <c r="S588" s="101"/>
      <c r="T588" s="101"/>
      <c r="U588" s="99" t="s">
        <v>945</v>
      </c>
      <c r="V588" s="20" t="s">
        <v>218</v>
      </c>
      <c r="W588" s="53" t="s">
        <v>279</v>
      </c>
      <c r="X588" s="20" t="s">
        <v>227</v>
      </c>
      <c r="Y588" s="99"/>
      <c r="Z588" s="99"/>
      <c r="AA588" s="53" t="s">
        <v>3791</v>
      </c>
      <c r="AB588" s="99"/>
      <c r="AC588" s="101"/>
      <c r="AD588" s="101"/>
      <c r="AE588" s="101"/>
      <c r="AF588" s="101"/>
      <c r="AG588" s="101"/>
      <c r="AH588" s="99"/>
      <c r="AI588" s="105"/>
    </row>
    <row r="589" spans="1:35" ht="31.5">
      <c r="A589" s="98"/>
      <c r="B589" s="99"/>
      <c r="C589" s="53" t="s">
        <v>3230</v>
      </c>
      <c r="D589" s="53" t="s">
        <v>79</v>
      </c>
      <c r="E589" s="53" t="s">
        <v>80</v>
      </c>
      <c r="F589" s="99" t="s">
        <v>3357</v>
      </c>
      <c r="G589" s="99" t="s">
        <v>756</v>
      </c>
      <c r="H589" s="99" t="s">
        <v>126</v>
      </c>
      <c r="I589" s="247">
        <v>17416</v>
      </c>
      <c r="J589" s="101">
        <v>1</v>
      </c>
      <c r="K589" s="101"/>
      <c r="L589" s="101">
        <v>1</v>
      </c>
      <c r="M589" s="101"/>
      <c r="N589" s="101"/>
      <c r="O589" s="101"/>
      <c r="P589" s="101"/>
      <c r="Q589" s="101"/>
      <c r="R589" s="101"/>
      <c r="S589" s="101"/>
      <c r="T589" s="101"/>
      <c r="U589" s="99" t="s">
        <v>945</v>
      </c>
      <c r="V589" s="20" t="s">
        <v>218</v>
      </c>
      <c r="W589" s="53" t="s">
        <v>279</v>
      </c>
      <c r="X589" s="20" t="s">
        <v>227</v>
      </c>
      <c r="Y589" s="99"/>
      <c r="Z589" s="99"/>
      <c r="AA589" s="53" t="s">
        <v>3792</v>
      </c>
      <c r="AB589" s="99" t="s">
        <v>2371</v>
      </c>
      <c r="AC589" s="101">
        <v>1</v>
      </c>
      <c r="AD589" s="101"/>
      <c r="AE589" s="101"/>
      <c r="AF589" s="101"/>
      <c r="AG589" s="101"/>
      <c r="AH589" s="99"/>
      <c r="AI589" s="105"/>
    </row>
    <row r="590" spans="1:35" ht="31.5">
      <c r="A590" s="98"/>
      <c r="B590" s="99"/>
      <c r="C590" s="20" t="s">
        <v>3230</v>
      </c>
      <c r="D590" s="53" t="s">
        <v>79</v>
      </c>
      <c r="E590" s="53" t="s">
        <v>80</v>
      </c>
      <c r="F590" s="99" t="s">
        <v>3788</v>
      </c>
      <c r="G590" s="99" t="s">
        <v>2883</v>
      </c>
      <c r="H590" s="99" t="s">
        <v>286</v>
      </c>
      <c r="I590" s="247">
        <v>33053</v>
      </c>
      <c r="J590" s="101">
        <v>1</v>
      </c>
      <c r="K590" s="101"/>
      <c r="L590" s="101">
        <v>1</v>
      </c>
      <c r="M590" s="101"/>
      <c r="N590" s="101"/>
      <c r="O590" s="101"/>
      <c r="P590" s="101"/>
      <c r="Q590" s="101"/>
      <c r="R590" s="101"/>
      <c r="S590" s="101"/>
      <c r="T590" s="101"/>
      <c r="U590" s="99" t="s">
        <v>945</v>
      </c>
      <c r="V590" s="20" t="s">
        <v>218</v>
      </c>
      <c r="W590" s="53" t="s">
        <v>279</v>
      </c>
      <c r="X590" s="20" t="s">
        <v>227</v>
      </c>
      <c r="Y590" s="99"/>
      <c r="Z590" s="99"/>
      <c r="AA590" s="53" t="s">
        <v>3792</v>
      </c>
      <c r="AB590" s="99"/>
      <c r="AC590" s="101"/>
      <c r="AD590" s="101"/>
      <c r="AE590" s="101"/>
      <c r="AF590" s="101"/>
      <c r="AG590" s="101"/>
      <c r="AH590" s="99"/>
      <c r="AI590" s="105"/>
    </row>
    <row r="591" spans="1:35" ht="31.5">
      <c r="A591" s="98"/>
      <c r="B591" s="99"/>
      <c r="C591" s="53" t="s">
        <v>3230</v>
      </c>
      <c r="D591" s="53" t="s">
        <v>79</v>
      </c>
      <c r="E591" s="53" t="s">
        <v>80</v>
      </c>
      <c r="F591" s="99" t="s">
        <v>3357</v>
      </c>
      <c r="G591" s="99" t="s">
        <v>2085</v>
      </c>
      <c r="H591" s="99" t="s">
        <v>120</v>
      </c>
      <c r="I591" s="247">
        <v>30388</v>
      </c>
      <c r="J591" s="101">
        <v>1</v>
      </c>
      <c r="K591" s="101"/>
      <c r="L591" s="101">
        <v>1</v>
      </c>
      <c r="M591" s="101"/>
      <c r="N591" s="101"/>
      <c r="O591" s="101"/>
      <c r="P591" s="101"/>
      <c r="Q591" s="101"/>
      <c r="R591" s="101"/>
      <c r="S591" s="101"/>
      <c r="T591" s="101"/>
      <c r="U591" s="99" t="s">
        <v>945</v>
      </c>
      <c r="V591" s="20" t="s">
        <v>218</v>
      </c>
      <c r="W591" s="53" t="s">
        <v>279</v>
      </c>
      <c r="X591" s="20" t="s">
        <v>227</v>
      </c>
      <c r="Y591" s="99"/>
      <c r="Z591" s="99"/>
      <c r="AA591" s="53" t="s">
        <v>3792</v>
      </c>
      <c r="AB591" s="99"/>
      <c r="AC591" s="101"/>
      <c r="AD591" s="101"/>
      <c r="AE591" s="101"/>
      <c r="AF591" s="101"/>
      <c r="AG591" s="101"/>
      <c r="AH591" s="99"/>
      <c r="AI591" s="105"/>
    </row>
    <row r="592" spans="1:35" ht="31.5">
      <c r="A592" s="98"/>
      <c r="B592" s="99"/>
      <c r="C592" s="53" t="s">
        <v>3230</v>
      </c>
      <c r="D592" s="53" t="s">
        <v>79</v>
      </c>
      <c r="E592" s="53" t="s">
        <v>80</v>
      </c>
      <c r="F592" s="99" t="s">
        <v>595</v>
      </c>
      <c r="G592" s="99" t="s">
        <v>3367</v>
      </c>
      <c r="H592" s="99" t="s">
        <v>133</v>
      </c>
      <c r="I592" s="247">
        <v>26793</v>
      </c>
      <c r="J592" s="101">
        <v>1</v>
      </c>
      <c r="K592" s="101"/>
      <c r="L592" s="101">
        <v>1</v>
      </c>
      <c r="M592" s="101"/>
      <c r="N592" s="101"/>
      <c r="O592" s="101"/>
      <c r="P592" s="101"/>
      <c r="Q592" s="101"/>
      <c r="R592" s="101"/>
      <c r="S592" s="101"/>
      <c r="T592" s="101"/>
      <c r="U592" s="99" t="s">
        <v>81</v>
      </c>
      <c r="V592" s="20" t="s">
        <v>218</v>
      </c>
      <c r="W592" s="53" t="s">
        <v>279</v>
      </c>
      <c r="X592" s="20" t="s">
        <v>227</v>
      </c>
      <c r="Y592" s="99"/>
      <c r="Z592" s="99"/>
      <c r="AA592" s="53" t="s">
        <v>3807</v>
      </c>
      <c r="AB592" s="99" t="s">
        <v>2371</v>
      </c>
      <c r="AC592" s="101">
        <v>1</v>
      </c>
      <c r="AD592" s="101"/>
      <c r="AE592" s="101"/>
      <c r="AF592" s="101"/>
      <c r="AG592" s="101"/>
      <c r="AH592" s="99"/>
      <c r="AI592" s="105"/>
    </row>
    <row r="593" spans="1:35" ht="31.5">
      <c r="A593" s="98"/>
      <c r="B593" s="99"/>
      <c r="C593" s="53" t="s">
        <v>3230</v>
      </c>
      <c r="D593" s="53" t="s">
        <v>79</v>
      </c>
      <c r="E593" s="53" t="s">
        <v>80</v>
      </c>
      <c r="F593" s="99" t="s">
        <v>595</v>
      </c>
      <c r="G593" s="99" t="s">
        <v>2048</v>
      </c>
      <c r="H593" s="99" t="s">
        <v>133</v>
      </c>
      <c r="I593" s="247">
        <v>36986</v>
      </c>
      <c r="J593" s="101">
        <v>1</v>
      </c>
      <c r="K593" s="101"/>
      <c r="L593" s="101">
        <v>1</v>
      </c>
      <c r="M593" s="101"/>
      <c r="N593" s="101"/>
      <c r="O593" s="101"/>
      <c r="P593" s="101"/>
      <c r="Q593" s="101"/>
      <c r="R593" s="101"/>
      <c r="S593" s="101"/>
      <c r="T593" s="101"/>
      <c r="U593" s="99" t="s">
        <v>81</v>
      </c>
      <c r="V593" s="20" t="s">
        <v>218</v>
      </c>
      <c r="W593" s="53" t="s">
        <v>279</v>
      </c>
      <c r="X593" s="20" t="s">
        <v>227</v>
      </c>
      <c r="Y593" s="99"/>
      <c r="Z593" s="99"/>
      <c r="AA593" s="53" t="s">
        <v>3807</v>
      </c>
      <c r="AB593" s="99"/>
      <c r="AC593" s="101"/>
      <c r="AD593" s="101"/>
      <c r="AE593" s="101"/>
      <c r="AF593" s="101"/>
      <c r="AG593" s="101"/>
      <c r="AH593" s="99"/>
      <c r="AI593" s="105"/>
    </row>
    <row r="594" spans="1:35" ht="31.5">
      <c r="A594" s="98"/>
      <c r="B594" s="99"/>
      <c r="C594" s="53" t="s">
        <v>3230</v>
      </c>
      <c r="D594" s="53" t="s">
        <v>79</v>
      </c>
      <c r="E594" s="53" t="s">
        <v>80</v>
      </c>
      <c r="F594" s="99" t="s">
        <v>595</v>
      </c>
      <c r="G594" s="99" t="s">
        <v>3793</v>
      </c>
      <c r="H594" s="99" t="s">
        <v>133</v>
      </c>
      <c r="I594" s="247">
        <v>35972</v>
      </c>
      <c r="J594" s="101">
        <v>1</v>
      </c>
      <c r="K594" s="101"/>
      <c r="L594" s="101">
        <v>1</v>
      </c>
      <c r="M594" s="101"/>
      <c r="N594" s="101"/>
      <c r="O594" s="101"/>
      <c r="P594" s="101"/>
      <c r="Q594" s="101"/>
      <c r="R594" s="101"/>
      <c r="S594" s="101"/>
      <c r="T594" s="101"/>
      <c r="U594" s="99" t="s">
        <v>81</v>
      </c>
      <c r="V594" s="20" t="s">
        <v>218</v>
      </c>
      <c r="W594" s="53" t="s">
        <v>279</v>
      </c>
      <c r="X594" s="20" t="s">
        <v>227</v>
      </c>
      <c r="Y594" s="99"/>
      <c r="Z594" s="99"/>
      <c r="AA594" s="53" t="s">
        <v>3807</v>
      </c>
      <c r="AB594" s="99"/>
      <c r="AC594" s="101"/>
      <c r="AD594" s="101"/>
      <c r="AE594" s="101"/>
      <c r="AF594" s="101"/>
      <c r="AG594" s="101"/>
      <c r="AH594" s="99"/>
      <c r="AI594" s="105"/>
    </row>
    <row r="595" spans="1:35" ht="31.5">
      <c r="A595" s="98"/>
      <c r="B595" s="99"/>
      <c r="C595" s="53" t="s">
        <v>3230</v>
      </c>
      <c r="D595" s="53" t="s">
        <v>79</v>
      </c>
      <c r="E595" s="53" t="s">
        <v>80</v>
      </c>
      <c r="F595" s="99" t="s">
        <v>3353</v>
      </c>
      <c r="G595" s="99" t="s">
        <v>3794</v>
      </c>
      <c r="H595" s="99" t="s">
        <v>136</v>
      </c>
      <c r="I595" s="247">
        <v>30301</v>
      </c>
      <c r="J595" s="101">
        <v>1</v>
      </c>
      <c r="K595" s="101"/>
      <c r="L595" s="101">
        <v>1</v>
      </c>
      <c r="M595" s="101"/>
      <c r="N595" s="101"/>
      <c r="O595" s="101"/>
      <c r="P595" s="101"/>
      <c r="Q595" s="101"/>
      <c r="R595" s="101"/>
      <c r="S595" s="101"/>
      <c r="T595" s="101"/>
      <c r="U595" s="99" t="s">
        <v>81</v>
      </c>
      <c r="V595" s="20" t="s">
        <v>218</v>
      </c>
      <c r="W595" s="53" t="s">
        <v>279</v>
      </c>
      <c r="X595" s="20" t="s">
        <v>227</v>
      </c>
      <c r="Y595" s="99"/>
      <c r="Z595" s="99"/>
      <c r="AA595" s="53" t="s">
        <v>3808</v>
      </c>
      <c r="AB595" s="99" t="s">
        <v>2371</v>
      </c>
      <c r="AC595" s="101">
        <v>1</v>
      </c>
      <c r="AD595" s="101"/>
      <c r="AE595" s="101"/>
      <c r="AF595" s="101"/>
      <c r="AG595" s="101"/>
      <c r="AH595" s="99"/>
      <c r="AI595" s="105"/>
    </row>
    <row r="596" spans="1:35" ht="31.5">
      <c r="A596" s="98"/>
      <c r="B596" s="99"/>
      <c r="C596" s="53" t="s">
        <v>3230</v>
      </c>
      <c r="D596" s="53" t="s">
        <v>79</v>
      </c>
      <c r="E596" s="53" t="s">
        <v>80</v>
      </c>
      <c r="F596" s="99" t="s">
        <v>3353</v>
      </c>
      <c r="G596" s="99" t="s">
        <v>3795</v>
      </c>
      <c r="H596" s="99" t="s">
        <v>136</v>
      </c>
      <c r="I596" s="247">
        <v>33266</v>
      </c>
      <c r="J596" s="101">
        <v>1</v>
      </c>
      <c r="K596" s="101"/>
      <c r="L596" s="101">
        <v>1</v>
      </c>
      <c r="M596" s="101"/>
      <c r="N596" s="101"/>
      <c r="O596" s="101"/>
      <c r="P596" s="101"/>
      <c r="Q596" s="101"/>
      <c r="R596" s="101"/>
      <c r="S596" s="101"/>
      <c r="T596" s="101"/>
      <c r="U596" s="99" t="s">
        <v>81</v>
      </c>
      <c r="V596" s="20" t="s">
        <v>218</v>
      </c>
      <c r="W596" s="53" t="s">
        <v>279</v>
      </c>
      <c r="X596" s="20" t="s">
        <v>227</v>
      </c>
      <c r="Y596" s="99"/>
      <c r="Z596" s="99"/>
      <c r="AA596" s="53" t="s">
        <v>3808</v>
      </c>
      <c r="AB596" s="99"/>
      <c r="AC596" s="101"/>
      <c r="AD596" s="101"/>
      <c r="AE596" s="101"/>
      <c r="AF596" s="101"/>
      <c r="AG596" s="101"/>
      <c r="AH596" s="99"/>
      <c r="AI596" s="105"/>
    </row>
    <row r="597" spans="1:35" ht="31.5">
      <c r="A597" s="98"/>
      <c r="B597" s="99"/>
      <c r="C597" s="53" t="s">
        <v>3230</v>
      </c>
      <c r="D597" s="53" t="s">
        <v>79</v>
      </c>
      <c r="E597" s="53" t="s">
        <v>80</v>
      </c>
      <c r="F597" s="99" t="s">
        <v>3353</v>
      </c>
      <c r="G597" s="99" t="s">
        <v>3796</v>
      </c>
      <c r="H597" s="99" t="s">
        <v>136</v>
      </c>
      <c r="I597" s="247">
        <v>35296</v>
      </c>
      <c r="J597" s="101"/>
      <c r="K597" s="101">
        <v>1</v>
      </c>
      <c r="L597" s="101">
        <v>1</v>
      </c>
      <c r="M597" s="101"/>
      <c r="N597" s="101"/>
      <c r="O597" s="101"/>
      <c r="P597" s="101"/>
      <c r="Q597" s="101"/>
      <c r="R597" s="101"/>
      <c r="S597" s="101"/>
      <c r="T597" s="101"/>
      <c r="U597" s="99" t="s">
        <v>81</v>
      </c>
      <c r="V597" s="20" t="s">
        <v>218</v>
      </c>
      <c r="W597" s="53" t="s">
        <v>279</v>
      </c>
      <c r="X597" s="20" t="s">
        <v>227</v>
      </c>
      <c r="Y597" s="99"/>
      <c r="Z597" s="99"/>
      <c r="AA597" s="53" t="s">
        <v>3808</v>
      </c>
      <c r="AB597" s="99"/>
      <c r="AC597" s="101"/>
      <c r="AD597" s="101"/>
      <c r="AE597" s="101"/>
      <c r="AF597" s="101"/>
      <c r="AG597" s="101"/>
      <c r="AH597" s="99"/>
      <c r="AI597" s="105"/>
    </row>
    <row r="598" spans="1:35" ht="31.5">
      <c r="A598" s="98"/>
      <c r="B598" s="99"/>
      <c r="C598" s="53" t="s">
        <v>3230</v>
      </c>
      <c r="D598" s="53" t="s">
        <v>79</v>
      </c>
      <c r="E598" s="53" t="s">
        <v>80</v>
      </c>
      <c r="F598" s="99" t="s">
        <v>910</v>
      </c>
      <c r="G598" s="99" t="s">
        <v>3797</v>
      </c>
      <c r="H598" s="99" t="s">
        <v>115</v>
      </c>
      <c r="I598" s="247">
        <v>24809</v>
      </c>
      <c r="J598" s="101">
        <v>1</v>
      </c>
      <c r="K598" s="101"/>
      <c r="L598" s="101">
        <v>1</v>
      </c>
      <c r="M598" s="101"/>
      <c r="N598" s="101"/>
      <c r="O598" s="101"/>
      <c r="P598" s="101"/>
      <c r="Q598" s="101"/>
      <c r="R598" s="101"/>
      <c r="S598" s="101"/>
      <c r="T598" s="101"/>
      <c r="U598" s="99" t="s">
        <v>81</v>
      </c>
      <c r="V598" s="20" t="s">
        <v>218</v>
      </c>
      <c r="W598" s="53" t="s">
        <v>279</v>
      </c>
      <c r="X598" s="20" t="s">
        <v>227</v>
      </c>
      <c r="Y598" s="99"/>
      <c r="Z598" s="99"/>
      <c r="AA598" s="53" t="s">
        <v>3809</v>
      </c>
      <c r="AB598" s="99" t="s">
        <v>2371</v>
      </c>
      <c r="AC598" s="101">
        <v>1</v>
      </c>
      <c r="AD598" s="101"/>
      <c r="AE598" s="101"/>
      <c r="AF598" s="101"/>
      <c r="AG598" s="101"/>
      <c r="AH598" s="99"/>
      <c r="AI598" s="105"/>
    </row>
    <row r="599" spans="1:35" ht="31.5">
      <c r="A599" s="98"/>
      <c r="B599" s="99"/>
      <c r="C599" s="53" t="s">
        <v>3230</v>
      </c>
      <c r="D599" s="53" t="s">
        <v>79</v>
      </c>
      <c r="E599" s="53" t="s">
        <v>80</v>
      </c>
      <c r="F599" s="99" t="s">
        <v>910</v>
      </c>
      <c r="G599" s="99" t="s">
        <v>3798</v>
      </c>
      <c r="H599" s="99" t="s">
        <v>136</v>
      </c>
      <c r="I599" s="247">
        <v>34433</v>
      </c>
      <c r="J599" s="101">
        <v>1</v>
      </c>
      <c r="K599" s="101"/>
      <c r="L599" s="101">
        <v>1</v>
      </c>
      <c r="M599" s="101"/>
      <c r="N599" s="101"/>
      <c r="O599" s="101"/>
      <c r="P599" s="101"/>
      <c r="Q599" s="101"/>
      <c r="R599" s="101"/>
      <c r="S599" s="101"/>
      <c r="T599" s="101"/>
      <c r="U599" s="99" t="s">
        <v>81</v>
      </c>
      <c r="V599" s="20" t="s">
        <v>218</v>
      </c>
      <c r="W599" s="53" t="s">
        <v>279</v>
      </c>
      <c r="X599" s="20" t="s">
        <v>227</v>
      </c>
      <c r="Y599" s="99"/>
      <c r="Z599" s="99"/>
      <c r="AA599" s="53" t="s">
        <v>3809</v>
      </c>
      <c r="AB599" s="99"/>
      <c r="AC599" s="101"/>
      <c r="AD599" s="101"/>
      <c r="AE599" s="101"/>
      <c r="AF599" s="101"/>
      <c r="AG599" s="101"/>
      <c r="AH599" s="99"/>
      <c r="AI599" s="105"/>
    </row>
    <row r="600" spans="1:35" ht="31.5">
      <c r="A600" s="98"/>
      <c r="B600" s="99"/>
      <c r="C600" s="53" t="s">
        <v>3230</v>
      </c>
      <c r="D600" s="53" t="s">
        <v>79</v>
      </c>
      <c r="E600" s="53" t="s">
        <v>80</v>
      </c>
      <c r="F600" s="99" t="s">
        <v>910</v>
      </c>
      <c r="G600" s="99" t="s">
        <v>3799</v>
      </c>
      <c r="H600" s="99" t="s">
        <v>136</v>
      </c>
      <c r="I600" s="247">
        <v>35298</v>
      </c>
      <c r="J600" s="101">
        <v>1</v>
      </c>
      <c r="K600" s="101"/>
      <c r="L600" s="101">
        <v>1</v>
      </c>
      <c r="M600" s="101"/>
      <c r="N600" s="101"/>
      <c r="O600" s="101"/>
      <c r="P600" s="101"/>
      <c r="Q600" s="101"/>
      <c r="R600" s="101"/>
      <c r="S600" s="101"/>
      <c r="T600" s="101"/>
      <c r="U600" s="99" t="s">
        <v>81</v>
      </c>
      <c r="V600" s="20" t="s">
        <v>218</v>
      </c>
      <c r="W600" s="53" t="s">
        <v>279</v>
      </c>
      <c r="X600" s="20" t="s">
        <v>227</v>
      </c>
      <c r="Y600" s="99"/>
      <c r="Z600" s="99"/>
      <c r="AA600" s="53" t="s">
        <v>3809</v>
      </c>
      <c r="AB600" s="99"/>
      <c r="AC600" s="101"/>
      <c r="AD600" s="101"/>
      <c r="AE600" s="101"/>
      <c r="AF600" s="101"/>
      <c r="AG600" s="101"/>
      <c r="AH600" s="99"/>
      <c r="AI600" s="105"/>
    </row>
    <row r="601" spans="1:35" ht="31.5">
      <c r="A601" s="98"/>
      <c r="B601" s="99"/>
      <c r="C601" s="53" t="s">
        <v>3230</v>
      </c>
      <c r="D601" s="53" t="s">
        <v>79</v>
      </c>
      <c r="E601" s="53" t="s">
        <v>80</v>
      </c>
      <c r="F601" s="99" t="s">
        <v>3800</v>
      </c>
      <c r="G601" s="99" t="s">
        <v>2579</v>
      </c>
      <c r="H601" s="99" t="s">
        <v>286</v>
      </c>
      <c r="I601" s="247">
        <v>23376</v>
      </c>
      <c r="J601" s="101">
        <v>1</v>
      </c>
      <c r="K601" s="101"/>
      <c r="L601" s="101">
        <v>1</v>
      </c>
      <c r="M601" s="101"/>
      <c r="N601" s="101"/>
      <c r="O601" s="101"/>
      <c r="P601" s="101"/>
      <c r="Q601" s="101"/>
      <c r="R601" s="101"/>
      <c r="S601" s="101"/>
      <c r="T601" s="101"/>
      <c r="U601" s="99" t="s">
        <v>81</v>
      </c>
      <c r="V601" s="20" t="s">
        <v>218</v>
      </c>
      <c r="W601" s="53" t="s">
        <v>279</v>
      </c>
      <c r="X601" s="20" t="s">
        <v>227</v>
      </c>
      <c r="Y601" s="99"/>
      <c r="Z601" s="99"/>
      <c r="AA601" s="53" t="s">
        <v>3810</v>
      </c>
      <c r="AB601" s="99" t="s">
        <v>2371</v>
      </c>
      <c r="AC601" s="101">
        <v>1</v>
      </c>
      <c r="AD601" s="101"/>
      <c r="AE601" s="101"/>
      <c r="AF601" s="101"/>
      <c r="AG601" s="101"/>
      <c r="AH601" s="99"/>
      <c r="AI601" s="105"/>
    </row>
    <row r="602" spans="1:35" ht="31.5">
      <c r="A602" s="98"/>
      <c r="B602" s="99"/>
      <c r="C602" s="53" t="s">
        <v>3230</v>
      </c>
      <c r="D602" s="53" t="s">
        <v>79</v>
      </c>
      <c r="E602" s="53" t="s">
        <v>80</v>
      </c>
      <c r="F602" s="99" t="s">
        <v>3800</v>
      </c>
      <c r="G602" s="99" t="s">
        <v>3801</v>
      </c>
      <c r="H602" s="99" t="s">
        <v>283</v>
      </c>
      <c r="I602" s="247">
        <v>33666</v>
      </c>
      <c r="J602" s="101">
        <v>1</v>
      </c>
      <c r="K602" s="101"/>
      <c r="L602" s="101">
        <v>1</v>
      </c>
      <c r="M602" s="101"/>
      <c r="N602" s="101"/>
      <c r="O602" s="101"/>
      <c r="P602" s="101"/>
      <c r="Q602" s="101"/>
      <c r="R602" s="101"/>
      <c r="S602" s="101"/>
      <c r="T602" s="101"/>
      <c r="U602" s="99" t="s">
        <v>81</v>
      </c>
      <c r="V602" s="20" t="s">
        <v>218</v>
      </c>
      <c r="W602" s="53" t="s">
        <v>279</v>
      </c>
      <c r="X602" s="20" t="s">
        <v>227</v>
      </c>
      <c r="Y602" s="99"/>
      <c r="Z602" s="99"/>
      <c r="AA602" s="53" t="s">
        <v>3810</v>
      </c>
      <c r="AB602" s="99"/>
      <c r="AC602" s="101"/>
      <c r="AD602" s="101"/>
      <c r="AE602" s="101"/>
      <c r="AF602" s="101"/>
      <c r="AG602" s="101"/>
      <c r="AH602" s="99"/>
      <c r="AI602" s="105"/>
    </row>
    <row r="603" spans="1:35" ht="31.5">
      <c r="A603" s="98"/>
      <c r="B603" s="99"/>
      <c r="C603" s="53" t="s">
        <v>3230</v>
      </c>
      <c r="D603" s="53" t="s">
        <v>79</v>
      </c>
      <c r="E603" s="53" t="s">
        <v>80</v>
      </c>
      <c r="F603" s="99" t="s">
        <v>499</v>
      </c>
      <c r="G603" s="99" t="s">
        <v>1726</v>
      </c>
      <c r="H603" s="99" t="s">
        <v>830</v>
      </c>
      <c r="I603" s="247">
        <v>29541</v>
      </c>
      <c r="J603" s="101">
        <v>1</v>
      </c>
      <c r="K603" s="101"/>
      <c r="L603" s="101">
        <v>1</v>
      </c>
      <c r="M603" s="101"/>
      <c r="N603" s="101"/>
      <c r="O603" s="101"/>
      <c r="P603" s="101"/>
      <c r="Q603" s="101"/>
      <c r="R603" s="101"/>
      <c r="S603" s="101"/>
      <c r="T603" s="101"/>
      <c r="U603" s="99" t="s">
        <v>81</v>
      </c>
      <c r="V603" s="20" t="s">
        <v>218</v>
      </c>
      <c r="W603" s="53" t="s">
        <v>279</v>
      </c>
      <c r="X603" s="20" t="s">
        <v>227</v>
      </c>
      <c r="Y603" s="99"/>
      <c r="Z603" s="99"/>
      <c r="AA603" s="53" t="s">
        <v>3810</v>
      </c>
      <c r="AB603" s="99"/>
      <c r="AC603" s="101"/>
      <c r="AD603" s="101"/>
      <c r="AE603" s="101"/>
      <c r="AF603" s="101"/>
      <c r="AG603" s="101"/>
      <c r="AH603" s="99"/>
      <c r="AI603" s="105"/>
    </row>
    <row r="604" spans="1:35" ht="31.5">
      <c r="A604" s="98"/>
      <c r="B604" s="99"/>
      <c r="C604" s="53" t="s">
        <v>3230</v>
      </c>
      <c r="D604" s="53" t="s">
        <v>79</v>
      </c>
      <c r="E604" s="53" t="s">
        <v>80</v>
      </c>
      <c r="F604" s="99" t="s">
        <v>3364</v>
      </c>
      <c r="G604" s="99" t="s">
        <v>3802</v>
      </c>
      <c r="H604" s="99" t="s">
        <v>144</v>
      </c>
      <c r="I604" s="247">
        <v>32992</v>
      </c>
      <c r="J604" s="101">
        <v>1</v>
      </c>
      <c r="K604" s="101"/>
      <c r="L604" s="101">
        <v>1</v>
      </c>
      <c r="M604" s="101"/>
      <c r="N604" s="101"/>
      <c r="O604" s="101"/>
      <c r="P604" s="101"/>
      <c r="Q604" s="101"/>
      <c r="R604" s="101"/>
      <c r="S604" s="101"/>
      <c r="T604" s="101"/>
      <c r="U604" s="99" t="s">
        <v>81</v>
      </c>
      <c r="V604" s="20" t="s">
        <v>218</v>
      </c>
      <c r="W604" s="53" t="s">
        <v>279</v>
      </c>
      <c r="X604" s="20" t="s">
        <v>227</v>
      </c>
      <c r="Y604" s="99"/>
      <c r="Z604" s="99"/>
      <c r="AA604" s="53" t="s">
        <v>3811</v>
      </c>
      <c r="AB604" s="99" t="s">
        <v>2371</v>
      </c>
      <c r="AC604" s="101">
        <v>1</v>
      </c>
      <c r="AD604" s="101"/>
      <c r="AE604" s="101"/>
      <c r="AF604" s="101"/>
      <c r="AG604" s="101"/>
      <c r="AH604" s="99"/>
      <c r="AI604" s="105"/>
    </row>
    <row r="605" spans="1:35" ht="31.5">
      <c r="A605" s="98"/>
      <c r="B605" s="99"/>
      <c r="C605" s="53" t="s">
        <v>3230</v>
      </c>
      <c r="D605" s="53" t="s">
        <v>79</v>
      </c>
      <c r="E605" s="53" t="s">
        <v>80</v>
      </c>
      <c r="F605" s="99" t="s">
        <v>3803</v>
      </c>
      <c r="G605" s="99" t="s">
        <v>3804</v>
      </c>
      <c r="H605" s="99" t="s">
        <v>115</v>
      </c>
      <c r="I605" s="247">
        <v>33409</v>
      </c>
      <c r="J605" s="101">
        <v>1</v>
      </c>
      <c r="K605" s="101"/>
      <c r="L605" s="101">
        <v>1</v>
      </c>
      <c r="M605" s="101"/>
      <c r="N605" s="101"/>
      <c r="O605" s="101"/>
      <c r="P605" s="101"/>
      <c r="Q605" s="101"/>
      <c r="R605" s="101"/>
      <c r="S605" s="101"/>
      <c r="T605" s="101"/>
      <c r="U605" s="99" t="s">
        <v>81</v>
      </c>
      <c r="V605" s="20" t="s">
        <v>218</v>
      </c>
      <c r="W605" s="53" t="s">
        <v>279</v>
      </c>
      <c r="X605" s="20" t="s">
        <v>227</v>
      </c>
      <c r="Y605" s="99"/>
      <c r="Z605" s="99"/>
      <c r="AA605" s="53" t="s">
        <v>3811</v>
      </c>
      <c r="AB605" s="99"/>
      <c r="AC605" s="101"/>
      <c r="AD605" s="101"/>
      <c r="AE605" s="101"/>
      <c r="AF605" s="101"/>
      <c r="AG605" s="101"/>
      <c r="AH605" s="99"/>
      <c r="AI605" s="105"/>
    </row>
    <row r="606" spans="1:35" ht="31.5">
      <c r="A606" s="98"/>
      <c r="B606" s="99"/>
      <c r="C606" s="53" t="s">
        <v>3230</v>
      </c>
      <c r="D606" s="53" t="s">
        <v>79</v>
      </c>
      <c r="E606" s="53" t="s">
        <v>80</v>
      </c>
      <c r="F606" s="99" t="s">
        <v>3805</v>
      </c>
      <c r="G606" s="99" t="s">
        <v>3806</v>
      </c>
      <c r="H606" s="99" t="s">
        <v>115</v>
      </c>
      <c r="I606" s="247">
        <v>30956</v>
      </c>
      <c r="J606" s="101">
        <v>1</v>
      </c>
      <c r="K606" s="101"/>
      <c r="L606" s="101">
        <v>1</v>
      </c>
      <c r="M606" s="101"/>
      <c r="N606" s="101"/>
      <c r="O606" s="101"/>
      <c r="P606" s="101"/>
      <c r="Q606" s="101"/>
      <c r="R606" s="101"/>
      <c r="S606" s="101"/>
      <c r="T606" s="101"/>
      <c r="U606" s="99" t="s">
        <v>81</v>
      </c>
      <c r="V606" s="20" t="s">
        <v>218</v>
      </c>
      <c r="W606" s="53" t="s">
        <v>279</v>
      </c>
      <c r="X606" s="20" t="s">
        <v>227</v>
      </c>
      <c r="Y606" s="99"/>
      <c r="Z606" s="99"/>
      <c r="AA606" s="53" t="s">
        <v>3811</v>
      </c>
      <c r="AB606" s="99"/>
      <c r="AC606" s="101"/>
      <c r="AD606" s="101"/>
      <c r="AE606" s="101"/>
      <c r="AF606" s="101"/>
      <c r="AG606" s="101"/>
      <c r="AH606" s="99"/>
      <c r="AI606" s="105"/>
    </row>
    <row r="607" spans="1:35">
      <c r="A607" s="98"/>
      <c r="B607" s="99"/>
      <c r="C607" s="53" t="s">
        <v>3230</v>
      </c>
      <c r="D607" s="53" t="s">
        <v>79</v>
      </c>
      <c r="E607" s="53" t="s">
        <v>80</v>
      </c>
      <c r="F607" s="99" t="s">
        <v>3812</v>
      </c>
      <c r="G607" s="99" t="s">
        <v>150</v>
      </c>
      <c r="H607" s="99" t="s">
        <v>144</v>
      </c>
      <c r="I607" s="247"/>
      <c r="J607" s="101">
        <v>1</v>
      </c>
      <c r="K607" s="101"/>
      <c r="L607" s="101">
        <v>1</v>
      </c>
      <c r="M607" s="101"/>
      <c r="N607" s="101"/>
      <c r="O607" s="101"/>
      <c r="P607" s="101"/>
      <c r="Q607" s="101"/>
      <c r="R607" s="101"/>
      <c r="S607" s="101"/>
      <c r="T607" s="101"/>
      <c r="U607" s="99" t="s">
        <v>81</v>
      </c>
      <c r="V607" s="20" t="s">
        <v>218</v>
      </c>
      <c r="W607" s="53" t="s">
        <v>279</v>
      </c>
      <c r="X607" s="20" t="s">
        <v>227</v>
      </c>
      <c r="Y607" s="99"/>
      <c r="Z607" s="99"/>
      <c r="AA607" s="53" t="s">
        <v>3823</v>
      </c>
      <c r="AB607" s="99" t="s">
        <v>2371</v>
      </c>
      <c r="AC607" s="101">
        <v>1</v>
      </c>
      <c r="AD607" s="101"/>
      <c r="AE607" s="101"/>
      <c r="AF607" s="101"/>
      <c r="AG607" s="101"/>
      <c r="AH607" s="99"/>
      <c r="AI607" s="105"/>
    </row>
    <row r="608" spans="1:35">
      <c r="A608" s="98"/>
      <c r="B608" s="99"/>
      <c r="C608" s="53" t="s">
        <v>3230</v>
      </c>
      <c r="D608" s="53" t="s">
        <v>79</v>
      </c>
      <c r="E608" s="53" t="s">
        <v>80</v>
      </c>
      <c r="F608" s="99" t="s">
        <v>3812</v>
      </c>
      <c r="G608" s="99" t="s">
        <v>331</v>
      </c>
      <c r="H608" s="99" t="s">
        <v>113</v>
      </c>
      <c r="I608" s="247"/>
      <c r="J608" s="101">
        <v>1</v>
      </c>
      <c r="K608" s="101"/>
      <c r="L608" s="101">
        <v>1</v>
      </c>
      <c r="M608" s="101"/>
      <c r="N608" s="101"/>
      <c r="O608" s="101"/>
      <c r="P608" s="101"/>
      <c r="Q608" s="101"/>
      <c r="R608" s="101"/>
      <c r="S608" s="101"/>
      <c r="T608" s="101"/>
      <c r="U608" s="99" t="s">
        <v>81</v>
      </c>
      <c r="V608" s="20" t="s">
        <v>218</v>
      </c>
      <c r="W608" s="53" t="s">
        <v>279</v>
      </c>
      <c r="X608" s="20" t="s">
        <v>227</v>
      </c>
      <c r="Y608" s="99"/>
      <c r="Z608" s="99"/>
      <c r="AA608" s="53" t="s">
        <v>3823</v>
      </c>
      <c r="AB608" s="99"/>
      <c r="AC608" s="101"/>
      <c r="AD608" s="101"/>
      <c r="AE608" s="101"/>
      <c r="AF608" s="101"/>
      <c r="AG608" s="101"/>
      <c r="AH608" s="99"/>
      <c r="AI608" s="105"/>
    </row>
    <row r="609" spans="1:35">
      <c r="A609" s="98"/>
      <c r="B609" s="99"/>
      <c r="C609" s="53" t="s">
        <v>3230</v>
      </c>
      <c r="D609" s="53" t="s">
        <v>79</v>
      </c>
      <c r="E609" s="53" t="s">
        <v>80</v>
      </c>
      <c r="F609" s="99" t="s">
        <v>3812</v>
      </c>
      <c r="G609" s="99" t="s">
        <v>192</v>
      </c>
      <c r="H609" s="99" t="s">
        <v>113</v>
      </c>
      <c r="I609" s="247"/>
      <c r="J609" s="101">
        <v>1</v>
      </c>
      <c r="K609" s="101"/>
      <c r="L609" s="101">
        <v>1</v>
      </c>
      <c r="M609" s="101"/>
      <c r="N609" s="101"/>
      <c r="O609" s="101"/>
      <c r="P609" s="101"/>
      <c r="Q609" s="101"/>
      <c r="R609" s="101"/>
      <c r="S609" s="101"/>
      <c r="T609" s="101"/>
      <c r="U609" s="99" t="s">
        <v>81</v>
      </c>
      <c r="V609" s="20" t="s">
        <v>218</v>
      </c>
      <c r="W609" s="53" t="s">
        <v>279</v>
      </c>
      <c r="X609" s="20" t="s">
        <v>227</v>
      </c>
      <c r="Y609" s="99"/>
      <c r="Z609" s="99"/>
      <c r="AA609" s="53" t="s">
        <v>3823</v>
      </c>
      <c r="AB609" s="99"/>
      <c r="AC609" s="101"/>
      <c r="AD609" s="101"/>
      <c r="AE609" s="101"/>
      <c r="AF609" s="101"/>
      <c r="AG609" s="101"/>
      <c r="AH609" s="99"/>
      <c r="AI609" s="105"/>
    </row>
    <row r="610" spans="1:35" ht="31.5">
      <c r="A610" s="98"/>
      <c r="B610" s="99"/>
      <c r="C610" s="53" t="s">
        <v>3230</v>
      </c>
      <c r="D610" s="53" t="s">
        <v>79</v>
      </c>
      <c r="E610" s="53" t="s">
        <v>80</v>
      </c>
      <c r="F610" s="99" t="s">
        <v>3356</v>
      </c>
      <c r="G610" s="99" t="s">
        <v>181</v>
      </c>
      <c r="H610" s="99" t="s">
        <v>115</v>
      </c>
      <c r="I610" s="247">
        <v>26750</v>
      </c>
      <c r="J610" s="101">
        <v>1</v>
      </c>
      <c r="K610" s="101"/>
      <c r="L610" s="101">
        <v>1</v>
      </c>
      <c r="M610" s="101"/>
      <c r="N610" s="101"/>
      <c r="O610" s="101"/>
      <c r="P610" s="101"/>
      <c r="Q610" s="101"/>
      <c r="R610" s="101"/>
      <c r="S610" s="101"/>
      <c r="T610" s="101"/>
      <c r="U610" s="99" t="s">
        <v>81</v>
      </c>
      <c r="V610" s="20" t="s">
        <v>218</v>
      </c>
      <c r="W610" s="53" t="s">
        <v>279</v>
      </c>
      <c r="X610" s="20" t="s">
        <v>227</v>
      </c>
      <c r="Y610" s="99"/>
      <c r="Z610" s="99"/>
      <c r="AA610" s="53" t="s">
        <v>3824</v>
      </c>
      <c r="AB610" s="99" t="s">
        <v>2371</v>
      </c>
      <c r="AC610" s="101">
        <v>1</v>
      </c>
      <c r="AD610" s="101"/>
      <c r="AE610" s="101"/>
      <c r="AF610" s="101"/>
      <c r="AG610" s="101"/>
      <c r="AH610" s="99"/>
      <c r="AI610" s="105"/>
    </row>
    <row r="611" spans="1:35" ht="31.5">
      <c r="A611" s="98"/>
      <c r="B611" s="99"/>
      <c r="C611" s="53" t="s">
        <v>3230</v>
      </c>
      <c r="D611" s="53" t="s">
        <v>79</v>
      </c>
      <c r="E611" s="53" t="s">
        <v>80</v>
      </c>
      <c r="F611" s="99" t="s">
        <v>3356</v>
      </c>
      <c r="G611" s="99" t="s">
        <v>343</v>
      </c>
      <c r="H611" s="99" t="s">
        <v>126</v>
      </c>
      <c r="I611" s="247">
        <v>37170</v>
      </c>
      <c r="J611" s="101">
        <v>1</v>
      </c>
      <c r="K611" s="101"/>
      <c r="L611" s="101">
        <v>1</v>
      </c>
      <c r="M611" s="101"/>
      <c r="N611" s="101"/>
      <c r="O611" s="101"/>
      <c r="P611" s="101"/>
      <c r="Q611" s="101"/>
      <c r="R611" s="101"/>
      <c r="S611" s="101"/>
      <c r="T611" s="101"/>
      <c r="U611" s="99" t="s">
        <v>81</v>
      </c>
      <c r="V611" s="20" t="s">
        <v>218</v>
      </c>
      <c r="W611" s="53" t="s">
        <v>279</v>
      </c>
      <c r="X611" s="20" t="s">
        <v>227</v>
      </c>
      <c r="Y611" s="99"/>
      <c r="Z611" s="99"/>
      <c r="AA611" s="53" t="s">
        <v>3824</v>
      </c>
      <c r="AB611" s="99"/>
      <c r="AC611" s="101"/>
      <c r="AD611" s="101"/>
      <c r="AE611" s="101"/>
      <c r="AF611" s="101"/>
      <c r="AG611" s="101"/>
      <c r="AH611" s="99"/>
      <c r="AI611" s="105"/>
    </row>
    <row r="612" spans="1:35" ht="31.5">
      <c r="A612" s="98"/>
      <c r="B612" s="99"/>
      <c r="C612" s="53" t="s">
        <v>3230</v>
      </c>
      <c r="D612" s="53" t="s">
        <v>79</v>
      </c>
      <c r="E612" s="53" t="s">
        <v>80</v>
      </c>
      <c r="F612" s="99" t="s">
        <v>3813</v>
      </c>
      <c r="G612" s="99" t="s">
        <v>177</v>
      </c>
      <c r="H612" s="99" t="s">
        <v>81</v>
      </c>
      <c r="I612" s="247">
        <v>32945</v>
      </c>
      <c r="J612" s="101">
        <v>1</v>
      </c>
      <c r="K612" s="101"/>
      <c r="L612" s="101">
        <v>1</v>
      </c>
      <c r="M612" s="101"/>
      <c r="N612" s="101"/>
      <c r="O612" s="101"/>
      <c r="P612" s="101"/>
      <c r="Q612" s="101"/>
      <c r="R612" s="101"/>
      <c r="S612" s="101"/>
      <c r="T612" s="101"/>
      <c r="U612" s="99" t="s">
        <v>81</v>
      </c>
      <c r="V612" s="20" t="s">
        <v>218</v>
      </c>
      <c r="W612" s="53" t="s">
        <v>279</v>
      </c>
      <c r="X612" s="20" t="s">
        <v>227</v>
      </c>
      <c r="Y612" s="99"/>
      <c r="Z612" s="99"/>
      <c r="AA612" s="53" t="s">
        <v>3824</v>
      </c>
      <c r="AB612" s="99"/>
      <c r="AC612" s="101"/>
      <c r="AD612" s="101"/>
      <c r="AE612" s="101"/>
      <c r="AF612" s="101"/>
      <c r="AG612" s="101"/>
      <c r="AH612" s="99"/>
      <c r="AI612" s="105"/>
    </row>
    <row r="613" spans="1:35" ht="31.5">
      <c r="A613" s="98"/>
      <c r="B613" s="99"/>
      <c r="C613" s="53" t="s">
        <v>3230</v>
      </c>
      <c r="D613" s="53" t="s">
        <v>79</v>
      </c>
      <c r="E613" s="53" t="s">
        <v>80</v>
      </c>
      <c r="F613" s="99" t="s">
        <v>2057</v>
      </c>
      <c r="G613" s="99" t="s">
        <v>3376</v>
      </c>
      <c r="H613" s="99" t="s">
        <v>126</v>
      </c>
      <c r="I613" s="247">
        <v>32808</v>
      </c>
      <c r="J613" s="101">
        <v>1</v>
      </c>
      <c r="K613" s="101"/>
      <c r="L613" s="101">
        <v>1</v>
      </c>
      <c r="M613" s="101"/>
      <c r="N613" s="101"/>
      <c r="O613" s="101"/>
      <c r="P613" s="101"/>
      <c r="Q613" s="101"/>
      <c r="R613" s="101"/>
      <c r="S613" s="101"/>
      <c r="T613" s="101"/>
      <c r="U613" s="99" t="s">
        <v>945</v>
      </c>
      <c r="V613" s="99" t="s">
        <v>218</v>
      </c>
      <c r="W613" s="103" t="s">
        <v>279</v>
      </c>
      <c r="X613" s="99" t="s">
        <v>227</v>
      </c>
      <c r="Y613" s="99"/>
      <c r="Z613" s="99"/>
      <c r="AA613" s="53" t="s">
        <v>3825</v>
      </c>
      <c r="AB613" s="99" t="s">
        <v>2371</v>
      </c>
      <c r="AC613" s="101">
        <v>1</v>
      </c>
      <c r="AD613" s="101"/>
      <c r="AE613" s="101"/>
      <c r="AF613" s="101"/>
      <c r="AG613" s="101"/>
      <c r="AH613" s="99"/>
      <c r="AI613" s="105"/>
    </row>
    <row r="614" spans="1:35" ht="31.5">
      <c r="A614" s="98"/>
      <c r="B614" s="99"/>
      <c r="C614" s="53" t="s">
        <v>3230</v>
      </c>
      <c r="D614" s="53" t="s">
        <v>79</v>
      </c>
      <c r="E614" s="53" t="s">
        <v>80</v>
      </c>
      <c r="F614" s="99" t="s">
        <v>1043</v>
      </c>
      <c r="G614" s="99" t="s">
        <v>3814</v>
      </c>
      <c r="H614" s="99" t="s">
        <v>113</v>
      </c>
      <c r="I614" s="247">
        <v>34089</v>
      </c>
      <c r="J614" s="101">
        <v>1</v>
      </c>
      <c r="K614" s="101"/>
      <c r="L614" s="101">
        <v>1</v>
      </c>
      <c r="M614" s="101"/>
      <c r="N614" s="101"/>
      <c r="O614" s="101"/>
      <c r="P614" s="101"/>
      <c r="Q614" s="101"/>
      <c r="R614" s="101"/>
      <c r="S614" s="101"/>
      <c r="T614" s="101"/>
      <c r="U614" s="99" t="s">
        <v>945</v>
      </c>
      <c r="V614" s="99" t="s">
        <v>218</v>
      </c>
      <c r="W614" s="103" t="s">
        <v>279</v>
      </c>
      <c r="X614" s="99" t="s">
        <v>227</v>
      </c>
      <c r="Y614" s="99"/>
      <c r="Z614" s="99"/>
      <c r="AA614" s="53" t="s">
        <v>3825</v>
      </c>
      <c r="AB614" s="99"/>
      <c r="AC614" s="101"/>
      <c r="AD614" s="101"/>
      <c r="AE614" s="101"/>
      <c r="AF614" s="101"/>
      <c r="AG614" s="101"/>
      <c r="AH614" s="99"/>
      <c r="AI614" s="105"/>
    </row>
    <row r="615" spans="1:35" ht="31.5">
      <c r="A615" s="98"/>
      <c r="B615" s="99"/>
      <c r="C615" s="53" t="s">
        <v>3230</v>
      </c>
      <c r="D615" s="53" t="s">
        <v>79</v>
      </c>
      <c r="E615" s="53" t="s">
        <v>80</v>
      </c>
      <c r="F615" s="99" t="s">
        <v>3815</v>
      </c>
      <c r="G615" s="99" t="s">
        <v>3816</v>
      </c>
      <c r="H615" s="99" t="s">
        <v>409</v>
      </c>
      <c r="I615" s="247">
        <v>36317</v>
      </c>
      <c r="J615" s="101">
        <v>1</v>
      </c>
      <c r="K615" s="101"/>
      <c r="L615" s="101">
        <v>1</v>
      </c>
      <c r="M615" s="101"/>
      <c r="N615" s="101"/>
      <c r="O615" s="101"/>
      <c r="P615" s="101"/>
      <c r="Q615" s="101"/>
      <c r="R615" s="101"/>
      <c r="S615" s="101"/>
      <c r="T615" s="101"/>
      <c r="U615" s="99" t="s">
        <v>945</v>
      </c>
      <c r="V615" s="99" t="s">
        <v>218</v>
      </c>
      <c r="W615" s="103" t="s">
        <v>279</v>
      </c>
      <c r="X615" s="99" t="s">
        <v>227</v>
      </c>
      <c r="Y615" s="99"/>
      <c r="Z615" s="99"/>
      <c r="AA615" s="53" t="s">
        <v>3825</v>
      </c>
      <c r="AB615" s="99"/>
      <c r="AC615" s="101"/>
      <c r="AD615" s="101"/>
      <c r="AE615" s="101"/>
      <c r="AF615" s="101"/>
      <c r="AG615" s="101"/>
      <c r="AH615" s="99"/>
      <c r="AI615" s="105"/>
    </row>
    <row r="616" spans="1:35" ht="31.5">
      <c r="A616" s="98"/>
      <c r="B616" s="99"/>
      <c r="C616" s="53" t="s">
        <v>3230</v>
      </c>
      <c r="D616" s="53" t="s">
        <v>79</v>
      </c>
      <c r="E616" s="53" t="s">
        <v>80</v>
      </c>
      <c r="F616" s="99" t="s">
        <v>3358</v>
      </c>
      <c r="G616" s="99" t="s">
        <v>3817</v>
      </c>
      <c r="H616" s="99" t="s">
        <v>1040</v>
      </c>
      <c r="I616" s="247">
        <v>28135</v>
      </c>
      <c r="J616" s="101">
        <v>1</v>
      </c>
      <c r="K616" s="101"/>
      <c r="L616" s="101">
        <v>1</v>
      </c>
      <c r="M616" s="101"/>
      <c r="N616" s="101"/>
      <c r="O616" s="101"/>
      <c r="P616" s="101"/>
      <c r="Q616" s="101"/>
      <c r="R616" s="101"/>
      <c r="S616" s="101"/>
      <c r="T616" s="101"/>
      <c r="U616" s="99" t="s">
        <v>945</v>
      </c>
      <c r="V616" s="99" t="s">
        <v>218</v>
      </c>
      <c r="W616" s="103" t="s">
        <v>279</v>
      </c>
      <c r="X616" s="99" t="s">
        <v>227</v>
      </c>
      <c r="Y616" s="99"/>
      <c r="Z616" s="99"/>
      <c r="AA616" s="53" t="s">
        <v>3826</v>
      </c>
      <c r="AB616" s="99" t="s">
        <v>2371</v>
      </c>
      <c r="AC616" s="101">
        <v>1</v>
      </c>
      <c r="AD616" s="101"/>
      <c r="AE616" s="101"/>
      <c r="AF616" s="101"/>
      <c r="AG616" s="101"/>
      <c r="AH616" s="99"/>
      <c r="AI616" s="105"/>
    </row>
    <row r="617" spans="1:35" ht="31.5">
      <c r="A617" s="98"/>
      <c r="B617" s="99"/>
      <c r="C617" s="53" t="s">
        <v>3230</v>
      </c>
      <c r="D617" s="53" t="s">
        <v>79</v>
      </c>
      <c r="E617" s="53" t="s">
        <v>80</v>
      </c>
      <c r="F617" s="99" t="s">
        <v>3818</v>
      </c>
      <c r="G617" s="99" t="s">
        <v>3819</v>
      </c>
      <c r="H617" s="99" t="s">
        <v>120</v>
      </c>
      <c r="I617" s="247">
        <v>35762</v>
      </c>
      <c r="J617" s="101">
        <v>1</v>
      </c>
      <c r="K617" s="101"/>
      <c r="L617" s="101">
        <v>1</v>
      </c>
      <c r="M617" s="101"/>
      <c r="N617" s="101"/>
      <c r="O617" s="101"/>
      <c r="P617" s="101"/>
      <c r="Q617" s="101"/>
      <c r="R617" s="101"/>
      <c r="S617" s="101"/>
      <c r="T617" s="101"/>
      <c r="U617" s="99" t="s">
        <v>945</v>
      </c>
      <c r="V617" s="99" t="s">
        <v>218</v>
      </c>
      <c r="W617" s="103" t="s">
        <v>279</v>
      </c>
      <c r="X617" s="99" t="s">
        <v>227</v>
      </c>
      <c r="Y617" s="99"/>
      <c r="Z617" s="99"/>
      <c r="AA617" s="53" t="s">
        <v>3826</v>
      </c>
      <c r="AB617" s="99"/>
      <c r="AC617" s="101"/>
      <c r="AD617" s="101"/>
      <c r="AE617" s="101"/>
      <c r="AF617" s="101"/>
      <c r="AG617" s="101"/>
      <c r="AH617" s="99"/>
      <c r="AI617" s="105"/>
    </row>
    <row r="618" spans="1:35" ht="31.5">
      <c r="A618" s="98"/>
      <c r="B618" s="99"/>
      <c r="C618" s="53" t="s">
        <v>3230</v>
      </c>
      <c r="D618" s="53" t="s">
        <v>79</v>
      </c>
      <c r="E618" s="53" t="s">
        <v>80</v>
      </c>
      <c r="F618" s="99" t="s">
        <v>3820</v>
      </c>
      <c r="G618" s="99" t="s">
        <v>3821</v>
      </c>
      <c r="H618" s="99" t="s">
        <v>120</v>
      </c>
      <c r="I618" s="247">
        <v>35582</v>
      </c>
      <c r="J618" s="101">
        <v>1</v>
      </c>
      <c r="K618" s="101"/>
      <c r="L618" s="101">
        <v>1</v>
      </c>
      <c r="M618" s="101"/>
      <c r="N618" s="101"/>
      <c r="O618" s="101"/>
      <c r="P618" s="101"/>
      <c r="Q618" s="101"/>
      <c r="R618" s="101"/>
      <c r="S618" s="101"/>
      <c r="T618" s="101"/>
      <c r="U618" s="99" t="s">
        <v>945</v>
      </c>
      <c r="V618" s="99" t="s">
        <v>218</v>
      </c>
      <c r="W618" s="103" t="s">
        <v>279</v>
      </c>
      <c r="X618" s="99" t="s">
        <v>227</v>
      </c>
      <c r="Y618" s="99"/>
      <c r="Z618" s="99"/>
      <c r="AA618" s="53" t="s">
        <v>3826</v>
      </c>
      <c r="AB618" s="99"/>
      <c r="AC618" s="101"/>
      <c r="AD618" s="101"/>
      <c r="AE618" s="101"/>
      <c r="AF618" s="101"/>
      <c r="AG618" s="101"/>
      <c r="AH618" s="99"/>
      <c r="AI618" s="105"/>
    </row>
    <row r="619" spans="1:35" ht="31.5">
      <c r="A619" s="98"/>
      <c r="B619" s="99"/>
      <c r="C619" s="53" t="s">
        <v>3230</v>
      </c>
      <c r="D619" s="53" t="s">
        <v>79</v>
      </c>
      <c r="E619" s="53" t="s">
        <v>80</v>
      </c>
      <c r="F619" s="99" t="s">
        <v>1021</v>
      </c>
      <c r="G619" s="99" t="s">
        <v>196</v>
      </c>
      <c r="H619" s="99" t="s">
        <v>120</v>
      </c>
      <c r="I619" s="247">
        <v>32875</v>
      </c>
      <c r="J619" s="101">
        <v>1</v>
      </c>
      <c r="K619" s="101"/>
      <c r="L619" s="101">
        <v>1</v>
      </c>
      <c r="M619" s="101"/>
      <c r="N619" s="101"/>
      <c r="O619" s="101"/>
      <c r="P619" s="101"/>
      <c r="Q619" s="101"/>
      <c r="R619" s="101"/>
      <c r="S619" s="101"/>
      <c r="T619" s="101"/>
      <c r="U619" s="99" t="s">
        <v>945</v>
      </c>
      <c r="V619" s="99" t="s">
        <v>218</v>
      </c>
      <c r="W619" s="103" t="s">
        <v>279</v>
      </c>
      <c r="X619" s="99" t="s">
        <v>227</v>
      </c>
      <c r="Y619" s="99"/>
      <c r="Z619" s="99"/>
      <c r="AA619" s="53" t="s">
        <v>3827</v>
      </c>
      <c r="AB619" s="99" t="s">
        <v>2371</v>
      </c>
      <c r="AC619" s="101">
        <v>1</v>
      </c>
      <c r="AD619" s="101"/>
      <c r="AE619" s="101"/>
      <c r="AF619" s="101"/>
      <c r="AG619" s="101"/>
      <c r="AH619" s="99"/>
      <c r="AI619" s="105"/>
    </row>
    <row r="620" spans="1:35" ht="31.5">
      <c r="A620" s="98"/>
      <c r="B620" s="99"/>
      <c r="C620" s="53" t="s">
        <v>3230</v>
      </c>
      <c r="D620" s="53" t="s">
        <v>79</v>
      </c>
      <c r="E620" s="53" t="s">
        <v>80</v>
      </c>
      <c r="F620" s="99" t="s">
        <v>1021</v>
      </c>
      <c r="G620" s="99" t="s">
        <v>3822</v>
      </c>
      <c r="H620" s="99" t="s">
        <v>120</v>
      </c>
      <c r="I620" s="247">
        <v>34036</v>
      </c>
      <c r="J620" s="101">
        <v>1</v>
      </c>
      <c r="K620" s="101"/>
      <c r="L620" s="101">
        <v>1</v>
      </c>
      <c r="M620" s="101"/>
      <c r="N620" s="101"/>
      <c r="O620" s="101"/>
      <c r="P620" s="101"/>
      <c r="Q620" s="101"/>
      <c r="R620" s="101"/>
      <c r="S620" s="101"/>
      <c r="T620" s="101"/>
      <c r="U620" s="99" t="s">
        <v>945</v>
      </c>
      <c r="V620" s="99" t="s">
        <v>218</v>
      </c>
      <c r="W620" s="103" t="s">
        <v>279</v>
      </c>
      <c r="X620" s="99" t="s">
        <v>227</v>
      </c>
      <c r="Y620" s="99"/>
      <c r="Z620" s="99"/>
      <c r="AA620" s="53" t="s">
        <v>3827</v>
      </c>
      <c r="AB620" s="99"/>
      <c r="AC620" s="101"/>
      <c r="AD620" s="101"/>
      <c r="AE620" s="101"/>
      <c r="AF620" s="101"/>
      <c r="AG620" s="101"/>
      <c r="AH620" s="99"/>
      <c r="AI620" s="105"/>
    </row>
    <row r="621" spans="1:35" ht="31.5">
      <c r="A621" s="98"/>
      <c r="B621" s="99"/>
      <c r="C621" s="53" t="s">
        <v>3230</v>
      </c>
      <c r="D621" s="53" t="s">
        <v>79</v>
      </c>
      <c r="E621" s="53" t="s">
        <v>80</v>
      </c>
      <c r="F621" s="99" t="s">
        <v>3634</v>
      </c>
      <c r="G621" s="99" t="s">
        <v>1274</v>
      </c>
      <c r="H621" s="99" t="s">
        <v>283</v>
      </c>
      <c r="I621" s="247">
        <v>34021</v>
      </c>
      <c r="J621" s="101">
        <v>1</v>
      </c>
      <c r="K621" s="101"/>
      <c r="L621" s="101">
        <v>1</v>
      </c>
      <c r="M621" s="101"/>
      <c r="N621" s="101"/>
      <c r="O621" s="101"/>
      <c r="P621" s="101"/>
      <c r="Q621" s="101"/>
      <c r="R621" s="101"/>
      <c r="S621" s="101"/>
      <c r="T621" s="101"/>
      <c r="U621" s="99" t="s">
        <v>945</v>
      </c>
      <c r="V621" s="99" t="s">
        <v>218</v>
      </c>
      <c r="W621" s="103" t="s">
        <v>279</v>
      </c>
      <c r="X621" s="99" t="s">
        <v>227</v>
      </c>
      <c r="Y621" s="99"/>
      <c r="Z621" s="99"/>
      <c r="AA621" s="53" t="s">
        <v>3827</v>
      </c>
      <c r="AB621" s="99"/>
      <c r="AC621" s="101"/>
      <c r="AD621" s="101"/>
      <c r="AE621" s="101"/>
      <c r="AF621" s="101"/>
      <c r="AG621" s="101"/>
      <c r="AH621" s="99"/>
      <c r="AI621" s="105"/>
    </row>
    <row r="622" spans="1:35" ht="31.5">
      <c r="A622" s="98"/>
      <c r="B622" s="99"/>
      <c r="C622" s="53" t="s">
        <v>3230</v>
      </c>
      <c r="D622" s="53" t="s">
        <v>79</v>
      </c>
      <c r="E622" s="53" t="s">
        <v>80</v>
      </c>
      <c r="F622" s="99" t="s">
        <v>3828</v>
      </c>
      <c r="G622" s="99" t="s">
        <v>3829</v>
      </c>
      <c r="H622" s="99" t="s">
        <v>126</v>
      </c>
      <c r="I622" s="247">
        <v>27041</v>
      </c>
      <c r="J622" s="101"/>
      <c r="K622" s="101">
        <v>1</v>
      </c>
      <c r="L622" s="101">
        <v>1</v>
      </c>
      <c r="M622" s="101"/>
      <c r="N622" s="101"/>
      <c r="O622" s="101"/>
      <c r="P622" s="101"/>
      <c r="Q622" s="101"/>
      <c r="R622" s="101"/>
      <c r="S622" s="101"/>
      <c r="T622" s="101"/>
      <c r="U622" s="99" t="s">
        <v>945</v>
      </c>
      <c r="V622" s="99" t="s">
        <v>218</v>
      </c>
      <c r="W622" s="103" t="s">
        <v>279</v>
      </c>
      <c r="X622" s="99" t="s">
        <v>227</v>
      </c>
      <c r="Y622" s="99"/>
      <c r="Z622" s="99"/>
      <c r="AA622" s="53" t="s">
        <v>3836</v>
      </c>
      <c r="AB622" s="99" t="s">
        <v>2371</v>
      </c>
      <c r="AC622" s="101">
        <v>1</v>
      </c>
      <c r="AD622" s="101"/>
      <c r="AE622" s="101"/>
      <c r="AF622" s="101"/>
      <c r="AG622" s="101"/>
      <c r="AH622" s="99"/>
      <c r="AI622" s="105"/>
    </row>
    <row r="623" spans="1:35" ht="31.5">
      <c r="A623" s="98"/>
      <c r="B623" s="99"/>
      <c r="C623" s="53" t="s">
        <v>3230</v>
      </c>
      <c r="D623" s="53" t="s">
        <v>79</v>
      </c>
      <c r="E623" s="53" t="s">
        <v>80</v>
      </c>
      <c r="F623" s="99" t="s">
        <v>3374</v>
      </c>
      <c r="G623" s="99" t="s">
        <v>1304</v>
      </c>
      <c r="H623" s="99" t="s">
        <v>126</v>
      </c>
      <c r="I623" s="247">
        <v>26853</v>
      </c>
      <c r="J623" s="101">
        <v>1</v>
      </c>
      <c r="K623" s="101"/>
      <c r="L623" s="101">
        <v>1</v>
      </c>
      <c r="M623" s="101"/>
      <c r="N623" s="101"/>
      <c r="O623" s="101"/>
      <c r="P623" s="101"/>
      <c r="Q623" s="101"/>
      <c r="R623" s="101"/>
      <c r="S623" s="101"/>
      <c r="T623" s="101"/>
      <c r="U623" s="99" t="s">
        <v>945</v>
      </c>
      <c r="V623" s="99" t="s">
        <v>218</v>
      </c>
      <c r="W623" s="103" t="s">
        <v>279</v>
      </c>
      <c r="X623" s="99" t="s">
        <v>227</v>
      </c>
      <c r="Y623" s="99"/>
      <c r="Z623" s="99"/>
      <c r="AA623" s="53" t="s">
        <v>3836</v>
      </c>
      <c r="AB623" s="99"/>
      <c r="AC623" s="101"/>
      <c r="AD623" s="101"/>
      <c r="AE623" s="101"/>
      <c r="AF623" s="101"/>
      <c r="AG623" s="101"/>
      <c r="AH623" s="99"/>
      <c r="AI623" s="105"/>
    </row>
    <row r="624" spans="1:35" ht="31.5">
      <c r="A624" s="98"/>
      <c r="B624" s="99"/>
      <c r="C624" s="53" t="s">
        <v>3230</v>
      </c>
      <c r="D624" s="53" t="s">
        <v>79</v>
      </c>
      <c r="E624" s="53" t="s">
        <v>80</v>
      </c>
      <c r="F624" s="99" t="s">
        <v>3830</v>
      </c>
      <c r="G624" s="99" t="s">
        <v>3831</v>
      </c>
      <c r="H624" s="99" t="s">
        <v>421</v>
      </c>
      <c r="I624" s="247">
        <v>28881</v>
      </c>
      <c r="J624" s="101"/>
      <c r="K624" s="101">
        <v>1</v>
      </c>
      <c r="L624" s="101">
        <v>1</v>
      </c>
      <c r="M624" s="101"/>
      <c r="N624" s="101"/>
      <c r="O624" s="101"/>
      <c r="P624" s="101"/>
      <c r="Q624" s="101"/>
      <c r="R624" s="101"/>
      <c r="S624" s="101"/>
      <c r="T624" s="101"/>
      <c r="U624" s="99" t="s">
        <v>945</v>
      </c>
      <c r="V624" s="99" t="s">
        <v>218</v>
      </c>
      <c r="W624" s="103" t="s">
        <v>279</v>
      </c>
      <c r="X624" s="99" t="s">
        <v>227</v>
      </c>
      <c r="Y624" s="99"/>
      <c r="Z624" s="99"/>
      <c r="AA624" s="53" t="s">
        <v>3836</v>
      </c>
      <c r="AB624" s="99"/>
      <c r="AC624" s="101"/>
      <c r="AD624" s="101"/>
      <c r="AE624" s="101"/>
      <c r="AF624" s="101"/>
      <c r="AG624" s="101"/>
      <c r="AH624" s="99"/>
      <c r="AI624" s="105"/>
    </row>
    <row r="625" spans="1:35" ht="31.5">
      <c r="A625" s="98"/>
      <c r="B625" s="99"/>
      <c r="C625" s="53" t="s">
        <v>3230</v>
      </c>
      <c r="D625" s="53" t="s">
        <v>79</v>
      </c>
      <c r="E625" s="53" t="s">
        <v>80</v>
      </c>
      <c r="F625" s="99" t="s">
        <v>3375</v>
      </c>
      <c r="G625" s="99" t="s">
        <v>3379</v>
      </c>
      <c r="H625" s="99" t="s">
        <v>133</v>
      </c>
      <c r="I625" s="247">
        <v>26289</v>
      </c>
      <c r="J625" s="101">
        <v>1</v>
      </c>
      <c r="K625" s="101"/>
      <c r="L625" s="101">
        <v>1</v>
      </c>
      <c r="M625" s="101"/>
      <c r="N625" s="101"/>
      <c r="O625" s="101"/>
      <c r="P625" s="101"/>
      <c r="Q625" s="101"/>
      <c r="R625" s="101"/>
      <c r="S625" s="101"/>
      <c r="T625" s="101"/>
      <c r="U625" s="99" t="s">
        <v>219</v>
      </c>
      <c r="V625" s="99" t="s">
        <v>218</v>
      </c>
      <c r="W625" s="103" t="s">
        <v>279</v>
      </c>
      <c r="X625" s="99" t="s">
        <v>227</v>
      </c>
      <c r="Y625" s="99"/>
      <c r="Z625" s="99"/>
      <c r="AA625" s="53" t="s">
        <v>3837</v>
      </c>
      <c r="AB625" s="99" t="s">
        <v>2371</v>
      </c>
      <c r="AC625" s="101">
        <v>1</v>
      </c>
      <c r="AD625" s="101"/>
      <c r="AE625" s="101"/>
      <c r="AF625" s="101"/>
      <c r="AG625" s="101"/>
      <c r="AH625" s="99"/>
      <c r="AI625" s="105"/>
    </row>
    <row r="626" spans="1:35" ht="31.5">
      <c r="A626" s="98"/>
      <c r="B626" s="99"/>
      <c r="C626" s="53" t="s">
        <v>3230</v>
      </c>
      <c r="D626" s="53" t="s">
        <v>79</v>
      </c>
      <c r="E626" s="53" t="s">
        <v>80</v>
      </c>
      <c r="F626" s="99" t="s">
        <v>3832</v>
      </c>
      <c r="G626" s="99" t="s">
        <v>2422</v>
      </c>
      <c r="H626" s="99" t="s">
        <v>588</v>
      </c>
      <c r="I626" s="247">
        <v>33447</v>
      </c>
      <c r="J626" s="101">
        <v>1</v>
      </c>
      <c r="K626" s="101"/>
      <c r="L626" s="101">
        <v>1</v>
      </c>
      <c r="M626" s="101"/>
      <c r="N626" s="101"/>
      <c r="O626" s="101"/>
      <c r="P626" s="101"/>
      <c r="Q626" s="101"/>
      <c r="R626" s="101"/>
      <c r="S626" s="101"/>
      <c r="T626" s="101"/>
      <c r="U626" s="99" t="s">
        <v>219</v>
      </c>
      <c r="V626" s="99" t="s">
        <v>218</v>
      </c>
      <c r="W626" s="103" t="s">
        <v>279</v>
      </c>
      <c r="X626" s="99" t="s">
        <v>227</v>
      </c>
      <c r="Y626" s="99"/>
      <c r="Z626" s="99"/>
      <c r="AA626" s="53" t="s">
        <v>3837</v>
      </c>
      <c r="AB626" s="99"/>
      <c r="AC626" s="101"/>
      <c r="AD626" s="101"/>
      <c r="AE626" s="101"/>
      <c r="AF626" s="101"/>
      <c r="AG626" s="101"/>
      <c r="AH626" s="99"/>
      <c r="AI626" s="105"/>
    </row>
    <row r="627" spans="1:35" ht="31.5">
      <c r="A627" s="98"/>
      <c r="B627" s="99"/>
      <c r="C627" s="53" t="s">
        <v>3230</v>
      </c>
      <c r="D627" s="53" t="s">
        <v>79</v>
      </c>
      <c r="E627" s="53" t="s">
        <v>80</v>
      </c>
      <c r="F627" s="99" t="s">
        <v>3375</v>
      </c>
      <c r="G627" s="99" t="s">
        <v>121</v>
      </c>
      <c r="H627" s="99" t="s">
        <v>588</v>
      </c>
      <c r="I627" s="247">
        <v>35549</v>
      </c>
      <c r="J627" s="101">
        <v>1</v>
      </c>
      <c r="K627" s="101"/>
      <c r="L627" s="101">
        <v>1</v>
      </c>
      <c r="M627" s="101"/>
      <c r="N627" s="101"/>
      <c r="O627" s="101"/>
      <c r="P627" s="101"/>
      <c r="Q627" s="101"/>
      <c r="R627" s="101"/>
      <c r="S627" s="101"/>
      <c r="T627" s="101"/>
      <c r="U627" s="99" t="s">
        <v>219</v>
      </c>
      <c r="V627" s="99" t="s">
        <v>218</v>
      </c>
      <c r="W627" s="103" t="s">
        <v>279</v>
      </c>
      <c r="X627" s="99" t="s">
        <v>227</v>
      </c>
      <c r="Y627" s="99"/>
      <c r="Z627" s="99"/>
      <c r="AA627" s="53" t="s">
        <v>3837</v>
      </c>
      <c r="AB627" s="99"/>
      <c r="AC627" s="101"/>
      <c r="AD627" s="101"/>
      <c r="AE627" s="101"/>
      <c r="AF627" s="101"/>
      <c r="AG627" s="101"/>
      <c r="AH627" s="99"/>
      <c r="AI627" s="105"/>
    </row>
    <row r="628" spans="1:35" ht="31.5">
      <c r="A628" s="98"/>
      <c r="B628" s="99"/>
      <c r="C628" s="53" t="s">
        <v>3230</v>
      </c>
      <c r="D628" s="53" t="s">
        <v>79</v>
      </c>
      <c r="E628" s="53" t="s">
        <v>80</v>
      </c>
      <c r="F628" s="99" t="s">
        <v>3380</v>
      </c>
      <c r="G628" s="99" t="s">
        <v>3833</v>
      </c>
      <c r="H628" s="99" t="s">
        <v>113</v>
      </c>
      <c r="I628" s="247">
        <v>19729</v>
      </c>
      <c r="J628" s="101">
        <v>1</v>
      </c>
      <c r="K628" s="101"/>
      <c r="L628" s="101">
        <v>1</v>
      </c>
      <c r="M628" s="101"/>
      <c r="N628" s="101"/>
      <c r="O628" s="101"/>
      <c r="P628" s="101"/>
      <c r="Q628" s="101"/>
      <c r="R628" s="101"/>
      <c r="S628" s="101"/>
      <c r="T628" s="101"/>
      <c r="U628" s="99" t="s">
        <v>219</v>
      </c>
      <c r="V628" s="99" t="s">
        <v>218</v>
      </c>
      <c r="W628" s="103" t="s">
        <v>279</v>
      </c>
      <c r="X628" s="99" t="s">
        <v>227</v>
      </c>
      <c r="Y628" s="99"/>
      <c r="Z628" s="99"/>
      <c r="AA628" s="53" t="s">
        <v>3838</v>
      </c>
      <c r="AB628" s="99" t="s">
        <v>2371</v>
      </c>
      <c r="AC628" s="101">
        <v>1</v>
      </c>
      <c r="AD628" s="101"/>
      <c r="AE628" s="101"/>
      <c r="AF628" s="101"/>
      <c r="AG628" s="101"/>
      <c r="AH628" s="99"/>
      <c r="AI628" s="105"/>
    </row>
    <row r="629" spans="1:35" ht="31.5">
      <c r="A629" s="98"/>
      <c r="B629" s="99"/>
      <c r="C629" s="53" t="s">
        <v>3230</v>
      </c>
      <c r="D629" s="53" t="s">
        <v>79</v>
      </c>
      <c r="E629" s="53" t="s">
        <v>80</v>
      </c>
      <c r="F629" s="99" t="s">
        <v>3380</v>
      </c>
      <c r="G629" s="99" t="s">
        <v>1239</v>
      </c>
      <c r="H629" s="99" t="s">
        <v>136</v>
      </c>
      <c r="I629" s="247">
        <v>35776</v>
      </c>
      <c r="J629" s="101">
        <v>1</v>
      </c>
      <c r="K629" s="101"/>
      <c r="L629" s="101">
        <v>1</v>
      </c>
      <c r="M629" s="101"/>
      <c r="N629" s="101"/>
      <c r="O629" s="101"/>
      <c r="P629" s="101"/>
      <c r="Q629" s="101"/>
      <c r="R629" s="101"/>
      <c r="S629" s="101"/>
      <c r="T629" s="101"/>
      <c r="U629" s="99" t="s">
        <v>219</v>
      </c>
      <c r="V629" s="99" t="s">
        <v>218</v>
      </c>
      <c r="W629" s="103" t="s">
        <v>279</v>
      </c>
      <c r="X629" s="99" t="s">
        <v>227</v>
      </c>
      <c r="Y629" s="99"/>
      <c r="Z629" s="99"/>
      <c r="AA629" s="53" t="s">
        <v>3838</v>
      </c>
      <c r="AB629" s="99"/>
      <c r="AC629" s="101"/>
      <c r="AD629" s="101"/>
      <c r="AE629" s="101"/>
      <c r="AF629" s="101"/>
      <c r="AG629" s="101"/>
      <c r="AH629" s="99"/>
      <c r="AI629" s="105"/>
    </row>
    <row r="630" spans="1:35" ht="31.5">
      <c r="A630" s="98"/>
      <c r="B630" s="99"/>
      <c r="C630" s="53" t="s">
        <v>3230</v>
      </c>
      <c r="D630" s="53" t="s">
        <v>79</v>
      </c>
      <c r="E630" s="53" t="s">
        <v>80</v>
      </c>
      <c r="F630" s="99" t="s">
        <v>3834</v>
      </c>
      <c r="G630" s="99" t="s">
        <v>3382</v>
      </c>
      <c r="H630" s="99"/>
      <c r="I630" s="247">
        <v>33796</v>
      </c>
      <c r="J630" s="101"/>
      <c r="K630" s="101">
        <v>1</v>
      </c>
      <c r="L630" s="101">
        <v>1</v>
      </c>
      <c r="M630" s="101"/>
      <c r="N630" s="101"/>
      <c r="O630" s="101"/>
      <c r="P630" s="101"/>
      <c r="Q630" s="101"/>
      <c r="R630" s="101"/>
      <c r="S630" s="101"/>
      <c r="T630" s="101"/>
      <c r="U630" s="99" t="s">
        <v>219</v>
      </c>
      <c r="V630" s="99" t="s">
        <v>218</v>
      </c>
      <c r="W630" s="103" t="s">
        <v>279</v>
      </c>
      <c r="X630" s="99" t="s">
        <v>227</v>
      </c>
      <c r="Y630" s="99"/>
      <c r="Z630" s="99"/>
      <c r="AA630" s="53" t="s">
        <v>3838</v>
      </c>
      <c r="AB630" s="99"/>
      <c r="AC630" s="101"/>
      <c r="AD630" s="101"/>
      <c r="AE630" s="101"/>
      <c r="AF630" s="101"/>
      <c r="AG630" s="101"/>
      <c r="AH630" s="99"/>
      <c r="AI630" s="105"/>
    </row>
    <row r="631" spans="1:35" ht="31.5">
      <c r="A631" s="98"/>
      <c r="B631" s="99"/>
      <c r="C631" s="53" t="s">
        <v>3230</v>
      </c>
      <c r="D631" s="53" t="s">
        <v>79</v>
      </c>
      <c r="E631" s="53" t="s">
        <v>80</v>
      </c>
      <c r="F631" s="99" t="s">
        <v>3378</v>
      </c>
      <c r="G631" s="99" t="s">
        <v>433</v>
      </c>
      <c r="H631" s="99" t="s">
        <v>588</v>
      </c>
      <c r="I631" s="247">
        <v>33475</v>
      </c>
      <c r="J631" s="101">
        <v>1</v>
      </c>
      <c r="K631" s="101"/>
      <c r="L631" s="101">
        <v>1</v>
      </c>
      <c r="M631" s="101"/>
      <c r="N631" s="101"/>
      <c r="O631" s="101"/>
      <c r="P631" s="101"/>
      <c r="Q631" s="101"/>
      <c r="R631" s="101"/>
      <c r="S631" s="101"/>
      <c r="T631" s="101"/>
      <c r="U631" s="99" t="s">
        <v>219</v>
      </c>
      <c r="V631" s="99" t="s">
        <v>218</v>
      </c>
      <c r="W631" s="103" t="s">
        <v>279</v>
      </c>
      <c r="X631" s="99" t="s">
        <v>227</v>
      </c>
      <c r="Y631" s="99"/>
      <c r="Z631" s="99"/>
      <c r="AA631" s="53" t="s">
        <v>3839</v>
      </c>
      <c r="AB631" s="99" t="s">
        <v>2371</v>
      </c>
      <c r="AC631" s="101">
        <v>1</v>
      </c>
      <c r="AD631" s="101"/>
      <c r="AE631" s="101"/>
      <c r="AF631" s="101"/>
      <c r="AG631" s="101"/>
      <c r="AH631" s="99"/>
      <c r="AI631" s="105"/>
    </row>
    <row r="632" spans="1:35" ht="31.5">
      <c r="A632" s="98"/>
      <c r="B632" s="99"/>
      <c r="C632" s="53" t="s">
        <v>3230</v>
      </c>
      <c r="D632" s="53" t="s">
        <v>79</v>
      </c>
      <c r="E632" s="53" t="s">
        <v>80</v>
      </c>
      <c r="F632" s="99" t="s">
        <v>3378</v>
      </c>
      <c r="G632" s="99" t="s">
        <v>3835</v>
      </c>
      <c r="H632" s="99" t="s">
        <v>588</v>
      </c>
      <c r="I632" s="247">
        <v>32611</v>
      </c>
      <c r="J632" s="101">
        <v>1</v>
      </c>
      <c r="K632" s="101"/>
      <c r="L632" s="101">
        <v>1</v>
      </c>
      <c r="M632" s="101"/>
      <c r="N632" s="101"/>
      <c r="O632" s="101"/>
      <c r="P632" s="101"/>
      <c r="Q632" s="101"/>
      <c r="R632" s="101"/>
      <c r="S632" s="101"/>
      <c r="T632" s="101"/>
      <c r="U632" s="99" t="s">
        <v>219</v>
      </c>
      <c r="V632" s="99" t="s">
        <v>218</v>
      </c>
      <c r="W632" s="103" t="s">
        <v>279</v>
      </c>
      <c r="X632" s="99" t="s">
        <v>227</v>
      </c>
      <c r="Y632" s="99"/>
      <c r="Z632" s="99"/>
      <c r="AA632" s="53" t="s">
        <v>3839</v>
      </c>
      <c r="AB632" s="99"/>
      <c r="AC632" s="101"/>
      <c r="AD632" s="101"/>
      <c r="AE632" s="101"/>
      <c r="AF632" s="101"/>
      <c r="AG632" s="101"/>
      <c r="AH632" s="99"/>
      <c r="AI632" s="105"/>
    </row>
    <row r="633" spans="1:35" ht="31.5">
      <c r="A633" s="98"/>
      <c r="B633" s="99"/>
      <c r="C633" s="53" t="s">
        <v>3230</v>
      </c>
      <c r="D633" s="53" t="s">
        <v>79</v>
      </c>
      <c r="E633" s="53" t="s">
        <v>80</v>
      </c>
      <c r="F633" s="99" t="s">
        <v>3378</v>
      </c>
      <c r="G633" s="99" t="s">
        <v>1150</v>
      </c>
      <c r="H633" s="99" t="s">
        <v>588</v>
      </c>
      <c r="I633" s="247">
        <v>27262</v>
      </c>
      <c r="J633" s="101">
        <v>1</v>
      </c>
      <c r="K633" s="101"/>
      <c r="L633" s="101">
        <v>1</v>
      </c>
      <c r="M633" s="101"/>
      <c r="N633" s="101"/>
      <c r="O633" s="101"/>
      <c r="P633" s="101"/>
      <c r="Q633" s="101"/>
      <c r="R633" s="101"/>
      <c r="S633" s="101"/>
      <c r="T633" s="101"/>
      <c r="U633" s="99" t="s">
        <v>219</v>
      </c>
      <c r="V633" s="99" t="s">
        <v>218</v>
      </c>
      <c r="W633" s="103" t="s">
        <v>279</v>
      </c>
      <c r="X633" s="99" t="s">
        <v>227</v>
      </c>
      <c r="Y633" s="99"/>
      <c r="Z633" s="99"/>
      <c r="AA633" s="53" t="s">
        <v>3839</v>
      </c>
      <c r="AB633" s="99"/>
      <c r="AC633" s="101"/>
      <c r="AD633" s="101"/>
      <c r="AE633" s="101"/>
      <c r="AF633" s="101"/>
      <c r="AG633" s="101"/>
      <c r="AH633" s="99"/>
      <c r="AI633" s="105"/>
    </row>
    <row r="634" spans="1:35" ht="31.5">
      <c r="A634" s="98"/>
      <c r="B634" s="99"/>
      <c r="C634" s="53" t="s">
        <v>3230</v>
      </c>
      <c r="D634" s="53" t="s">
        <v>79</v>
      </c>
      <c r="E634" s="53" t="s">
        <v>80</v>
      </c>
      <c r="F634" s="99" t="s">
        <v>3371</v>
      </c>
      <c r="G634" s="99" t="s">
        <v>3372</v>
      </c>
      <c r="H634" s="99" t="s">
        <v>160</v>
      </c>
      <c r="I634" s="247">
        <v>30522</v>
      </c>
      <c r="J634" s="101">
        <v>1</v>
      </c>
      <c r="K634" s="101"/>
      <c r="L634" s="101">
        <v>1</v>
      </c>
      <c r="M634" s="101"/>
      <c r="N634" s="101"/>
      <c r="O634" s="101"/>
      <c r="P634" s="101"/>
      <c r="Q634" s="101"/>
      <c r="R634" s="101"/>
      <c r="S634" s="101"/>
      <c r="T634" s="101"/>
      <c r="U634" s="99" t="s">
        <v>219</v>
      </c>
      <c r="V634" s="99" t="s">
        <v>218</v>
      </c>
      <c r="W634" s="103" t="s">
        <v>279</v>
      </c>
      <c r="X634" s="99" t="s">
        <v>227</v>
      </c>
      <c r="Y634" s="99"/>
      <c r="Z634" s="99"/>
      <c r="AA634" s="53" t="s">
        <v>3840</v>
      </c>
      <c r="AB634" s="99" t="s">
        <v>2371</v>
      </c>
      <c r="AC634" s="101">
        <v>1</v>
      </c>
      <c r="AD634" s="101"/>
      <c r="AE634" s="101"/>
      <c r="AF634" s="101"/>
      <c r="AG634" s="101"/>
      <c r="AH634" s="99"/>
      <c r="AI634" s="105"/>
    </row>
    <row r="635" spans="1:35" ht="31.5">
      <c r="A635" s="98"/>
      <c r="B635" s="99"/>
      <c r="C635" s="53" t="s">
        <v>3230</v>
      </c>
      <c r="D635" s="53" t="s">
        <v>79</v>
      </c>
      <c r="E635" s="53" t="s">
        <v>80</v>
      </c>
      <c r="F635" s="99" t="s">
        <v>3371</v>
      </c>
      <c r="G635" s="99" t="s">
        <v>159</v>
      </c>
      <c r="H635" s="99" t="s">
        <v>160</v>
      </c>
      <c r="I635" s="247">
        <v>27497</v>
      </c>
      <c r="J635" s="101">
        <v>1</v>
      </c>
      <c r="K635" s="101"/>
      <c r="L635" s="101">
        <v>1</v>
      </c>
      <c r="M635" s="101"/>
      <c r="N635" s="101"/>
      <c r="O635" s="101"/>
      <c r="P635" s="101"/>
      <c r="Q635" s="101"/>
      <c r="R635" s="101"/>
      <c r="S635" s="101"/>
      <c r="T635" s="101"/>
      <c r="U635" s="99" t="s">
        <v>219</v>
      </c>
      <c r="V635" s="99" t="s">
        <v>218</v>
      </c>
      <c r="W635" s="103" t="s">
        <v>279</v>
      </c>
      <c r="X635" s="99" t="s">
        <v>227</v>
      </c>
      <c r="Y635" s="99"/>
      <c r="Z635" s="99"/>
      <c r="AA635" s="53" t="s">
        <v>3840</v>
      </c>
      <c r="AB635" s="99"/>
      <c r="AC635" s="101"/>
      <c r="AD635" s="101"/>
      <c r="AE635" s="101"/>
      <c r="AF635" s="101"/>
      <c r="AG635" s="101"/>
      <c r="AH635" s="99"/>
      <c r="AI635" s="105"/>
    </row>
    <row r="636" spans="1:35" ht="31.5">
      <c r="A636" s="98"/>
      <c r="B636" s="99"/>
      <c r="C636" s="53" t="s">
        <v>3230</v>
      </c>
      <c r="D636" s="53" t="s">
        <v>79</v>
      </c>
      <c r="E636" s="53" t="s">
        <v>80</v>
      </c>
      <c r="F636" s="99" t="s">
        <v>3371</v>
      </c>
      <c r="G636" s="99" t="s">
        <v>1847</v>
      </c>
      <c r="H636" s="99" t="s">
        <v>160</v>
      </c>
      <c r="I636" s="247">
        <v>23285</v>
      </c>
      <c r="J636" s="101">
        <v>1</v>
      </c>
      <c r="K636" s="101"/>
      <c r="L636" s="101">
        <v>1</v>
      </c>
      <c r="M636" s="101"/>
      <c r="N636" s="101"/>
      <c r="O636" s="101"/>
      <c r="P636" s="101"/>
      <c r="Q636" s="101"/>
      <c r="R636" s="101"/>
      <c r="S636" s="101"/>
      <c r="T636" s="101"/>
      <c r="U636" s="99" t="s">
        <v>219</v>
      </c>
      <c r="V636" s="99" t="s">
        <v>218</v>
      </c>
      <c r="W636" s="103" t="s">
        <v>279</v>
      </c>
      <c r="X636" s="99" t="s">
        <v>227</v>
      </c>
      <c r="Y636" s="99"/>
      <c r="Z636" s="99"/>
      <c r="AA636" s="53" t="s">
        <v>3840</v>
      </c>
      <c r="AB636" s="99"/>
      <c r="AC636" s="101"/>
      <c r="AD636" s="101"/>
      <c r="AE636" s="101"/>
      <c r="AF636" s="101"/>
      <c r="AG636" s="101"/>
      <c r="AH636" s="99"/>
      <c r="AI636" s="105"/>
    </row>
    <row r="637" spans="1:35" ht="31.5">
      <c r="A637" s="98"/>
      <c r="B637" s="99"/>
      <c r="C637" s="53" t="s">
        <v>3230</v>
      </c>
      <c r="D637" s="53" t="s">
        <v>79</v>
      </c>
      <c r="E637" s="53" t="s">
        <v>80</v>
      </c>
      <c r="F637" s="99" t="s">
        <v>392</v>
      </c>
      <c r="G637" s="99" t="s">
        <v>3370</v>
      </c>
      <c r="H637" s="99" t="s">
        <v>126</v>
      </c>
      <c r="I637" s="247">
        <v>25591</v>
      </c>
      <c r="J637" s="101">
        <v>1</v>
      </c>
      <c r="K637" s="101"/>
      <c r="L637" s="101">
        <v>1</v>
      </c>
      <c r="M637" s="101"/>
      <c r="N637" s="101"/>
      <c r="O637" s="101"/>
      <c r="P637" s="101"/>
      <c r="Q637" s="101"/>
      <c r="R637" s="101"/>
      <c r="S637" s="101"/>
      <c r="T637" s="101"/>
      <c r="U637" s="99" t="s">
        <v>219</v>
      </c>
      <c r="V637" s="99" t="s">
        <v>218</v>
      </c>
      <c r="W637" s="103" t="s">
        <v>279</v>
      </c>
      <c r="X637" s="99" t="s">
        <v>227</v>
      </c>
      <c r="Y637" s="99"/>
      <c r="Z637" s="99"/>
      <c r="AA637" s="53" t="s">
        <v>3843</v>
      </c>
      <c r="AB637" s="99" t="s">
        <v>2371</v>
      </c>
      <c r="AC637" s="101">
        <v>1</v>
      </c>
      <c r="AD637" s="101"/>
      <c r="AE637" s="101"/>
      <c r="AF637" s="101"/>
      <c r="AG637" s="101"/>
      <c r="AH637" s="99"/>
      <c r="AI637" s="105"/>
    </row>
    <row r="638" spans="1:35" ht="31.5">
      <c r="A638" s="98"/>
      <c r="B638" s="99"/>
      <c r="C638" s="53" t="s">
        <v>3230</v>
      </c>
      <c r="D638" s="53" t="s">
        <v>79</v>
      </c>
      <c r="E638" s="53" t="s">
        <v>80</v>
      </c>
      <c r="F638" s="99" t="s">
        <v>392</v>
      </c>
      <c r="G638" s="99" t="s">
        <v>3841</v>
      </c>
      <c r="H638" s="99" t="s">
        <v>126</v>
      </c>
      <c r="I638" s="247">
        <v>24971</v>
      </c>
      <c r="J638" s="101">
        <v>1</v>
      </c>
      <c r="K638" s="101"/>
      <c r="L638" s="101">
        <v>1</v>
      </c>
      <c r="M638" s="101"/>
      <c r="N638" s="101"/>
      <c r="O638" s="101"/>
      <c r="P638" s="101"/>
      <c r="Q638" s="101"/>
      <c r="R638" s="101"/>
      <c r="S638" s="101"/>
      <c r="T638" s="101"/>
      <c r="U638" s="99" t="s">
        <v>219</v>
      </c>
      <c r="V638" s="99" t="s">
        <v>218</v>
      </c>
      <c r="W638" s="103" t="s">
        <v>279</v>
      </c>
      <c r="X638" s="99" t="s">
        <v>227</v>
      </c>
      <c r="Y638" s="99"/>
      <c r="Z638" s="99"/>
      <c r="AA638" s="53" t="s">
        <v>3843</v>
      </c>
      <c r="AB638" s="99"/>
      <c r="AC638" s="101"/>
      <c r="AD638" s="101"/>
      <c r="AE638" s="101"/>
      <c r="AF638" s="101"/>
      <c r="AG638" s="101"/>
      <c r="AH638" s="99"/>
      <c r="AI638" s="105"/>
    </row>
    <row r="639" spans="1:35" ht="31.5">
      <c r="A639" s="98"/>
      <c r="B639" s="99"/>
      <c r="C639" s="53" t="s">
        <v>3230</v>
      </c>
      <c r="D639" s="53" t="s">
        <v>79</v>
      </c>
      <c r="E639" s="53" t="s">
        <v>80</v>
      </c>
      <c r="F639" s="99" t="s">
        <v>3842</v>
      </c>
      <c r="G639" s="99" t="s">
        <v>745</v>
      </c>
      <c r="H639" s="99" t="s">
        <v>126</v>
      </c>
      <c r="I639" s="247">
        <v>26801</v>
      </c>
      <c r="J639" s="101">
        <v>1</v>
      </c>
      <c r="K639" s="101"/>
      <c r="L639" s="101">
        <v>1</v>
      </c>
      <c r="M639" s="101"/>
      <c r="N639" s="101"/>
      <c r="O639" s="101"/>
      <c r="P639" s="101"/>
      <c r="Q639" s="101"/>
      <c r="R639" s="101"/>
      <c r="S639" s="101"/>
      <c r="T639" s="101"/>
      <c r="U639" s="99" t="s">
        <v>219</v>
      </c>
      <c r="V639" s="99" t="s">
        <v>218</v>
      </c>
      <c r="W639" s="103" t="s">
        <v>279</v>
      </c>
      <c r="X639" s="99" t="s">
        <v>227</v>
      </c>
      <c r="Y639" s="99"/>
      <c r="Z639" s="99"/>
      <c r="AA639" s="53" t="s">
        <v>3843</v>
      </c>
      <c r="AB639" s="99"/>
      <c r="AC639" s="101"/>
      <c r="AD639" s="101"/>
      <c r="AE639" s="101"/>
      <c r="AF639" s="101"/>
      <c r="AG639" s="101"/>
      <c r="AH639" s="99"/>
      <c r="AI639" s="105"/>
    </row>
    <row r="640" spans="1:35" ht="31.5">
      <c r="A640" s="98"/>
      <c r="B640" s="99"/>
      <c r="C640" s="53" t="s">
        <v>3230</v>
      </c>
      <c r="D640" s="53" t="s">
        <v>79</v>
      </c>
      <c r="E640" s="53" t="s">
        <v>80</v>
      </c>
      <c r="F640" s="99" t="s">
        <v>3844</v>
      </c>
      <c r="G640" s="99" t="s">
        <v>3845</v>
      </c>
      <c r="H640" s="99" t="s">
        <v>133</v>
      </c>
      <c r="I640" s="247">
        <v>31717</v>
      </c>
      <c r="J640" s="101">
        <v>1</v>
      </c>
      <c r="K640" s="101"/>
      <c r="L640" s="101">
        <v>1</v>
      </c>
      <c r="M640" s="101"/>
      <c r="N640" s="101"/>
      <c r="O640" s="101"/>
      <c r="P640" s="101"/>
      <c r="Q640" s="101"/>
      <c r="R640" s="101"/>
      <c r="S640" s="101"/>
      <c r="T640" s="101"/>
      <c r="U640" s="99" t="s">
        <v>226</v>
      </c>
      <c r="V640" s="99" t="s">
        <v>223</v>
      </c>
      <c r="W640" s="103" t="s">
        <v>279</v>
      </c>
      <c r="X640" s="99" t="s">
        <v>227</v>
      </c>
      <c r="Y640" s="99"/>
      <c r="Z640" s="99"/>
      <c r="AA640" s="53" t="s">
        <v>3860</v>
      </c>
      <c r="AB640" s="99" t="s">
        <v>2371</v>
      </c>
      <c r="AC640" s="101">
        <v>1</v>
      </c>
      <c r="AD640" s="101"/>
      <c r="AE640" s="101"/>
      <c r="AF640" s="101"/>
      <c r="AG640" s="101"/>
      <c r="AH640" s="99"/>
      <c r="AI640" s="105"/>
    </row>
    <row r="641" spans="1:35" ht="31.5">
      <c r="A641" s="98"/>
      <c r="B641" s="99"/>
      <c r="C641" s="53" t="s">
        <v>3230</v>
      </c>
      <c r="D641" s="53" t="s">
        <v>79</v>
      </c>
      <c r="E641" s="53" t="s">
        <v>80</v>
      </c>
      <c r="F641" s="99" t="s">
        <v>199</v>
      </c>
      <c r="G641" s="99" t="s">
        <v>3846</v>
      </c>
      <c r="H641" s="99" t="s">
        <v>144</v>
      </c>
      <c r="I641" s="247">
        <v>32937</v>
      </c>
      <c r="J641" s="101"/>
      <c r="K641" s="101">
        <v>1</v>
      </c>
      <c r="L641" s="101">
        <v>1</v>
      </c>
      <c r="M641" s="101"/>
      <c r="N641" s="101"/>
      <c r="O641" s="101"/>
      <c r="P641" s="101"/>
      <c r="Q641" s="101"/>
      <c r="R641" s="101"/>
      <c r="S641" s="101"/>
      <c r="T641" s="101"/>
      <c r="U641" s="99" t="s">
        <v>226</v>
      </c>
      <c r="V641" s="99" t="s">
        <v>223</v>
      </c>
      <c r="W641" s="103" t="s">
        <v>279</v>
      </c>
      <c r="X641" s="99" t="s">
        <v>227</v>
      </c>
      <c r="Y641" s="99"/>
      <c r="Z641" s="99"/>
      <c r="AA641" s="53" t="s">
        <v>3860</v>
      </c>
      <c r="AB641" s="99"/>
      <c r="AC641" s="101"/>
      <c r="AD641" s="101"/>
      <c r="AE641" s="101"/>
      <c r="AF641" s="101"/>
      <c r="AG641" s="101"/>
      <c r="AH641" s="99"/>
      <c r="AI641" s="105"/>
    </row>
    <row r="642" spans="1:35" ht="31.5">
      <c r="A642" s="98"/>
      <c r="B642" s="99"/>
      <c r="C642" s="53" t="s">
        <v>3230</v>
      </c>
      <c r="D642" s="53" t="s">
        <v>79</v>
      </c>
      <c r="E642" s="53" t="s">
        <v>80</v>
      </c>
      <c r="F642" s="99" t="s">
        <v>199</v>
      </c>
      <c r="G642" s="99" t="s">
        <v>1412</v>
      </c>
      <c r="H642" s="99" t="s">
        <v>115</v>
      </c>
      <c r="I642" s="247">
        <v>34049</v>
      </c>
      <c r="J642" s="101"/>
      <c r="K642" s="101">
        <v>1</v>
      </c>
      <c r="L642" s="101">
        <v>1</v>
      </c>
      <c r="M642" s="101"/>
      <c r="N642" s="101"/>
      <c r="O642" s="101"/>
      <c r="P642" s="101"/>
      <c r="Q642" s="101"/>
      <c r="R642" s="101"/>
      <c r="S642" s="101"/>
      <c r="T642" s="101"/>
      <c r="U642" s="99" t="s">
        <v>226</v>
      </c>
      <c r="V642" s="99" t="s">
        <v>223</v>
      </c>
      <c r="W642" s="103" t="s">
        <v>279</v>
      </c>
      <c r="X642" s="99" t="s">
        <v>227</v>
      </c>
      <c r="Y642" s="99"/>
      <c r="Z642" s="99"/>
      <c r="AA642" s="53" t="s">
        <v>3860</v>
      </c>
      <c r="AB642" s="99"/>
      <c r="AC642" s="101"/>
      <c r="AD642" s="101"/>
      <c r="AE642" s="101"/>
      <c r="AF642" s="101"/>
      <c r="AG642" s="101"/>
      <c r="AH642" s="99"/>
      <c r="AI642" s="105"/>
    </row>
    <row r="643" spans="1:35" ht="31.5">
      <c r="A643" s="98"/>
      <c r="B643" s="99"/>
      <c r="C643" s="53" t="s">
        <v>3230</v>
      </c>
      <c r="D643" s="53" t="s">
        <v>79</v>
      </c>
      <c r="E643" s="53" t="s">
        <v>80</v>
      </c>
      <c r="F643" s="99" t="s">
        <v>3848</v>
      </c>
      <c r="G643" s="99" t="s">
        <v>432</v>
      </c>
      <c r="H643" s="99" t="s">
        <v>115</v>
      </c>
      <c r="I643" s="247">
        <v>21739</v>
      </c>
      <c r="J643" s="101"/>
      <c r="K643" s="101">
        <v>1</v>
      </c>
      <c r="L643" s="101">
        <v>1</v>
      </c>
      <c r="M643" s="101"/>
      <c r="N643" s="101"/>
      <c r="O643" s="101"/>
      <c r="P643" s="101"/>
      <c r="Q643" s="101"/>
      <c r="R643" s="101"/>
      <c r="S643" s="101"/>
      <c r="T643" s="101"/>
      <c r="U643" s="99" t="s">
        <v>224</v>
      </c>
      <c r="V643" s="99" t="s">
        <v>223</v>
      </c>
      <c r="W643" s="103" t="s">
        <v>279</v>
      </c>
      <c r="X643" s="99" t="s">
        <v>227</v>
      </c>
      <c r="Y643" s="99"/>
      <c r="Z643" s="99"/>
      <c r="AA643" s="53" t="s">
        <v>3861</v>
      </c>
      <c r="AB643" s="99" t="s">
        <v>2371</v>
      </c>
      <c r="AC643" s="101">
        <v>1</v>
      </c>
      <c r="AD643" s="101"/>
      <c r="AE643" s="101"/>
      <c r="AF643" s="101"/>
      <c r="AG643" s="101"/>
      <c r="AH643" s="99"/>
      <c r="AI643" s="105"/>
    </row>
    <row r="644" spans="1:35" ht="31.5">
      <c r="A644" s="98"/>
      <c r="B644" s="99"/>
      <c r="C644" s="53" t="s">
        <v>3230</v>
      </c>
      <c r="D644" s="53" t="s">
        <v>79</v>
      </c>
      <c r="E644" s="53" t="s">
        <v>80</v>
      </c>
      <c r="F644" s="99" t="s">
        <v>3847</v>
      </c>
      <c r="G644" s="99" t="s">
        <v>789</v>
      </c>
      <c r="H644" s="99"/>
      <c r="I644" s="247">
        <v>29686</v>
      </c>
      <c r="J644" s="101"/>
      <c r="K644" s="101">
        <v>1</v>
      </c>
      <c r="L644" s="101">
        <v>1</v>
      </c>
      <c r="M644" s="101"/>
      <c r="N644" s="101"/>
      <c r="O644" s="101"/>
      <c r="P644" s="101"/>
      <c r="Q644" s="101"/>
      <c r="R644" s="101"/>
      <c r="S644" s="101"/>
      <c r="T644" s="101"/>
      <c r="U644" s="99" t="s">
        <v>224</v>
      </c>
      <c r="V644" s="99" t="s">
        <v>223</v>
      </c>
      <c r="W644" s="103" t="s">
        <v>279</v>
      </c>
      <c r="X644" s="99" t="s">
        <v>227</v>
      </c>
      <c r="Y644" s="99"/>
      <c r="Z644" s="99"/>
      <c r="AA644" s="53" t="s">
        <v>3861</v>
      </c>
      <c r="AB644" s="99"/>
      <c r="AC644" s="101"/>
      <c r="AD644" s="101"/>
      <c r="AE644" s="101"/>
      <c r="AF644" s="101"/>
      <c r="AG644" s="101"/>
      <c r="AH644" s="99"/>
      <c r="AI644" s="105"/>
    </row>
    <row r="645" spans="1:35" ht="31.5">
      <c r="A645" s="98"/>
      <c r="B645" s="99"/>
      <c r="C645" s="53" t="s">
        <v>3230</v>
      </c>
      <c r="D645" s="53" t="s">
        <v>79</v>
      </c>
      <c r="E645" s="53" t="s">
        <v>80</v>
      </c>
      <c r="F645" s="99" t="s">
        <v>329</v>
      </c>
      <c r="G645" s="99" t="s">
        <v>3849</v>
      </c>
      <c r="H645" s="99"/>
      <c r="I645" s="247">
        <v>20099</v>
      </c>
      <c r="J645" s="101"/>
      <c r="K645" s="101">
        <v>1</v>
      </c>
      <c r="L645" s="101">
        <v>1</v>
      </c>
      <c r="M645" s="101"/>
      <c r="N645" s="101"/>
      <c r="O645" s="101"/>
      <c r="P645" s="101"/>
      <c r="Q645" s="101"/>
      <c r="R645" s="101"/>
      <c r="S645" s="101"/>
      <c r="T645" s="101"/>
      <c r="U645" s="99" t="s">
        <v>224</v>
      </c>
      <c r="V645" s="99" t="s">
        <v>223</v>
      </c>
      <c r="W645" s="103" t="s">
        <v>279</v>
      </c>
      <c r="X645" s="99" t="s">
        <v>227</v>
      </c>
      <c r="Y645" s="99"/>
      <c r="Z645" s="99"/>
      <c r="AA645" s="53" t="s">
        <v>3861</v>
      </c>
      <c r="AB645" s="99"/>
      <c r="AC645" s="101"/>
      <c r="AD645" s="101"/>
      <c r="AE645" s="101"/>
      <c r="AF645" s="101"/>
      <c r="AG645" s="101"/>
      <c r="AH645" s="99"/>
      <c r="AI645" s="105"/>
    </row>
    <row r="646" spans="1:35" ht="31.5">
      <c r="A646" s="98"/>
      <c r="B646" s="99"/>
      <c r="C646" s="53" t="s">
        <v>3230</v>
      </c>
      <c r="D646" s="53" t="s">
        <v>79</v>
      </c>
      <c r="E646" s="53" t="s">
        <v>80</v>
      </c>
      <c r="F646" s="99" t="s">
        <v>3850</v>
      </c>
      <c r="G646" s="99" t="s">
        <v>3851</v>
      </c>
      <c r="H646" s="99"/>
      <c r="I646" s="247">
        <v>23263</v>
      </c>
      <c r="J646" s="101">
        <v>1</v>
      </c>
      <c r="K646" s="101"/>
      <c r="L646" s="101">
        <v>1</v>
      </c>
      <c r="M646" s="101"/>
      <c r="N646" s="101"/>
      <c r="O646" s="101"/>
      <c r="P646" s="101"/>
      <c r="Q646" s="101"/>
      <c r="R646" s="101"/>
      <c r="S646" s="101"/>
      <c r="T646" s="101"/>
      <c r="U646" s="99" t="s">
        <v>222</v>
      </c>
      <c r="V646" s="99" t="s">
        <v>223</v>
      </c>
      <c r="W646" s="103" t="s">
        <v>279</v>
      </c>
      <c r="X646" s="99" t="s">
        <v>227</v>
      </c>
      <c r="Y646" s="99"/>
      <c r="Z646" s="99"/>
      <c r="AA646" s="53" t="s">
        <v>3862</v>
      </c>
      <c r="AB646" s="99" t="s">
        <v>2371</v>
      </c>
      <c r="AC646" s="101">
        <v>1</v>
      </c>
      <c r="AD646" s="101"/>
      <c r="AE646" s="101"/>
      <c r="AF646" s="101"/>
      <c r="AG646" s="101"/>
      <c r="AH646" s="99"/>
      <c r="AI646" s="105"/>
    </row>
    <row r="647" spans="1:35" ht="31.5">
      <c r="A647" s="98"/>
      <c r="B647" s="99"/>
      <c r="C647" s="53" t="s">
        <v>3230</v>
      </c>
      <c r="D647" s="53" t="s">
        <v>79</v>
      </c>
      <c r="E647" s="53" t="s">
        <v>80</v>
      </c>
      <c r="F647" s="99" t="s">
        <v>3852</v>
      </c>
      <c r="G647" s="99" t="s">
        <v>1445</v>
      </c>
      <c r="H647" s="99"/>
      <c r="I647" s="247"/>
      <c r="J647" s="101">
        <v>1</v>
      </c>
      <c r="K647" s="101"/>
      <c r="L647" s="101">
        <v>1</v>
      </c>
      <c r="M647" s="101"/>
      <c r="N647" s="101"/>
      <c r="O647" s="101"/>
      <c r="P647" s="101"/>
      <c r="Q647" s="101"/>
      <c r="R647" s="101"/>
      <c r="S647" s="101"/>
      <c r="T647" s="101"/>
      <c r="U647" s="99" t="s">
        <v>222</v>
      </c>
      <c r="V647" s="99" t="s">
        <v>223</v>
      </c>
      <c r="W647" s="103" t="s">
        <v>279</v>
      </c>
      <c r="X647" s="99" t="s">
        <v>227</v>
      </c>
      <c r="Y647" s="99"/>
      <c r="Z647" s="99"/>
      <c r="AA647" s="53" t="s">
        <v>3862</v>
      </c>
      <c r="AB647" s="99"/>
      <c r="AC647" s="101"/>
      <c r="AD647" s="101"/>
      <c r="AE647" s="101"/>
      <c r="AF647" s="101"/>
      <c r="AG647" s="101"/>
      <c r="AH647" s="99"/>
      <c r="AI647" s="105"/>
    </row>
    <row r="648" spans="1:35" ht="31.5">
      <c r="A648" s="98"/>
      <c r="B648" s="99"/>
      <c r="C648" s="53" t="s">
        <v>3230</v>
      </c>
      <c r="D648" s="53" t="s">
        <v>79</v>
      </c>
      <c r="E648" s="53" t="s">
        <v>80</v>
      </c>
      <c r="F648" s="99" t="s">
        <v>3853</v>
      </c>
      <c r="G648" s="99" t="s">
        <v>3854</v>
      </c>
      <c r="H648" s="99"/>
      <c r="I648" s="247"/>
      <c r="J648" s="101">
        <v>1</v>
      </c>
      <c r="K648" s="101"/>
      <c r="L648" s="101">
        <v>1</v>
      </c>
      <c r="M648" s="101"/>
      <c r="N648" s="101"/>
      <c r="O648" s="101"/>
      <c r="P648" s="101"/>
      <c r="Q648" s="101"/>
      <c r="R648" s="101"/>
      <c r="S648" s="101"/>
      <c r="T648" s="101"/>
      <c r="U648" s="99" t="s">
        <v>222</v>
      </c>
      <c r="V648" s="99" t="s">
        <v>223</v>
      </c>
      <c r="W648" s="103" t="s">
        <v>279</v>
      </c>
      <c r="X648" s="99" t="s">
        <v>227</v>
      </c>
      <c r="Y648" s="99"/>
      <c r="Z648" s="99"/>
      <c r="AA648" s="53" t="s">
        <v>3862</v>
      </c>
      <c r="AB648" s="99"/>
      <c r="AC648" s="101"/>
      <c r="AD648" s="101"/>
      <c r="AE648" s="101"/>
      <c r="AF648" s="101"/>
      <c r="AG648" s="101"/>
      <c r="AH648" s="99"/>
      <c r="AI648" s="105"/>
    </row>
    <row r="649" spans="1:35" ht="31.5">
      <c r="A649" s="98"/>
      <c r="B649" s="99"/>
      <c r="C649" s="53" t="s">
        <v>3230</v>
      </c>
      <c r="D649" s="53" t="s">
        <v>79</v>
      </c>
      <c r="E649" s="53" t="s">
        <v>80</v>
      </c>
      <c r="F649" s="99" t="s">
        <v>3650</v>
      </c>
      <c r="G649" s="99" t="s">
        <v>3855</v>
      </c>
      <c r="H649" s="99" t="s">
        <v>283</v>
      </c>
      <c r="I649" s="247">
        <v>25954</v>
      </c>
      <c r="J649" s="101">
        <v>1</v>
      </c>
      <c r="K649" s="101"/>
      <c r="L649" s="101">
        <v>1</v>
      </c>
      <c r="M649" s="101"/>
      <c r="N649" s="101"/>
      <c r="O649" s="101"/>
      <c r="P649" s="101"/>
      <c r="Q649" s="101"/>
      <c r="R649" s="101"/>
      <c r="S649" s="101"/>
      <c r="T649" s="101"/>
      <c r="U649" s="99" t="s">
        <v>222</v>
      </c>
      <c r="V649" s="99" t="s">
        <v>223</v>
      </c>
      <c r="W649" s="103" t="s">
        <v>279</v>
      </c>
      <c r="X649" s="99" t="s">
        <v>227</v>
      </c>
      <c r="Y649" s="99"/>
      <c r="Z649" s="99"/>
      <c r="AA649" s="53" t="s">
        <v>3863</v>
      </c>
      <c r="AB649" s="99" t="s">
        <v>2371</v>
      </c>
      <c r="AC649" s="101">
        <v>1</v>
      </c>
      <c r="AD649" s="101"/>
      <c r="AE649" s="101"/>
      <c r="AF649" s="101"/>
      <c r="AG649" s="101"/>
      <c r="AH649" s="99"/>
      <c r="AI649" s="105"/>
    </row>
    <row r="650" spans="1:35" ht="31.5">
      <c r="A650" s="98"/>
      <c r="B650" s="99"/>
      <c r="C650" s="53" t="s">
        <v>3230</v>
      </c>
      <c r="D650" s="53" t="s">
        <v>79</v>
      </c>
      <c r="E650" s="53" t="s">
        <v>80</v>
      </c>
      <c r="F650" s="99" t="s">
        <v>3763</v>
      </c>
      <c r="G650" s="99" t="s">
        <v>3856</v>
      </c>
      <c r="H650" s="99"/>
      <c r="I650" s="247">
        <v>22718</v>
      </c>
      <c r="J650" s="101">
        <v>1</v>
      </c>
      <c r="K650" s="101"/>
      <c r="L650" s="101">
        <v>1</v>
      </c>
      <c r="M650" s="101"/>
      <c r="N650" s="101"/>
      <c r="O650" s="101"/>
      <c r="P650" s="101"/>
      <c r="Q650" s="101"/>
      <c r="R650" s="101"/>
      <c r="S650" s="101"/>
      <c r="T650" s="101"/>
      <c r="U650" s="99" t="s">
        <v>222</v>
      </c>
      <c r="V650" s="99" t="s">
        <v>223</v>
      </c>
      <c r="W650" s="103" t="s">
        <v>279</v>
      </c>
      <c r="X650" s="99" t="s">
        <v>227</v>
      </c>
      <c r="Y650" s="99"/>
      <c r="Z650" s="99"/>
      <c r="AA650" s="53" t="s">
        <v>3863</v>
      </c>
      <c r="AB650" s="99"/>
      <c r="AC650" s="101"/>
      <c r="AD650" s="101"/>
      <c r="AE650" s="101"/>
      <c r="AF650" s="101"/>
      <c r="AG650" s="101"/>
      <c r="AH650" s="99"/>
      <c r="AI650" s="105"/>
    </row>
    <row r="651" spans="1:35" ht="31.5">
      <c r="A651" s="98"/>
      <c r="B651" s="99"/>
      <c r="C651" s="53" t="s">
        <v>3230</v>
      </c>
      <c r="D651" s="53" t="s">
        <v>79</v>
      </c>
      <c r="E651" s="53" t="s">
        <v>80</v>
      </c>
      <c r="F651" s="99" t="s">
        <v>3857</v>
      </c>
      <c r="G651" s="99" t="s">
        <v>1274</v>
      </c>
      <c r="H651" s="99" t="s">
        <v>120</v>
      </c>
      <c r="I651" s="247">
        <v>28298</v>
      </c>
      <c r="J651" s="101">
        <v>1</v>
      </c>
      <c r="K651" s="101"/>
      <c r="L651" s="101">
        <v>1</v>
      </c>
      <c r="M651" s="101"/>
      <c r="N651" s="101"/>
      <c r="O651" s="101"/>
      <c r="P651" s="101"/>
      <c r="Q651" s="101"/>
      <c r="R651" s="101"/>
      <c r="S651" s="101"/>
      <c r="T651" s="101"/>
      <c r="U651" s="99" t="s">
        <v>222</v>
      </c>
      <c r="V651" s="99" t="s">
        <v>223</v>
      </c>
      <c r="W651" s="103" t="s">
        <v>279</v>
      </c>
      <c r="X651" s="99" t="s">
        <v>227</v>
      </c>
      <c r="Y651" s="99"/>
      <c r="Z651" s="99"/>
      <c r="AA651" s="53" t="s">
        <v>3863</v>
      </c>
      <c r="AB651" s="99"/>
      <c r="AC651" s="101"/>
      <c r="AD651" s="101"/>
      <c r="AE651" s="101"/>
      <c r="AF651" s="101"/>
      <c r="AG651" s="101"/>
      <c r="AH651" s="99"/>
      <c r="AI651" s="105"/>
    </row>
    <row r="652" spans="1:35" ht="31.5">
      <c r="A652" s="98"/>
      <c r="B652" s="99"/>
      <c r="C652" s="53" t="s">
        <v>3230</v>
      </c>
      <c r="D652" s="53" t="s">
        <v>79</v>
      </c>
      <c r="E652" s="53" t="s">
        <v>80</v>
      </c>
      <c r="F652" s="99" t="s">
        <v>2578</v>
      </c>
      <c r="G652" s="99" t="s">
        <v>519</v>
      </c>
      <c r="H652" s="99"/>
      <c r="I652" s="247">
        <v>21340</v>
      </c>
      <c r="J652" s="101">
        <v>1</v>
      </c>
      <c r="K652" s="101"/>
      <c r="L652" s="101">
        <v>1</v>
      </c>
      <c r="M652" s="101"/>
      <c r="N652" s="101"/>
      <c r="O652" s="101"/>
      <c r="P652" s="101"/>
      <c r="Q652" s="101"/>
      <c r="R652" s="101"/>
      <c r="S652" s="101"/>
      <c r="T652" s="101"/>
      <c r="U652" s="99" t="s">
        <v>222</v>
      </c>
      <c r="V652" s="99" t="s">
        <v>223</v>
      </c>
      <c r="W652" s="103" t="s">
        <v>279</v>
      </c>
      <c r="X652" s="99" t="s">
        <v>227</v>
      </c>
      <c r="Y652" s="99"/>
      <c r="Z652" s="99"/>
      <c r="AA652" s="53" t="s">
        <v>3864</v>
      </c>
      <c r="AB652" s="99" t="s">
        <v>2371</v>
      </c>
      <c r="AC652" s="101">
        <v>1</v>
      </c>
      <c r="AD652" s="101"/>
      <c r="AE652" s="101"/>
      <c r="AF652" s="101"/>
      <c r="AG652" s="101"/>
      <c r="AH652" s="99"/>
      <c r="AI652" s="105"/>
    </row>
    <row r="653" spans="1:35" ht="31.5">
      <c r="A653" s="98"/>
      <c r="B653" s="99"/>
      <c r="C653" s="53" t="s">
        <v>3230</v>
      </c>
      <c r="D653" s="53" t="s">
        <v>79</v>
      </c>
      <c r="E653" s="53" t="s">
        <v>80</v>
      </c>
      <c r="F653" s="99" t="s">
        <v>3723</v>
      </c>
      <c r="G653" s="99" t="s">
        <v>3858</v>
      </c>
      <c r="H653" s="99"/>
      <c r="I653" s="247">
        <v>23913</v>
      </c>
      <c r="J653" s="101">
        <v>1</v>
      </c>
      <c r="K653" s="101"/>
      <c r="L653" s="101">
        <v>1</v>
      </c>
      <c r="M653" s="101"/>
      <c r="N653" s="101"/>
      <c r="O653" s="101"/>
      <c r="P653" s="101"/>
      <c r="Q653" s="101"/>
      <c r="R653" s="101"/>
      <c r="S653" s="101"/>
      <c r="T653" s="101"/>
      <c r="U653" s="99" t="s">
        <v>222</v>
      </c>
      <c r="V653" s="99" t="s">
        <v>223</v>
      </c>
      <c r="W653" s="103" t="s">
        <v>279</v>
      </c>
      <c r="X653" s="99" t="s">
        <v>227</v>
      </c>
      <c r="Y653" s="99"/>
      <c r="Z653" s="99"/>
      <c r="AA653" s="53" t="s">
        <v>3864</v>
      </c>
      <c r="AB653" s="99"/>
      <c r="AC653" s="101"/>
      <c r="AD653" s="101"/>
      <c r="AE653" s="101"/>
      <c r="AF653" s="101"/>
      <c r="AG653" s="101"/>
      <c r="AH653" s="99"/>
      <c r="AI653" s="105"/>
    </row>
    <row r="654" spans="1:35" ht="31.5">
      <c r="A654" s="98"/>
      <c r="B654" s="99"/>
      <c r="C654" s="53" t="s">
        <v>3230</v>
      </c>
      <c r="D654" s="53" t="s">
        <v>79</v>
      </c>
      <c r="E654" s="53" t="s">
        <v>80</v>
      </c>
      <c r="F654" s="99" t="s">
        <v>3859</v>
      </c>
      <c r="G654" s="99" t="s">
        <v>922</v>
      </c>
      <c r="H654" s="99"/>
      <c r="I654" s="265">
        <v>24384</v>
      </c>
      <c r="J654" s="101">
        <v>1</v>
      </c>
      <c r="K654" s="101"/>
      <c r="L654" s="101">
        <v>1</v>
      </c>
      <c r="M654" s="101"/>
      <c r="N654" s="101"/>
      <c r="O654" s="101"/>
      <c r="P654" s="101"/>
      <c r="Q654" s="101"/>
      <c r="R654" s="101"/>
      <c r="S654" s="101"/>
      <c r="T654" s="101"/>
      <c r="U654" s="99" t="s">
        <v>222</v>
      </c>
      <c r="V654" s="99" t="s">
        <v>223</v>
      </c>
      <c r="W654" s="103" t="s">
        <v>279</v>
      </c>
      <c r="X654" s="99" t="s">
        <v>227</v>
      </c>
      <c r="Y654" s="99"/>
      <c r="Z654" s="99"/>
      <c r="AA654" s="53" t="s">
        <v>3864</v>
      </c>
      <c r="AB654" s="99"/>
      <c r="AC654" s="101"/>
      <c r="AD654" s="101"/>
      <c r="AE654" s="101"/>
      <c r="AF654" s="101"/>
      <c r="AG654" s="101"/>
      <c r="AH654" s="99"/>
      <c r="AI654" s="105"/>
    </row>
    <row r="655" spans="1:35" ht="31.5">
      <c r="A655" s="98"/>
      <c r="B655" s="99"/>
      <c r="C655" s="53" t="s">
        <v>3230</v>
      </c>
      <c r="D655" s="53" t="s">
        <v>79</v>
      </c>
      <c r="E655" s="53" t="s">
        <v>80</v>
      </c>
      <c r="F655" s="99" t="s">
        <v>3865</v>
      </c>
      <c r="G655" s="99" t="s">
        <v>402</v>
      </c>
      <c r="H655" s="99" t="s">
        <v>160</v>
      </c>
      <c r="I655" s="247">
        <v>27647</v>
      </c>
      <c r="J655" s="101"/>
      <c r="K655" s="101">
        <v>1</v>
      </c>
      <c r="L655" s="101">
        <v>1</v>
      </c>
      <c r="M655" s="101"/>
      <c r="N655" s="101"/>
      <c r="O655" s="101"/>
      <c r="P655" s="101"/>
      <c r="Q655" s="101"/>
      <c r="R655" s="101"/>
      <c r="S655" s="101"/>
      <c r="T655" s="101"/>
      <c r="U655" s="99" t="s">
        <v>226</v>
      </c>
      <c r="V655" s="99" t="s">
        <v>223</v>
      </c>
      <c r="W655" s="103" t="s">
        <v>279</v>
      </c>
      <c r="X655" s="99" t="s">
        <v>227</v>
      </c>
      <c r="Y655" s="99"/>
      <c r="Z655" s="99"/>
      <c r="AA655" s="53" t="s">
        <v>3867</v>
      </c>
      <c r="AB655" s="99" t="s">
        <v>2371</v>
      </c>
      <c r="AC655" s="101">
        <v>1</v>
      </c>
      <c r="AD655" s="101"/>
      <c r="AE655" s="101"/>
      <c r="AF655" s="101"/>
      <c r="AG655" s="101"/>
      <c r="AH655" s="99"/>
      <c r="AI655" s="105"/>
    </row>
    <row r="656" spans="1:35" ht="31.5">
      <c r="A656" s="98"/>
      <c r="B656" s="99"/>
      <c r="C656" s="53" t="s">
        <v>3230</v>
      </c>
      <c r="D656" s="53" t="s">
        <v>79</v>
      </c>
      <c r="E656" s="53" t="s">
        <v>80</v>
      </c>
      <c r="F656" s="99" t="s">
        <v>3866</v>
      </c>
      <c r="G656" s="99" t="s">
        <v>2181</v>
      </c>
      <c r="H656" s="99" t="s">
        <v>2303</v>
      </c>
      <c r="I656" s="247">
        <v>29604</v>
      </c>
      <c r="J656" s="101">
        <v>1</v>
      </c>
      <c r="K656" s="101"/>
      <c r="L656" s="101">
        <v>1</v>
      </c>
      <c r="M656" s="101"/>
      <c r="N656" s="101"/>
      <c r="O656" s="101"/>
      <c r="P656" s="101"/>
      <c r="Q656" s="101"/>
      <c r="R656" s="101"/>
      <c r="S656" s="101"/>
      <c r="T656" s="101"/>
      <c r="U656" s="99" t="s">
        <v>226</v>
      </c>
      <c r="V656" s="99" t="s">
        <v>223</v>
      </c>
      <c r="W656" s="103" t="s">
        <v>279</v>
      </c>
      <c r="X656" s="99" t="s">
        <v>227</v>
      </c>
      <c r="Y656" s="99"/>
      <c r="Z656" s="99"/>
      <c r="AA656" s="53" t="s">
        <v>3867</v>
      </c>
      <c r="AB656" s="99"/>
      <c r="AC656" s="101"/>
      <c r="AD656" s="101"/>
      <c r="AE656" s="101"/>
      <c r="AF656" s="101"/>
      <c r="AG656" s="101"/>
      <c r="AH656" s="99"/>
      <c r="AI656" s="105"/>
    </row>
    <row r="657" spans="1:35" ht="31.5">
      <c r="A657" s="98"/>
      <c r="B657" s="99"/>
      <c r="C657" s="53" t="s">
        <v>3230</v>
      </c>
      <c r="D657" s="53" t="s">
        <v>79</v>
      </c>
      <c r="E657" s="53" t="s">
        <v>80</v>
      </c>
      <c r="F657" s="99" t="s">
        <v>2134</v>
      </c>
      <c r="G657" s="99" t="s">
        <v>1174</v>
      </c>
      <c r="H657" s="99" t="s">
        <v>286</v>
      </c>
      <c r="I657" s="247"/>
      <c r="J657" s="101">
        <v>1</v>
      </c>
      <c r="K657" s="101"/>
      <c r="L657" s="101">
        <v>1</v>
      </c>
      <c r="M657" s="101"/>
      <c r="N657" s="101"/>
      <c r="O657" s="101"/>
      <c r="P657" s="101"/>
      <c r="Q657" s="101"/>
      <c r="R657" s="101"/>
      <c r="S657" s="101"/>
      <c r="T657" s="101"/>
      <c r="U657" s="99" t="s">
        <v>226</v>
      </c>
      <c r="V657" s="99" t="s">
        <v>223</v>
      </c>
      <c r="W657" s="103" t="s">
        <v>279</v>
      </c>
      <c r="X657" s="99" t="s">
        <v>227</v>
      </c>
      <c r="Y657" s="99"/>
      <c r="Z657" s="99"/>
      <c r="AA657" s="53" t="s">
        <v>3867</v>
      </c>
      <c r="AB657" s="99"/>
      <c r="AC657" s="101"/>
      <c r="AD657" s="101"/>
      <c r="AE657" s="101"/>
      <c r="AF657" s="101"/>
      <c r="AG657" s="101"/>
      <c r="AH657" s="99"/>
      <c r="AI657" s="105"/>
    </row>
    <row r="658" spans="1:35" ht="31.5">
      <c r="A658" s="98"/>
      <c r="B658" s="99"/>
      <c r="C658" s="53" t="s">
        <v>3230</v>
      </c>
      <c r="D658" s="53" t="s">
        <v>79</v>
      </c>
      <c r="E658" s="53" t="s">
        <v>80</v>
      </c>
      <c r="F658" s="99" t="s">
        <v>3868</v>
      </c>
      <c r="G658" s="99" t="s">
        <v>698</v>
      </c>
      <c r="H658" s="99" t="s">
        <v>409</v>
      </c>
      <c r="I658" s="247">
        <v>17771</v>
      </c>
      <c r="J658" s="101">
        <v>1</v>
      </c>
      <c r="K658" s="101"/>
      <c r="L658" s="101">
        <v>1</v>
      </c>
      <c r="M658" s="101"/>
      <c r="N658" s="101"/>
      <c r="O658" s="101"/>
      <c r="P658" s="101"/>
      <c r="Q658" s="101"/>
      <c r="R658" s="101"/>
      <c r="S658" s="101"/>
      <c r="T658" s="101"/>
      <c r="U658" s="99" t="s">
        <v>226</v>
      </c>
      <c r="V658" s="99" t="s">
        <v>223</v>
      </c>
      <c r="W658" s="103" t="s">
        <v>279</v>
      </c>
      <c r="X658" s="99" t="s">
        <v>227</v>
      </c>
      <c r="Y658" s="99"/>
      <c r="Z658" s="99"/>
      <c r="AA658" s="53" t="s">
        <v>3871</v>
      </c>
      <c r="AB658" s="99" t="s">
        <v>2371</v>
      </c>
      <c r="AC658" s="101">
        <v>1</v>
      </c>
      <c r="AD658" s="101"/>
      <c r="AE658" s="101"/>
      <c r="AF658" s="101"/>
      <c r="AG658" s="101"/>
      <c r="AH658" s="99"/>
      <c r="AI658" s="105"/>
    </row>
    <row r="659" spans="1:35" ht="31.5">
      <c r="A659" s="98"/>
      <c r="B659" s="99"/>
      <c r="C659" s="53" t="s">
        <v>3230</v>
      </c>
      <c r="D659" s="53" t="s">
        <v>79</v>
      </c>
      <c r="E659" s="53" t="s">
        <v>80</v>
      </c>
      <c r="F659" s="99" t="s">
        <v>3869</v>
      </c>
      <c r="G659" s="99" t="s">
        <v>642</v>
      </c>
      <c r="H659" s="99" t="s">
        <v>136</v>
      </c>
      <c r="I659" s="247">
        <v>31736</v>
      </c>
      <c r="J659" s="101"/>
      <c r="K659" s="101">
        <v>1</v>
      </c>
      <c r="L659" s="101">
        <v>1</v>
      </c>
      <c r="M659" s="101"/>
      <c r="N659" s="101"/>
      <c r="O659" s="101"/>
      <c r="P659" s="101"/>
      <c r="Q659" s="101"/>
      <c r="R659" s="101"/>
      <c r="S659" s="101"/>
      <c r="T659" s="101"/>
      <c r="U659" s="99" t="s">
        <v>226</v>
      </c>
      <c r="V659" s="99" t="s">
        <v>223</v>
      </c>
      <c r="W659" s="103" t="s">
        <v>279</v>
      </c>
      <c r="X659" s="99" t="s">
        <v>227</v>
      </c>
      <c r="Y659" s="99"/>
      <c r="Z659" s="99"/>
      <c r="AA659" s="53" t="s">
        <v>3871</v>
      </c>
      <c r="AB659" s="99"/>
      <c r="AC659" s="101"/>
      <c r="AD659" s="101"/>
      <c r="AE659" s="101"/>
      <c r="AF659" s="101"/>
      <c r="AG659" s="101"/>
      <c r="AH659" s="99"/>
      <c r="AI659" s="105"/>
    </row>
    <row r="660" spans="1:35" ht="31.5">
      <c r="A660" s="98"/>
      <c r="B660" s="99"/>
      <c r="C660" s="53" t="s">
        <v>3230</v>
      </c>
      <c r="D660" s="53" t="s">
        <v>79</v>
      </c>
      <c r="E660" s="53" t="s">
        <v>80</v>
      </c>
      <c r="F660" s="99" t="s">
        <v>3870</v>
      </c>
      <c r="G660" s="99" t="s">
        <v>345</v>
      </c>
      <c r="H660" s="99" t="s">
        <v>421</v>
      </c>
      <c r="I660" s="247">
        <v>29671</v>
      </c>
      <c r="J660" s="101">
        <v>1</v>
      </c>
      <c r="K660" s="101"/>
      <c r="L660" s="101">
        <v>1</v>
      </c>
      <c r="M660" s="101"/>
      <c r="N660" s="101"/>
      <c r="O660" s="101"/>
      <c r="P660" s="101"/>
      <c r="Q660" s="101"/>
      <c r="R660" s="101"/>
      <c r="S660" s="101"/>
      <c r="T660" s="101"/>
      <c r="U660" s="99" t="s">
        <v>226</v>
      </c>
      <c r="V660" s="99" t="s">
        <v>223</v>
      </c>
      <c r="W660" s="103" t="s">
        <v>279</v>
      </c>
      <c r="X660" s="99" t="s">
        <v>227</v>
      </c>
      <c r="Y660" s="99"/>
      <c r="Z660" s="99"/>
      <c r="AA660" s="53" t="s">
        <v>3871</v>
      </c>
      <c r="AB660" s="99"/>
      <c r="AC660" s="101"/>
      <c r="AD660" s="101"/>
      <c r="AE660" s="101"/>
      <c r="AF660" s="101"/>
      <c r="AG660" s="101"/>
      <c r="AH660" s="99"/>
      <c r="AI660" s="105"/>
    </row>
    <row r="661" spans="1:35" ht="31.5">
      <c r="A661" s="98"/>
      <c r="B661" s="99"/>
      <c r="C661" s="53" t="s">
        <v>3230</v>
      </c>
      <c r="D661" s="53" t="s">
        <v>79</v>
      </c>
      <c r="E661" s="53" t="s">
        <v>80</v>
      </c>
      <c r="F661" s="99" t="s">
        <v>2374</v>
      </c>
      <c r="G661" s="99" t="s">
        <v>3872</v>
      </c>
      <c r="H661" s="99" t="s">
        <v>126</v>
      </c>
      <c r="I661" s="247">
        <v>33159</v>
      </c>
      <c r="J661" s="101">
        <v>1</v>
      </c>
      <c r="K661" s="101"/>
      <c r="L661" s="101">
        <v>1</v>
      </c>
      <c r="M661" s="101"/>
      <c r="N661" s="101"/>
      <c r="O661" s="101"/>
      <c r="P661" s="101"/>
      <c r="Q661" s="101"/>
      <c r="R661" s="101"/>
      <c r="S661" s="101"/>
      <c r="T661" s="101"/>
      <c r="U661" s="99" t="s">
        <v>2404</v>
      </c>
      <c r="V661" s="99" t="s">
        <v>355</v>
      </c>
      <c r="W661" s="103" t="s">
        <v>298</v>
      </c>
      <c r="X661" s="99" t="s">
        <v>227</v>
      </c>
      <c r="Y661" s="99"/>
      <c r="Z661" s="99"/>
      <c r="AA661" s="53" t="s">
        <v>3877</v>
      </c>
      <c r="AB661" s="99" t="s">
        <v>2371</v>
      </c>
      <c r="AC661" s="101">
        <v>1</v>
      </c>
      <c r="AD661" s="101"/>
      <c r="AE661" s="101"/>
      <c r="AF661" s="101"/>
      <c r="AG661" s="101"/>
      <c r="AH661" s="99"/>
      <c r="AI661" s="105"/>
    </row>
    <row r="662" spans="1:35" ht="31.5">
      <c r="A662" s="98"/>
      <c r="B662" s="99"/>
      <c r="C662" s="53" t="s">
        <v>3230</v>
      </c>
      <c r="D662" s="53" t="s">
        <v>79</v>
      </c>
      <c r="E662" s="53" t="s">
        <v>80</v>
      </c>
      <c r="F662" s="99" t="s">
        <v>2374</v>
      </c>
      <c r="G662" s="99" t="s">
        <v>2375</v>
      </c>
      <c r="H662" s="99" t="s">
        <v>126</v>
      </c>
      <c r="I662" s="247">
        <v>32006</v>
      </c>
      <c r="J662" s="101">
        <v>1</v>
      </c>
      <c r="K662" s="101"/>
      <c r="L662" s="101">
        <v>1</v>
      </c>
      <c r="M662" s="101"/>
      <c r="N662" s="101"/>
      <c r="O662" s="101"/>
      <c r="P662" s="101"/>
      <c r="Q662" s="101"/>
      <c r="R662" s="101"/>
      <c r="S662" s="101"/>
      <c r="T662" s="101"/>
      <c r="U662" s="99" t="s">
        <v>2404</v>
      </c>
      <c r="V662" s="99" t="s">
        <v>355</v>
      </c>
      <c r="W662" s="103" t="s">
        <v>298</v>
      </c>
      <c r="X662" s="99" t="s">
        <v>227</v>
      </c>
      <c r="Y662" s="99"/>
      <c r="Z662" s="99"/>
      <c r="AA662" s="53" t="s">
        <v>3877</v>
      </c>
      <c r="AB662" s="99"/>
      <c r="AC662" s="101"/>
      <c r="AD662" s="101"/>
      <c r="AE662" s="101"/>
      <c r="AF662" s="101"/>
      <c r="AG662" s="101"/>
      <c r="AH662" s="99"/>
      <c r="AI662" s="105"/>
    </row>
    <row r="663" spans="1:35" ht="31.5">
      <c r="A663" s="98"/>
      <c r="B663" s="99"/>
      <c r="C663" s="53" t="s">
        <v>3230</v>
      </c>
      <c r="D663" s="53" t="s">
        <v>79</v>
      </c>
      <c r="E663" s="53" t="s">
        <v>80</v>
      </c>
      <c r="F663" s="99" t="s">
        <v>2377</v>
      </c>
      <c r="G663" s="99" t="s">
        <v>2378</v>
      </c>
      <c r="H663" s="99"/>
      <c r="I663" s="247">
        <v>32239</v>
      </c>
      <c r="J663" s="101">
        <v>1</v>
      </c>
      <c r="K663" s="101"/>
      <c r="L663" s="101">
        <v>1</v>
      </c>
      <c r="M663" s="101"/>
      <c r="N663" s="101"/>
      <c r="O663" s="101"/>
      <c r="P663" s="101"/>
      <c r="Q663" s="101"/>
      <c r="R663" s="101"/>
      <c r="S663" s="101"/>
      <c r="T663" s="101"/>
      <c r="U663" s="99" t="s">
        <v>2404</v>
      </c>
      <c r="V663" s="99" t="s">
        <v>355</v>
      </c>
      <c r="W663" s="103" t="s">
        <v>298</v>
      </c>
      <c r="X663" s="99" t="s">
        <v>227</v>
      </c>
      <c r="Y663" s="99"/>
      <c r="Z663" s="99"/>
      <c r="AA663" s="53" t="s">
        <v>3877</v>
      </c>
      <c r="AB663" s="99"/>
      <c r="AC663" s="101"/>
      <c r="AD663" s="101"/>
      <c r="AE663" s="101"/>
      <c r="AF663" s="101"/>
      <c r="AG663" s="101"/>
      <c r="AH663" s="99"/>
      <c r="AI663" s="105"/>
    </row>
    <row r="664" spans="1:35" ht="31.5">
      <c r="A664" s="98"/>
      <c r="B664" s="99"/>
      <c r="C664" s="53" t="s">
        <v>3230</v>
      </c>
      <c r="D664" s="53" t="s">
        <v>79</v>
      </c>
      <c r="E664" s="53" t="s">
        <v>80</v>
      </c>
      <c r="F664" s="99" t="s">
        <v>2379</v>
      </c>
      <c r="G664" s="99" t="s">
        <v>915</v>
      </c>
      <c r="H664" s="99" t="s">
        <v>126</v>
      </c>
      <c r="I664" s="247">
        <v>29291</v>
      </c>
      <c r="J664" s="101"/>
      <c r="K664" s="101">
        <v>1</v>
      </c>
      <c r="L664" s="101">
        <v>1</v>
      </c>
      <c r="M664" s="101"/>
      <c r="N664" s="101"/>
      <c r="O664" s="101"/>
      <c r="P664" s="101"/>
      <c r="Q664" s="101"/>
      <c r="R664" s="101"/>
      <c r="S664" s="101"/>
      <c r="T664" s="101"/>
      <c r="U664" s="99" t="s">
        <v>2404</v>
      </c>
      <c r="V664" s="99" t="s">
        <v>355</v>
      </c>
      <c r="W664" s="103" t="s">
        <v>298</v>
      </c>
      <c r="X664" s="99" t="s">
        <v>227</v>
      </c>
      <c r="Y664" s="99"/>
      <c r="Z664" s="99"/>
      <c r="AA664" s="53" t="s">
        <v>3878</v>
      </c>
      <c r="AB664" s="99" t="s">
        <v>2371</v>
      </c>
      <c r="AC664" s="101">
        <v>1</v>
      </c>
      <c r="AD664" s="101"/>
      <c r="AE664" s="101"/>
      <c r="AF664" s="101"/>
      <c r="AG664" s="101"/>
      <c r="AH664" s="99"/>
      <c r="AI664" s="105"/>
    </row>
    <row r="665" spans="1:35" ht="31.5">
      <c r="A665" s="98"/>
      <c r="B665" s="99"/>
      <c r="C665" s="53" t="s">
        <v>3230</v>
      </c>
      <c r="D665" s="53" t="s">
        <v>79</v>
      </c>
      <c r="E665" s="53" t="s">
        <v>80</v>
      </c>
      <c r="F665" s="99" t="s">
        <v>2379</v>
      </c>
      <c r="G665" s="99" t="s">
        <v>2380</v>
      </c>
      <c r="H665" s="99"/>
      <c r="I665" s="247">
        <v>37408</v>
      </c>
      <c r="J665" s="101">
        <v>1</v>
      </c>
      <c r="K665" s="101"/>
      <c r="L665" s="101">
        <v>1</v>
      </c>
      <c r="M665" s="101"/>
      <c r="N665" s="101"/>
      <c r="O665" s="101"/>
      <c r="P665" s="101"/>
      <c r="Q665" s="101"/>
      <c r="R665" s="101"/>
      <c r="S665" s="101"/>
      <c r="T665" s="101"/>
      <c r="U665" s="99" t="s">
        <v>2404</v>
      </c>
      <c r="V665" s="99" t="s">
        <v>355</v>
      </c>
      <c r="W665" s="103" t="s">
        <v>298</v>
      </c>
      <c r="X665" s="99" t="s">
        <v>227</v>
      </c>
      <c r="Y665" s="99"/>
      <c r="Z665" s="99"/>
      <c r="AA665" s="53" t="s">
        <v>3878</v>
      </c>
      <c r="AB665" s="99"/>
      <c r="AC665" s="101"/>
      <c r="AD665" s="101"/>
      <c r="AE665" s="101"/>
      <c r="AF665" s="101"/>
      <c r="AG665" s="101"/>
      <c r="AH665" s="99"/>
      <c r="AI665" s="105"/>
    </row>
    <row r="666" spans="1:35" ht="31.5">
      <c r="A666" s="98"/>
      <c r="B666" s="99"/>
      <c r="C666" s="53" t="s">
        <v>3230</v>
      </c>
      <c r="D666" s="53" t="s">
        <v>79</v>
      </c>
      <c r="E666" s="53" t="s">
        <v>80</v>
      </c>
      <c r="F666" s="99" t="s">
        <v>2379</v>
      </c>
      <c r="G666" s="99" t="s">
        <v>3873</v>
      </c>
      <c r="H666" s="99" t="s">
        <v>588</v>
      </c>
      <c r="I666" s="247"/>
      <c r="J666" s="101">
        <v>1</v>
      </c>
      <c r="K666" s="101"/>
      <c r="L666" s="101">
        <v>1</v>
      </c>
      <c r="M666" s="101"/>
      <c r="N666" s="101"/>
      <c r="O666" s="101"/>
      <c r="P666" s="101"/>
      <c r="Q666" s="101"/>
      <c r="R666" s="101"/>
      <c r="S666" s="101"/>
      <c r="T666" s="101"/>
      <c r="U666" s="99" t="s">
        <v>2404</v>
      </c>
      <c r="V666" s="99" t="s">
        <v>355</v>
      </c>
      <c r="W666" s="103" t="s">
        <v>298</v>
      </c>
      <c r="X666" s="99" t="s">
        <v>227</v>
      </c>
      <c r="Y666" s="99"/>
      <c r="Z666" s="99"/>
      <c r="AA666" s="53" t="s">
        <v>3878</v>
      </c>
      <c r="AB666" s="99"/>
      <c r="AC666" s="101"/>
      <c r="AD666" s="101"/>
      <c r="AE666" s="101"/>
      <c r="AF666" s="101"/>
      <c r="AG666" s="101"/>
      <c r="AH666" s="99"/>
      <c r="AI666" s="105"/>
    </row>
    <row r="667" spans="1:35" ht="31.5">
      <c r="A667" s="98"/>
      <c r="B667" s="99"/>
      <c r="C667" s="53" t="s">
        <v>3230</v>
      </c>
      <c r="D667" s="53" t="s">
        <v>79</v>
      </c>
      <c r="E667" s="53" t="s">
        <v>80</v>
      </c>
      <c r="F667" s="99" t="s">
        <v>3874</v>
      </c>
      <c r="G667" s="99" t="s">
        <v>2382</v>
      </c>
      <c r="H667" s="99" t="s">
        <v>113</v>
      </c>
      <c r="I667" s="247">
        <v>36274</v>
      </c>
      <c r="J667" s="101">
        <v>1</v>
      </c>
      <c r="K667" s="101"/>
      <c r="L667" s="101">
        <v>1</v>
      </c>
      <c r="M667" s="101"/>
      <c r="N667" s="101"/>
      <c r="O667" s="101"/>
      <c r="P667" s="101"/>
      <c r="Q667" s="101"/>
      <c r="R667" s="101"/>
      <c r="S667" s="101"/>
      <c r="T667" s="101"/>
      <c r="U667" s="99" t="s">
        <v>1136</v>
      </c>
      <c r="V667" s="99" t="s">
        <v>355</v>
      </c>
      <c r="W667" s="103" t="s">
        <v>298</v>
      </c>
      <c r="X667" s="99" t="s">
        <v>227</v>
      </c>
      <c r="Y667" s="99"/>
      <c r="Z667" s="99"/>
      <c r="AA667" s="53" t="s">
        <v>3879</v>
      </c>
      <c r="AB667" s="99" t="s">
        <v>2371</v>
      </c>
      <c r="AC667" s="101">
        <v>1</v>
      </c>
      <c r="AD667" s="101"/>
      <c r="AE667" s="101"/>
      <c r="AF667" s="101"/>
      <c r="AG667" s="101"/>
      <c r="AH667" s="99"/>
      <c r="AI667" s="105"/>
    </row>
    <row r="668" spans="1:35" ht="31.5">
      <c r="A668" s="98"/>
      <c r="B668" s="99"/>
      <c r="C668" s="53" t="s">
        <v>3230</v>
      </c>
      <c r="D668" s="53" t="s">
        <v>79</v>
      </c>
      <c r="E668" s="53" t="s">
        <v>80</v>
      </c>
      <c r="F668" s="99" t="s">
        <v>651</v>
      </c>
      <c r="G668" s="99" t="s">
        <v>1212</v>
      </c>
      <c r="H668" s="99"/>
      <c r="I668" s="247">
        <v>31527</v>
      </c>
      <c r="J668" s="101">
        <v>1</v>
      </c>
      <c r="K668" s="101"/>
      <c r="L668" s="101">
        <v>1</v>
      </c>
      <c r="M668" s="101"/>
      <c r="N668" s="101"/>
      <c r="O668" s="101"/>
      <c r="P668" s="101"/>
      <c r="Q668" s="101"/>
      <c r="R668" s="101"/>
      <c r="S668" s="101"/>
      <c r="T668" s="101"/>
      <c r="U668" s="99" t="s">
        <v>1136</v>
      </c>
      <c r="V668" s="99" t="s">
        <v>355</v>
      </c>
      <c r="W668" s="103" t="s">
        <v>298</v>
      </c>
      <c r="X668" s="99" t="s">
        <v>227</v>
      </c>
      <c r="Y668" s="99"/>
      <c r="Z668" s="99"/>
      <c r="AA668" s="53" t="s">
        <v>3879</v>
      </c>
      <c r="AB668" s="99"/>
      <c r="AC668" s="101"/>
      <c r="AD668" s="101"/>
      <c r="AE668" s="101"/>
      <c r="AF668" s="101"/>
      <c r="AG668" s="101"/>
      <c r="AH668" s="99"/>
      <c r="AI668" s="105"/>
    </row>
    <row r="669" spans="1:35" ht="31.5">
      <c r="A669" s="98"/>
      <c r="B669" s="99"/>
      <c r="C669" s="53" t="s">
        <v>3230</v>
      </c>
      <c r="D669" s="53" t="s">
        <v>79</v>
      </c>
      <c r="E669" s="53" t="s">
        <v>80</v>
      </c>
      <c r="F669" s="99" t="s">
        <v>2381</v>
      </c>
      <c r="G669" s="99" t="s">
        <v>2411</v>
      </c>
      <c r="H669" s="99"/>
      <c r="I669" s="247">
        <v>27672</v>
      </c>
      <c r="J669" s="101"/>
      <c r="K669" s="101">
        <v>1</v>
      </c>
      <c r="L669" s="101">
        <v>1</v>
      </c>
      <c r="M669" s="101"/>
      <c r="N669" s="101"/>
      <c r="O669" s="101"/>
      <c r="P669" s="101"/>
      <c r="Q669" s="101"/>
      <c r="R669" s="101"/>
      <c r="S669" s="101"/>
      <c r="T669" s="101"/>
      <c r="U669" s="99" t="s">
        <v>1136</v>
      </c>
      <c r="V669" s="99" t="s">
        <v>355</v>
      </c>
      <c r="W669" s="103" t="s">
        <v>298</v>
      </c>
      <c r="X669" s="99" t="s">
        <v>227</v>
      </c>
      <c r="Y669" s="99"/>
      <c r="Z669" s="99"/>
      <c r="AA669" s="53" t="s">
        <v>3879</v>
      </c>
      <c r="AB669" s="99"/>
      <c r="AC669" s="101"/>
      <c r="AD669" s="101"/>
      <c r="AE669" s="101"/>
      <c r="AF669" s="101"/>
      <c r="AG669" s="101"/>
      <c r="AH669" s="99"/>
      <c r="AI669" s="105"/>
    </row>
    <row r="670" spans="1:35" ht="31.5">
      <c r="A670" s="98"/>
      <c r="B670" s="99"/>
      <c r="C670" s="53" t="s">
        <v>3230</v>
      </c>
      <c r="D670" s="53" t="s">
        <v>79</v>
      </c>
      <c r="E670" s="53" t="s">
        <v>80</v>
      </c>
      <c r="F670" s="99" t="s">
        <v>332</v>
      </c>
      <c r="G670" s="99" t="s">
        <v>2385</v>
      </c>
      <c r="H670" s="99" t="s">
        <v>144</v>
      </c>
      <c r="I670" s="247">
        <v>34169</v>
      </c>
      <c r="J670" s="101">
        <v>1</v>
      </c>
      <c r="K670" s="101"/>
      <c r="L670" s="101">
        <v>1</v>
      </c>
      <c r="M670" s="101"/>
      <c r="N670" s="101"/>
      <c r="O670" s="101"/>
      <c r="P670" s="101"/>
      <c r="Q670" s="101"/>
      <c r="R670" s="101"/>
      <c r="S670" s="101"/>
      <c r="T670" s="101"/>
      <c r="U670" s="99" t="s">
        <v>354</v>
      </c>
      <c r="V670" s="99" t="s">
        <v>355</v>
      </c>
      <c r="W670" s="103" t="s">
        <v>298</v>
      </c>
      <c r="X670" s="99" t="s">
        <v>227</v>
      </c>
      <c r="Y670" s="99"/>
      <c r="Z670" s="99"/>
      <c r="AA670" s="53" t="s">
        <v>3880</v>
      </c>
      <c r="AB670" s="99" t="s">
        <v>2371</v>
      </c>
      <c r="AC670" s="101">
        <v>1</v>
      </c>
      <c r="AD670" s="101"/>
      <c r="AE670" s="101"/>
      <c r="AF670" s="101"/>
      <c r="AG670" s="101"/>
      <c r="AH670" s="99"/>
      <c r="AI670" s="105"/>
    </row>
    <row r="671" spans="1:35" ht="31.5">
      <c r="A671" s="98"/>
      <c r="B671" s="99"/>
      <c r="C671" s="53" t="s">
        <v>3230</v>
      </c>
      <c r="D671" s="53" t="s">
        <v>79</v>
      </c>
      <c r="E671" s="53" t="s">
        <v>80</v>
      </c>
      <c r="F671" s="99" t="s">
        <v>2388</v>
      </c>
      <c r="G671" s="99" t="s">
        <v>1178</v>
      </c>
      <c r="H671" s="99" t="s">
        <v>126</v>
      </c>
      <c r="I671" s="247">
        <v>30452</v>
      </c>
      <c r="J671" s="101">
        <v>1</v>
      </c>
      <c r="K671" s="101"/>
      <c r="L671" s="101">
        <v>1</v>
      </c>
      <c r="M671" s="101"/>
      <c r="N671" s="101"/>
      <c r="O671" s="101"/>
      <c r="P671" s="101"/>
      <c r="Q671" s="101"/>
      <c r="R671" s="101"/>
      <c r="S671" s="101"/>
      <c r="T671" s="101"/>
      <c r="U671" s="99" t="s">
        <v>354</v>
      </c>
      <c r="V671" s="99" t="s">
        <v>355</v>
      </c>
      <c r="W671" s="103" t="s">
        <v>298</v>
      </c>
      <c r="X671" s="99" t="s">
        <v>227</v>
      </c>
      <c r="Y671" s="99"/>
      <c r="Z671" s="99"/>
      <c r="AA671" s="53" t="s">
        <v>3880</v>
      </c>
      <c r="AB671" s="99"/>
      <c r="AC671" s="101"/>
      <c r="AD671" s="101"/>
      <c r="AE671" s="101"/>
      <c r="AF671" s="101"/>
      <c r="AG671" s="101"/>
      <c r="AH671" s="99"/>
      <c r="AI671" s="105"/>
    </row>
    <row r="672" spans="1:35" ht="31.5">
      <c r="A672" s="98"/>
      <c r="B672" s="99"/>
      <c r="C672" s="53" t="s">
        <v>3230</v>
      </c>
      <c r="D672" s="53" t="s">
        <v>79</v>
      </c>
      <c r="E672" s="53" t="s">
        <v>80</v>
      </c>
      <c r="F672" s="99" t="s">
        <v>2390</v>
      </c>
      <c r="G672" s="99" t="s">
        <v>795</v>
      </c>
      <c r="H672" s="99" t="s">
        <v>283</v>
      </c>
      <c r="I672" s="101"/>
      <c r="J672" s="101">
        <v>1</v>
      </c>
      <c r="K672" s="101"/>
      <c r="L672" s="101">
        <v>1</v>
      </c>
      <c r="M672" s="101"/>
      <c r="N672" s="101"/>
      <c r="O672" s="101"/>
      <c r="P672" s="101"/>
      <c r="Q672" s="101"/>
      <c r="R672" s="101"/>
      <c r="S672" s="101"/>
      <c r="T672" s="101"/>
      <c r="U672" s="99" t="s">
        <v>354</v>
      </c>
      <c r="V672" s="99" t="s">
        <v>355</v>
      </c>
      <c r="W672" s="103" t="s">
        <v>298</v>
      </c>
      <c r="X672" s="99" t="s">
        <v>227</v>
      </c>
      <c r="Y672" s="99"/>
      <c r="Z672" s="99"/>
      <c r="AA672" s="53" t="s">
        <v>3880</v>
      </c>
      <c r="AB672" s="99"/>
      <c r="AC672" s="101"/>
      <c r="AD672" s="101"/>
      <c r="AE672" s="101"/>
      <c r="AF672" s="101"/>
      <c r="AG672" s="101"/>
      <c r="AH672" s="99"/>
      <c r="AI672" s="105"/>
    </row>
    <row r="673" spans="1:35" ht="31.5">
      <c r="A673" s="98"/>
      <c r="B673" s="99"/>
      <c r="C673" s="53" t="s">
        <v>3230</v>
      </c>
      <c r="D673" s="53" t="s">
        <v>79</v>
      </c>
      <c r="E673" s="53" t="s">
        <v>80</v>
      </c>
      <c r="F673" s="99" t="s">
        <v>2392</v>
      </c>
      <c r="G673" s="99" t="s">
        <v>820</v>
      </c>
      <c r="H673" s="99" t="s">
        <v>421</v>
      </c>
      <c r="I673" s="247">
        <v>28952</v>
      </c>
      <c r="J673" s="101">
        <v>1</v>
      </c>
      <c r="K673" s="101"/>
      <c r="L673" s="101">
        <v>1</v>
      </c>
      <c r="M673" s="101"/>
      <c r="N673" s="101"/>
      <c r="O673" s="101"/>
      <c r="P673" s="101"/>
      <c r="Q673" s="101"/>
      <c r="R673" s="101"/>
      <c r="S673" s="101"/>
      <c r="T673" s="101"/>
      <c r="U673" s="99" t="s">
        <v>354</v>
      </c>
      <c r="V673" s="99" t="s">
        <v>355</v>
      </c>
      <c r="W673" s="103" t="s">
        <v>298</v>
      </c>
      <c r="X673" s="99" t="s">
        <v>227</v>
      </c>
      <c r="Y673" s="99"/>
      <c r="Z673" s="99"/>
      <c r="AA673" s="53" t="s">
        <v>3882</v>
      </c>
      <c r="AB673" s="99" t="s">
        <v>2371</v>
      </c>
      <c r="AC673" s="101">
        <v>1</v>
      </c>
      <c r="AD673" s="101"/>
      <c r="AE673" s="101"/>
      <c r="AF673" s="101"/>
      <c r="AG673" s="101"/>
      <c r="AH673" s="99"/>
      <c r="AI673" s="105"/>
    </row>
    <row r="674" spans="1:35" ht="31.5">
      <c r="A674" s="98"/>
      <c r="B674" s="99"/>
      <c r="C674" s="53" t="s">
        <v>3230</v>
      </c>
      <c r="D674" s="53" t="s">
        <v>79</v>
      </c>
      <c r="E674" s="53" t="s">
        <v>80</v>
      </c>
      <c r="F674" s="99" t="s">
        <v>2393</v>
      </c>
      <c r="G674" s="99" t="s">
        <v>2085</v>
      </c>
      <c r="H674" s="99" t="s">
        <v>113</v>
      </c>
      <c r="I674" s="247">
        <v>29119</v>
      </c>
      <c r="J674" s="101">
        <v>1</v>
      </c>
      <c r="K674" s="101"/>
      <c r="L674" s="101">
        <v>1</v>
      </c>
      <c r="M674" s="101"/>
      <c r="N674" s="101"/>
      <c r="O674" s="101"/>
      <c r="P674" s="101"/>
      <c r="Q674" s="101"/>
      <c r="R674" s="101"/>
      <c r="S674" s="101"/>
      <c r="T674" s="101"/>
      <c r="U674" s="99" t="s">
        <v>354</v>
      </c>
      <c r="V674" s="99" t="s">
        <v>355</v>
      </c>
      <c r="W674" s="103" t="s">
        <v>298</v>
      </c>
      <c r="X674" s="99" t="s">
        <v>227</v>
      </c>
      <c r="Y674" s="99"/>
      <c r="Z674" s="99"/>
      <c r="AA674" s="53" t="s">
        <v>3882</v>
      </c>
      <c r="AB674" s="99"/>
      <c r="AC674" s="101"/>
      <c r="AD674" s="101"/>
      <c r="AE674" s="101"/>
      <c r="AF674" s="101"/>
      <c r="AG674" s="101"/>
      <c r="AH674" s="99"/>
      <c r="AI674" s="105"/>
    </row>
    <row r="675" spans="1:35" ht="31.5">
      <c r="A675" s="98"/>
      <c r="B675" s="99"/>
      <c r="C675" s="53" t="s">
        <v>3230</v>
      </c>
      <c r="D675" s="53" t="s">
        <v>79</v>
      </c>
      <c r="E675" s="53" t="s">
        <v>80</v>
      </c>
      <c r="F675" s="99" t="s">
        <v>2395</v>
      </c>
      <c r="G675" s="99" t="s">
        <v>2396</v>
      </c>
      <c r="H675" s="99" t="s">
        <v>120</v>
      </c>
      <c r="I675" s="247">
        <v>23092</v>
      </c>
      <c r="J675" s="101"/>
      <c r="K675" s="101">
        <v>1</v>
      </c>
      <c r="L675" s="101">
        <v>1</v>
      </c>
      <c r="M675" s="101"/>
      <c r="N675" s="101"/>
      <c r="O675" s="101"/>
      <c r="P675" s="101"/>
      <c r="Q675" s="101"/>
      <c r="R675" s="101"/>
      <c r="S675" s="101"/>
      <c r="T675" s="101"/>
      <c r="U675" s="99" t="s">
        <v>3876</v>
      </c>
      <c r="V675" s="99" t="s">
        <v>355</v>
      </c>
      <c r="W675" s="103" t="s">
        <v>298</v>
      </c>
      <c r="X675" s="99" t="s">
        <v>227</v>
      </c>
      <c r="Y675" s="99"/>
      <c r="Z675" s="99"/>
      <c r="AA675" s="53" t="s">
        <v>3882</v>
      </c>
      <c r="AB675" s="99"/>
      <c r="AC675" s="101"/>
      <c r="AD675" s="101"/>
      <c r="AE675" s="101"/>
      <c r="AF675" s="101"/>
      <c r="AG675" s="101"/>
      <c r="AH675" s="99"/>
      <c r="AI675" s="105"/>
    </row>
    <row r="676" spans="1:35" ht="31.5">
      <c r="A676" s="98"/>
      <c r="B676" s="99"/>
      <c r="C676" s="53" t="s">
        <v>3230</v>
      </c>
      <c r="D676" s="53" t="s">
        <v>79</v>
      </c>
      <c r="E676" s="53" t="s">
        <v>80</v>
      </c>
      <c r="F676" s="99" t="s">
        <v>2398</v>
      </c>
      <c r="G676" s="99" t="s">
        <v>2399</v>
      </c>
      <c r="H676" s="99" t="s">
        <v>144</v>
      </c>
      <c r="I676" s="265">
        <v>31913</v>
      </c>
      <c r="J676" s="101">
        <v>1</v>
      </c>
      <c r="K676" s="101"/>
      <c r="L676" s="101">
        <v>1</v>
      </c>
      <c r="M676" s="101"/>
      <c r="N676" s="101"/>
      <c r="O676" s="101"/>
      <c r="P676" s="101"/>
      <c r="Q676" s="101"/>
      <c r="R676" s="101"/>
      <c r="S676" s="101"/>
      <c r="T676" s="101"/>
      <c r="U676" s="99" t="s">
        <v>3876</v>
      </c>
      <c r="V676" s="99" t="s">
        <v>355</v>
      </c>
      <c r="W676" s="103" t="s">
        <v>298</v>
      </c>
      <c r="X676" s="99" t="s">
        <v>227</v>
      </c>
      <c r="Y676" s="99"/>
      <c r="Z676" s="99"/>
      <c r="AA676" s="53" t="s">
        <v>3881</v>
      </c>
      <c r="AB676" s="99" t="s">
        <v>2371</v>
      </c>
      <c r="AC676" s="101">
        <v>1</v>
      </c>
      <c r="AD676" s="101"/>
      <c r="AE676" s="101"/>
      <c r="AF676" s="101"/>
      <c r="AG676" s="101"/>
      <c r="AH676" s="99"/>
      <c r="AI676" s="105"/>
    </row>
    <row r="677" spans="1:35" ht="31.5">
      <c r="A677" s="98"/>
      <c r="B677" s="99"/>
      <c r="C677" s="53" t="s">
        <v>3230</v>
      </c>
      <c r="D677" s="53" t="s">
        <v>79</v>
      </c>
      <c r="E677" s="53" t="s">
        <v>80</v>
      </c>
      <c r="F677" s="99" t="s">
        <v>2401</v>
      </c>
      <c r="G677" s="99" t="s">
        <v>1591</v>
      </c>
      <c r="H677" s="99" t="s">
        <v>126</v>
      </c>
      <c r="I677" s="247">
        <v>17446</v>
      </c>
      <c r="J677" s="101">
        <v>1</v>
      </c>
      <c r="K677" s="101"/>
      <c r="L677" s="101">
        <v>1</v>
      </c>
      <c r="M677" s="101"/>
      <c r="N677" s="101"/>
      <c r="O677" s="101"/>
      <c r="P677" s="101"/>
      <c r="Q677" s="101"/>
      <c r="R677" s="101"/>
      <c r="S677" s="101"/>
      <c r="T677" s="101"/>
      <c r="U677" s="99" t="s">
        <v>354</v>
      </c>
      <c r="V677" s="99" t="s">
        <v>355</v>
      </c>
      <c r="W677" s="103" t="s">
        <v>298</v>
      </c>
      <c r="X677" s="99" t="s">
        <v>227</v>
      </c>
      <c r="Y677" s="99"/>
      <c r="Z677" s="99"/>
      <c r="AA677" s="53" t="s">
        <v>3881</v>
      </c>
      <c r="AB677" s="99"/>
      <c r="AC677" s="101"/>
      <c r="AD677" s="101"/>
      <c r="AE677" s="101"/>
      <c r="AF677" s="101"/>
      <c r="AG677" s="101"/>
      <c r="AH677" s="99"/>
      <c r="AI677" s="105"/>
    </row>
    <row r="678" spans="1:35" ht="31.5">
      <c r="A678" s="98"/>
      <c r="B678" s="99"/>
      <c r="C678" s="53" t="s">
        <v>3230</v>
      </c>
      <c r="D678" s="53" t="s">
        <v>79</v>
      </c>
      <c r="E678" s="53" t="s">
        <v>80</v>
      </c>
      <c r="F678" s="99" t="s">
        <v>174</v>
      </c>
      <c r="G678" s="99" t="s">
        <v>3875</v>
      </c>
      <c r="H678" s="99" t="s">
        <v>588</v>
      </c>
      <c r="I678" s="247">
        <v>28859</v>
      </c>
      <c r="J678" s="101">
        <v>1</v>
      </c>
      <c r="K678" s="101"/>
      <c r="L678" s="101">
        <v>1</v>
      </c>
      <c r="M678" s="101"/>
      <c r="N678" s="101"/>
      <c r="O678" s="101"/>
      <c r="P678" s="101"/>
      <c r="Q678" s="101"/>
      <c r="R678" s="101"/>
      <c r="S678" s="101"/>
      <c r="T678" s="101"/>
      <c r="U678" s="99" t="s">
        <v>354</v>
      </c>
      <c r="V678" s="99" t="s">
        <v>355</v>
      </c>
      <c r="W678" s="103" t="s">
        <v>298</v>
      </c>
      <c r="X678" s="99" t="s">
        <v>227</v>
      </c>
      <c r="Y678" s="99"/>
      <c r="Z678" s="99"/>
      <c r="AA678" s="53" t="s">
        <v>3881</v>
      </c>
      <c r="AB678" s="99"/>
      <c r="AC678" s="101"/>
      <c r="AD678" s="101"/>
      <c r="AE678" s="101"/>
      <c r="AF678" s="101"/>
      <c r="AG678" s="101"/>
      <c r="AH678" s="99"/>
      <c r="AI678" s="105"/>
    </row>
    <row r="679" spans="1:35" ht="31.5">
      <c r="A679" s="98"/>
      <c r="B679" s="99"/>
      <c r="C679" s="53" t="s">
        <v>3230</v>
      </c>
      <c r="D679" s="53" t="s">
        <v>79</v>
      </c>
      <c r="E679" s="53" t="s">
        <v>80</v>
      </c>
      <c r="F679" s="99" t="s">
        <v>3070</v>
      </c>
      <c r="G679" s="99" t="s">
        <v>1347</v>
      </c>
      <c r="H679" s="99"/>
      <c r="I679" s="247">
        <v>27835</v>
      </c>
      <c r="J679" s="101">
        <v>1</v>
      </c>
      <c r="K679" s="101"/>
      <c r="L679" s="101">
        <v>1</v>
      </c>
      <c r="M679" s="101"/>
      <c r="N679" s="101"/>
      <c r="O679" s="101"/>
      <c r="P679" s="101"/>
      <c r="Q679" s="101"/>
      <c r="R679" s="101"/>
      <c r="S679" s="101"/>
      <c r="T679" s="101"/>
      <c r="U679" s="99" t="s">
        <v>3889</v>
      </c>
      <c r="V679" s="99" t="s">
        <v>293</v>
      </c>
      <c r="W679" s="103" t="s">
        <v>298</v>
      </c>
      <c r="X679" s="99" t="s">
        <v>227</v>
      </c>
      <c r="Y679" s="99"/>
      <c r="Z679" s="99"/>
      <c r="AA679" s="99" t="s">
        <v>3890</v>
      </c>
      <c r="AB679" s="99" t="s">
        <v>2371</v>
      </c>
      <c r="AC679" s="101">
        <v>1</v>
      </c>
      <c r="AD679" s="101"/>
      <c r="AE679" s="101"/>
      <c r="AF679" s="101"/>
      <c r="AG679" s="101"/>
      <c r="AH679" s="99"/>
      <c r="AI679" s="105"/>
    </row>
    <row r="680" spans="1:35" ht="31.5">
      <c r="A680" s="98"/>
      <c r="B680" s="99"/>
      <c r="C680" s="53" t="s">
        <v>3230</v>
      </c>
      <c r="D680" s="53" t="s">
        <v>79</v>
      </c>
      <c r="E680" s="53" t="s">
        <v>80</v>
      </c>
      <c r="F680" s="99" t="s">
        <v>3070</v>
      </c>
      <c r="G680" s="99" t="s">
        <v>2181</v>
      </c>
      <c r="H680" s="99"/>
      <c r="I680" s="247">
        <v>21425</v>
      </c>
      <c r="J680" s="101">
        <v>1</v>
      </c>
      <c r="K680" s="101"/>
      <c r="L680" s="101">
        <v>1</v>
      </c>
      <c r="M680" s="101"/>
      <c r="N680" s="101"/>
      <c r="O680" s="101"/>
      <c r="P680" s="101"/>
      <c r="Q680" s="101"/>
      <c r="R680" s="101"/>
      <c r="S680" s="101"/>
      <c r="T680" s="101"/>
      <c r="U680" s="99" t="s">
        <v>3889</v>
      </c>
      <c r="V680" s="99" t="s">
        <v>293</v>
      </c>
      <c r="W680" s="103" t="s">
        <v>298</v>
      </c>
      <c r="X680" s="99" t="s">
        <v>227</v>
      </c>
      <c r="Y680" s="99"/>
      <c r="Z680" s="99"/>
      <c r="AA680" s="99" t="s">
        <v>3890</v>
      </c>
      <c r="AB680" s="99"/>
      <c r="AC680" s="101"/>
      <c r="AD680" s="101"/>
      <c r="AE680" s="101"/>
      <c r="AF680" s="101"/>
      <c r="AG680" s="101"/>
      <c r="AH680" s="99"/>
      <c r="AI680" s="105"/>
    </row>
    <row r="681" spans="1:35" ht="31.5">
      <c r="A681" s="98"/>
      <c r="B681" s="99"/>
      <c r="C681" s="53" t="s">
        <v>3230</v>
      </c>
      <c r="D681" s="53" t="s">
        <v>79</v>
      </c>
      <c r="E681" s="53" t="s">
        <v>80</v>
      </c>
      <c r="F681" s="99" t="s">
        <v>3070</v>
      </c>
      <c r="G681" s="99" t="s">
        <v>154</v>
      </c>
      <c r="H681" s="99"/>
      <c r="I681" s="247">
        <v>30778</v>
      </c>
      <c r="J681" s="101">
        <v>1</v>
      </c>
      <c r="K681" s="101"/>
      <c r="L681" s="101">
        <v>1</v>
      </c>
      <c r="M681" s="101"/>
      <c r="N681" s="101"/>
      <c r="O681" s="101"/>
      <c r="P681" s="101"/>
      <c r="Q681" s="101"/>
      <c r="R681" s="101"/>
      <c r="S681" s="101"/>
      <c r="T681" s="101"/>
      <c r="U681" s="99" t="s">
        <v>3889</v>
      </c>
      <c r="V681" s="99" t="s">
        <v>293</v>
      </c>
      <c r="W681" s="103" t="s">
        <v>298</v>
      </c>
      <c r="X681" s="99" t="s">
        <v>227</v>
      </c>
      <c r="Y681" s="99"/>
      <c r="Z681" s="99"/>
      <c r="AA681" s="99" t="s">
        <v>3890</v>
      </c>
      <c r="AB681" s="99"/>
      <c r="AC681" s="101"/>
      <c r="AD681" s="101"/>
      <c r="AE681" s="101"/>
      <c r="AF681" s="101"/>
      <c r="AG681" s="101"/>
      <c r="AH681" s="99"/>
      <c r="AI681" s="105"/>
    </row>
    <row r="682" spans="1:35" ht="31.5">
      <c r="A682" s="98"/>
      <c r="B682" s="99"/>
      <c r="C682" s="53" t="s">
        <v>3230</v>
      </c>
      <c r="D682" s="53" t="s">
        <v>79</v>
      </c>
      <c r="E682" s="53" t="s">
        <v>80</v>
      </c>
      <c r="F682" s="99" t="s">
        <v>1268</v>
      </c>
      <c r="G682" s="99" t="s">
        <v>116</v>
      </c>
      <c r="H682" s="99" t="s">
        <v>286</v>
      </c>
      <c r="I682" s="247">
        <v>25304</v>
      </c>
      <c r="J682" s="101">
        <v>1</v>
      </c>
      <c r="K682" s="101"/>
      <c r="L682" s="101">
        <v>1</v>
      </c>
      <c r="M682" s="101"/>
      <c r="N682" s="101"/>
      <c r="O682" s="101"/>
      <c r="P682" s="101"/>
      <c r="Q682" s="101"/>
      <c r="R682" s="101"/>
      <c r="S682" s="101"/>
      <c r="T682" s="101"/>
      <c r="U682" s="99" t="s">
        <v>294</v>
      </c>
      <c r="V682" s="99" t="s">
        <v>293</v>
      </c>
      <c r="W682" s="103" t="s">
        <v>298</v>
      </c>
      <c r="X682" s="99" t="s">
        <v>227</v>
      </c>
      <c r="Y682" s="99"/>
      <c r="Z682" s="99"/>
      <c r="AA682" s="99" t="s">
        <v>3891</v>
      </c>
      <c r="AB682" s="99" t="s">
        <v>2371</v>
      </c>
      <c r="AC682" s="101">
        <v>1</v>
      </c>
      <c r="AD682" s="101"/>
      <c r="AE682" s="101"/>
      <c r="AF682" s="101"/>
      <c r="AG682" s="101"/>
      <c r="AH682" s="99"/>
      <c r="AI682" s="105"/>
    </row>
    <row r="683" spans="1:35" ht="31.5">
      <c r="A683" s="98"/>
      <c r="B683" s="99"/>
      <c r="C683" s="53" t="s">
        <v>3230</v>
      </c>
      <c r="D683" s="53" t="s">
        <v>79</v>
      </c>
      <c r="E683" s="53" t="s">
        <v>80</v>
      </c>
      <c r="F683" s="99" t="s">
        <v>908</v>
      </c>
      <c r="G683" s="99" t="s">
        <v>3883</v>
      </c>
      <c r="H683" s="99" t="s">
        <v>126</v>
      </c>
      <c r="I683" s="247">
        <v>26360</v>
      </c>
      <c r="J683" s="101">
        <v>1</v>
      </c>
      <c r="K683" s="101"/>
      <c r="L683" s="101">
        <v>1</v>
      </c>
      <c r="M683" s="101"/>
      <c r="N683" s="101"/>
      <c r="O683" s="101"/>
      <c r="P683" s="101"/>
      <c r="Q683" s="101"/>
      <c r="R683" s="101"/>
      <c r="S683" s="101"/>
      <c r="T683" s="101"/>
      <c r="U683" s="99" t="s">
        <v>294</v>
      </c>
      <c r="V683" s="99" t="s">
        <v>293</v>
      </c>
      <c r="W683" s="103" t="s">
        <v>298</v>
      </c>
      <c r="X683" s="99" t="s">
        <v>227</v>
      </c>
      <c r="Y683" s="99"/>
      <c r="Z683" s="99"/>
      <c r="AA683" s="99" t="s">
        <v>3891</v>
      </c>
      <c r="AB683" s="99"/>
      <c r="AC683" s="101"/>
      <c r="AD683" s="101"/>
      <c r="AE683" s="101"/>
      <c r="AF683" s="101"/>
      <c r="AG683" s="101"/>
      <c r="AH683" s="99"/>
      <c r="AI683" s="105"/>
    </row>
    <row r="684" spans="1:35" ht="31.5">
      <c r="A684" s="98"/>
      <c r="B684" s="99"/>
      <c r="C684" s="53" t="s">
        <v>3230</v>
      </c>
      <c r="D684" s="53" t="s">
        <v>79</v>
      </c>
      <c r="E684" s="53" t="s">
        <v>80</v>
      </c>
      <c r="F684" s="99" t="s">
        <v>908</v>
      </c>
      <c r="G684" s="99" t="s">
        <v>2640</v>
      </c>
      <c r="H684" s="99" t="s">
        <v>126</v>
      </c>
      <c r="I684" s="247">
        <v>21932</v>
      </c>
      <c r="J684" s="101">
        <v>1</v>
      </c>
      <c r="K684" s="101"/>
      <c r="L684" s="101">
        <v>1</v>
      </c>
      <c r="M684" s="101"/>
      <c r="N684" s="101"/>
      <c r="O684" s="101"/>
      <c r="P684" s="101"/>
      <c r="Q684" s="101"/>
      <c r="R684" s="101"/>
      <c r="S684" s="101"/>
      <c r="T684" s="101"/>
      <c r="U684" s="99" t="s">
        <v>294</v>
      </c>
      <c r="V684" s="99" t="s">
        <v>293</v>
      </c>
      <c r="W684" s="103" t="s">
        <v>298</v>
      </c>
      <c r="X684" s="99" t="s">
        <v>227</v>
      </c>
      <c r="Y684" s="99"/>
      <c r="Z684" s="99"/>
      <c r="AA684" s="99" t="s">
        <v>3891</v>
      </c>
      <c r="AB684" s="99"/>
      <c r="AC684" s="101"/>
      <c r="AD684" s="101"/>
      <c r="AE684" s="101"/>
      <c r="AF684" s="101"/>
      <c r="AG684" s="101"/>
      <c r="AH684" s="99"/>
      <c r="AI684" s="105"/>
    </row>
    <row r="685" spans="1:35" ht="31.5">
      <c r="A685" s="98"/>
      <c r="B685" s="99"/>
      <c r="C685" s="53" t="s">
        <v>3230</v>
      </c>
      <c r="D685" s="53" t="s">
        <v>79</v>
      </c>
      <c r="E685" s="53" t="s">
        <v>80</v>
      </c>
      <c r="F685" s="99" t="s">
        <v>3125</v>
      </c>
      <c r="G685" s="99" t="s">
        <v>1085</v>
      </c>
      <c r="H685" s="99"/>
      <c r="I685" s="247">
        <v>21199</v>
      </c>
      <c r="J685" s="101">
        <v>1</v>
      </c>
      <c r="K685" s="101"/>
      <c r="L685" s="101">
        <v>1</v>
      </c>
      <c r="M685" s="101"/>
      <c r="N685" s="101"/>
      <c r="O685" s="101"/>
      <c r="P685" s="101"/>
      <c r="Q685" s="101"/>
      <c r="R685" s="101"/>
      <c r="S685" s="101"/>
      <c r="T685" s="101"/>
      <c r="U685" s="99" t="s">
        <v>1898</v>
      </c>
      <c r="V685" s="99" t="s">
        <v>293</v>
      </c>
      <c r="W685" s="103" t="s">
        <v>298</v>
      </c>
      <c r="X685" s="99" t="s">
        <v>227</v>
      </c>
      <c r="Y685" s="99"/>
      <c r="Z685" s="99"/>
      <c r="AA685" s="99" t="s">
        <v>3892</v>
      </c>
      <c r="AB685" s="99" t="s">
        <v>2371</v>
      </c>
      <c r="AC685" s="101">
        <v>1</v>
      </c>
      <c r="AD685" s="101"/>
      <c r="AE685" s="101"/>
      <c r="AF685" s="101"/>
      <c r="AG685" s="101"/>
      <c r="AH685" s="99"/>
      <c r="AI685" s="105"/>
    </row>
    <row r="686" spans="1:35" ht="31.5">
      <c r="A686" s="98"/>
      <c r="B686" s="99"/>
      <c r="C686" s="53" t="s">
        <v>3230</v>
      </c>
      <c r="D686" s="53" t="s">
        <v>79</v>
      </c>
      <c r="E686" s="53" t="s">
        <v>80</v>
      </c>
      <c r="F686" s="99" t="s">
        <v>3120</v>
      </c>
      <c r="G686" s="99" t="s">
        <v>3884</v>
      </c>
      <c r="H686" s="99" t="s">
        <v>409</v>
      </c>
      <c r="I686" s="247">
        <v>30624</v>
      </c>
      <c r="J686" s="101">
        <v>1</v>
      </c>
      <c r="K686" s="101"/>
      <c r="L686" s="101">
        <v>1</v>
      </c>
      <c r="M686" s="101"/>
      <c r="N686" s="101"/>
      <c r="O686" s="101"/>
      <c r="P686" s="101"/>
      <c r="Q686" s="101"/>
      <c r="R686" s="101"/>
      <c r="S686" s="101"/>
      <c r="T686" s="101"/>
      <c r="U686" s="99" t="s">
        <v>1898</v>
      </c>
      <c r="V686" s="99" t="s">
        <v>293</v>
      </c>
      <c r="W686" s="103" t="s">
        <v>298</v>
      </c>
      <c r="X686" s="99" t="s">
        <v>227</v>
      </c>
      <c r="Y686" s="99"/>
      <c r="Z686" s="99"/>
      <c r="AA686" s="99" t="s">
        <v>3892</v>
      </c>
      <c r="AB686" s="99"/>
      <c r="AC686" s="101"/>
      <c r="AD686" s="101"/>
      <c r="AE686" s="101"/>
      <c r="AF686" s="101"/>
      <c r="AG686" s="101"/>
      <c r="AH686" s="99"/>
      <c r="AI686" s="105"/>
    </row>
    <row r="687" spans="1:35" ht="31.5">
      <c r="A687" s="98"/>
      <c r="B687" s="99"/>
      <c r="C687" s="53" t="s">
        <v>3230</v>
      </c>
      <c r="D687" s="53" t="s">
        <v>79</v>
      </c>
      <c r="E687" s="53" t="s">
        <v>80</v>
      </c>
      <c r="F687" s="99" t="s">
        <v>3885</v>
      </c>
      <c r="G687" s="99" t="s">
        <v>689</v>
      </c>
      <c r="H687" s="99" t="s">
        <v>115</v>
      </c>
      <c r="I687" s="247">
        <v>30278</v>
      </c>
      <c r="J687" s="101">
        <v>1</v>
      </c>
      <c r="K687" s="101"/>
      <c r="L687" s="101">
        <v>1</v>
      </c>
      <c r="M687" s="101"/>
      <c r="N687" s="101"/>
      <c r="O687" s="101"/>
      <c r="P687" s="101"/>
      <c r="Q687" s="101"/>
      <c r="R687" s="101"/>
      <c r="S687" s="101"/>
      <c r="T687" s="101"/>
      <c r="U687" s="99" t="s">
        <v>1898</v>
      </c>
      <c r="V687" s="99" t="s">
        <v>293</v>
      </c>
      <c r="W687" s="103" t="s">
        <v>298</v>
      </c>
      <c r="X687" s="99" t="s">
        <v>227</v>
      </c>
      <c r="Y687" s="99"/>
      <c r="Z687" s="99"/>
      <c r="AA687" s="99" t="s">
        <v>3892</v>
      </c>
      <c r="AB687" s="99"/>
      <c r="AC687" s="101"/>
      <c r="AD687" s="101"/>
      <c r="AE687" s="101"/>
      <c r="AF687" s="101"/>
      <c r="AG687" s="101"/>
      <c r="AH687" s="99"/>
      <c r="AI687" s="105"/>
    </row>
    <row r="688" spans="1:35" ht="31.5">
      <c r="A688" s="98"/>
      <c r="B688" s="99"/>
      <c r="C688" s="53" t="s">
        <v>3230</v>
      </c>
      <c r="D688" s="53" t="s">
        <v>79</v>
      </c>
      <c r="E688" s="53" t="s">
        <v>80</v>
      </c>
      <c r="F688" s="99" t="s">
        <v>3128</v>
      </c>
      <c r="G688" s="99" t="s">
        <v>3886</v>
      </c>
      <c r="H688" s="99" t="s">
        <v>1040</v>
      </c>
      <c r="I688" s="247">
        <v>21861</v>
      </c>
      <c r="J688" s="101">
        <v>1</v>
      </c>
      <c r="K688" s="101"/>
      <c r="L688" s="101">
        <v>1</v>
      </c>
      <c r="M688" s="101"/>
      <c r="N688" s="101"/>
      <c r="O688" s="101"/>
      <c r="P688" s="101"/>
      <c r="Q688" s="101"/>
      <c r="R688" s="101"/>
      <c r="S688" s="101"/>
      <c r="T688" s="101"/>
      <c r="U688" s="99" t="s">
        <v>2900</v>
      </c>
      <c r="V688" s="99" t="s">
        <v>293</v>
      </c>
      <c r="W688" s="103" t="s">
        <v>298</v>
      </c>
      <c r="X688" s="99" t="s">
        <v>227</v>
      </c>
      <c r="Y688" s="99"/>
      <c r="Z688" s="99"/>
      <c r="AA688" s="99" t="s">
        <v>3893</v>
      </c>
      <c r="AB688" s="99" t="s">
        <v>2371</v>
      </c>
      <c r="AC688" s="101">
        <v>1</v>
      </c>
      <c r="AD688" s="101"/>
      <c r="AE688" s="101"/>
      <c r="AF688" s="101"/>
      <c r="AG688" s="101"/>
      <c r="AH688" s="99"/>
      <c r="AI688" s="105"/>
    </row>
    <row r="689" spans="1:35" ht="31.5">
      <c r="A689" s="98"/>
      <c r="B689" s="99"/>
      <c r="C689" s="53" t="s">
        <v>3230</v>
      </c>
      <c r="D689" s="53" t="s">
        <v>79</v>
      </c>
      <c r="E689" s="53" t="s">
        <v>80</v>
      </c>
      <c r="F689" s="99" t="s">
        <v>3128</v>
      </c>
      <c r="G689" s="99" t="s">
        <v>3129</v>
      </c>
      <c r="H689" s="99" t="s">
        <v>144</v>
      </c>
      <c r="I689" s="247">
        <v>34399</v>
      </c>
      <c r="J689" s="101">
        <v>1</v>
      </c>
      <c r="K689" s="101"/>
      <c r="L689" s="101">
        <v>1</v>
      </c>
      <c r="M689" s="101"/>
      <c r="N689" s="101"/>
      <c r="O689" s="101"/>
      <c r="P689" s="101"/>
      <c r="Q689" s="101"/>
      <c r="R689" s="101"/>
      <c r="S689" s="101"/>
      <c r="T689" s="101"/>
      <c r="U689" s="99" t="s">
        <v>2900</v>
      </c>
      <c r="V689" s="99" t="s">
        <v>293</v>
      </c>
      <c r="W689" s="103" t="s">
        <v>298</v>
      </c>
      <c r="X689" s="99" t="s">
        <v>227</v>
      </c>
      <c r="Y689" s="99"/>
      <c r="Z689" s="99"/>
      <c r="AA689" s="99" t="s">
        <v>3893</v>
      </c>
      <c r="AB689" s="99"/>
      <c r="AC689" s="101"/>
      <c r="AD689" s="101"/>
      <c r="AE689" s="101"/>
      <c r="AF689" s="101"/>
      <c r="AG689" s="101"/>
      <c r="AH689" s="99"/>
      <c r="AI689" s="105"/>
    </row>
    <row r="690" spans="1:35" ht="31.5">
      <c r="A690" s="98"/>
      <c r="B690" s="99"/>
      <c r="C690" s="53" t="s">
        <v>3230</v>
      </c>
      <c r="D690" s="53" t="s">
        <v>79</v>
      </c>
      <c r="E690" s="53" t="s">
        <v>80</v>
      </c>
      <c r="F690" s="99" t="s">
        <v>3128</v>
      </c>
      <c r="G690" s="99" t="s">
        <v>994</v>
      </c>
      <c r="H690" s="99" t="s">
        <v>144</v>
      </c>
      <c r="I690" s="247">
        <v>33669</v>
      </c>
      <c r="J690" s="101">
        <v>1</v>
      </c>
      <c r="K690" s="101"/>
      <c r="L690" s="101">
        <v>1</v>
      </c>
      <c r="M690" s="101"/>
      <c r="N690" s="101"/>
      <c r="O690" s="101"/>
      <c r="P690" s="101"/>
      <c r="Q690" s="101"/>
      <c r="R690" s="101"/>
      <c r="S690" s="101"/>
      <c r="T690" s="101"/>
      <c r="U690" s="99" t="s">
        <v>2900</v>
      </c>
      <c r="V690" s="99" t="s">
        <v>293</v>
      </c>
      <c r="W690" s="103" t="s">
        <v>298</v>
      </c>
      <c r="X690" s="99" t="s">
        <v>227</v>
      </c>
      <c r="Y690" s="99"/>
      <c r="Z690" s="99"/>
      <c r="AA690" s="99" t="s">
        <v>3893</v>
      </c>
      <c r="AB690" s="99"/>
      <c r="AC690" s="101"/>
      <c r="AD690" s="101"/>
      <c r="AE690" s="101"/>
      <c r="AF690" s="101"/>
      <c r="AG690" s="101"/>
      <c r="AH690" s="99"/>
      <c r="AI690" s="105"/>
    </row>
    <row r="691" spans="1:35" ht="31.5">
      <c r="A691" s="98"/>
      <c r="B691" s="99"/>
      <c r="C691" s="53" t="s">
        <v>3230</v>
      </c>
      <c r="D691" s="53" t="s">
        <v>79</v>
      </c>
      <c r="E691" s="53" t="s">
        <v>80</v>
      </c>
      <c r="F691" s="99" t="s">
        <v>2887</v>
      </c>
      <c r="G691" s="99" t="s">
        <v>150</v>
      </c>
      <c r="H691" s="99" t="s">
        <v>409</v>
      </c>
      <c r="I691" s="247">
        <v>17560</v>
      </c>
      <c r="J691" s="101">
        <v>1</v>
      </c>
      <c r="K691" s="101"/>
      <c r="L691" s="101">
        <v>1</v>
      </c>
      <c r="M691" s="101"/>
      <c r="N691" s="101"/>
      <c r="O691" s="101"/>
      <c r="P691" s="101"/>
      <c r="Q691" s="101"/>
      <c r="R691" s="101"/>
      <c r="S691" s="101"/>
      <c r="T691" s="101"/>
      <c r="U691" s="99" t="s">
        <v>518</v>
      </c>
      <c r="V691" s="99" t="s">
        <v>293</v>
      </c>
      <c r="W691" s="103" t="s">
        <v>298</v>
      </c>
      <c r="X691" s="99" t="s">
        <v>227</v>
      </c>
      <c r="Y691" s="99"/>
      <c r="Z691" s="99"/>
      <c r="AA691" s="99" t="s">
        <v>3894</v>
      </c>
      <c r="AB691" s="99" t="s">
        <v>2371</v>
      </c>
      <c r="AC691" s="101">
        <v>1</v>
      </c>
      <c r="AD691" s="101"/>
      <c r="AE691" s="101"/>
      <c r="AF691" s="101"/>
      <c r="AG691" s="101"/>
      <c r="AH691" s="99"/>
      <c r="AI691" s="105"/>
    </row>
    <row r="692" spans="1:35" ht="31.5">
      <c r="A692" s="98"/>
      <c r="B692" s="99"/>
      <c r="C692" s="53" t="s">
        <v>3230</v>
      </c>
      <c r="D692" s="53" t="s">
        <v>79</v>
      </c>
      <c r="E692" s="53" t="s">
        <v>80</v>
      </c>
      <c r="F692" s="99" t="s">
        <v>2887</v>
      </c>
      <c r="G692" s="99" t="s">
        <v>3887</v>
      </c>
      <c r="H692" s="99" t="s">
        <v>133</v>
      </c>
      <c r="I692" s="247">
        <v>26562</v>
      </c>
      <c r="J692" s="101">
        <v>1</v>
      </c>
      <c r="K692" s="101"/>
      <c r="L692" s="101">
        <v>1</v>
      </c>
      <c r="M692" s="101"/>
      <c r="N692" s="101"/>
      <c r="O692" s="101"/>
      <c r="P692" s="101"/>
      <c r="Q692" s="101"/>
      <c r="R692" s="101"/>
      <c r="S692" s="101"/>
      <c r="T692" s="101"/>
      <c r="U692" s="99" t="s">
        <v>518</v>
      </c>
      <c r="V692" s="99" t="s">
        <v>293</v>
      </c>
      <c r="W692" s="103" t="s">
        <v>298</v>
      </c>
      <c r="X692" s="99" t="s">
        <v>227</v>
      </c>
      <c r="Y692" s="99"/>
      <c r="Z692" s="99"/>
      <c r="AA692" s="99" t="s">
        <v>3894</v>
      </c>
      <c r="AB692" s="99"/>
      <c r="AC692" s="101"/>
      <c r="AD692" s="101"/>
      <c r="AE692" s="101"/>
      <c r="AF692" s="101"/>
      <c r="AG692" s="101"/>
      <c r="AH692" s="99"/>
      <c r="AI692" s="105"/>
    </row>
    <row r="693" spans="1:35" ht="31.5">
      <c r="A693" s="98"/>
      <c r="B693" s="99"/>
      <c r="C693" s="53" t="s">
        <v>3230</v>
      </c>
      <c r="D693" s="53" t="s">
        <v>79</v>
      </c>
      <c r="E693" s="53" t="s">
        <v>80</v>
      </c>
      <c r="F693" s="99" t="s">
        <v>2887</v>
      </c>
      <c r="G693" s="99" t="s">
        <v>3888</v>
      </c>
      <c r="H693" s="99" t="s">
        <v>126</v>
      </c>
      <c r="I693" s="247">
        <v>26751</v>
      </c>
      <c r="J693" s="101">
        <v>1</v>
      </c>
      <c r="K693" s="101"/>
      <c r="L693" s="101">
        <v>1</v>
      </c>
      <c r="M693" s="101"/>
      <c r="N693" s="101"/>
      <c r="O693" s="101"/>
      <c r="P693" s="101"/>
      <c r="Q693" s="101"/>
      <c r="R693" s="101"/>
      <c r="S693" s="101"/>
      <c r="T693" s="101"/>
      <c r="U693" s="99" t="s">
        <v>518</v>
      </c>
      <c r="V693" s="99" t="s">
        <v>293</v>
      </c>
      <c r="W693" s="103" t="s">
        <v>298</v>
      </c>
      <c r="X693" s="99" t="s">
        <v>227</v>
      </c>
      <c r="Y693" s="99"/>
      <c r="Z693" s="99"/>
      <c r="AA693" s="99" t="s">
        <v>3894</v>
      </c>
      <c r="AB693" s="99"/>
      <c r="AC693" s="101"/>
      <c r="AD693" s="101"/>
      <c r="AE693" s="101"/>
      <c r="AF693" s="101"/>
      <c r="AG693" s="101"/>
      <c r="AH693" s="99"/>
      <c r="AI693" s="105"/>
    </row>
    <row r="694" spans="1:35" ht="31.5">
      <c r="A694" s="98"/>
      <c r="B694" s="99"/>
      <c r="C694" s="53" t="s">
        <v>3230</v>
      </c>
      <c r="D694" s="53" t="s">
        <v>79</v>
      </c>
      <c r="E694" s="53" t="s">
        <v>80</v>
      </c>
      <c r="F694" s="99" t="s">
        <v>1876</v>
      </c>
      <c r="G694" s="99" t="s">
        <v>1407</v>
      </c>
      <c r="H694" s="99" t="s">
        <v>136</v>
      </c>
      <c r="I694" s="247">
        <v>23261</v>
      </c>
      <c r="J694" s="101">
        <v>1</v>
      </c>
      <c r="K694" s="101"/>
      <c r="L694" s="101">
        <v>1</v>
      </c>
      <c r="M694" s="101"/>
      <c r="N694" s="101"/>
      <c r="O694" s="101"/>
      <c r="P694" s="101"/>
      <c r="Q694" s="101"/>
      <c r="R694" s="101"/>
      <c r="S694" s="101"/>
      <c r="T694" s="101"/>
      <c r="U694" s="99" t="s">
        <v>950</v>
      </c>
      <c r="V694" s="99" t="s">
        <v>293</v>
      </c>
      <c r="W694" s="103" t="s">
        <v>298</v>
      </c>
      <c r="X694" s="99" t="s">
        <v>227</v>
      </c>
      <c r="Y694" s="99"/>
      <c r="Z694" s="99"/>
      <c r="AA694" s="99" t="s">
        <v>3895</v>
      </c>
      <c r="AB694" s="99" t="s">
        <v>2371</v>
      </c>
      <c r="AC694" s="101">
        <v>1</v>
      </c>
      <c r="AD694" s="101"/>
      <c r="AE694" s="101"/>
      <c r="AF694" s="101"/>
      <c r="AG694" s="101"/>
      <c r="AH694" s="99"/>
      <c r="AI694" s="105"/>
    </row>
    <row r="695" spans="1:35" ht="31.5">
      <c r="A695" s="98"/>
      <c r="B695" s="99"/>
      <c r="C695" s="53" t="s">
        <v>3230</v>
      </c>
      <c r="D695" s="53" t="s">
        <v>79</v>
      </c>
      <c r="E695" s="53" t="s">
        <v>80</v>
      </c>
      <c r="F695" s="99" t="s">
        <v>1876</v>
      </c>
      <c r="G695" s="99" t="s">
        <v>3896</v>
      </c>
      <c r="H695" s="99"/>
      <c r="I695" s="247">
        <v>35324</v>
      </c>
      <c r="J695" s="101">
        <v>1</v>
      </c>
      <c r="K695" s="101"/>
      <c r="L695" s="101">
        <v>1</v>
      </c>
      <c r="M695" s="101"/>
      <c r="N695" s="101"/>
      <c r="O695" s="101"/>
      <c r="P695" s="101"/>
      <c r="Q695" s="101"/>
      <c r="R695" s="101"/>
      <c r="S695" s="101"/>
      <c r="T695" s="101"/>
      <c r="U695" s="99" t="s">
        <v>950</v>
      </c>
      <c r="V695" s="99" t="s">
        <v>293</v>
      </c>
      <c r="W695" s="103" t="s">
        <v>298</v>
      </c>
      <c r="X695" s="99" t="s">
        <v>227</v>
      </c>
      <c r="Y695" s="99"/>
      <c r="Z695" s="99"/>
      <c r="AA695" s="99" t="s">
        <v>3895</v>
      </c>
      <c r="AB695" s="99"/>
      <c r="AC695" s="101"/>
      <c r="AD695" s="101"/>
      <c r="AE695" s="101"/>
      <c r="AF695" s="101"/>
      <c r="AG695" s="101"/>
      <c r="AH695" s="99"/>
      <c r="AI695" s="105"/>
    </row>
    <row r="696" spans="1:35" ht="31.5">
      <c r="A696" s="98"/>
      <c r="B696" s="99"/>
      <c r="C696" s="53" t="s">
        <v>3230</v>
      </c>
      <c r="D696" s="53" t="s">
        <v>79</v>
      </c>
      <c r="E696" s="53" t="s">
        <v>80</v>
      </c>
      <c r="F696" s="99" t="s">
        <v>1876</v>
      </c>
      <c r="G696" s="99" t="s">
        <v>3899</v>
      </c>
      <c r="H696" s="99"/>
      <c r="I696" s="247">
        <v>31729</v>
      </c>
      <c r="J696" s="101">
        <v>1</v>
      </c>
      <c r="K696" s="101"/>
      <c r="L696" s="101">
        <v>1</v>
      </c>
      <c r="M696" s="101"/>
      <c r="N696" s="101"/>
      <c r="O696" s="101"/>
      <c r="P696" s="101"/>
      <c r="Q696" s="101"/>
      <c r="R696" s="101"/>
      <c r="S696" s="101"/>
      <c r="T696" s="101"/>
      <c r="U696" s="99" t="s">
        <v>950</v>
      </c>
      <c r="V696" s="99" t="s">
        <v>293</v>
      </c>
      <c r="W696" s="103" t="s">
        <v>298</v>
      </c>
      <c r="X696" s="99" t="s">
        <v>227</v>
      </c>
      <c r="Y696" s="99"/>
      <c r="Z696" s="99"/>
      <c r="AA696" s="7" t="s">
        <v>3895</v>
      </c>
      <c r="AB696" s="99"/>
      <c r="AC696" s="101"/>
      <c r="AD696" s="101"/>
      <c r="AE696" s="101"/>
      <c r="AF696" s="101"/>
      <c r="AG696" s="101"/>
      <c r="AH696" s="99"/>
      <c r="AI696" s="105"/>
    </row>
    <row r="697" spans="1:35" ht="31.5">
      <c r="A697" s="98"/>
      <c r="B697" s="99"/>
      <c r="C697" s="53" t="s">
        <v>3230</v>
      </c>
      <c r="D697" s="53" t="s">
        <v>79</v>
      </c>
      <c r="E697" s="53" t="s">
        <v>80</v>
      </c>
      <c r="F697" s="99" t="s">
        <v>1839</v>
      </c>
      <c r="G697" s="99" t="s">
        <v>715</v>
      </c>
      <c r="H697" s="99" t="s">
        <v>117</v>
      </c>
      <c r="I697" s="247">
        <v>32235</v>
      </c>
      <c r="J697" s="101">
        <v>1</v>
      </c>
      <c r="K697" s="101"/>
      <c r="L697" s="101">
        <v>1</v>
      </c>
      <c r="M697" s="101"/>
      <c r="N697" s="101"/>
      <c r="O697" s="101"/>
      <c r="P697" s="101"/>
      <c r="Q697" s="101"/>
      <c r="R697" s="101"/>
      <c r="S697" s="101"/>
      <c r="T697" s="101"/>
      <c r="U697" s="99" t="s">
        <v>862</v>
      </c>
      <c r="V697" s="99" t="s">
        <v>293</v>
      </c>
      <c r="W697" s="103" t="s">
        <v>298</v>
      </c>
      <c r="X697" s="99" t="s">
        <v>227</v>
      </c>
      <c r="Y697" s="99"/>
      <c r="Z697" s="99"/>
      <c r="AA697" s="7" t="s">
        <v>3898</v>
      </c>
      <c r="AB697" s="99" t="s">
        <v>2371</v>
      </c>
      <c r="AC697" s="101">
        <v>1</v>
      </c>
      <c r="AD697" s="101"/>
      <c r="AE697" s="101"/>
      <c r="AF697" s="101"/>
      <c r="AG697" s="101"/>
      <c r="AH697" s="99"/>
      <c r="AI697" s="105"/>
    </row>
    <row r="698" spans="1:35" ht="31.5">
      <c r="A698" s="98"/>
      <c r="B698" s="99"/>
      <c r="C698" s="53" t="s">
        <v>3230</v>
      </c>
      <c r="D698" s="53" t="s">
        <v>79</v>
      </c>
      <c r="E698" s="53" t="s">
        <v>80</v>
      </c>
      <c r="F698" s="99" t="s">
        <v>679</v>
      </c>
      <c r="G698" s="99" t="s">
        <v>3897</v>
      </c>
      <c r="H698" s="99"/>
      <c r="I698" s="247">
        <v>23353</v>
      </c>
      <c r="J698" s="101">
        <v>1</v>
      </c>
      <c r="K698" s="101"/>
      <c r="L698" s="101">
        <v>1</v>
      </c>
      <c r="M698" s="101"/>
      <c r="N698" s="101"/>
      <c r="O698" s="101"/>
      <c r="P698" s="101"/>
      <c r="Q698" s="101"/>
      <c r="R698" s="101"/>
      <c r="S698" s="101"/>
      <c r="T698" s="101"/>
      <c r="U698" s="99" t="s">
        <v>862</v>
      </c>
      <c r="V698" s="99" t="s">
        <v>293</v>
      </c>
      <c r="W698" s="103" t="s">
        <v>298</v>
      </c>
      <c r="X698" s="99" t="s">
        <v>227</v>
      </c>
      <c r="Y698" s="99"/>
      <c r="Z698" s="99"/>
      <c r="AA698" s="99" t="s">
        <v>3898</v>
      </c>
      <c r="AB698" s="99"/>
      <c r="AC698" s="101"/>
      <c r="AD698" s="101"/>
      <c r="AE698" s="101"/>
      <c r="AF698" s="101"/>
      <c r="AG698" s="101"/>
      <c r="AH698" s="99"/>
      <c r="AI698" s="105"/>
    </row>
    <row r="699" spans="1:35" ht="31.5">
      <c r="A699" s="98"/>
      <c r="B699" s="99"/>
      <c r="C699" s="53" t="s">
        <v>3230</v>
      </c>
      <c r="D699" s="53" t="s">
        <v>79</v>
      </c>
      <c r="E699" s="53" t="s">
        <v>80</v>
      </c>
      <c r="F699" s="99" t="s">
        <v>1839</v>
      </c>
      <c r="G699" s="99" t="s">
        <v>192</v>
      </c>
      <c r="H699" s="99" t="s">
        <v>117</v>
      </c>
      <c r="I699" s="247">
        <v>34926</v>
      </c>
      <c r="J699" s="101">
        <v>1</v>
      </c>
      <c r="K699" s="101"/>
      <c r="L699" s="101">
        <v>1</v>
      </c>
      <c r="M699" s="101"/>
      <c r="N699" s="101"/>
      <c r="O699" s="101"/>
      <c r="P699" s="101"/>
      <c r="Q699" s="101"/>
      <c r="R699" s="101"/>
      <c r="S699" s="101"/>
      <c r="T699" s="101"/>
      <c r="U699" s="99" t="s">
        <v>862</v>
      </c>
      <c r="V699" s="99" t="s">
        <v>293</v>
      </c>
      <c r="W699" s="103" t="s">
        <v>298</v>
      </c>
      <c r="X699" s="99" t="s">
        <v>227</v>
      </c>
      <c r="Y699" s="99"/>
      <c r="Z699" s="99"/>
      <c r="AA699" s="99" t="s">
        <v>3898</v>
      </c>
      <c r="AB699" s="99"/>
      <c r="AC699" s="101"/>
      <c r="AD699" s="101"/>
      <c r="AE699" s="101"/>
      <c r="AF699" s="101"/>
      <c r="AG699" s="101"/>
      <c r="AH699" s="99"/>
      <c r="AI699" s="105"/>
    </row>
    <row r="700" spans="1:35" ht="31.5">
      <c r="A700" s="98"/>
      <c r="B700" s="99"/>
      <c r="C700" s="53" t="s">
        <v>3230</v>
      </c>
      <c r="D700" s="53" t="s">
        <v>79</v>
      </c>
      <c r="E700" s="53" t="s">
        <v>80</v>
      </c>
      <c r="F700" s="99" t="s">
        <v>3900</v>
      </c>
      <c r="G700" s="99" t="s">
        <v>598</v>
      </c>
      <c r="H700" s="99" t="s">
        <v>126</v>
      </c>
      <c r="I700" s="247">
        <v>26251</v>
      </c>
      <c r="J700" s="101">
        <v>1</v>
      </c>
      <c r="K700" s="101"/>
      <c r="L700" s="101">
        <v>1</v>
      </c>
      <c r="M700" s="101"/>
      <c r="N700" s="101"/>
      <c r="O700" s="101"/>
      <c r="P700" s="101"/>
      <c r="Q700" s="101"/>
      <c r="R700" s="101"/>
      <c r="S700" s="101"/>
      <c r="T700" s="101"/>
      <c r="U700" s="99" t="s">
        <v>514</v>
      </c>
      <c r="V700" s="99" t="s">
        <v>293</v>
      </c>
      <c r="W700" s="103" t="s">
        <v>298</v>
      </c>
      <c r="X700" s="99" t="s">
        <v>227</v>
      </c>
      <c r="Y700" s="99"/>
      <c r="Z700" s="99"/>
      <c r="AA700" s="99" t="s">
        <v>3902</v>
      </c>
      <c r="AB700" s="99" t="s">
        <v>2371</v>
      </c>
      <c r="AC700" s="101">
        <v>1</v>
      </c>
      <c r="AD700" s="101"/>
      <c r="AE700" s="101"/>
      <c r="AF700" s="101"/>
      <c r="AG700" s="101"/>
      <c r="AH700" s="99"/>
      <c r="AI700" s="105"/>
    </row>
    <row r="701" spans="1:35" ht="31.5">
      <c r="A701" s="98"/>
      <c r="B701" s="99"/>
      <c r="C701" s="53" t="s">
        <v>3230</v>
      </c>
      <c r="D701" s="53" t="s">
        <v>79</v>
      </c>
      <c r="E701" s="53" t="s">
        <v>80</v>
      </c>
      <c r="F701" s="99" t="s">
        <v>3900</v>
      </c>
      <c r="G701" s="99" t="s">
        <v>989</v>
      </c>
      <c r="H701" s="99" t="s">
        <v>588</v>
      </c>
      <c r="I701" s="247">
        <v>35446</v>
      </c>
      <c r="J701" s="101">
        <v>1</v>
      </c>
      <c r="K701" s="101"/>
      <c r="L701" s="101">
        <v>1</v>
      </c>
      <c r="M701" s="101"/>
      <c r="N701" s="101"/>
      <c r="O701" s="101"/>
      <c r="P701" s="101"/>
      <c r="Q701" s="101"/>
      <c r="R701" s="101"/>
      <c r="S701" s="101"/>
      <c r="T701" s="101"/>
      <c r="U701" s="99" t="s">
        <v>514</v>
      </c>
      <c r="V701" s="99" t="s">
        <v>293</v>
      </c>
      <c r="W701" s="103" t="s">
        <v>298</v>
      </c>
      <c r="X701" s="99" t="s">
        <v>227</v>
      </c>
      <c r="Y701" s="99"/>
      <c r="Z701" s="99"/>
      <c r="AA701" s="99" t="s">
        <v>3902</v>
      </c>
      <c r="AB701" s="99"/>
      <c r="AC701" s="101"/>
      <c r="AD701" s="101"/>
      <c r="AE701" s="101"/>
      <c r="AF701" s="101"/>
      <c r="AG701" s="101"/>
      <c r="AH701" s="99"/>
      <c r="AI701" s="105"/>
    </row>
    <row r="702" spans="1:35" ht="31.5">
      <c r="A702" s="98"/>
      <c r="B702" s="99"/>
      <c r="C702" s="53" t="s">
        <v>3230</v>
      </c>
      <c r="D702" s="53" t="s">
        <v>79</v>
      </c>
      <c r="E702" s="53" t="s">
        <v>80</v>
      </c>
      <c r="F702" s="99" t="s">
        <v>3901</v>
      </c>
      <c r="G702" s="99" t="s">
        <v>1544</v>
      </c>
      <c r="H702" s="99" t="s">
        <v>115</v>
      </c>
      <c r="I702" s="247">
        <v>35699</v>
      </c>
      <c r="J702" s="101">
        <v>1</v>
      </c>
      <c r="K702" s="101"/>
      <c r="L702" s="101">
        <v>1</v>
      </c>
      <c r="M702" s="101"/>
      <c r="N702" s="101"/>
      <c r="O702" s="101"/>
      <c r="P702" s="101"/>
      <c r="Q702" s="101"/>
      <c r="R702" s="101"/>
      <c r="S702" s="101"/>
      <c r="T702" s="101"/>
      <c r="U702" s="99" t="s">
        <v>514</v>
      </c>
      <c r="V702" s="99" t="s">
        <v>293</v>
      </c>
      <c r="W702" s="103" t="s">
        <v>298</v>
      </c>
      <c r="X702" s="99" t="s">
        <v>227</v>
      </c>
      <c r="Y702" s="99"/>
      <c r="Z702" s="99"/>
      <c r="AA702" s="99" t="s">
        <v>3902</v>
      </c>
      <c r="AB702" s="99"/>
      <c r="AC702" s="101"/>
      <c r="AD702" s="101"/>
      <c r="AE702" s="101"/>
      <c r="AF702" s="101"/>
      <c r="AG702" s="101"/>
      <c r="AH702" s="99"/>
      <c r="AI702" s="105"/>
    </row>
    <row r="703" spans="1:35" ht="31.5">
      <c r="A703" s="98"/>
      <c r="B703" s="99"/>
      <c r="C703" s="53" t="s">
        <v>3230</v>
      </c>
      <c r="D703" s="53" t="s">
        <v>79</v>
      </c>
      <c r="E703" s="53" t="s">
        <v>80</v>
      </c>
      <c r="F703" s="99" t="s">
        <v>3903</v>
      </c>
      <c r="G703" s="99" t="s">
        <v>1239</v>
      </c>
      <c r="H703" s="99" t="s">
        <v>133</v>
      </c>
      <c r="I703" s="247">
        <v>25749</v>
      </c>
      <c r="J703" s="101">
        <v>1</v>
      </c>
      <c r="K703" s="101"/>
      <c r="L703" s="101">
        <v>1</v>
      </c>
      <c r="M703" s="101"/>
      <c r="N703" s="101"/>
      <c r="O703" s="101"/>
      <c r="P703" s="101"/>
      <c r="Q703" s="101"/>
      <c r="R703" s="101"/>
      <c r="S703" s="101"/>
      <c r="T703" s="101"/>
      <c r="U703" s="99" t="s">
        <v>856</v>
      </c>
      <c r="V703" s="99" t="s">
        <v>293</v>
      </c>
      <c r="W703" s="103" t="s">
        <v>298</v>
      </c>
      <c r="X703" s="99" t="s">
        <v>227</v>
      </c>
      <c r="Y703" s="99"/>
      <c r="Z703" s="99"/>
      <c r="AA703" s="99" t="s">
        <v>3906</v>
      </c>
      <c r="AB703" s="99" t="s">
        <v>2371</v>
      </c>
      <c r="AC703" s="101">
        <v>1</v>
      </c>
      <c r="AD703" s="101"/>
      <c r="AE703" s="101"/>
      <c r="AF703" s="101"/>
      <c r="AG703" s="101"/>
      <c r="AH703" s="99"/>
      <c r="AI703" s="105"/>
    </row>
    <row r="704" spans="1:35" ht="31.5">
      <c r="A704" s="98"/>
      <c r="B704" s="99"/>
      <c r="C704" s="53" t="s">
        <v>3230</v>
      </c>
      <c r="D704" s="53" t="s">
        <v>79</v>
      </c>
      <c r="E704" s="53" t="s">
        <v>80</v>
      </c>
      <c r="F704" s="99" t="s">
        <v>3904</v>
      </c>
      <c r="G704" s="99" t="s">
        <v>3197</v>
      </c>
      <c r="H704" s="99" t="s">
        <v>144</v>
      </c>
      <c r="I704" s="247">
        <v>29233</v>
      </c>
      <c r="J704" s="101">
        <v>1</v>
      </c>
      <c r="K704" s="101"/>
      <c r="L704" s="101">
        <v>1</v>
      </c>
      <c r="M704" s="101"/>
      <c r="N704" s="101"/>
      <c r="O704" s="101"/>
      <c r="P704" s="101"/>
      <c r="Q704" s="101"/>
      <c r="R704" s="101"/>
      <c r="S704" s="101"/>
      <c r="T704" s="101"/>
      <c r="U704" s="99" t="s">
        <v>856</v>
      </c>
      <c r="V704" s="99" t="s">
        <v>293</v>
      </c>
      <c r="W704" s="103" t="s">
        <v>298</v>
      </c>
      <c r="X704" s="99" t="s">
        <v>227</v>
      </c>
      <c r="Y704" s="99"/>
      <c r="Z704" s="99"/>
      <c r="AA704" s="99" t="s">
        <v>3906</v>
      </c>
      <c r="AB704" s="99"/>
      <c r="AC704" s="101"/>
      <c r="AD704" s="101"/>
      <c r="AE704" s="101"/>
      <c r="AF704" s="101"/>
      <c r="AG704" s="101"/>
      <c r="AH704" s="99"/>
      <c r="AI704" s="105"/>
    </row>
    <row r="705" spans="1:35" ht="31.5">
      <c r="A705" s="98"/>
      <c r="B705" s="99"/>
      <c r="C705" s="53" t="s">
        <v>3230</v>
      </c>
      <c r="D705" s="53" t="s">
        <v>79</v>
      </c>
      <c r="E705" s="53" t="s">
        <v>80</v>
      </c>
      <c r="F705" s="99" t="s">
        <v>3905</v>
      </c>
      <c r="G705" s="99" t="s">
        <v>3194</v>
      </c>
      <c r="H705" s="99" t="s">
        <v>120</v>
      </c>
      <c r="I705" s="247">
        <v>23419</v>
      </c>
      <c r="J705" s="101">
        <v>1</v>
      </c>
      <c r="K705" s="101"/>
      <c r="L705" s="101">
        <v>1</v>
      </c>
      <c r="M705" s="101"/>
      <c r="N705" s="101"/>
      <c r="O705" s="101"/>
      <c r="P705" s="101"/>
      <c r="Q705" s="101"/>
      <c r="R705" s="101"/>
      <c r="S705" s="101"/>
      <c r="T705" s="101"/>
      <c r="U705" s="99" t="s">
        <v>856</v>
      </c>
      <c r="V705" s="99" t="s">
        <v>293</v>
      </c>
      <c r="W705" s="103" t="s">
        <v>298</v>
      </c>
      <c r="X705" s="99" t="s">
        <v>227</v>
      </c>
      <c r="Y705" s="99"/>
      <c r="Z705" s="99"/>
      <c r="AA705" s="99" t="s">
        <v>3906</v>
      </c>
      <c r="AB705" s="99"/>
      <c r="AC705" s="101"/>
      <c r="AD705" s="101"/>
      <c r="AE705" s="101"/>
      <c r="AF705" s="101"/>
      <c r="AG705" s="101"/>
      <c r="AH705" s="99"/>
      <c r="AI705" s="105"/>
    </row>
    <row r="706" spans="1:35" ht="31.5">
      <c r="A706" s="98"/>
      <c r="B706" s="99"/>
      <c r="C706" s="53" t="s">
        <v>3230</v>
      </c>
      <c r="D706" s="53" t="s">
        <v>79</v>
      </c>
      <c r="E706" s="53" t="s">
        <v>80</v>
      </c>
      <c r="F706" s="99" t="s">
        <v>565</v>
      </c>
      <c r="G706" s="99" t="s">
        <v>566</v>
      </c>
      <c r="H706" s="99" t="s">
        <v>133</v>
      </c>
      <c r="I706" s="247">
        <v>20449</v>
      </c>
      <c r="J706" s="101">
        <v>1</v>
      </c>
      <c r="K706" s="101"/>
      <c r="L706" s="101">
        <v>1</v>
      </c>
      <c r="M706" s="101"/>
      <c r="N706" s="101"/>
      <c r="O706" s="101"/>
      <c r="P706" s="101"/>
      <c r="Q706" s="101"/>
      <c r="R706" s="101"/>
      <c r="S706" s="101"/>
      <c r="T706" s="101"/>
      <c r="U706" s="99" t="s">
        <v>509</v>
      </c>
      <c r="V706" s="99" t="s">
        <v>293</v>
      </c>
      <c r="W706" s="103" t="s">
        <v>298</v>
      </c>
      <c r="X706" s="99" t="s">
        <v>227</v>
      </c>
      <c r="Y706" s="99"/>
      <c r="Z706" s="99"/>
      <c r="AA706" s="99" t="s">
        <v>3907</v>
      </c>
      <c r="AB706" s="99" t="s">
        <v>2371</v>
      </c>
      <c r="AC706" s="101">
        <v>1</v>
      </c>
      <c r="AD706" s="101"/>
      <c r="AE706" s="101"/>
      <c r="AF706" s="101"/>
      <c r="AG706" s="101"/>
      <c r="AH706" s="99"/>
      <c r="AI706" s="105"/>
    </row>
    <row r="707" spans="1:35" ht="31.5">
      <c r="A707" s="98"/>
      <c r="B707" s="99"/>
      <c r="C707" s="53" t="s">
        <v>3230</v>
      </c>
      <c r="D707" s="53" t="s">
        <v>79</v>
      </c>
      <c r="E707" s="53" t="s">
        <v>80</v>
      </c>
      <c r="F707" s="99" t="s">
        <v>565</v>
      </c>
      <c r="G707" s="99" t="s">
        <v>403</v>
      </c>
      <c r="H707" s="99" t="s">
        <v>133</v>
      </c>
      <c r="I707" s="247">
        <v>24528</v>
      </c>
      <c r="J707" s="101">
        <v>1</v>
      </c>
      <c r="K707" s="101"/>
      <c r="L707" s="101">
        <v>1</v>
      </c>
      <c r="M707" s="101"/>
      <c r="N707" s="101"/>
      <c r="O707" s="101"/>
      <c r="P707" s="101"/>
      <c r="Q707" s="101"/>
      <c r="R707" s="101"/>
      <c r="S707" s="101"/>
      <c r="T707" s="101"/>
      <c r="U707" s="99" t="s">
        <v>509</v>
      </c>
      <c r="V707" s="99" t="s">
        <v>293</v>
      </c>
      <c r="W707" s="103" t="s">
        <v>298</v>
      </c>
      <c r="X707" s="99" t="s">
        <v>227</v>
      </c>
      <c r="Y707" s="99"/>
      <c r="Z707" s="99"/>
      <c r="AA707" s="99" t="s">
        <v>3907</v>
      </c>
      <c r="AB707" s="99"/>
      <c r="AC707" s="101"/>
      <c r="AD707" s="101"/>
      <c r="AE707" s="101"/>
      <c r="AF707" s="101"/>
      <c r="AG707" s="101"/>
      <c r="AH707" s="99"/>
      <c r="AI707" s="105"/>
    </row>
    <row r="708" spans="1:35" ht="31.5">
      <c r="A708" s="98"/>
      <c r="B708" s="99"/>
      <c r="C708" s="53" t="s">
        <v>3230</v>
      </c>
      <c r="D708" s="53" t="s">
        <v>79</v>
      </c>
      <c r="E708" s="53" t="s">
        <v>80</v>
      </c>
      <c r="F708" s="99" t="s">
        <v>281</v>
      </c>
      <c r="G708" s="99" t="s">
        <v>2023</v>
      </c>
      <c r="H708" s="99" t="s">
        <v>144</v>
      </c>
      <c r="I708" s="247">
        <v>33110</v>
      </c>
      <c r="J708" s="101">
        <v>1</v>
      </c>
      <c r="K708" s="101"/>
      <c r="L708" s="101">
        <v>1</v>
      </c>
      <c r="M708" s="101"/>
      <c r="N708" s="101"/>
      <c r="O708" s="101"/>
      <c r="P708" s="101"/>
      <c r="Q708" s="101"/>
      <c r="R708" s="101"/>
      <c r="S708" s="101"/>
      <c r="T708" s="101"/>
      <c r="U708" s="99" t="s">
        <v>509</v>
      </c>
      <c r="V708" s="99" t="s">
        <v>293</v>
      </c>
      <c r="W708" s="103" t="s">
        <v>298</v>
      </c>
      <c r="X708" s="99" t="s">
        <v>227</v>
      </c>
      <c r="Y708" s="99"/>
      <c r="Z708" s="99"/>
      <c r="AA708" s="99" t="s">
        <v>3907</v>
      </c>
      <c r="AB708" s="99"/>
      <c r="AC708" s="101"/>
      <c r="AD708" s="101"/>
      <c r="AE708" s="101"/>
      <c r="AF708" s="101"/>
      <c r="AG708" s="101"/>
      <c r="AH708" s="99"/>
      <c r="AI708" s="105"/>
    </row>
    <row r="709" spans="1:35" ht="31.5">
      <c r="A709" s="98"/>
      <c r="B709" s="99"/>
      <c r="C709" s="53" t="s">
        <v>3230</v>
      </c>
      <c r="D709" s="53" t="s">
        <v>79</v>
      </c>
      <c r="E709" s="53" t="s">
        <v>80</v>
      </c>
      <c r="F709" s="99" t="s">
        <v>3908</v>
      </c>
      <c r="G709" s="99" t="s">
        <v>2786</v>
      </c>
      <c r="H709" s="99" t="s">
        <v>115</v>
      </c>
      <c r="I709" s="247">
        <v>28850</v>
      </c>
      <c r="J709" s="101">
        <v>1</v>
      </c>
      <c r="K709" s="101"/>
      <c r="L709" s="101">
        <v>1</v>
      </c>
      <c r="M709" s="101"/>
      <c r="N709" s="101"/>
      <c r="O709" s="101"/>
      <c r="P709" s="101"/>
      <c r="Q709" s="101"/>
      <c r="R709" s="101"/>
      <c r="S709" s="101"/>
      <c r="T709" s="101"/>
      <c r="U709" s="99" t="s">
        <v>1610</v>
      </c>
      <c r="V709" s="99" t="s">
        <v>513</v>
      </c>
      <c r="W709" s="103" t="s">
        <v>279</v>
      </c>
      <c r="X709" s="99" t="s">
        <v>227</v>
      </c>
      <c r="Y709" s="99"/>
      <c r="Z709" s="99"/>
      <c r="AA709" s="99" t="s">
        <v>3921</v>
      </c>
      <c r="AB709" s="99" t="s">
        <v>2371</v>
      </c>
      <c r="AC709" s="101">
        <v>1</v>
      </c>
      <c r="AD709" s="101"/>
      <c r="AE709" s="101"/>
      <c r="AF709" s="101"/>
      <c r="AG709" s="101"/>
      <c r="AH709" s="99"/>
      <c r="AI709" s="105"/>
    </row>
    <row r="710" spans="1:35" ht="31.5">
      <c r="A710" s="98"/>
      <c r="B710" s="99"/>
      <c r="C710" s="53" t="s">
        <v>3230</v>
      </c>
      <c r="D710" s="53" t="s">
        <v>79</v>
      </c>
      <c r="E710" s="53" t="s">
        <v>80</v>
      </c>
      <c r="F710" s="99" t="s">
        <v>3909</v>
      </c>
      <c r="G710" s="99" t="s">
        <v>3693</v>
      </c>
      <c r="H710" s="99" t="s">
        <v>286</v>
      </c>
      <c r="I710" s="247">
        <v>24722</v>
      </c>
      <c r="J710" s="101">
        <v>1</v>
      </c>
      <c r="K710" s="101"/>
      <c r="L710" s="101">
        <v>1</v>
      </c>
      <c r="M710" s="101"/>
      <c r="N710" s="101"/>
      <c r="O710" s="101"/>
      <c r="P710" s="101"/>
      <c r="Q710" s="101"/>
      <c r="R710" s="101"/>
      <c r="S710" s="101"/>
      <c r="T710" s="101"/>
      <c r="U710" s="99" t="s">
        <v>1610</v>
      </c>
      <c r="V710" s="99" t="s">
        <v>513</v>
      </c>
      <c r="W710" s="103" t="s">
        <v>279</v>
      </c>
      <c r="X710" s="99" t="s">
        <v>227</v>
      </c>
      <c r="Y710" s="99"/>
      <c r="Z710" s="99"/>
      <c r="AA710" s="99" t="s">
        <v>3921</v>
      </c>
      <c r="AB710" s="99"/>
      <c r="AC710" s="101"/>
      <c r="AD710" s="101"/>
      <c r="AE710" s="101"/>
      <c r="AF710" s="101"/>
      <c r="AG710" s="101"/>
      <c r="AH710" s="99"/>
      <c r="AI710" s="105"/>
    </row>
    <row r="711" spans="1:35" ht="31.5">
      <c r="A711" s="98"/>
      <c r="B711" s="99"/>
      <c r="C711" s="53" t="s">
        <v>3230</v>
      </c>
      <c r="D711" s="53" t="s">
        <v>79</v>
      </c>
      <c r="E711" s="53" t="s">
        <v>80</v>
      </c>
      <c r="F711" s="99" t="s">
        <v>3910</v>
      </c>
      <c r="G711" s="99" t="s">
        <v>1274</v>
      </c>
      <c r="H711" s="99" t="s">
        <v>113</v>
      </c>
      <c r="I711" s="247">
        <v>28848</v>
      </c>
      <c r="J711" s="101">
        <v>1</v>
      </c>
      <c r="K711" s="101"/>
      <c r="L711" s="101">
        <v>1</v>
      </c>
      <c r="M711" s="101"/>
      <c r="N711" s="101"/>
      <c r="O711" s="101"/>
      <c r="P711" s="101"/>
      <c r="Q711" s="101"/>
      <c r="R711" s="101"/>
      <c r="S711" s="101"/>
      <c r="T711" s="101"/>
      <c r="U711" s="99" t="s">
        <v>1610</v>
      </c>
      <c r="V711" s="99" t="s">
        <v>513</v>
      </c>
      <c r="W711" s="103" t="s">
        <v>279</v>
      </c>
      <c r="X711" s="99" t="s">
        <v>227</v>
      </c>
      <c r="Y711" s="99"/>
      <c r="Z711" s="99"/>
      <c r="AA711" s="99" t="s">
        <v>3921</v>
      </c>
      <c r="AB711" s="99"/>
      <c r="AC711" s="101"/>
      <c r="AD711" s="101"/>
      <c r="AE711" s="101"/>
      <c r="AF711" s="101"/>
      <c r="AG711" s="101"/>
      <c r="AH711" s="99"/>
      <c r="AI711" s="105"/>
    </row>
    <row r="712" spans="1:35" ht="31.5">
      <c r="A712" s="98"/>
      <c r="B712" s="99"/>
      <c r="C712" s="53" t="s">
        <v>3230</v>
      </c>
      <c r="D712" s="53" t="s">
        <v>79</v>
      </c>
      <c r="E712" s="53" t="s">
        <v>80</v>
      </c>
      <c r="F712" s="99" t="s">
        <v>439</v>
      </c>
      <c r="G712" s="99" t="s">
        <v>536</v>
      </c>
      <c r="H712" s="99" t="s">
        <v>113</v>
      </c>
      <c r="I712" s="247">
        <v>33384</v>
      </c>
      <c r="J712" s="101">
        <v>1</v>
      </c>
      <c r="K712" s="101"/>
      <c r="L712" s="101">
        <v>1</v>
      </c>
      <c r="M712" s="101"/>
      <c r="N712" s="101"/>
      <c r="O712" s="101"/>
      <c r="P712" s="101"/>
      <c r="Q712" s="101"/>
      <c r="R712" s="101"/>
      <c r="S712" s="101"/>
      <c r="T712" s="101"/>
      <c r="U712" s="99" t="s">
        <v>1136</v>
      </c>
      <c r="V712" s="99" t="s">
        <v>513</v>
      </c>
      <c r="W712" s="103" t="s">
        <v>279</v>
      </c>
      <c r="X712" s="99" t="s">
        <v>227</v>
      </c>
      <c r="Y712" s="99"/>
      <c r="Z712" s="99"/>
      <c r="AA712" s="99" t="s">
        <v>3920</v>
      </c>
      <c r="AB712" s="99" t="s">
        <v>2371</v>
      </c>
      <c r="AC712" s="101">
        <v>1</v>
      </c>
      <c r="AD712" s="101"/>
      <c r="AE712" s="101"/>
      <c r="AF712" s="101"/>
      <c r="AG712" s="101"/>
      <c r="AH712" s="99"/>
      <c r="AI712" s="105"/>
    </row>
    <row r="713" spans="1:35" ht="31.5">
      <c r="A713" s="98"/>
      <c r="B713" s="99"/>
      <c r="C713" s="53" t="s">
        <v>3230</v>
      </c>
      <c r="D713" s="53" t="s">
        <v>79</v>
      </c>
      <c r="E713" s="53" t="s">
        <v>80</v>
      </c>
      <c r="F713" s="99" t="s">
        <v>674</v>
      </c>
      <c r="G713" s="99" t="s">
        <v>3911</v>
      </c>
      <c r="H713" s="99" t="s">
        <v>136</v>
      </c>
      <c r="I713" s="247">
        <v>25950</v>
      </c>
      <c r="J713" s="101"/>
      <c r="K713" s="101">
        <v>1</v>
      </c>
      <c r="L713" s="101">
        <v>1</v>
      </c>
      <c r="M713" s="101"/>
      <c r="N713" s="101"/>
      <c r="O713" s="101"/>
      <c r="P713" s="101"/>
      <c r="Q713" s="101"/>
      <c r="R713" s="101"/>
      <c r="S713" s="101"/>
      <c r="T713" s="101"/>
      <c r="U713" s="99" t="s">
        <v>1136</v>
      </c>
      <c r="V713" s="99" t="s">
        <v>513</v>
      </c>
      <c r="W713" s="103" t="s">
        <v>279</v>
      </c>
      <c r="X713" s="99" t="s">
        <v>227</v>
      </c>
      <c r="Y713" s="99"/>
      <c r="Z713" s="99"/>
      <c r="AA713" s="99" t="s">
        <v>3920</v>
      </c>
      <c r="AB713" s="99"/>
      <c r="AC713" s="101"/>
      <c r="AD713" s="101"/>
      <c r="AE713" s="101"/>
      <c r="AF713" s="101"/>
      <c r="AG713" s="101"/>
      <c r="AH713" s="99"/>
      <c r="AI713" s="105"/>
    </row>
    <row r="714" spans="1:35" ht="31.5">
      <c r="A714" s="98"/>
      <c r="B714" s="99"/>
      <c r="C714" s="53" t="s">
        <v>3230</v>
      </c>
      <c r="D714" s="53" t="s">
        <v>79</v>
      </c>
      <c r="E714" s="53" t="s">
        <v>80</v>
      </c>
      <c r="F714" s="99" t="s">
        <v>3912</v>
      </c>
      <c r="G714" s="99" t="s">
        <v>146</v>
      </c>
      <c r="H714" s="99" t="s">
        <v>742</v>
      </c>
      <c r="I714" s="247">
        <v>31700</v>
      </c>
      <c r="J714" s="101">
        <v>1</v>
      </c>
      <c r="K714" s="101"/>
      <c r="L714" s="101">
        <v>1</v>
      </c>
      <c r="M714" s="101"/>
      <c r="N714" s="101"/>
      <c r="O714" s="101"/>
      <c r="P714" s="101"/>
      <c r="Q714" s="101"/>
      <c r="R714" s="101"/>
      <c r="S714" s="101"/>
      <c r="T714" s="101"/>
      <c r="U714" s="99" t="s">
        <v>868</v>
      </c>
      <c r="V714" s="99" t="s">
        <v>513</v>
      </c>
      <c r="W714" s="103" t="s">
        <v>279</v>
      </c>
      <c r="X714" s="99" t="s">
        <v>227</v>
      </c>
      <c r="Y714" s="99"/>
      <c r="Z714" s="99"/>
      <c r="AA714" s="99" t="s">
        <v>3920</v>
      </c>
      <c r="AB714" s="99"/>
      <c r="AC714" s="101"/>
      <c r="AD714" s="101"/>
      <c r="AE714" s="101"/>
      <c r="AF714" s="101"/>
      <c r="AG714" s="101"/>
      <c r="AH714" s="99"/>
      <c r="AI714" s="105"/>
    </row>
    <row r="715" spans="1:35" ht="31.5">
      <c r="A715" s="98"/>
      <c r="B715" s="99"/>
      <c r="C715" s="53" t="s">
        <v>3230</v>
      </c>
      <c r="D715" s="53" t="s">
        <v>79</v>
      </c>
      <c r="E715" s="53" t="s">
        <v>80</v>
      </c>
      <c r="F715" s="99" t="s">
        <v>3196</v>
      </c>
      <c r="G715" s="99" t="s">
        <v>169</v>
      </c>
      <c r="H715" s="99" t="s">
        <v>136</v>
      </c>
      <c r="I715" s="247">
        <v>22477</v>
      </c>
      <c r="J715" s="101">
        <v>1</v>
      </c>
      <c r="K715" s="101"/>
      <c r="L715" s="101">
        <v>1</v>
      </c>
      <c r="M715" s="101"/>
      <c r="N715" s="101"/>
      <c r="O715" s="101"/>
      <c r="P715" s="101"/>
      <c r="Q715" s="101"/>
      <c r="R715" s="101"/>
      <c r="S715" s="101"/>
      <c r="T715" s="101"/>
      <c r="U715" s="99" t="s">
        <v>1143</v>
      </c>
      <c r="V715" s="99" t="s">
        <v>513</v>
      </c>
      <c r="W715" s="103" t="s">
        <v>279</v>
      </c>
      <c r="X715" s="99" t="s">
        <v>227</v>
      </c>
      <c r="Y715" s="99"/>
      <c r="Z715" s="99"/>
      <c r="AA715" s="99" t="s">
        <v>3925</v>
      </c>
      <c r="AB715" s="99" t="s">
        <v>2371</v>
      </c>
      <c r="AC715" s="101">
        <v>1</v>
      </c>
      <c r="AD715" s="101"/>
      <c r="AE715" s="101"/>
      <c r="AF715" s="101"/>
      <c r="AG715" s="101"/>
      <c r="AH715" s="99"/>
      <c r="AI715" s="105"/>
    </row>
    <row r="716" spans="1:35" ht="31.5">
      <c r="A716" s="98"/>
      <c r="B716" s="99"/>
      <c r="C716" s="53" t="s">
        <v>3230</v>
      </c>
      <c r="D716" s="53" t="s">
        <v>79</v>
      </c>
      <c r="E716" s="53" t="s">
        <v>80</v>
      </c>
      <c r="F716" s="99" t="s">
        <v>3913</v>
      </c>
      <c r="G716" s="99" t="s">
        <v>3484</v>
      </c>
      <c r="H716" s="99" t="s">
        <v>160</v>
      </c>
      <c r="I716" s="247">
        <v>35993</v>
      </c>
      <c r="J716" s="101">
        <v>1</v>
      </c>
      <c r="K716" s="101"/>
      <c r="L716" s="101">
        <v>1</v>
      </c>
      <c r="M716" s="101"/>
      <c r="N716" s="101"/>
      <c r="O716" s="101"/>
      <c r="P716" s="101"/>
      <c r="Q716" s="101"/>
      <c r="R716" s="101"/>
      <c r="S716" s="101"/>
      <c r="T716" s="101"/>
      <c r="U716" s="99" t="s">
        <v>3919</v>
      </c>
      <c r="V716" s="99" t="s">
        <v>513</v>
      </c>
      <c r="W716" s="103" t="s">
        <v>279</v>
      </c>
      <c r="X716" s="99" t="s">
        <v>227</v>
      </c>
      <c r="Y716" s="99"/>
      <c r="Z716" s="99"/>
      <c r="AA716" s="99" t="s">
        <v>3925</v>
      </c>
      <c r="AB716" s="99"/>
      <c r="AC716" s="101"/>
      <c r="AD716" s="101"/>
      <c r="AE716" s="101"/>
      <c r="AF716" s="101"/>
      <c r="AG716" s="101"/>
      <c r="AH716" s="99"/>
      <c r="AI716" s="105"/>
    </row>
    <row r="717" spans="1:35" ht="31.5">
      <c r="A717" s="98"/>
      <c r="B717" s="99"/>
      <c r="C717" s="53" t="s">
        <v>3230</v>
      </c>
      <c r="D717" s="53" t="s">
        <v>79</v>
      </c>
      <c r="E717" s="53" t="s">
        <v>80</v>
      </c>
      <c r="F717" s="99" t="s">
        <v>3926</v>
      </c>
      <c r="G717" s="99" t="s">
        <v>1847</v>
      </c>
      <c r="H717" s="99" t="s">
        <v>144</v>
      </c>
      <c r="I717" s="247">
        <v>23304</v>
      </c>
      <c r="J717" s="101">
        <v>1</v>
      </c>
      <c r="K717" s="101"/>
      <c r="L717" s="101">
        <v>1</v>
      </c>
      <c r="M717" s="101"/>
      <c r="N717" s="101"/>
      <c r="O717" s="101"/>
      <c r="P717" s="101"/>
      <c r="Q717" s="101"/>
      <c r="R717" s="101"/>
      <c r="S717" s="101"/>
      <c r="T717" s="101"/>
      <c r="U717" s="99"/>
      <c r="V717" s="99" t="s">
        <v>513</v>
      </c>
      <c r="W717" s="103" t="s">
        <v>279</v>
      </c>
      <c r="X717" s="99" t="s">
        <v>227</v>
      </c>
      <c r="Y717" s="99"/>
      <c r="Z717" s="99"/>
      <c r="AA717" s="99" t="s">
        <v>3925</v>
      </c>
      <c r="AB717" s="99"/>
      <c r="AC717" s="101"/>
      <c r="AD717" s="101"/>
      <c r="AE717" s="101"/>
      <c r="AF717" s="101"/>
      <c r="AG717" s="101"/>
      <c r="AH717" s="99"/>
      <c r="AI717" s="105"/>
    </row>
    <row r="718" spans="1:35" ht="31.5">
      <c r="A718" s="98"/>
      <c r="B718" s="99"/>
      <c r="C718" s="53" t="s">
        <v>3230</v>
      </c>
      <c r="D718" s="53" t="s">
        <v>79</v>
      </c>
      <c r="E718" s="53" t="s">
        <v>80</v>
      </c>
      <c r="F718" s="99" t="s">
        <v>2893</v>
      </c>
      <c r="G718" s="99" t="s">
        <v>118</v>
      </c>
      <c r="H718" s="99" t="s">
        <v>126</v>
      </c>
      <c r="I718" s="247">
        <v>20125</v>
      </c>
      <c r="J718" s="101">
        <v>1</v>
      </c>
      <c r="K718" s="101"/>
      <c r="L718" s="101">
        <v>1</v>
      </c>
      <c r="M718" s="101"/>
      <c r="N718" s="101"/>
      <c r="O718" s="101"/>
      <c r="P718" s="101"/>
      <c r="Q718" s="101"/>
      <c r="R718" s="101"/>
      <c r="S718" s="101"/>
      <c r="T718" s="101"/>
      <c r="U718" s="99" t="s">
        <v>947</v>
      </c>
      <c r="V718" s="99" t="s">
        <v>513</v>
      </c>
      <c r="W718" s="103" t="s">
        <v>279</v>
      </c>
      <c r="X718" s="99" t="s">
        <v>227</v>
      </c>
      <c r="Y718" s="99"/>
      <c r="Z718" s="99"/>
      <c r="AA718" s="99" t="s">
        <v>3922</v>
      </c>
      <c r="AB718" s="99" t="s">
        <v>2371</v>
      </c>
      <c r="AC718" s="101">
        <v>1</v>
      </c>
      <c r="AD718" s="101"/>
      <c r="AE718" s="101"/>
      <c r="AF718" s="101"/>
      <c r="AG718" s="101"/>
      <c r="AH718" s="99"/>
      <c r="AI718" s="105"/>
    </row>
    <row r="719" spans="1:35" ht="31.5">
      <c r="A719" s="98"/>
      <c r="B719" s="99"/>
      <c r="C719" s="53" t="s">
        <v>3230</v>
      </c>
      <c r="D719" s="53" t="s">
        <v>79</v>
      </c>
      <c r="E719" s="53" t="s">
        <v>80</v>
      </c>
      <c r="F719" s="99" t="s">
        <v>3914</v>
      </c>
      <c r="G719" s="99" t="s">
        <v>800</v>
      </c>
      <c r="H719" s="99" t="s">
        <v>409</v>
      </c>
      <c r="I719" s="247">
        <v>29776</v>
      </c>
      <c r="J719" s="101">
        <v>1</v>
      </c>
      <c r="K719" s="101"/>
      <c r="L719" s="101">
        <v>1</v>
      </c>
      <c r="M719" s="101"/>
      <c r="N719" s="101"/>
      <c r="O719" s="101"/>
      <c r="P719" s="101"/>
      <c r="Q719" s="101"/>
      <c r="R719" s="101"/>
      <c r="S719" s="101"/>
      <c r="T719" s="101"/>
      <c r="U719" s="99" t="s">
        <v>947</v>
      </c>
      <c r="V719" s="99" t="s">
        <v>513</v>
      </c>
      <c r="W719" s="103" t="s">
        <v>279</v>
      </c>
      <c r="X719" s="99" t="s">
        <v>227</v>
      </c>
      <c r="Y719" s="99"/>
      <c r="Z719" s="99"/>
      <c r="AA719" s="99" t="s">
        <v>3922</v>
      </c>
      <c r="AB719" s="99"/>
      <c r="AC719" s="101"/>
      <c r="AD719" s="101"/>
      <c r="AE719" s="101"/>
      <c r="AF719" s="101"/>
      <c r="AG719" s="101"/>
      <c r="AH719" s="99"/>
      <c r="AI719" s="105"/>
    </row>
    <row r="720" spans="1:35" ht="31.5">
      <c r="A720" s="98"/>
      <c r="B720" s="99"/>
      <c r="C720" s="53" t="s">
        <v>3230</v>
      </c>
      <c r="D720" s="53" t="s">
        <v>79</v>
      </c>
      <c r="E720" s="53" t="s">
        <v>80</v>
      </c>
      <c r="F720" s="99" t="s">
        <v>3196</v>
      </c>
      <c r="G720" s="99" t="s">
        <v>3915</v>
      </c>
      <c r="H720" s="99" t="s">
        <v>113</v>
      </c>
      <c r="I720" s="247">
        <v>22700</v>
      </c>
      <c r="J720" s="101">
        <v>1</v>
      </c>
      <c r="K720" s="101"/>
      <c r="L720" s="101">
        <v>1</v>
      </c>
      <c r="M720" s="101"/>
      <c r="N720" s="101"/>
      <c r="O720" s="101"/>
      <c r="P720" s="101"/>
      <c r="Q720" s="101"/>
      <c r="R720" s="101"/>
      <c r="S720" s="101"/>
      <c r="T720" s="101"/>
      <c r="U720" s="99" t="s">
        <v>947</v>
      </c>
      <c r="V720" s="99" t="s">
        <v>513</v>
      </c>
      <c r="W720" s="103" t="s">
        <v>279</v>
      </c>
      <c r="X720" s="99" t="s">
        <v>227</v>
      </c>
      <c r="Y720" s="99"/>
      <c r="Z720" s="99"/>
      <c r="AA720" s="99" t="s">
        <v>3922</v>
      </c>
      <c r="AB720" s="99"/>
      <c r="AC720" s="101"/>
      <c r="AD720" s="101"/>
      <c r="AE720" s="101"/>
      <c r="AF720" s="101"/>
      <c r="AG720" s="101"/>
      <c r="AH720" s="99"/>
      <c r="AI720" s="105"/>
    </row>
    <row r="721" spans="1:35" ht="31.5">
      <c r="A721" s="98"/>
      <c r="B721" s="99"/>
      <c r="C721" s="53" t="s">
        <v>3230</v>
      </c>
      <c r="D721" s="53" t="s">
        <v>79</v>
      </c>
      <c r="E721" s="53" t="s">
        <v>80</v>
      </c>
      <c r="F721" s="99" t="s">
        <v>3161</v>
      </c>
      <c r="G721" s="99" t="s">
        <v>1544</v>
      </c>
      <c r="H721" s="99" t="s">
        <v>126</v>
      </c>
      <c r="I721" s="247">
        <v>29391</v>
      </c>
      <c r="J721" s="101">
        <v>1</v>
      </c>
      <c r="K721" s="101"/>
      <c r="L721" s="101">
        <v>1</v>
      </c>
      <c r="M721" s="101"/>
      <c r="N721" s="101"/>
      <c r="O721" s="101"/>
      <c r="P721" s="101"/>
      <c r="Q721" s="101"/>
      <c r="R721" s="101"/>
      <c r="S721" s="101"/>
      <c r="T721" s="101"/>
      <c r="U721" s="99" t="s">
        <v>947</v>
      </c>
      <c r="V721" s="99" t="s">
        <v>513</v>
      </c>
      <c r="W721" s="103" t="s">
        <v>279</v>
      </c>
      <c r="X721" s="99" t="s">
        <v>227</v>
      </c>
      <c r="Y721" s="99"/>
      <c r="Z721" s="99"/>
      <c r="AA721" s="99" t="s">
        <v>3923</v>
      </c>
      <c r="AB721" s="99" t="s">
        <v>2371</v>
      </c>
      <c r="AC721" s="101">
        <v>1</v>
      </c>
      <c r="AD721" s="101"/>
      <c r="AE721" s="101"/>
      <c r="AF721" s="101"/>
      <c r="AG721" s="101"/>
      <c r="AH721" s="99"/>
      <c r="AI721" s="105"/>
    </row>
    <row r="722" spans="1:35" ht="31.5">
      <c r="A722" s="98"/>
      <c r="B722" s="99"/>
      <c r="C722" s="53" t="s">
        <v>3230</v>
      </c>
      <c r="D722" s="53" t="s">
        <v>79</v>
      </c>
      <c r="E722" s="53" t="s">
        <v>80</v>
      </c>
      <c r="F722" s="99" t="s">
        <v>3916</v>
      </c>
      <c r="G722" s="99" t="s">
        <v>3917</v>
      </c>
      <c r="H722" s="99" t="s">
        <v>421</v>
      </c>
      <c r="I722" s="247">
        <v>30621</v>
      </c>
      <c r="J722" s="101"/>
      <c r="K722" s="101">
        <v>1</v>
      </c>
      <c r="L722" s="101">
        <v>1</v>
      </c>
      <c r="M722" s="101"/>
      <c r="N722" s="101"/>
      <c r="O722" s="101"/>
      <c r="P722" s="101"/>
      <c r="Q722" s="101"/>
      <c r="R722" s="101"/>
      <c r="S722" s="101"/>
      <c r="T722" s="101"/>
      <c r="U722" s="99" t="s">
        <v>947</v>
      </c>
      <c r="V722" s="99" t="s">
        <v>513</v>
      </c>
      <c r="W722" s="103" t="s">
        <v>279</v>
      </c>
      <c r="X722" s="99" t="s">
        <v>227</v>
      </c>
      <c r="Y722" s="99"/>
      <c r="Z722" s="99"/>
      <c r="AA722" s="99" t="s">
        <v>3923</v>
      </c>
      <c r="AB722" s="99"/>
      <c r="AC722" s="101"/>
      <c r="AD722" s="101"/>
      <c r="AE722" s="101"/>
      <c r="AF722" s="101"/>
      <c r="AG722" s="101"/>
      <c r="AH722" s="99"/>
      <c r="AI722" s="105"/>
    </row>
    <row r="723" spans="1:35" ht="31.5">
      <c r="A723" s="98"/>
      <c r="B723" s="99"/>
      <c r="C723" s="53" t="s">
        <v>3230</v>
      </c>
      <c r="D723" s="53" t="s">
        <v>79</v>
      </c>
      <c r="E723" s="53" t="s">
        <v>80</v>
      </c>
      <c r="F723" s="99" t="s">
        <v>3918</v>
      </c>
      <c r="G723" s="99" t="s">
        <v>976</v>
      </c>
      <c r="H723" s="99"/>
      <c r="I723" s="247">
        <v>15524</v>
      </c>
      <c r="J723" s="101">
        <v>1</v>
      </c>
      <c r="K723" s="101"/>
      <c r="L723" s="101">
        <v>1</v>
      </c>
      <c r="M723" s="101"/>
      <c r="N723" s="101"/>
      <c r="O723" s="101"/>
      <c r="P723" s="101"/>
      <c r="Q723" s="101"/>
      <c r="R723" s="101"/>
      <c r="S723" s="101"/>
      <c r="T723" s="101"/>
      <c r="U723" s="99" t="s">
        <v>222</v>
      </c>
      <c r="V723" s="99" t="s">
        <v>513</v>
      </c>
      <c r="W723" s="103" t="s">
        <v>279</v>
      </c>
      <c r="X723" s="99" t="s">
        <v>227</v>
      </c>
      <c r="Y723" s="99"/>
      <c r="Z723" s="99"/>
      <c r="AA723" s="99" t="s">
        <v>3923</v>
      </c>
      <c r="AB723" s="99"/>
      <c r="AC723" s="101"/>
      <c r="AD723" s="101"/>
      <c r="AE723" s="101"/>
      <c r="AF723" s="101"/>
      <c r="AG723" s="101"/>
      <c r="AH723" s="99"/>
      <c r="AI723" s="105"/>
    </row>
    <row r="724" spans="1:35" ht="31.5">
      <c r="A724" s="98"/>
      <c r="B724" s="99"/>
      <c r="C724" s="53" t="s">
        <v>3230</v>
      </c>
      <c r="D724" s="53" t="s">
        <v>79</v>
      </c>
      <c r="E724" s="53" t="s">
        <v>80</v>
      </c>
      <c r="F724" s="99" t="s">
        <v>1954</v>
      </c>
      <c r="G724" s="99" t="s">
        <v>1085</v>
      </c>
      <c r="H724" s="99"/>
      <c r="I724" s="247">
        <v>31378</v>
      </c>
      <c r="J724" s="101">
        <v>1</v>
      </c>
      <c r="K724" s="101"/>
      <c r="L724" s="101">
        <v>1</v>
      </c>
      <c r="M724" s="101"/>
      <c r="N724" s="101"/>
      <c r="O724" s="101"/>
      <c r="P724" s="101"/>
      <c r="Q724" s="101"/>
      <c r="R724" s="101"/>
      <c r="S724" s="101"/>
      <c r="T724" s="101"/>
      <c r="U724" s="99" t="s">
        <v>1143</v>
      </c>
      <c r="V724" s="99" t="s">
        <v>513</v>
      </c>
      <c r="W724" s="103" t="s">
        <v>279</v>
      </c>
      <c r="X724" s="99" t="s">
        <v>227</v>
      </c>
      <c r="Y724" s="99"/>
      <c r="Z724" s="99"/>
      <c r="AA724" s="99" t="s">
        <v>3924</v>
      </c>
      <c r="AB724" s="99" t="s">
        <v>2371</v>
      </c>
      <c r="AC724" s="101">
        <v>1</v>
      </c>
      <c r="AD724" s="101"/>
      <c r="AE724" s="101"/>
      <c r="AF724" s="101"/>
      <c r="AG724" s="101"/>
      <c r="AH724" s="99"/>
      <c r="AI724" s="105"/>
    </row>
    <row r="725" spans="1:35" ht="31.5">
      <c r="A725" s="98"/>
      <c r="B725" s="99"/>
      <c r="C725" s="53" t="s">
        <v>3230</v>
      </c>
      <c r="D725" s="53" t="s">
        <v>79</v>
      </c>
      <c r="E725" s="53" t="s">
        <v>80</v>
      </c>
      <c r="F725" s="99" t="s">
        <v>312</v>
      </c>
      <c r="G725" s="99" t="s">
        <v>2269</v>
      </c>
      <c r="H725" s="99" t="s">
        <v>144</v>
      </c>
      <c r="I725" s="247">
        <v>24007</v>
      </c>
      <c r="J725" s="101">
        <v>1</v>
      </c>
      <c r="K725" s="101"/>
      <c r="L725" s="101">
        <v>1</v>
      </c>
      <c r="M725" s="101"/>
      <c r="N725" s="101"/>
      <c r="O725" s="101"/>
      <c r="P725" s="101"/>
      <c r="Q725" s="101"/>
      <c r="R725" s="101"/>
      <c r="S725" s="101"/>
      <c r="T725" s="101"/>
      <c r="U725" s="99" t="s">
        <v>1143</v>
      </c>
      <c r="V725" s="99" t="s">
        <v>513</v>
      </c>
      <c r="W725" s="103" t="s">
        <v>279</v>
      </c>
      <c r="X725" s="99" t="s">
        <v>227</v>
      </c>
      <c r="Y725" s="99"/>
      <c r="Z725" s="99"/>
      <c r="AA725" s="99" t="s">
        <v>3924</v>
      </c>
      <c r="AB725" s="99"/>
      <c r="AC725" s="101"/>
      <c r="AD725" s="101"/>
      <c r="AE725" s="101"/>
      <c r="AF725" s="101"/>
      <c r="AG725" s="101"/>
      <c r="AH725" s="99"/>
      <c r="AI725" s="105"/>
    </row>
    <row r="726" spans="1:35" ht="31.5">
      <c r="A726" s="98"/>
      <c r="B726" s="99"/>
      <c r="C726" s="53" t="s">
        <v>3230</v>
      </c>
      <c r="D726" s="53" t="s">
        <v>79</v>
      </c>
      <c r="E726" s="53" t="s">
        <v>80</v>
      </c>
      <c r="F726" s="99" t="s">
        <v>3943</v>
      </c>
      <c r="G726" s="99" t="s">
        <v>3944</v>
      </c>
      <c r="H726" s="99" t="s">
        <v>144</v>
      </c>
      <c r="I726" s="247">
        <v>28132</v>
      </c>
      <c r="J726" s="101">
        <v>1</v>
      </c>
      <c r="K726" s="101"/>
      <c r="L726" s="101">
        <v>1</v>
      </c>
      <c r="M726" s="101"/>
      <c r="N726" s="101"/>
      <c r="O726" s="101"/>
      <c r="P726" s="101"/>
      <c r="Q726" s="101"/>
      <c r="R726" s="101"/>
      <c r="S726" s="101"/>
      <c r="T726" s="101"/>
      <c r="U726" s="99" t="s">
        <v>1143</v>
      </c>
      <c r="V726" s="99" t="s">
        <v>513</v>
      </c>
      <c r="W726" s="103" t="s">
        <v>279</v>
      </c>
      <c r="X726" s="99" t="s">
        <v>227</v>
      </c>
      <c r="Y726" s="99"/>
      <c r="Z726" s="99"/>
      <c r="AA726" s="99" t="s">
        <v>3924</v>
      </c>
      <c r="AB726" s="99"/>
      <c r="AC726" s="101"/>
      <c r="AD726" s="101"/>
      <c r="AE726" s="101"/>
      <c r="AF726" s="101"/>
      <c r="AG726" s="101"/>
      <c r="AH726" s="99"/>
      <c r="AI726" s="105"/>
    </row>
    <row r="727" spans="1:35" ht="31.5">
      <c r="A727" s="98"/>
      <c r="B727" s="99"/>
      <c r="C727" s="53" t="s">
        <v>3230</v>
      </c>
      <c r="D727" s="53" t="s">
        <v>79</v>
      </c>
      <c r="E727" s="53" t="s">
        <v>80</v>
      </c>
      <c r="F727" s="99" t="s">
        <v>3927</v>
      </c>
      <c r="G727" s="99" t="s">
        <v>2378</v>
      </c>
      <c r="H727" s="99" t="s">
        <v>126</v>
      </c>
      <c r="I727" s="247">
        <v>27672</v>
      </c>
      <c r="J727" s="101">
        <v>1</v>
      </c>
      <c r="K727" s="101"/>
      <c r="L727" s="101">
        <v>1</v>
      </c>
      <c r="M727" s="101"/>
      <c r="N727" s="101"/>
      <c r="O727" s="101"/>
      <c r="P727" s="101"/>
      <c r="Q727" s="101"/>
      <c r="R727" s="101"/>
      <c r="S727" s="101"/>
      <c r="T727" s="101"/>
      <c r="U727" s="99" t="s">
        <v>868</v>
      </c>
      <c r="V727" s="99" t="s">
        <v>513</v>
      </c>
      <c r="W727" s="103" t="s">
        <v>279</v>
      </c>
      <c r="X727" s="99" t="s">
        <v>227</v>
      </c>
      <c r="Y727" s="99"/>
      <c r="Z727" s="99"/>
      <c r="AA727" s="99" t="s">
        <v>3939</v>
      </c>
      <c r="AB727" s="99" t="s">
        <v>2371</v>
      </c>
      <c r="AC727" s="101">
        <v>1</v>
      </c>
      <c r="AD727" s="101"/>
      <c r="AE727" s="101"/>
      <c r="AF727" s="101"/>
      <c r="AG727" s="101"/>
      <c r="AH727" s="99"/>
      <c r="AI727" s="105"/>
    </row>
    <row r="728" spans="1:35" ht="31.5">
      <c r="A728" s="98"/>
      <c r="B728" s="99"/>
      <c r="C728" s="53" t="s">
        <v>3230</v>
      </c>
      <c r="D728" s="53" t="s">
        <v>79</v>
      </c>
      <c r="E728" s="53" t="s">
        <v>80</v>
      </c>
      <c r="F728" s="99" t="s">
        <v>3928</v>
      </c>
      <c r="G728" s="99" t="s">
        <v>695</v>
      </c>
      <c r="H728" s="99" t="s">
        <v>202</v>
      </c>
      <c r="I728" s="247">
        <v>26667</v>
      </c>
      <c r="J728" s="101"/>
      <c r="K728" s="101">
        <v>1</v>
      </c>
      <c r="L728" s="101">
        <v>1</v>
      </c>
      <c r="M728" s="101"/>
      <c r="N728" s="101"/>
      <c r="O728" s="101"/>
      <c r="P728" s="101"/>
      <c r="Q728" s="101"/>
      <c r="R728" s="101"/>
      <c r="S728" s="101"/>
      <c r="T728" s="101"/>
      <c r="U728" s="99" t="s">
        <v>868</v>
      </c>
      <c r="V728" s="99" t="s">
        <v>513</v>
      </c>
      <c r="W728" s="103" t="s">
        <v>279</v>
      </c>
      <c r="X728" s="99" t="s">
        <v>227</v>
      </c>
      <c r="Y728" s="99"/>
      <c r="Z728" s="99"/>
      <c r="AA728" s="99" t="s">
        <v>3939</v>
      </c>
      <c r="AB728" s="99"/>
      <c r="AC728" s="101"/>
      <c r="AD728" s="101"/>
      <c r="AE728" s="101"/>
      <c r="AF728" s="101"/>
      <c r="AG728" s="101"/>
      <c r="AH728" s="99"/>
      <c r="AI728" s="105"/>
    </row>
    <row r="729" spans="1:35" ht="31.5">
      <c r="A729" s="98"/>
      <c r="B729" s="99"/>
      <c r="C729" s="53" t="s">
        <v>3230</v>
      </c>
      <c r="D729" s="53" t="s">
        <v>79</v>
      </c>
      <c r="E729" s="53" t="s">
        <v>80</v>
      </c>
      <c r="F729" s="99" t="s">
        <v>3929</v>
      </c>
      <c r="G729" s="99" t="s">
        <v>3930</v>
      </c>
      <c r="H729" s="99" t="s">
        <v>588</v>
      </c>
      <c r="I729" s="247"/>
      <c r="J729" s="101">
        <v>1</v>
      </c>
      <c r="K729" s="101"/>
      <c r="L729" s="101">
        <v>1</v>
      </c>
      <c r="M729" s="101"/>
      <c r="N729" s="101"/>
      <c r="O729" s="101"/>
      <c r="P729" s="101"/>
      <c r="Q729" s="101"/>
      <c r="R729" s="101"/>
      <c r="S729" s="101"/>
      <c r="T729" s="101"/>
      <c r="U729" s="99" t="s">
        <v>868</v>
      </c>
      <c r="V729" s="99" t="s">
        <v>513</v>
      </c>
      <c r="W729" s="103" t="s">
        <v>279</v>
      </c>
      <c r="X729" s="99" t="s">
        <v>227</v>
      </c>
      <c r="Y729" s="99"/>
      <c r="Z729" s="99"/>
      <c r="AA729" s="99" t="s">
        <v>3939</v>
      </c>
      <c r="AB729" s="99"/>
      <c r="AC729" s="101"/>
      <c r="AD729" s="101"/>
      <c r="AE729" s="101"/>
      <c r="AF729" s="101"/>
      <c r="AG729" s="101"/>
      <c r="AH729" s="99"/>
      <c r="AI729" s="105"/>
    </row>
    <row r="730" spans="1:35" ht="31.5">
      <c r="A730" s="98"/>
      <c r="B730" s="99"/>
      <c r="C730" s="53" t="s">
        <v>3230</v>
      </c>
      <c r="D730" s="53" t="s">
        <v>79</v>
      </c>
      <c r="E730" s="53" t="s">
        <v>80</v>
      </c>
      <c r="F730" s="99" t="s">
        <v>3931</v>
      </c>
      <c r="G730" s="99" t="s">
        <v>3932</v>
      </c>
      <c r="H730" s="99" t="s">
        <v>588</v>
      </c>
      <c r="I730" s="247">
        <v>27053</v>
      </c>
      <c r="J730" s="101">
        <v>1</v>
      </c>
      <c r="K730" s="101"/>
      <c r="L730" s="101">
        <v>1</v>
      </c>
      <c r="M730" s="101"/>
      <c r="N730" s="101"/>
      <c r="O730" s="101"/>
      <c r="P730" s="101"/>
      <c r="Q730" s="101"/>
      <c r="R730" s="101"/>
      <c r="S730" s="101"/>
      <c r="T730" s="101"/>
      <c r="U730" s="99" t="s">
        <v>868</v>
      </c>
      <c r="V730" s="99" t="s">
        <v>513</v>
      </c>
      <c r="W730" s="103" t="s">
        <v>279</v>
      </c>
      <c r="X730" s="99" t="s">
        <v>227</v>
      </c>
      <c r="Y730" s="99"/>
      <c r="Z730" s="99"/>
      <c r="AA730" s="99" t="s">
        <v>3940</v>
      </c>
      <c r="AB730" s="99" t="s">
        <v>2371</v>
      </c>
      <c r="AC730" s="101">
        <v>1</v>
      </c>
      <c r="AD730" s="101"/>
      <c r="AE730" s="101"/>
      <c r="AF730" s="101"/>
      <c r="AG730" s="101"/>
      <c r="AH730" s="99"/>
      <c r="AI730" s="105"/>
    </row>
    <row r="731" spans="1:35" ht="31.5">
      <c r="A731" s="98"/>
      <c r="B731" s="99"/>
      <c r="C731" s="53" t="s">
        <v>3230</v>
      </c>
      <c r="D731" s="53" t="s">
        <v>79</v>
      </c>
      <c r="E731" s="53" t="s">
        <v>80</v>
      </c>
      <c r="F731" s="99" t="s">
        <v>3933</v>
      </c>
      <c r="G731" s="99" t="s">
        <v>3934</v>
      </c>
      <c r="H731" s="99" t="s">
        <v>283</v>
      </c>
      <c r="I731" s="247">
        <v>20950</v>
      </c>
      <c r="J731" s="101">
        <v>1</v>
      </c>
      <c r="K731" s="101"/>
      <c r="L731" s="101">
        <v>1</v>
      </c>
      <c r="M731" s="101"/>
      <c r="N731" s="101"/>
      <c r="O731" s="101"/>
      <c r="P731" s="101"/>
      <c r="Q731" s="101"/>
      <c r="R731" s="101"/>
      <c r="S731" s="101"/>
      <c r="T731" s="101"/>
      <c r="U731" s="99" t="s">
        <v>868</v>
      </c>
      <c r="V731" s="99" t="s">
        <v>513</v>
      </c>
      <c r="W731" s="103" t="s">
        <v>279</v>
      </c>
      <c r="X731" s="99" t="s">
        <v>227</v>
      </c>
      <c r="Y731" s="99"/>
      <c r="Z731" s="99"/>
      <c r="AA731" s="99" t="s">
        <v>3940</v>
      </c>
      <c r="AB731" s="99"/>
      <c r="AC731" s="101"/>
      <c r="AD731" s="101"/>
      <c r="AE731" s="101"/>
      <c r="AF731" s="101"/>
      <c r="AG731" s="101"/>
      <c r="AH731" s="99"/>
      <c r="AI731" s="105"/>
    </row>
    <row r="732" spans="1:35" ht="31.5">
      <c r="A732" s="98"/>
      <c r="B732" s="99"/>
      <c r="C732" s="53" t="s">
        <v>3230</v>
      </c>
      <c r="D732" s="53" t="s">
        <v>79</v>
      </c>
      <c r="E732" s="53" t="s">
        <v>80</v>
      </c>
      <c r="F732" s="99" t="s">
        <v>3935</v>
      </c>
      <c r="G732" s="99" t="s">
        <v>3572</v>
      </c>
      <c r="H732" s="99" t="s">
        <v>113</v>
      </c>
      <c r="I732" s="247">
        <v>19739</v>
      </c>
      <c r="J732" s="101">
        <v>1</v>
      </c>
      <c r="K732" s="101"/>
      <c r="L732" s="101">
        <v>1</v>
      </c>
      <c r="M732" s="101"/>
      <c r="N732" s="101"/>
      <c r="O732" s="101">
        <v>1</v>
      </c>
      <c r="P732" s="101"/>
      <c r="Q732" s="101"/>
      <c r="R732" s="101"/>
      <c r="S732" s="101"/>
      <c r="T732" s="101"/>
      <c r="U732" s="99" t="s">
        <v>868</v>
      </c>
      <c r="V732" s="99" t="s">
        <v>513</v>
      </c>
      <c r="W732" s="103" t="s">
        <v>279</v>
      </c>
      <c r="X732" s="99" t="s">
        <v>227</v>
      </c>
      <c r="Y732" s="99"/>
      <c r="Z732" s="99"/>
      <c r="AA732" s="99" t="s">
        <v>3940</v>
      </c>
      <c r="AB732" s="99"/>
      <c r="AC732" s="101"/>
      <c r="AD732" s="101"/>
      <c r="AE732" s="101"/>
      <c r="AF732" s="101"/>
      <c r="AG732" s="101"/>
      <c r="AH732" s="99"/>
      <c r="AI732" s="105"/>
    </row>
    <row r="733" spans="1:35" ht="31.5">
      <c r="A733" s="98"/>
      <c r="B733" s="99"/>
      <c r="C733" s="53" t="s">
        <v>3230</v>
      </c>
      <c r="D733" s="53" t="s">
        <v>79</v>
      </c>
      <c r="E733" s="53" t="s">
        <v>80</v>
      </c>
      <c r="F733" s="99" t="s">
        <v>2789</v>
      </c>
      <c r="G733" s="99" t="s">
        <v>323</v>
      </c>
      <c r="H733" s="99" t="s">
        <v>1040</v>
      </c>
      <c r="I733" s="247">
        <v>30352</v>
      </c>
      <c r="J733" s="101">
        <v>1</v>
      </c>
      <c r="K733" s="101"/>
      <c r="L733" s="101">
        <v>1</v>
      </c>
      <c r="M733" s="101"/>
      <c r="N733" s="101"/>
      <c r="O733" s="101"/>
      <c r="P733" s="101"/>
      <c r="Q733" s="101"/>
      <c r="R733" s="101"/>
      <c r="S733" s="101"/>
      <c r="T733" s="101"/>
      <c r="U733" s="99" t="s">
        <v>868</v>
      </c>
      <c r="V733" s="99" t="s">
        <v>513</v>
      </c>
      <c r="W733" s="103" t="s">
        <v>279</v>
      </c>
      <c r="X733" s="99" t="s">
        <v>227</v>
      </c>
      <c r="Y733" s="99"/>
      <c r="Z733" s="99"/>
      <c r="AA733" s="99" t="s">
        <v>3941</v>
      </c>
      <c r="AB733" s="99" t="s">
        <v>2371</v>
      </c>
      <c r="AC733" s="101">
        <v>1</v>
      </c>
      <c r="AD733" s="101"/>
      <c r="AE733" s="101"/>
      <c r="AF733" s="101"/>
      <c r="AG733" s="101"/>
      <c r="AH733" s="99"/>
      <c r="AI733" s="105"/>
    </row>
    <row r="734" spans="1:35" ht="31.5">
      <c r="A734" s="98"/>
      <c r="B734" s="99"/>
      <c r="C734" s="53" t="s">
        <v>3230</v>
      </c>
      <c r="D734" s="53" t="s">
        <v>79</v>
      </c>
      <c r="E734" s="53" t="s">
        <v>80</v>
      </c>
      <c r="F734" s="99" t="s">
        <v>3936</v>
      </c>
      <c r="G734" s="99" t="s">
        <v>2550</v>
      </c>
      <c r="H734" s="99" t="s">
        <v>115</v>
      </c>
      <c r="I734" s="247">
        <v>28198</v>
      </c>
      <c r="J734" s="101">
        <v>1</v>
      </c>
      <c r="K734" s="101"/>
      <c r="L734" s="101">
        <v>1</v>
      </c>
      <c r="M734" s="101"/>
      <c r="N734" s="101"/>
      <c r="O734" s="101"/>
      <c r="P734" s="101"/>
      <c r="Q734" s="101"/>
      <c r="R734" s="101"/>
      <c r="S734" s="101"/>
      <c r="T734" s="101"/>
      <c r="U734" s="99" t="s">
        <v>868</v>
      </c>
      <c r="V734" s="99" t="s">
        <v>513</v>
      </c>
      <c r="W734" s="103" t="s">
        <v>279</v>
      </c>
      <c r="X734" s="99" t="s">
        <v>227</v>
      </c>
      <c r="Y734" s="99"/>
      <c r="Z734" s="99"/>
      <c r="AA734" s="99" t="s">
        <v>3941</v>
      </c>
      <c r="AB734" s="99"/>
      <c r="AC734" s="101"/>
      <c r="AD734" s="101"/>
      <c r="AE734" s="101"/>
      <c r="AF734" s="101"/>
      <c r="AG734" s="101"/>
      <c r="AH734" s="99"/>
      <c r="AI734" s="105"/>
    </row>
    <row r="735" spans="1:35" ht="31.5">
      <c r="A735" s="98"/>
      <c r="B735" s="99"/>
      <c r="C735" s="53" t="s">
        <v>3230</v>
      </c>
      <c r="D735" s="53" t="s">
        <v>79</v>
      </c>
      <c r="E735" s="53" t="s">
        <v>80</v>
      </c>
      <c r="F735" s="99" t="s">
        <v>3937</v>
      </c>
      <c r="G735" s="99" t="s">
        <v>3938</v>
      </c>
      <c r="H735" s="99" t="s">
        <v>160</v>
      </c>
      <c r="I735" s="247">
        <v>27617</v>
      </c>
      <c r="J735" s="101"/>
      <c r="K735" s="101">
        <v>1</v>
      </c>
      <c r="L735" s="101">
        <v>1</v>
      </c>
      <c r="M735" s="101"/>
      <c r="N735" s="101"/>
      <c r="O735" s="101"/>
      <c r="P735" s="101"/>
      <c r="Q735" s="101"/>
      <c r="R735" s="101"/>
      <c r="S735" s="101"/>
      <c r="T735" s="101"/>
      <c r="U735" s="99" t="s">
        <v>868</v>
      </c>
      <c r="V735" s="99" t="s">
        <v>513</v>
      </c>
      <c r="W735" s="103" t="s">
        <v>279</v>
      </c>
      <c r="X735" s="99" t="s">
        <v>227</v>
      </c>
      <c r="Y735" s="99"/>
      <c r="Z735" s="99"/>
      <c r="AA735" s="99" t="s">
        <v>3941</v>
      </c>
      <c r="AB735" s="99"/>
      <c r="AC735" s="101"/>
      <c r="AD735" s="101"/>
      <c r="AE735" s="101"/>
      <c r="AF735" s="101"/>
      <c r="AG735" s="101"/>
      <c r="AH735" s="99"/>
      <c r="AI735" s="105"/>
    </row>
    <row r="736" spans="1:35" ht="31.5">
      <c r="A736" s="98"/>
      <c r="B736" s="99"/>
      <c r="C736" s="53" t="s">
        <v>3230</v>
      </c>
      <c r="D736" s="53" t="s">
        <v>79</v>
      </c>
      <c r="E736" s="53" t="s">
        <v>80</v>
      </c>
      <c r="F736" s="99" t="s">
        <v>926</v>
      </c>
      <c r="G736" s="99" t="s">
        <v>3942</v>
      </c>
      <c r="H736" s="99"/>
      <c r="I736" s="247">
        <v>19806</v>
      </c>
      <c r="J736" s="101">
        <v>1</v>
      </c>
      <c r="K736" s="101"/>
      <c r="L736" s="101">
        <v>1</v>
      </c>
      <c r="M736" s="101"/>
      <c r="N736" s="101"/>
      <c r="O736" s="101"/>
      <c r="P736" s="101"/>
      <c r="Q736" s="101"/>
      <c r="R736" s="101"/>
      <c r="S736" s="101"/>
      <c r="T736" s="101"/>
      <c r="U736" s="99" t="s">
        <v>1142</v>
      </c>
      <c r="V736" s="99" t="s">
        <v>513</v>
      </c>
      <c r="W736" s="103" t="s">
        <v>279</v>
      </c>
      <c r="X736" s="99" t="s">
        <v>227</v>
      </c>
      <c r="Y736" s="99"/>
      <c r="Z736" s="99"/>
      <c r="AA736" s="99" t="s">
        <v>3945</v>
      </c>
      <c r="AB736" s="99" t="s">
        <v>2371</v>
      </c>
      <c r="AC736" s="101">
        <v>1</v>
      </c>
      <c r="AD736" s="101"/>
      <c r="AE736" s="101"/>
      <c r="AF736" s="101"/>
      <c r="AG736" s="101"/>
      <c r="AH736" s="99"/>
      <c r="AI736" s="105"/>
    </row>
    <row r="737" spans="1:35" ht="31.5">
      <c r="A737" s="98"/>
      <c r="B737" s="99"/>
      <c r="C737" s="53" t="s">
        <v>3230</v>
      </c>
      <c r="D737" s="53" t="s">
        <v>79</v>
      </c>
      <c r="E737" s="53" t="s">
        <v>80</v>
      </c>
      <c r="F737" s="99" t="s">
        <v>3023</v>
      </c>
      <c r="G737" s="99" t="s">
        <v>795</v>
      </c>
      <c r="H737" s="99"/>
      <c r="I737" s="247">
        <v>27632</v>
      </c>
      <c r="J737" s="101">
        <v>1</v>
      </c>
      <c r="K737" s="101"/>
      <c r="L737" s="101">
        <v>1</v>
      </c>
      <c r="M737" s="101"/>
      <c r="N737" s="101"/>
      <c r="O737" s="101"/>
      <c r="P737" s="101"/>
      <c r="Q737" s="101"/>
      <c r="R737" s="101"/>
      <c r="S737" s="101"/>
      <c r="T737" s="101"/>
      <c r="U737" s="99" t="s">
        <v>1142</v>
      </c>
      <c r="V737" s="99" t="s">
        <v>513</v>
      </c>
      <c r="W737" s="103" t="s">
        <v>279</v>
      </c>
      <c r="X737" s="99" t="s">
        <v>227</v>
      </c>
      <c r="Y737" s="99"/>
      <c r="Z737" s="99"/>
      <c r="AA737" s="99" t="s">
        <v>3945</v>
      </c>
      <c r="AB737" s="99"/>
      <c r="AC737" s="101"/>
      <c r="AD737" s="101"/>
      <c r="AE737" s="101"/>
      <c r="AF737" s="101"/>
      <c r="AG737" s="101"/>
      <c r="AH737" s="99"/>
      <c r="AI737" s="105"/>
    </row>
    <row r="738" spans="1:35" ht="31.5">
      <c r="A738" s="98"/>
      <c r="B738" s="99"/>
      <c r="C738" s="53" t="s">
        <v>3230</v>
      </c>
      <c r="D738" s="53" t="s">
        <v>79</v>
      </c>
      <c r="E738" s="53" t="s">
        <v>80</v>
      </c>
      <c r="F738" s="99" t="s">
        <v>322</v>
      </c>
      <c r="G738" s="99" t="s">
        <v>3841</v>
      </c>
      <c r="H738" s="99"/>
      <c r="I738" s="247">
        <v>20348</v>
      </c>
      <c r="J738" s="101">
        <v>1</v>
      </c>
      <c r="K738" s="101"/>
      <c r="L738" s="101">
        <v>1</v>
      </c>
      <c r="M738" s="101"/>
      <c r="N738" s="101"/>
      <c r="O738" s="101">
        <v>1</v>
      </c>
      <c r="P738" s="101"/>
      <c r="Q738" s="101"/>
      <c r="R738" s="101"/>
      <c r="S738" s="101"/>
      <c r="T738" s="101"/>
      <c r="U738" s="99" t="s">
        <v>1142</v>
      </c>
      <c r="V738" s="99" t="s">
        <v>513</v>
      </c>
      <c r="W738" s="103" t="s">
        <v>279</v>
      </c>
      <c r="X738" s="99" t="s">
        <v>227</v>
      </c>
      <c r="Y738" s="99"/>
      <c r="Z738" s="99"/>
      <c r="AA738" s="99" t="s">
        <v>3945</v>
      </c>
      <c r="AB738" s="99"/>
      <c r="AC738" s="101"/>
      <c r="AD738" s="101"/>
      <c r="AE738" s="101"/>
      <c r="AF738" s="101"/>
      <c r="AG738" s="101"/>
      <c r="AH738" s="99"/>
      <c r="AI738" s="105"/>
    </row>
    <row r="739" spans="1:35">
      <c r="A739" s="14"/>
      <c r="B739" s="20"/>
      <c r="C739" s="20"/>
      <c r="D739" s="20"/>
      <c r="E739" s="20"/>
      <c r="F739" s="20"/>
      <c r="G739" s="20"/>
      <c r="H739" s="20"/>
      <c r="I739" s="211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0"/>
      <c r="V739" s="20"/>
      <c r="W739" s="53"/>
      <c r="X739" s="20"/>
      <c r="Y739" s="20"/>
      <c r="Z739" s="20"/>
      <c r="AA739" s="20"/>
      <c r="AB739" s="20"/>
      <c r="AC739" s="24"/>
      <c r="AD739" s="24"/>
      <c r="AE739" s="24"/>
      <c r="AF739" s="24"/>
      <c r="AG739" s="24"/>
      <c r="AH739" s="20"/>
      <c r="AI739" s="42"/>
    </row>
    <row r="740" spans="1:35">
      <c r="A740" s="14"/>
      <c r="B740" s="20"/>
      <c r="C740" s="20"/>
      <c r="D740" s="20"/>
      <c r="E740" s="20"/>
      <c r="F740" s="20"/>
      <c r="G740" s="20"/>
      <c r="H740" s="20"/>
      <c r="I740" s="211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0"/>
      <c r="V740" s="20"/>
      <c r="W740" s="53"/>
      <c r="X740" s="20"/>
      <c r="Y740" s="20"/>
      <c r="Z740" s="20"/>
      <c r="AA740" s="20"/>
      <c r="AB740" s="20"/>
      <c r="AC740" s="24"/>
      <c r="AD740" s="24"/>
      <c r="AE740" s="24"/>
      <c r="AF740" s="24"/>
      <c r="AG740" s="24"/>
      <c r="AH740" s="20"/>
      <c r="AI740" s="42"/>
    </row>
    <row r="741" spans="1:35">
      <c r="A741" s="14"/>
      <c r="B741" s="20"/>
      <c r="C741" s="20"/>
      <c r="D741" s="20"/>
      <c r="E741" s="20"/>
      <c r="F741" s="20"/>
      <c r="G741" s="20"/>
      <c r="H741" s="20"/>
      <c r="I741" s="211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0"/>
      <c r="V741" s="20"/>
      <c r="W741" s="53"/>
      <c r="X741" s="20"/>
      <c r="Y741" s="20"/>
      <c r="Z741" s="20"/>
      <c r="AA741" s="20"/>
      <c r="AB741" s="20"/>
      <c r="AC741" s="24"/>
      <c r="AD741" s="24"/>
      <c r="AE741" s="24"/>
      <c r="AF741" s="24"/>
      <c r="AG741" s="24"/>
      <c r="AH741" s="20"/>
      <c r="AI741" s="42"/>
    </row>
    <row r="742" spans="1:35">
      <c r="A742" s="14"/>
      <c r="B742" s="20"/>
      <c r="C742" s="20"/>
      <c r="D742" s="20"/>
      <c r="E742" s="20"/>
      <c r="F742" s="20"/>
      <c r="G742" s="20"/>
      <c r="H742" s="20"/>
      <c r="I742" s="211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0"/>
      <c r="V742" s="20"/>
      <c r="W742" s="53"/>
      <c r="X742" s="20"/>
      <c r="Y742" s="20"/>
      <c r="Z742" s="20"/>
      <c r="AA742" s="20"/>
      <c r="AB742" s="20"/>
      <c r="AC742" s="24"/>
      <c r="AD742" s="24"/>
      <c r="AE742" s="24"/>
      <c r="AF742" s="24"/>
      <c r="AG742" s="24"/>
      <c r="AH742" s="20"/>
      <c r="AI742" s="42"/>
    </row>
    <row r="743" spans="1:35">
      <c r="A743" s="14"/>
      <c r="B743" s="20"/>
      <c r="C743" s="20"/>
      <c r="D743" s="20"/>
      <c r="E743" s="20"/>
      <c r="F743" s="20"/>
      <c r="G743" s="20"/>
      <c r="H743" s="20"/>
      <c r="I743" s="211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0"/>
      <c r="V743" s="20"/>
      <c r="W743" s="53"/>
      <c r="X743" s="20"/>
      <c r="Y743" s="20"/>
      <c r="Z743" s="20"/>
      <c r="AA743" s="20"/>
      <c r="AB743" s="20"/>
      <c r="AC743" s="24"/>
      <c r="AD743" s="24"/>
      <c r="AE743" s="24"/>
      <c r="AF743" s="24"/>
      <c r="AG743" s="24"/>
      <c r="AH743" s="20"/>
      <c r="AI743" s="42"/>
    </row>
    <row r="744" spans="1:35">
      <c r="A744" s="14"/>
      <c r="B744" s="20"/>
      <c r="C744" s="20"/>
      <c r="D744" s="20"/>
      <c r="E744" s="20"/>
      <c r="F744" s="20"/>
      <c r="G744" s="20"/>
      <c r="H744" s="20"/>
      <c r="I744" s="211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0"/>
      <c r="V744" s="20"/>
      <c r="W744" s="53"/>
      <c r="X744" s="20"/>
      <c r="Y744" s="20"/>
      <c r="Z744" s="20"/>
      <c r="AA744" s="20"/>
      <c r="AB744" s="20"/>
      <c r="AC744" s="24"/>
      <c r="AD744" s="24"/>
      <c r="AE744" s="24"/>
      <c r="AF744" s="24"/>
      <c r="AG744" s="24"/>
      <c r="AH744" s="20"/>
      <c r="AI744" s="42"/>
    </row>
    <row r="745" spans="1:35">
      <c r="A745" s="14"/>
      <c r="B745" s="20"/>
      <c r="C745" s="20"/>
      <c r="D745" s="20"/>
      <c r="E745" s="20"/>
      <c r="F745" s="20"/>
      <c r="G745" s="20"/>
      <c r="H745" s="20"/>
      <c r="I745" s="211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0"/>
      <c r="V745" s="20"/>
      <c r="W745" s="53"/>
      <c r="X745" s="20"/>
      <c r="Y745" s="20"/>
      <c r="Z745" s="20"/>
      <c r="AA745" s="20"/>
      <c r="AB745" s="20"/>
      <c r="AC745" s="24"/>
      <c r="AD745" s="24"/>
      <c r="AE745" s="24"/>
      <c r="AF745" s="24"/>
      <c r="AG745" s="24"/>
      <c r="AH745" s="20"/>
      <c r="AI745" s="42"/>
    </row>
    <row r="746" spans="1:35">
      <c r="A746" s="14"/>
      <c r="B746" s="20"/>
      <c r="C746" s="20"/>
      <c r="D746" s="20"/>
      <c r="E746" s="20"/>
      <c r="F746" s="20"/>
      <c r="G746" s="20"/>
      <c r="H746" s="20"/>
      <c r="I746" s="211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0"/>
      <c r="V746" s="20"/>
      <c r="W746" s="53"/>
      <c r="X746" s="20"/>
      <c r="Y746" s="20"/>
      <c r="Z746" s="20"/>
      <c r="AA746" s="20"/>
      <c r="AB746" s="20"/>
      <c r="AC746" s="24"/>
      <c r="AD746" s="24"/>
      <c r="AE746" s="24"/>
      <c r="AF746" s="24"/>
      <c r="AG746" s="24"/>
      <c r="AH746" s="20"/>
      <c r="AI746" s="42"/>
    </row>
    <row r="747" spans="1:35">
      <c r="A747" s="14"/>
      <c r="B747" s="20"/>
      <c r="C747" s="20"/>
      <c r="D747" s="20"/>
      <c r="E747" s="20"/>
      <c r="F747" s="20"/>
      <c r="G747" s="20"/>
      <c r="H747" s="20"/>
      <c r="I747" s="211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0"/>
      <c r="V747" s="20"/>
      <c r="W747" s="53"/>
      <c r="X747" s="20"/>
      <c r="Y747" s="20"/>
      <c r="Z747" s="20"/>
      <c r="AA747" s="20"/>
      <c r="AB747" s="20"/>
      <c r="AC747" s="24"/>
      <c r="AD747" s="24"/>
      <c r="AE747" s="24"/>
      <c r="AF747" s="24"/>
      <c r="AG747" s="24"/>
      <c r="AH747" s="20"/>
      <c r="AI747" s="42"/>
    </row>
    <row r="748" spans="1:35">
      <c r="A748" s="14"/>
      <c r="B748" s="20"/>
      <c r="C748" s="20"/>
      <c r="D748" s="20"/>
      <c r="E748" s="20"/>
      <c r="F748" s="20"/>
      <c r="G748" s="20"/>
      <c r="H748" s="20"/>
      <c r="I748" s="211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0"/>
      <c r="V748" s="20"/>
      <c r="W748" s="53"/>
      <c r="X748" s="20"/>
      <c r="Y748" s="20"/>
      <c r="Z748" s="20"/>
      <c r="AA748" s="20"/>
      <c r="AB748" s="20"/>
      <c r="AC748" s="24"/>
      <c r="AD748" s="24"/>
      <c r="AE748" s="24"/>
      <c r="AF748" s="24"/>
      <c r="AG748" s="24"/>
      <c r="AH748" s="20"/>
      <c r="AI748" s="42"/>
    </row>
    <row r="749" spans="1:35">
      <c r="A749" s="14"/>
      <c r="B749" s="20"/>
      <c r="C749" s="20"/>
      <c r="D749" s="20"/>
      <c r="E749" s="20"/>
      <c r="F749" s="20"/>
      <c r="G749" s="20"/>
      <c r="H749" s="20"/>
      <c r="I749" s="211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0"/>
      <c r="V749" s="20"/>
      <c r="W749" s="53"/>
      <c r="X749" s="20"/>
      <c r="Y749" s="20"/>
      <c r="Z749" s="20"/>
      <c r="AA749" s="20"/>
      <c r="AB749" s="20"/>
      <c r="AC749" s="24"/>
      <c r="AD749" s="24"/>
      <c r="AE749" s="24"/>
      <c r="AF749" s="24"/>
      <c r="AG749" s="24"/>
      <c r="AH749" s="20"/>
      <c r="AI749" s="42"/>
    </row>
    <row r="750" spans="1:35">
      <c r="A750" s="14"/>
      <c r="B750" s="20"/>
      <c r="C750" s="20"/>
      <c r="D750" s="20"/>
      <c r="E750" s="20"/>
      <c r="F750" s="20"/>
      <c r="G750" s="20"/>
      <c r="H750" s="20"/>
      <c r="I750" s="211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0"/>
      <c r="V750" s="20"/>
      <c r="W750" s="53"/>
      <c r="X750" s="20"/>
      <c r="Y750" s="20"/>
      <c r="Z750" s="20"/>
      <c r="AA750" s="20"/>
      <c r="AB750" s="20"/>
      <c r="AC750" s="24"/>
      <c r="AD750" s="24"/>
      <c r="AE750" s="24"/>
      <c r="AF750" s="24"/>
      <c r="AG750" s="24"/>
      <c r="AH750" s="20"/>
      <c r="AI750" s="42"/>
    </row>
    <row r="751" spans="1:35">
      <c r="A751" s="14"/>
      <c r="B751" s="20"/>
      <c r="C751" s="20"/>
      <c r="D751" s="20"/>
      <c r="E751" s="20"/>
      <c r="F751" s="20"/>
      <c r="G751" s="20"/>
      <c r="H751" s="20"/>
      <c r="I751" s="211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0"/>
      <c r="V751" s="20"/>
      <c r="W751" s="53"/>
      <c r="X751" s="20"/>
      <c r="Y751" s="20"/>
      <c r="Z751" s="20"/>
      <c r="AA751" s="20"/>
      <c r="AB751" s="20"/>
      <c r="AC751" s="24"/>
      <c r="AD751" s="24"/>
      <c r="AE751" s="24"/>
      <c r="AF751" s="24"/>
      <c r="AG751" s="24"/>
      <c r="AH751" s="20"/>
      <c r="AI751" s="42"/>
    </row>
    <row r="752" spans="1:35">
      <c r="A752" s="14"/>
      <c r="B752" s="20"/>
      <c r="C752" s="20"/>
      <c r="D752" s="20"/>
      <c r="E752" s="20"/>
      <c r="F752" s="20"/>
      <c r="G752" s="20"/>
      <c r="H752" s="20"/>
      <c r="I752" s="211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0"/>
      <c r="V752" s="20"/>
      <c r="W752" s="53"/>
      <c r="X752" s="20"/>
      <c r="Y752" s="20"/>
      <c r="Z752" s="20"/>
      <c r="AA752" s="20"/>
      <c r="AB752" s="20"/>
      <c r="AC752" s="24"/>
      <c r="AD752" s="24"/>
      <c r="AE752" s="24"/>
      <c r="AF752" s="24"/>
      <c r="AG752" s="24"/>
      <c r="AH752" s="20"/>
      <c r="AI752" s="42"/>
    </row>
    <row r="753" spans="1:35">
      <c r="A753" s="14"/>
      <c r="B753" s="20"/>
      <c r="C753" s="20"/>
      <c r="D753" s="20"/>
      <c r="E753" s="20"/>
      <c r="F753" s="20"/>
      <c r="G753" s="20"/>
      <c r="H753" s="20"/>
      <c r="I753" s="211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0"/>
      <c r="V753" s="20"/>
      <c r="W753" s="53"/>
      <c r="X753" s="20"/>
      <c r="Y753" s="20"/>
      <c r="Z753" s="20"/>
      <c r="AA753" s="20"/>
      <c r="AB753" s="20"/>
      <c r="AC753" s="24"/>
      <c r="AD753" s="24"/>
      <c r="AE753" s="24"/>
      <c r="AF753" s="24"/>
      <c r="AG753" s="24"/>
      <c r="AH753" s="20"/>
      <c r="AI753" s="42"/>
    </row>
    <row r="754" spans="1:35">
      <c r="A754" s="14"/>
      <c r="B754" s="20"/>
      <c r="C754" s="20"/>
      <c r="D754" s="20"/>
      <c r="E754" s="20"/>
      <c r="F754" s="20"/>
      <c r="G754" s="20"/>
      <c r="H754" s="20"/>
      <c r="I754" s="211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0"/>
      <c r="V754" s="20"/>
      <c r="W754" s="53"/>
      <c r="X754" s="20"/>
      <c r="Y754" s="20"/>
      <c r="Z754" s="20"/>
      <c r="AA754" s="20"/>
      <c r="AB754" s="20"/>
      <c r="AC754" s="24"/>
      <c r="AD754" s="24"/>
      <c r="AE754" s="24"/>
      <c r="AF754" s="24"/>
      <c r="AG754" s="24"/>
      <c r="AH754" s="20"/>
      <c r="AI754" s="42"/>
    </row>
    <row r="755" spans="1:35">
      <c r="A755" s="14"/>
      <c r="B755" s="20"/>
      <c r="C755" s="20"/>
      <c r="D755" s="20"/>
      <c r="E755" s="20"/>
      <c r="F755" s="20"/>
      <c r="G755" s="20"/>
      <c r="H755" s="20"/>
      <c r="I755" s="211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0"/>
      <c r="V755" s="20"/>
      <c r="W755" s="53"/>
      <c r="X755" s="20"/>
      <c r="Y755" s="20"/>
      <c r="Z755" s="20"/>
      <c r="AA755" s="20"/>
      <c r="AB755" s="20"/>
      <c r="AC755" s="24"/>
      <c r="AD755" s="24"/>
      <c r="AE755" s="24"/>
      <c r="AF755" s="24"/>
      <c r="AG755" s="24"/>
      <c r="AH755" s="20"/>
      <c r="AI755" s="42"/>
    </row>
    <row r="756" spans="1:35">
      <c r="A756" s="14"/>
      <c r="B756" s="20"/>
      <c r="C756" s="20"/>
      <c r="D756" s="20"/>
      <c r="E756" s="20"/>
      <c r="F756" s="20"/>
      <c r="G756" s="20"/>
      <c r="H756" s="20"/>
      <c r="I756" s="211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0"/>
      <c r="V756" s="20"/>
      <c r="W756" s="53"/>
      <c r="X756" s="20"/>
      <c r="Y756" s="20"/>
      <c r="Z756" s="20"/>
      <c r="AA756" s="20"/>
      <c r="AB756" s="20"/>
      <c r="AC756" s="24"/>
      <c r="AD756" s="24"/>
      <c r="AE756" s="24"/>
      <c r="AF756" s="24"/>
      <c r="AG756" s="24"/>
      <c r="AH756" s="20"/>
      <c r="AI756" s="42"/>
    </row>
    <row r="757" spans="1:35">
      <c r="A757" s="14"/>
      <c r="B757" s="20"/>
      <c r="C757" s="20"/>
      <c r="D757" s="20"/>
      <c r="E757" s="20"/>
      <c r="F757" s="20"/>
      <c r="G757" s="20"/>
      <c r="H757" s="20"/>
      <c r="I757" s="211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0"/>
      <c r="V757" s="20"/>
      <c r="W757" s="53"/>
      <c r="X757" s="20"/>
      <c r="Y757" s="20"/>
      <c r="Z757" s="20"/>
      <c r="AA757" s="20"/>
      <c r="AB757" s="20"/>
      <c r="AC757" s="24"/>
      <c r="AD757" s="24"/>
      <c r="AE757" s="24"/>
      <c r="AF757" s="24"/>
      <c r="AG757" s="24"/>
      <c r="AH757" s="20"/>
      <c r="AI757" s="42"/>
    </row>
    <row r="758" spans="1:35">
      <c r="A758" s="14"/>
      <c r="B758" s="20"/>
      <c r="C758" s="20"/>
      <c r="D758" s="20"/>
      <c r="E758" s="20"/>
      <c r="F758" s="20"/>
      <c r="G758" s="20"/>
      <c r="H758" s="20"/>
      <c r="I758" s="211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0"/>
      <c r="V758" s="20"/>
      <c r="W758" s="53"/>
      <c r="X758" s="20"/>
      <c r="Y758" s="20"/>
      <c r="Z758" s="20"/>
      <c r="AA758" s="20"/>
      <c r="AB758" s="20"/>
      <c r="AC758" s="24"/>
      <c r="AD758" s="24"/>
      <c r="AE758" s="24"/>
      <c r="AF758" s="24"/>
      <c r="AG758" s="24"/>
      <c r="AH758" s="20"/>
      <c r="AI758" s="42"/>
    </row>
    <row r="759" spans="1:35">
      <c r="A759" s="14"/>
      <c r="B759" s="20"/>
      <c r="C759" s="20"/>
      <c r="D759" s="20"/>
      <c r="E759" s="20"/>
      <c r="F759" s="20"/>
      <c r="G759" s="20"/>
      <c r="H759" s="20"/>
      <c r="I759" s="211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0"/>
      <c r="V759" s="20"/>
      <c r="W759" s="53"/>
      <c r="X759" s="20"/>
      <c r="Y759" s="20"/>
      <c r="Z759" s="20"/>
      <c r="AA759" s="20"/>
      <c r="AB759" s="20"/>
      <c r="AC759" s="24"/>
      <c r="AD759" s="24"/>
      <c r="AE759" s="24"/>
      <c r="AF759" s="24"/>
      <c r="AG759" s="24"/>
      <c r="AH759" s="20"/>
      <c r="AI759" s="42"/>
    </row>
    <row r="760" spans="1:35">
      <c r="A760" s="14"/>
      <c r="B760" s="20"/>
      <c r="C760" s="20"/>
      <c r="D760" s="20"/>
      <c r="E760" s="20"/>
      <c r="F760" s="20"/>
      <c r="G760" s="20"/>
      <c r="H760" s="20"/>
      <c r="I760" s="211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0"/>
      <c r="V760" s="20"/>
      <c r="W760" s="53"/>
      <c r="X760" s="20"/>
      <c r="Y760" s="20"/>
      <c r="Z760" s="20"/>
      <c r="AA760" s="20"/>
      <c r="AB760" s="20"/>
      <c r="AC760" s="24"/>
      <c r="AD760" s="24"/>
      <c r="AE760" s="24"/>
      <c r="AF760" s="24"/>
      <c r="AG760" s="24"/>
      <c r="AH760" s="20"/>
      <c r="AI760" s="42"/>
    </row>
    <row r="761" spans="1:35">
      <c r="A761" s="14"/>
      <c r="B761" s="20"/>
      <c r="C761" s="20"/>
      <c r="D761" s="20"/>
      <c r="E761" s="20"/>
      <c r="F761" s="20"/>
      <c r="G761" s="20"/>
      <c r="H761" s="20"/>
      <c r="I761" s="211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0"/>
      <c r="V761" s="20"/>
      <c r="W761" s="53"/>
      <c r="X761" s="20"/>
      <c r="Y761" s="20"/>
      <c r="Z761" s="20"/>
      <c r="AA761" s="20"/>
      <c r="AB761" s="20"/>
      <c r="AC761" s="24"/>
      <c r="AD761" s="24"/>
      <c r="AE761" s="24"/>
      <c r="AF761" s="24"/>
      <c r="AG761" s="24"/>
      <c r="AH761" s="20"/>
      <c r="AI761" s="42"/>
    </row>
    <row r="762" spans="1:35">
      <c r="A762" s="14"/>
      <c r="B762" s="20"/>
      <c r="C762" s="20"/>
      <c r="D762" s="20"/>
      <c r="E762" s="20"/>
      <c r="F762" s="20"/>
      <c r="G762" s="20"/>
      <c r="H762" s="20"/>
      <c r="I762" s="211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0"/>
      <c r="V762" s="20"/>
      <c r="W762" s="53"/>
      <c r="X762" s="20"/>
      <c r="Y762" s="20"/>
      <c r="Z762" s="20"/>
      <c r="AA762" s="20"/>
      <c r="AB762" s="20"/>
      <c r="AC762" s="24"/>
      <c r="AD762" s="24"/>
      <c r="AE762" s="24"/>
      <c r="AF762" s="24"/>
      <c r="AG762" s="24"/>
      <c r="AH762" s="20"/>
      <c r="AI762" s="42"/>
    </row>
    <row r="763" spans="1:35">
      <c r="A763" s="14"/>
      <c r="B763" s="20"/>
      <c r="C763" s="20"/>
      <c r="D763" s="20"/>
      <c r="E763" s="20"/>
      <c r="F763" s="20"/>
      <c r="G763" s="20"/>
      <c r="H763" s="20"/>
      <c r="I763" s="211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0"/>
      <c r="V763" s="20"/>
      <c r="W763" s="53"/>
      <c r="X763" s="20"/>
      <c r="Y763" s="20"/>
      <c r="Z763" s="20"/>
      <c r="AA763" s="20"/>
      <c r="AB763" s="20"/>
      <c r="AC763" s="24"/>
      <c r="AD763" s="24"/>
      <c r="AE763" s="24"/>
      <c r="AF763" s="24"/>
      <c r="AG763" s="24"/>
      <c r="AH763" s="20"/>
      <c r="AI763" s="42"/>
    </row>
    <row r="764" spans="1:35">
      <c r="A764" s="14"/>
      <c r="B764" s="20"/>
      <c r="C764" s="20"/>
      <c r="D764" s="20"/>
      <c r="E764" s="20"/>
      <c r="F764" s="20"/>
      <c r="G764" s="20"/>
      <c r="H764" s="20"/>
      <c r="I764" s="211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0"/>
      <c r="V764" s="20"/>
      <c r="W764" s="53"/>
      <c r="X764" s="20"/>
      <c r="Y764" s="20"/>
      <c r="Z764" s="20"/>
      <c r="AA764" s="20"/>
      <c r="AB764" s="20"/>
      <c r="AC764" s="24"/>
      <c r="AD764" s="24"/>
      <c r="AE764" s="24"/>
      <c r="AF764" s="24"/>
      <c r="AG764" s="24"/>
      <c r="AH764" s="20"/>
      <c r="AI764" s="42"/>
    </row>
    <row r="765" spans="1:35">
      <c r="A765" s="14"/>
      <c r="B765" s="20"/>
      <c r="C765" s="20"/>
      <c r="D765" s="20"/>
      <c r="E765" s="20"/>
      <c r="F765" s="20"/>
      <c r="G765" s="20"/>
      <c r="H765" s="20"/>
      <c r="I765" s="211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0"/>
      <c r="V765" s="20"/>
      <c r="W765" s="53"/>
      <c r="X765" s="20"/>
      <c r="Y765" s="20"/>
      <c r="Z765" s="20"/>
      <c r="AA765" s="20"/>
      <c r="AB765" s="20"/>
      <c r="AC765" s="24"/>
      <c r="AD765" s="24"/>
      <c r="AE765" s="24"/>
      <c r="AF765" s="24"/>
      <c r="AG765" s="24"/>
      <c r="AH765" s="20"/>
      <c r="AI765" s="42"/>
    </row>
    <row r="766" spans="1:35">
      <c r="A766" s="14"/>
      <c r="B766" s="20"/>
      <c r="C766" s="20"/>
      <c r="D766" s="20"/>
      <c r="E766" s="20"/>
      <c r="F766" s="20"/>
      <c r="G766" s="20"/>
      <c r="H766" s="20"/>
      <c r="I766" s="211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0"/>
      <c r="V766" s="20"/>
      <c r="W766" s="53"/>
      <c r="X766" s="20"/>
      <c r="Y766" s="20"/>
      <c r="Z766" s="20"/>
      <c r="AA766" s="20"/>
      <c r="AB766" s="20"/>
      <c r="AC766" s="24"/>
      <c r="AD766" s="24"/>
      <c r="AE766" s="24"/>
      <c r="AF766" s="24"/>
      <c r="AG766" s="24"/>
      <c r="AH766" s="20"/>
      <c r="AI766" s="42"/>
    </row>
    <row r="767" spans="1:35">
      <c r="A767" s="14"/>
      <c r="B767" s="20"/>
      <c r="C767" s="20"/>
      <c r="D767" s="20"/>
      <c r="E767" s="20"/>
      <c r="F767" s="20"/>
      <c r="G767" s="20"/>
      <c r="H767" s="20"/>
      <c r="I767" s="211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0"/>
      <c r="V767" s="20"/>
      <c r="W767" s="53"/>
      <c r="X767" s="20"/>
      <c r="Y767" s="20"/>
      <c r="Z767" s="20"/>
      <c r="AA767" s="20"/>
      <c r="AB767" s="20"/>
      <c r="AC767" s="24"/>
      <c r="AD767" s="24"/>
      <c r="AE767" s="24"/>
      <c r="AF767" s="24"/>
      <c r="AG767" s="24"/>
      <c r="AH767" s="20"/>
      <c r="AI767" s="42"/>
    </row>
    <row r="768" spans="1:35">
      <c r="A768" s="14"/>
      <c r="B768" s="20"/>
      <c r="C768" s="20"/>
      <c r="D768" s="20"/>
      <c r="E768" s="20"/>
      <c r="F768" s="20"/>
      <c r="G768" s="20"/>
      <c r="H768" s="20"/>
      <c r="I768" s="211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0"/>
      <c r="V768" s="20"/>
      <c r="W768" s="53"/>
      <c r="X768" s="20"/>
      <c r="Y768" s="20"/>
      <c r="Z768" s="20"/>
      <c r="AA768" s="20"/>
      <c r="AB768" s="20"/>
      <c r="AC768" s="24"/>
      <c r="AD768" s="24"/>
      <c r="AE768" s="24"/>
      <c r="AF768" s="24"/>
      <c r="AG768" s="24"/>
      <c r="AH768" s="20"/>
      <c r="AI768" s="42"/>
    </row>
    <row r="769" spans="1:35">
      <c r="A769" s="14"/>
      <c r="B769" s="20"/>
      <c r="C769" s="20"/>
      <c r="D769" s="20"/>
      <c r="E769" s="20"/>
      <c r="F769" s="20"/>
      <c r="G769" s="20"/>
      <c r="H769" s="20"/>
      <c r="I769" s="211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0"/>
      <c r="V769" s="20"/>
      <c r="W769" s="53"/>
      <c r="X769" s="20"/>
      <c r="Y769" s="20"/>
      <c r="Z769" s="20"/>
      <c r="AA769" s="20"/>
      <c r="AB769" s="20"/>
      <c r="AC769" s="24"/>
      <c r="AD769" s="24"/>
      <c r="AE769" s="24"/>
      <c r="AF769" s="24"/>
      <c r="AG769" s="24"/>
      <c r="AH769" s="20"/>
      <c r="AI769" s="42"/>
    </row>
    <row r="770" spans="1:35">
      <c r="A770" s="14"/>
      <c r="B770" s="20"/>
      <c r="C770" s="20"/>
      <c r="D770" s="20"/>
      <c r="E770" s="20"/>
      <c r="F770" s="20"/>
      <c r="G770" s="20"/>
      <c r="H770" s="20"/>
      <c r="I770" s="211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0"/>
      <c r="V770" s="20"/>
      <c r="W770" s="53"/>
      <c r="X770" s="20"/>
      <c r="Y770" s="20"/>
      <c r="Z770" s="20"/>
      <c r="AA770" s="20"/>
      <c r="AB770" s="20"/>
      <c r="AC770" s="24"/>
      <c r="AD770" s="24"/>
      <c r="AE770" s="24"/>
      <c r="AF770" s="24"/>
      <c r="AG770" s="24"/>
      <c r="AH770" s="20"/>
      <c r="AI770" s="42"/>
    </row>
    <row r="771" spans="1:35">
      <c r="A771" s="14"/>
      <c r="B771" s="20"/>
      <c r="C771" s="20"/>
      <c r="D771" s="20"/>
      <c r="E771" s="20"/>
      <c r="F771" s="20"/>
      <c r="G771" s="20"/>
      <c r="H771" s="20"/>
      <c r="I771" s="211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0"/>
      <c r="V771" s="20"/>
      <c r="W771" s="53"/>
      <c r="X771" s="20"/>
      <c r="Y771" s="20"/>
      <c r="Z771" s="20"/>
      <c r="AA771" s="20"/>
      <c r="AB771" s="20"/>
      <c r="AC771" s="24"/>
      <c r="AD771" s="24"/>
      <c r="AE771" s="24"/>
      <c r="AF771" s="24"/>
      <c r="AG771" s="24"/>
      <c r="AH771" s="20"/>
      <c r="AI771" s="42"/>
    </row>
    <row r="772" spans="1:35">
      <c r="A772" s="14"/>
      <c r="B772" s="20"/>
      <c r="C772" s="20"/>
      <c r="D772" s="20"/>
      <c r="E772" s="20"/>
      <c r="F772" s="20"/>
      <c r="G772" s="20"/>
      <c r="H772" s="20"/>
      <c r="I772" s="211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0"/>
      <c r="V772" s="20"/>
      <c r="W772" s="53"/>
      <c r="X772" s="20"/>
      <c r="Y772" s="20"/>
      <c r="Z772" s="20"/>
      <c r="AA772" s="20"/>
      <c r="AB772" s="20"/>
      <c r="AC772" s="24"/>
      <c r="AD772" s="24"/>
      <c r="AE772" s="24"/>
      <c r="AF772" s="24"/>
      <c r="AG772" s="24"/>
      <c r="AH772" s="20"/>
      <c r="AI772" s="42"/>
    </row>
    <row r="773" spans="1:35">
      <c r="A773" s="14"/>
      <c r="B773" s="20"/>
      <c r="C773" s="20"/>
      <c r="D773" s="20"/>
      <c r="E773" s="20"/>
      <c r="F773" s="20"/>
      <c r="G773" s="20"/>
      <c r="H773" s="20"/>
      <c r="I773" s="211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0"/>
      <c r="V773" s="20"/>
      <c r="W773" s="53"/>
      <c r="X773" s="20"/>
      <c r="Y773" s="20"/>
      <c r="Z773" s="20"/>
      <c r="AA773" s="20"/>
      <c r="AB773" s="20"/>
      <c r="AC773" s="24"/>
      <c r="AD773" s="24"/>
      <c r="AE773" s="24"/>
      <c r="AF773" s="24"/>
      <c r="AG773" s="24"/>
      <c r="AH773" s="20"/>
      <c r="AI773" s="42"/>
    </row>
    <row r="774" spans="1:35">
      <c r="A774" s="14"/>
      <c r="B774" s="20"/>
      <c r="C774" s="20"/>
      <c r="D774" s="20"/>
      <c r="E774" s="20"/>
      <c r="F774" s="20"/>
      <c r="G774" s="20"/>
      <c r="H774" s="20"/>
      <c r="I774" s="211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0"/>
      <c r="V774" s="20"/>
      <c r="W774" s="53"/>
      <c r="X774" s="20"/>
      <c r="Y774" s="20"/>
      <c r="Z774" s="20"/>
      <c r="AA774" s="20"/>
      <c r="AB774" s="20"/>
      <c r="AC774" s="24"/>
      <c r="AD774" s="24"/>
      <c r="AE774" s="24"/>
      <c r="AF774" s="24"/>
      <c r="AG774" s="24"/>
      <c r="AH774" s="20"/>
      <c r="AI774" s="42"/>
    </row>
    <row r="775" spans="1:35">
      <c r="A775" s="14"/>
      <c r="B775" s="20"/>
      <c r="C775" s="20"/>
      <c r="D775" s="20"/>
      <c r="E775" s="20"/>
      <c r="F775" s="20"/>
      <c r="G775" s="20"/>
      <c r="H775" s="20"/>
      <c r="I775" s="211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0"/>
      <c r="V775" s="20"/>
      <c r="W775" s="53"/>
      <c r="X775" s="20"/>
      <c r="Y775" s="20"/>
      <c r="Z775" s="20"/>
      <c r="AA775" s="20"/>
      <c r="AB775" s="20"/>
      <c r="AC775" s="24"/>
      <c r="AD775" s="24"/>
      <c r="AE775" s="24"/>
      <c r="AF775" s="24"/>
      <c r="AG775" s="24"/>
      <c r="AH775" s="20"/>
      <c r="AI775" s="42"/>
    </row>
    <row r="776" spans="1:35">
      <c r="A776" s="14"/>
      <c r="B776" s="20"/>
      <c r="C776" s="20"/>
      <c r="D776" s="20"/>
      <c r="E776" s="20"/>
      <c r="F776" s="20"/>
      <c r="G776" s="20"/>
      <c r="H776" s="20"/>
      <c r="I776" s="211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0"/>
      <c r="V776" s="20"/>
      <c r="W776" s="53"/>
      <c r="X776" s="20"/>
      <c r="Y776" s="20"/>
      <c r="Z776" s="20"/>
      <c r="AA776" s="20"/>
      <c r="AB776" s="20"/>
      <c r="AC776" s="24"/>
      <c r="AD776" s="24"/>
      <c r="AE776" s="24"/>
      <c r="AF776" s="24"/>
      <c r="AG776" s="24"/>
      <c r="AH776" s="20"/>
      <c r="AI776" s="42"/>
    </row>
    <row r="777" spans="1:35">
      <c r="A777" s="14"/>
      <c r="B777" s="20"/>
      <c r="C777" s="20"/>
      <c r="D777" s="20"/>
      <c r="E777" s="20"/>
      <c r="F777" s="20"/>
      <c r="G777" s="20"/>
      <c r="H777" s="20"/>
      <c r="I777" s="211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0"/>
      <c r="V777" s="20"/>
      <c r="W777" s="53"/>
      <c r="X777" s="20"/>
      <c r="Y777" s="20"/>
      <c r="Z777" s="20"/>
      <c r="AA777" s="20"/>
      <c r="AB777" s="20"/>
      <c r="AC777" s="24"/>
      <c r="AD777" s="24"/>
      <c r="AE777" s="24"/>
      <c r="AF777" s="24"/>
      <c r="AG777" s="24"/>
      <c r="AH777" s="20"/>
      <c r="AI777" s="42"/>
    </row>
    <row r="778" spans="1:35">
      <c r="A778" s="14"/>
      <c r="B778" s="20"/>
      <c r="C778" s="20"/>
      <c r="D778" s="20"/>
      <c r="E778" s="20"/>
      <c r="F778" s="20"/>
      <c r="G778" s="20"/>
      <c r="H778" s="20"/>
      <c r="I778" s="211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0"/>
      <c r="V778" s="20"/>
      <c r="W778" s="53"/>
      <c r="X778" s="20"/>
      <c r="Y778" s="20"/>
      <c r="Z778" s="20"/>
      <c r="AA778" s="20"/>
      <c r="AB778" s="20"/>
      <c r="AC778" s="24"/>
      <c r="AD778" s="24"/>
      <c r="AE778" s="24"/>
      <c r="AF778" s="24"/>
      <c r="AG778" s="24"/>
      <c r="AH778" s="20"/>
      <c r="AI778" s="42"/>
    </row>
    <row r="779" spans="1:35">
      <c r="A779" s="14"/>
      <c r="B779" s="20"/>
      <c r="C779" s="20"/>
      <c r="D779" s="20"/>
      <c r="E779" s="20"/>
      <c r="F779" s="20"/>
      <c r="G779" s="20"/>
      <c r="H779" s="20"/>
      <c r="I779" s="211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0"/>
      <c r="V779" s="20"/>
      <c r="W779" s="53"/>
      <c r="X779" s="20"/>
      <c r="Y779" s="20"/>
      <c r="Z779" s="20"/>
      <c r="AA779" s="20"/>
      <c r="AB779" s="20"/>
      <c r="AC779" s="24"/>
      <c r="AD779" s="24"/>
      <c r="AE779" s="24"/>
      <c r="AF779" s="24"/>
      <c r="AG779" s="24"/>
      <c r="AH779" s="20"/>
      <c r="AI779" s="42"/>
    </row>
    <row r="780" spans="1:35">
      <c r="A780" s="14"/>
      <c r="B780" s="20"/>
      <c r="C780" s="20"/>
      <c r="D780" s="20"/>
      <c r="E780" s="20"/>
      <c r="F780" s="20"/>
      <c r="G780" s="20"/>
      <c r="H780" s="20"/>
      <c r="I780" s="211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0"/>
      <c r="V780" s="20"/>
      <c r="W780" s="53"/>
      <c r="X780" s="20"/>
      <c r="Y780" s="20"/>
      <c r="Z780" s="20"/>
      <c r="AA780" s="20"/>
      <c r="AB780" s="20"/>
      <c r="AC780" s="24"/>
      <c r="AD780" s="24"/>
      <c r="AE780" s="24"/>
      <c r="AF780" s="24"/>
      <c r="AG780" s="24"/>
      <c r="AH780" s="20"/>
      <c r="AI780" s="42"/>
    </row>
    <row r="781" spans="1:35">
      <c r="A781" s="14"/>
      <c r="B781" s="20"/>
      <c r="C781" s="20"/>
      <c r="D781" s="20"/>
      <c r="E781" s="20"/>
      <c r="F781" s="20"/>
      <c r="G781" s="20"/>
      <c r="H781" s="20"/>
      <c r="I781" s="211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0"/>
      <c r="V781" s="20"/>
      <c r="W781" s="53"/>
      <c r="X781" s="20"/>
      <c r="Y781" s="20"/>
      <c r="Z781" s="20"/>
      <c r="AA781" s="20"/>
      <c r="AB781" s="20"/>
      <c r="AC781" s="24"/>
      <c r="AD781" s="24"/>
      <c r="AE781" s="24"/>
      <c r="AF781" s="24"/>
      <c r="AG781" s="24"/>
      <c r="AH781" s="20"/>
      <c r="AI781" s="42"/>
    </row>
    <row r="782" spans="1:35">
      <c r="A782" s="14"/>
      <c r="B782" s="20"/>
      <c r="C782" s="20"/>
      <c r="D782" s="20"/>
      <c r="E782" s="20"/>
      <c r="F782" s="20"/>
      <c r="G782" s="20"/>
      <c r="H782" s="20"/>
      <c r="I782" s="211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0"/>
      <c r="V782" s="20"/>
      <c r="W782" s="53"/>
      <c r="X782" s="20"/>
      <c r="Y782" s="20"/>
      <c r="Z782" s="20"/>
      <c r="AA782" s="20"/>
      <c r="AB782" s="20"/>
      <c r="AC782" s="24"/>
      <c r="AD782" s="24"/>
      <c r="AE782" s="24"/>
      <c r="AF782" s="24"/>
      <c r="AG782" s="24"/>
      <c r="AH782" s="20"/>
      <c r="AI782" s="42"/>
    </row>
    <row r="783" spans="1:35">
      <c r="A783" s="14"/>
      <c r="B783" s="20"/>
      <c r="C783" s="20"/>
      <c r="D783" s="20"/>
      <c r="E783" s="20"/>
      <c r="F783" s="20"/>
      <c r="G783" s="20"/>
      <c r="H783" s="20"/>
      <c r="I783" s="211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0"/>
      <c r="V783" s="20"/>
      <c r="W783" s="53"/>
      <c r="X783" s="20"/>
      <c r="Y783" s="20"/>
      <c r="Z783" s="20"/>
      <c r="AA783" s="20"/>
      <c r="AB783" s="20"/>
      <c r="AC783" s="24"/>
      <c r="AD783" s="24"/>
      <c r="AE783" s="24"/>
      <c r="AF783" s="24"/>
      <c r="AG783" s="24"/>
      <c r="AH783" s="20"/>
      <c r="AI783" s="42"/>
    </row>
    <row r="784" spans="1:35">
      <c r="A784" s="14"/>
      <c r="B784" s="20"/>
      <c r="C784" s="20"/>
      <c r="D784" s="20"/>
      <c r="E784" s="20"/>
      <c r="F784" s="20"/>
      <c r="G784" s="20"/>
      <c r="H784" s="20"/>
      <c r="I784" s="211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0"/>
      <c r="V784" s="20"/>
      <c r="W784" s="53"/>
      <c r="X784" s="20"/>
      <c r="Y784" s="20"/>
      <c r="Z784" s="20"/>
      <c r="AA784" s="20"/>
      <c r="AB784" s="20"/>
      <c r="AC784" s="24"/>
      <c r="AD784" s="24"/>
      <c r="AE784" s="24"/>
      <c r="AF784" s="24"/>
      <c r="AG784" s="24"/>
      <c r="AH784" s="20"/>
      <c r="AI784" s="42"/>
    </row>
    <row r="785" spans="1:35">
      <c r="A785" s="14"/>
      <c r="B785" s="20"/>
      <c r="C785" s="20"/>
      <c r="D785" s="20"/>
      <c r="E785" s="20"/>
      <c r="F785" s="20"/>
      <c r="G785" s="20"/>
      <c r="H785" s="20"/>
      <c r="I785" s="211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0"/>
      <c r="V785" s="20"/>
      <c r="W785" s="53"/>
      <c r="X785" s="20"/>
      <c r="Y785" s="20"/>
      <c r="Z785" s="20"/>
      <c r="AA785" s="20"/>
      <c r="AB785" s="20"/>
      <c r="AC785" s="24"/>
      <c r="AD785" s="24"/>
      <c r="AE785" s="24"/>
      <c r="AF785" s="24"/>
      <c r="AG785" s="24"/>
      <c r="AH785" s="20"/>
      <c r="AI785" s="42"/>
    </row>
    <row r="786" spans="1:35">
      <c r="A786" s="14"/>
      <c r="B786" s="20"/>
      <c r="C786" s="20"/>
      <c r="D786" s="20"/>
      <c r="E786" s="20"/>
      <c r="F786" s="20"/>
      <c r="G786" s="20"/>
      <c r="H786" s="20"/>
      <c r="I786" s="211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0"/>
      <c r="V786" s="20"/>
      <c r="W786" s="53"/>
      <c r="X786" s="20"/>
      <c r="Y786" s="20"/>
      <c r="Z786" s="20"/>
      <c r="AA786" s="20"/>
      <c r="AB786" s="20"/>
      <c r="AC786" s="24"/>
      <c r="AD786" s="24"/>
      <c r="AE786" s="24"/>
      <c r="AF786" s="24"/>
      <c r="AG786" s="24"/>
      <c r="AH786" s="20"/>
      <c r="AI786" s="42"/>
    </row>
    <row r="787" spans="1:35">
      <c r="A787" s="14"/>
      <c r="B787" s="20"/>
      <c r="C787" s="20"/>
      <c r="D787" s="20"/>
      <c r="E787" s="20"/>
      <c r="F787" s="20"/>
      <c r="G787" s="20"/>
      <c r="H787" s="20"/>
      <c r="I787" s="211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0"/>
      <c r="V787" s="20"/>
      <c r="W787" s="53"/>
      <c r="X787" s="20"/>
      <c r="Y787" s="20"/>
      <c r="Z787" s="20"/>
      <c r="AA787" s="20"/>
      <c r="AB787" s="20"/>
      <c r="AC787" s="24"/>
      <c r="AD787" s="24"/>
      <c r="AE787" s="24"/>
      <c r="AF787" s="24"/>
      <c r="AG787" s="24"/>
      <c r="AH787" s="20"/>
      <c r="AI787" s="42"/>
    </row>
    <row r="788" spans="1:35">
      <c r="A788" s="14"/>
      <c r="B788" s="20"/>
      <c r="C788" s="20"/>
      <c r="D788" s="20"/>
      <c r="E788" s="20"/>
      <c r="F788" s="20"/>
      <c r="G788" s="20"/>
      <c r="H788" s="20"/>
      <c r="I788" s="211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0"/>
      <c r="V788" s="20"/>
      <c r="W788" s="53"/>
      <c r="X788" s="20"/>
      <c r="Y788" s="20"/>
      <c r="Z788" s="20"/>
      <c r="AA788" s="20"/>
      <c r="AB788" s="20"/>
      <c r="AC788" s="24"/>
      <c r="AD788" s="24"/>
      <c r="AE788" s="24"/>
      <c r="AF788" s="24"/>
      <c r="AG788" s="24"/>
      <c r="AH788" s="20"/>
      <c r="AI788" s="42"/>
    </row>
    <row r="789" spans="1:35">
      <c r="A789" s="14"/>
      <c r="B789" s="20"/>
      <c r="C789" s="20"/>
      <c r="D789" s="20"/>
      <c r="E789" s="20"/>
      <c r="F789" s="20"/>
      <c r="G789" s="20"/>
      <c r="H789" s="20"/>
      <c r="I789" s="211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0"/>
      <c r="V789" s="20"/>
      <c r="W789" s="53"/>
      <c r="X789" s="20"/>
      <c r="Y789" s="20"/>
      <c r="Z789" s="20"/>
      <c r="AA789" s="20"/>
      <c r="AB789" s="20"/>
      <c r="AC789" s="24"/>
      <c r="AD789" s="24"/>
      <c r="AE789" s="24"/>
      <c r="AF789" s="24"/>
      <c r="AG789" s="24"/>
      <c r="AH789" s="20"/>
      <c r="AI789" s="42"/>
    </row>
    <row r="790" spans="1:35">
      <c r="A790" s="14"/>
      <c r="B790" s="20"/>
      <c r="C790" s="20"/>
      <c r="D790" s="20"/>
      <c r="E790" s="20"/>
      <c r="F790" s="20"/>
      <c r="G790" s="20"/>
      <c r="H790" s="20"/>
      <c r="I790" s="211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0"/>
      <c r="V790" s="20"/>
      <c r="W790" s="53"/>
      <c r="X790" s="20"/>
      <c r="Y790" s="20"/>
      <c r="Z790" s="20"/>
      <c r="AA790" s="20"/>
      <c r="AB790" s="20"/>
      <c r="AC790" s="24"/>
      <c r="AD790" s="24"/>
      <c r="AE790" s="24"/>
      <c r="AF790" s="24"/>
      <c r="AG790" s="24"/>
      <c r="AH790" s="20"/>
      <c r="AI790" s="42"/>
    </row>
    <row r="791" spans="1:35">
      <c r="A791" s="14"/>
      <c r="B791" s="20"/>
      <c r="C791" s="20"/>
      <c r="D791" s="20"/>
      <c r="E791" s="20"/>
      <c r="F791" s="20"/>
      <c r="G791" s="20"/>
      <c r="H791" s="20"/>
      <c r="I791" s="211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0"/>
      <c r="V791" s="20"/>
      <c r="W791" s="53"/>
      <c r="X791" s="20"/>
      <c r="Y791" s="20"/>
      <c r="Z791" s="20"/>
      <c r="AA791" s="20"/>
      <c r="AB791" s="20"/>
      <c r="AC791" s="24"/>
      <c r="AD791" s="24"/>
      <c r="AE791" s="24"/>
      <c r="AF791" s="24"/>
      <c r="AG791" s="24"/>
      <c r="AH791" s="20"/>
      <c r="AI791" s="42"/>
    </row>
    <row r="792" spans="1:35">
      <c r="A792" s="14"/>
      <c r="B792" s="20"/>
      <c r="C792" s="20"/>
      <c r="D792" s="20"/>
      <c r="E792" s="20"/>
      <c r="F792" s="20"/>
      <c r="G792" s="20"/>
      <c r="H792" s="20"/>
      <c r="I792" s="211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0"/>
      <c r="V792" s="20"/>
      <c r="W792" s="53"/>
      <c r="X792" s="20"/>
      <c r="Y792" s="20"/>
      <c r="Z792" s="20"/>
      <c r="AA792" s="20"/>
      <c r="AB792" s="20"/>
      <c r="AC792" s="24"/>
      <c r="AD792" s="24"/>
      <c r="AE792" s="24"/>
      <c r="AF792" s="24"/>
      <c r="AG792" s="24"/>
      <c r="AH792" s="20"/>
      <c r="AI792" s="42"/>
    </row>
    <row r="793" spans="1:35">
      <c r="A793" s="14"/>
      <c r="B793" s="20"/>
      <c r="C793" s="20"/>
      <c r="D793" s="20"/>
      <c r="E793" s="20"/>
      <c r="F793" s="20"/>
      <c r="G793" s="20"/>
      <c r="H793" s="20"/>
      <c r="I793" s="211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0"/>
      <c r="V793" s="20"/>
      <c r="W793" s="53"/>
      <c r="X793" s="20"/>
      <c r="Y793" s="20"/>
      <c r="Z793" s="20"/>
      <c r="AA793" s="20"/>
      <c r="AB793" s="20"/>
      <c r="AC793" s="24"/>
      <c r="AD793" s="24"/>
      <c r="AE793" s="24"/>
      <c r="AF793" s="24"/>
      <c r="AG793" s="24"/>
      <c r="AH793" s="20"/>
      <c r="AI793" s="42"/>
    </row>
    <row r="794" spans="1:35">
      <c r="A794" s="14"/>
      <c r="B794" s="20"/>
      <c r="C794" s="20"/>
      <c r="D794" s="20"/>
      <c r="E794" s="20"/>
      <c r="F794" s="20"/>
      <c r="G794" s="20"/>
      <c r="H794" s="20"/>
      <c r="I794" s="211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0"/>
      <c r="V794" s="20"/>
      <c r="W794" s="53"/>
      <c r="X794" s="20"/>
      <c r="Y794" s="20"/>
      <c r="Z794" s="20"/>
      <c r="AA794" s="20"/>
      <c r="AB794" s="20"/>
      <c r="AC794" s="24"/>
      <c r="AD794" s="24"/>
      <c r="AE794" s="24"/>
      <c r="AF794" s="24"/>
      <c r="AG794" s="24"/>
      <c r="AH794" s="20"/>
      <c r="AI794" s="42"/>
    </row>
    <row r="795" spans="1:35">
      <c r="A795" s="14"/>
      <c r="B795" s="20"/>
      <c r="C795" s="20"/>
      <c r="D795" s="20"/>
      <c r="E795" s="20"/>
      <c r="F795" s="20"/>
      <c r="G795" s="20"/>
      <c r="H795" s="20"/>
      <c r="I795" s="211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0"/>
      <c r="V795" s="20"/>
      <c r="W795" s="53"/>
      <c r="X795" s="20"/>
      <c r="Y795" s="20"/>
      <c r="Z795" s="20"/>
      <c r="AA795" s="20"/>
      <c r="AB795" s="20"/>
      <c r="AC795" s="24"/>
      <c r="AD795" s="24"/>
      <c r="AE795" s="24"/>
      <c r="AF795" s="24"/>
      <c r="AG795" s="24"/>
      <c r="AH795" s="20"/>
      <c r="AI795" s="42"/>
    </row>
    <row r="796" spans="1:35">
      <c r="A796" s="14"/>
      <c r="B796" s="20"/>
      <c r="C796" s="20"/>
      <c r="D796" s="20"/>
      <c r="E796" s="20"/>
      <c r="F796" s="20"/>
      <c r="G796" s="20"/>
      <c r="H796" s="20"/>
      <c r="I796" s="211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0"/>
      <c r="V796" s="20"/>
      <c r="W796" s="53"/>
      <c r="X796" s="20"/>
      <c r="Y796" s="20"/>
      <c r="Z796" s="20"/>
      <c r="AA796" s="20"/>
      <c r="AB796" s="20"/>
      <c r="AC796" s="24"/>
      <c r="AD796" s="24"/>
      <c r="AE796" s="24"/>
      <c r="AF796" s="24"/>
      <c r="AG796" s="24"/>
      <c r="AH796" s="20"/>
      <c r="AI796" s="42"/>
    </row>
    <row r="797" spans="1:35">
      <c r="A797" s="14"/>
      <c r="B797" s="20"/>
      <c r="C797" s="20"/>
      <c r="D797" s="20"/>
      <c r="E797" s="20"/>
      <c r="F797" s="20"/>
      <c r="G797" s="20"/>
      <c r="H797" s="20"/>
      <c r="I797" s="211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0"/>
      <c r="V797" s="20"/>
      <c r="W797" s="53"/>
      <c r="X797" s="20"/>
      <c r="Y797" s="20"/>
      <c r="Z797" s="20"/>
      <c r="AA797" s="20"/>
      <c r="AB797" s="20"/>
      <c r="AC797" s="24"/>
      <c r="AD797" s="24"/>
      <c r="AE797" s="24"/>
      <c r="AF797" s="24"/>
      <c r="AG797" s="24"/>
      <c r="AH797" s="20"/>
      <c r="AI797" s="42"/>
    </row>
  </sheetData>
  <mergeCells count="8">
    <mergeCell ref="H4:H6"/>
    <mergeCell ref="H7:I7"/>
    <mergeCell ref="H8:I8"/>
    <mergeCell ref="A10:C10"/>
    <mergeCell ref="D10:T10"/>
    <mergeCell ref="U10:Z10"/>
    <mergeCell ref="AA10:AD10"/>
    <mergeCell ref="AE10:AI10"/>
  </mergeCells>
  <phoneticPr fontId="10" type="noConversion"/>
  <conditionalFormatting sqref="L4:L8">
    <cfRule type="cellIs" dxfId="4298" priority="247" operator="greaterThan">
      <formula>0</formula>
    </cfRule>
    <cfRule type="cellIs" dxfId="4297" priority="248" operator="lessThan">
      <formula>0</formula>
    </cfRule>
  </conditionalFormatting>
  <conditionalFormatting sqref="A15:AI100 A102:AI164 AD165:AI165 A165:E165 AB165 A166:AI169 A175:AI175 AA171 AA173:AI173 AB170:AI172 A170:Z174 AB174:AI174 A177:AI177 A176:Z176 AB176:AI176 I241:I246 J240:Z249 F239:Z239 F240:I240 F248:I249 F241:H247 A239:E249 A180:AI180 AD250:AI251 A250:Z252 AB252:AI252 A178:Z179 AB178:AI179 A182:Z182 AD182:AI182 A183:AI184 A229:Z238 AB229:AI249 Z305:AI306 A253:AI304 A305:E306 A307:AI308 A309:K329 M309:AI329 L310:L311 L313:L314 L316:L317 L319:L320 L322:L323 L325:L326 L328:L329 A330:AI565 A568:AI576 A592:B592 Y592:Z592 AA578:AA579 A577:B577 F577:AI577 K592 M592:T592 AD592:AI592 V578:X612 A651:B654 I650:I653 I671 I673:I675 A672:B682 M673:T678 M672:U672 AD673:AI673 AB672:AI672 AB674:AI675 Y672:Z678 AD676:AI676 AB677:AI678 K672:K682 M679:V682 Y679:AI682 AA685:AA693 V698:V699 Y686:Z693 AB686:AI693 AB697:AI697 V683:V696 L658:L693 J661:J693 A689:B693 K689:K693 M689:U693 X694:X696 A697:B697 W679:X693 J703:J708 L703:L708 A705:B712 K705:K708 Y705:Z708 X709:Z712 AB705:AI712 X703:X708 A739:AI741 A725:B726 Y725:Z726 AB725:AI726 A736:B738 Y736:Z738 AB736:AI738 F736:U738 F725:U726 F705:I708 F709:L712 F697:Z697 F689:I693 F677:I682 F672:H676 F651:H654 F592:I592 C577:E738">
    <cfRule type="containsBlanks" dxfId="4296" priority="249">
      <formula>LEN(TRIM(A15))=0</formula>
    </cfRule>
  </conditionalFormatting>
  <conditionalFormatting sqref="I165:J165">
    <cfRule type="containsBlanks" dxfId="4295" priority="246">
      <formula>LEN(TRIM(I165))=0</formula>
    </cfRule>
  </conditionalFormatting>
  <conditionalFormatting sqref="L165">
    <cfRule type="containsBlanks" dxfId="4294" priority="245">
      <formula>LEN(TRIM(L165))=0</formula>
    </cfRule>
  </conditionalFormatting>
  <conditionalFormatting sqref="M165:R165">
    <cfRule type="containsBlanks" dxfId="4293" priority="244">
      <formula>LEN(TRIM(M165))=0</formula>
    </cfRule>
  </conditionalFormatting>
  <conditionalFormatting sqref="T165">
    <cfRule type="containsBlanks" dxfId="4292" priority="243">
      <formula>LEN(TRIM(T165))=0</formula>
    </cfRule>
  </conditionalFormatting>
  <conditionalFormatting sqref="U165">
    <cfRule type="containsBlanks" dxfId="4291" priority="242">
      <formula>LEN(TRIM(U165))=0</formula>
    </cfRule>
  </conditionalFormatting>
  <conditionalFormatting sqref="Y165:Z165">
    <cfRule type="containsBlanks" dxfId="4290" priority="241">
      <formula>LEN(TRIM(Y165))=0</formula>
    </cfRule>
  </conditionalFormatting>
  <conditionalFormatting sqref="AB250:AC251">
    <cfRule type="containsBlanks" dxfId="4289" priority="240">
      <formula>LEN(TRIM(AB250))=0</formula>
    </cfRule>
  </conditionalFormatting>
  <conditionalFormatting sqref="A181:Z181 AD181:AI181">
    <cfRule type="containsBlanks" dxfId="4288" priority="236">
      <formula>LEN(TRIM(A181))=0</formula>
    </cfRule>
  </conditionalFormatting>
  <conditionalFormatting sqref="F181">
    <cfRule type="duplicateValues" dxfId="4287" priority="237"/>
  </conditionalFormatting>
  <conditionalFormatting sqref="G181">
    <cfRule type="duplicateValues" dxfId="4286" priority="238"/>
  </conditionalFormatting>
  <conditionalFormatting sqref="H181">
    <cfRule type="duplicateValues" dxfId="4285" priority="239"/>
  </conditionalFormatting>
  <conditionalFormatting sqref="AA181:AC181">
    <cfRule type="containsBlanks" dxfId="4284" priority="235">
      <formula>LEN(TRIM(AA181))=0</formula>
    </cfRule>
  </conditionalFormatting>
  <conditionalFormatting sqref="AA182:AC182">
    <cfRule type="containsBlanks" dxfId="4283" priority="234">
      <formula>LEN(TRIM(AA182))=0</formula>
    </cfRule>
  </conditionalFormatting>
  <conditionalFormatting sqref="J192:K196 I192:I195 L189:T198 A186:T187 F188:T188 F189:K191 F197:K198 F192:H196 G199:T199 U186:X199 A188:E228 F200:X228 Y186:AI228">
    <cfRule type="containsBlanks" dxfId="4282" priority="226">
      <formula>LEN(TRIM(A186))=0</formula>
    </cfRule>
  </conditionalFormatting>
  <conditionalFormatting sqref="F186:F198 F200:F228">
    <cfRule type="duplicateValues" dxfId="4281" priority="227"/>
  </conditionalFormatting>
  <conditionalFormatting sqref="G186:G228">
    <cfRule type="duplicateValues" dxfId="4280" priority="228"/>
  </conditionalFormatting>
  <conditionalFormatting sqref="H186:H228">
    <cfRule type="duplicateValues" dxfId="4279" priority="229"/>
  </conditionalFormatting>
  <conditionalFormatting sqref="F199">
    <cfRule type="containsBlanks" dxfId="4278" priority="224">
      <formula>LEN(TRIM(F199))=0</formula>
    </cfRule>
  </conditionalFormatting>
  <conditionalFormatting sqref="F199">
    <cfRule type="duplicateValues" dxfId="4277" priority="225"/>
  </conditionalFormatting>
  <conditionalFormatting sqref="I200">
    <cfRule type="duplicateValues" dxfId="4276" priority="223"/>
  </conditionalFormatting>
  <conditionalFormatting sqref="F305:Y306 L309 L312 L315 L318 L321 L324 L327">
    <cfRule type="containsBlanks" dxfId="4275" priority="219">
      <formula>LEN(TRIM(F305))=0</formula>
    </cfRule>
  </conditionalFormatting>
  <conditionalFormatting sqref="F305:F306">
    <cfRule type="duplicateValues" dxfId="4274" priority="220"/>
  </conditionalFormatting>
  <conditionalFormatting sqref="G305:G306">
    <cfRule type="duplicateValues" dxfId="4273" priority="221"/>
  </conditionalFormatting>
  <conditionalFormatting sqref="H305:H306">
    <cfRule type="duplicateValues" dxfId="4272" priority="222"/>
  </conditionalFormatting>
  <conditionalFormatting sqref="I427">
    <cfRule type="duplicateValues" dxfId="4271" priority="218"/>
  </conditionalFormatting>
  <conditionalFormatting sqref="I431">
    <cfRule type="duplicateValues" dxfId="4270" priority="217"/>
  </conditionalFormatting>
  <conditionalFormatting sqref="I467">
    <cfRule type="duplicateValues" dxfId="4269" priority="216"/>
  </conditionalFormatting>
  <conditionalFormatting sqref="I497">
    <cfRule type="duplicateValues" dxfId="4268" priority="215"/>
  </conditionalFormatting>
  <conditionalFormatting sqref="I515">
    <cfRule type="duplicateValues" dxfId="4267" priority="214"/>
  </conditionalFormatting>
  <conditionalFormatting sqref="I515">
    <cfRule type="duplicateValues" dxfId="4266" priority="213"/>
  </conditionalFormatting>
  <conditionalFormatting sqref="I522">
    <cfRule type="duplicateValues" dxfId="4265" priority="212"/>
  </conditionalFormatting>
  <conditionalFormatting sqref="F102:F164 F15:F100 F166:F180 F229:F304 F182:F184 F307:F565 F567:F577">
    <cfRule type="duplicateValues" dxfId="4264" priority="1181"/>
  </conditionalFormatting>
  <conditionalFormatting sqref="G102:G164 G15:G100 G166:G180 G229:G304 G182:G184 G307:G565 G567:G577">
    <cfRule type="duplicateValues" dxfId="4263" priority="1189"/>
  </conditionalFormatting>
  <conditionalFormatting sqref="H102:H164 H15:H100 H166:H180 H229:H304 H182:H184 H307:H565 H567:H577">
    <cfRule type="duplicateValues" dxfId="4262" priority="1197"/>
  </conditionalFormatting>
  <conditionalFormatting sqref="A567:B567 F567:AI567">
    <cfRule type="containsBlanks" dxfId="4261" priority="211">
      <formula>LEN(TRIM(A567))=0</formula>
    </cfRule>
  </conditionalFormatting>
  <conditionalFormatting sqref="C567:E567">
    <cfRule type="containsBlanks" dxfId="4260" priority="210">
      <formula>LEN(TRIM(C567))=0</formula>
    </cfRule>
  </conditionalFormatting>
  <conditionalFormatting sqref="A578:B585 M580:T585 U580:U592 Y578:Z585 AB578:AI585 F580:K585 F578:U579 U594 U596 U598 U600 U602 U604 U606 U608 U610 U612 L580:L654">
    <cfRule type="containsBlanks" dxfId="4259" priority="206">
      <formula>LEN(TRIM(A578))=0</formula>
    </cfRule>
  </conditionalFormatting>
  <conditionalFormatting sqref="F578:F585">
    <cfRule type="duplicateValues" dxfId="4258" priority="207"/>
  </conditionalFormatting>
  <conditionalFormatting sqref="G578:G585">
    <cfRule type="duplicateValues" dxfId="4257" priority="208"/>
  </conditionalFormatting>
  <conditionalFormatting sqref="H578:H585">
    <cfRule type="duplicateValues" dxfId="4256" priority="209"/>
  </conditionalFormatting>
  <conditionalFormatting sqref="A593:B594 A586:B591 M586:T591 Y586:Z591 AB586:AI591 F586:K591 K593:K594 M594:T594 M593:U593 Y593:Z594 U595 U597 U599 U601 U603 U605 AD593:AI594 J592:J621 U607 U609 U611 F593:I594">
    <cfRule type="containsBlanks" dxfId="4255" priority="202">
      <formula>LEN(TRIM(A586))=0</formula>
    </cfRule>
  </conditionalFormatting>
  <conditionalFormatting sqref="A595:B602 K595:K602 M595:T602 Y595:Z602 AD595:AI602 F595:I602">
    <cfRule type="containsBlanks" dxfId="4254" priority="198">
      <formula>LEN(TRIM(A595))=0</formula>
    </cfRule>
  </conditionalFormatting>
  <conditionalFormatting sqref="F595:F602">
    <cfRule type="duplicateValues" dxfId="4253" priority="199"/>
  </conditionalFormatting>
  <conditionalFormatting sqref="G595:G602">
    <cfRule type="duplicateValues" dxfId="4252" priority="200"/>
  </conditionalFormatting>
  <conditionalFormatting sqref="H595:H602">
    <cfRule type="duplicateValues" dxfId="4251" priority="201"/>
  </conditionalFormatting>
  <conditionalFormatting sqref="A603:B610 K603:K610 M603:T610 Y603:Z610 AB608:AI609 AD603:AI607 AD610:AI610 F603:I610">
    <cfRule type="containsBlanks" dxfId="4250" priority="194">
      <formula>LEN(TRIM(A603))=0</formula>
    </cfRule>
  </conditionalFormatting>
  <conditionalFormatting sqref="F603:F610">
    <cfRule type="duplicateValues" dxfId="4249" priority="195"/>
  </conditionalFormatting>
  <conditionalFormatting sqref="G603:G610">
    <cfRule type="duplicateValues" dxfId="4248" priority="196"/>
  </conditionalFormatting>
  <conditionalFormatting sqref="H603:H610">
    <cfRule type="duplicateValues" dxfId="4247" priority="197"/>
  </conditionalFormatting>
  <conditionalFormatting sqref="A611:B618 K611:K618 M613:Z613 M611:T612 Y611:Z612 M614:T618 Y614:Z618 AB611:AI612 AB614:AI615 AD613:AI613 AB617:AI618 AD616:AI616 F611:I618">
    <cfRule type="containsBlanks" dxfId="4246" priority="190">
      <formula>LEN(TRIM(A611))=0</formula>
    </cfRule>
  </conditionalFormatting>
  <conditionalFormatting sqref="F611:F618">
    <cfRule type="duplicateValues" dxfId="4245" priority="191"/>
  </conditionalFormatting>
  <conditionalFormatting sqref="G611:G618">
    <cfRule type="duplicateValues" dxfId="4244" priority="192"/>
  </conditionalFormatting>
  <conditionalFormatting sqref="H611:H618">
    <cfRule type="duplicateValues" dxfId="4243" priority="193"/>
  </conditionalFormatting>
  <conditionalFormatting sqref="A619:B626 K619:K621 AD619:AI619 M625:Z625 M619:T624 M626:T626 Y626:Z626 Y619:Z624 AB620:AI621 AB623:AI624 AD622:AI622 AB626:AI626 AD625:AI625 J627:J629 F619:I621 F622:K626">
    <cfRule type="containsBlanks" dxfId="4242" priority="186">
      <formula>LEN(TRIM(A619))=0</formula>
    </cfRule>
  </conditionalFormatting>
  <conditionalFormatting sqref="F619:F626">
    <cfRule type="duplicateValues" dxfId="4241" priority="187"/>
  </conditionalFormatting>
  <conditionalFormatting sqref="G619:G626">
    <cfRule type="duplicateValues" dxfId="4240" priority="188"/>
  </conditionalFormatting>
  <conditionalFormatting sqref="H619:H626">
    <cfRule type="duplicateValues" dxfId="4239" priority="189"/>
  </conditionalFormatting>
  <conditionalFormatting sqref="M627:T634 Y627:Z634 AB627:AI627 AB629:AI632 AD628:AI628 AD633:AI633 AB634:AI634 K627:K629 A627:B634 K633:K634 J633:J639 F633:I634 F627:I629 F630:K632">
    <cfRule type="containsBlanks" dxfId="4238" priority="182">
      <formula>LEN(TRIM(A627))=0</formula>
    </cfRule>
  </conditionalFormatting>
  <conditionalFormatting sqref="F627:F634">
    <cfRule type="duplicateValues" dxfId="4237" priority="183"/>
  </conditionalFormatting>
  <conditionalFormatting sqref="G627:G634">
    <cfRule type="duplicateValues" dxfId="4236" priority="184"/>
  </conditionalFormatting>
  <conditionalFormatting sqref="H627:H634">
    <cfRule type="duplicateValues" dxfId="4235" priority="185"/>
  </conditionalFormatting>
  <conditionalFormatting sqref="A635:B642 K635:K639 M635:T639 Y635:Z639 V643:X654 M640:Z642 AB635:AI642 F635:I639 F640:K642">
    <cfRule type="containsBlanks" dxfId="4234" priority="178">
      <formula>LEN(TRIM(A635))=0</formula>
    </cfRule>
  </conditionalFormatting>
  <conditionalFormatting sqref="F635:F642">
    <cfRule type="duplicateValues" dxfId="4233" priority="179"/>
  </conditionalFormatting>
  <conditionalFormatting sqref="G635:G642">
    <cfRule type="duplicateValues" dxfId="4232" priority="180"/>
  </conditionalFormatting>
  <conditionalFormatting sqref="H635:H642">
    <cfRule type="duplicateValues" dxfId="4231" priority="181"/>
  </conditionalFormatting>
  <conditionalFormatting sqref="K647:K650 J647:J654 M643:U648 M649:T650 U649:U654 Y643:Z650 AB644:AI645 AD643:AI643 AB647:AI648 AD646:AI646 AB650:AI650 AD649:AI649 A643:B650 F650:H650 F647:I649 F643:K646">
    <cfRule type="containsBlanks" dxfId="4230" priority="174">
      <formula>LEN(TRIM(A643))=0</formula>
    </cfRule>
  </conditionalFormatting>
  <conditionalFormatting sqref="F643:F650">
    <cfRule type="duplicateValues" dxfId="4229" priority="175"/>
  </conditionalFormatting>
  <conditionalFormatting sqref="G643:G650">
    <cfRule type="duplicateValues" dxfId="4228" priority="176"/>
  </conditionalFormatting>
  <conditionalFormatting sqref="H643:H650">
    <cfRule type="duplicateValues" dxfId="4227" priority="177"/>
  </conditionalFormatting>
  <conditionalFormatting sqref="K651:K654 M651:T654 AB651:AI651 AB653:AI654 AD652:AI652 A655:B658 AD655:AI655 AB656:AI657 M658:T658 Y651:Z658 AD658:AI658 F655:T657 F658:K658">
    <cfRule type="containsBlanks" dxfId="4226" priority="170">
      <formula>LEN(TRIM(A651))=0</formula>
    </cfRule>
  </conditionalFormatting>
  <conditionalFormatting sqref="F651:F658">
    <cfRule type="duplicateValues" dxfId="4225" priority="171"/>
  </conditionalFormatting>
  <conditionalFormatting sqref="G651:G658">
    <cfRule type="duplicateValues" dxfId="4224" priority="172"/>
  </conditionalFormatting>
  <conditionalFormatting sqref="H651:H658">
    <cfRule type="duplicateValues" dxfId="4223" priority="173"/>
  </conditionalFormatting>
  <conditionalFormatting sqref="A659:B666 M659:T660 Y659:Z660 AB659:AI660 K661:K666 AD661:AI661 M661:Z666 AD664:AI664 AB662:AI663 AB665:AI666 F659:K660 F661:I666">
    <cfRule type="containsBlanks" dxfId="4222" priority="166">
      <formula>LEN(TRIM(A659))=0</formula>
    </cfRule>
  </conditionalFormatting>
  <conditionalFormatting sqref="F659:F666">
    <cfRule type="duplicateValues" dxfId="4221" priority="167"/>
  </conditionalFormatting>
  <conditionalFormatting sqref="G659:G666">
    <cfRule type="duplicateValues" dxfId="4220" priority="168"/>
  </conditionalFormatting>
  <conditionalFormatting sqref="H659:H666">
    <cfRule type="duplicateValues" dxfId="4219" priority="169"/>
  </conditionalFormatting>
  <conditionalFormatting sqref="A667:B671 K667:K671 M667:U671 AD667:AI667 Y667:Z671 AD670:AI670 AB668:AI669 AB671:AI671 F671:H671 F667:I670">
    <cfRule type="containsBlanks" dxfId="4218" priority="162">
      <formula>LEN(TRIM(A667))=0</formula>
    </cfRule>
  </conditionalFormatting>
  <conditionalFormatting sqref="F667:F674">
    <cfRule type="duplicateValues" dxfId="4217" priority="163"/>
  </conditionalFormatting>
  <conditionalFormatting sqref="G667:G674">
    <cfRule type="duplicateValues" dxfId="4216" priority="164"/>
  </conditionalFormatting>
  <conditionalFormatting sqref="H667:H674">
    <cfRule type="duplicateValues" dxfId="4215" priority="165"/>
  </conditionalFormatting>
  <conditionalFormatting sqref="F675:F682">
    <cfRule type="duplicateValues" dxfId="4214" priority="159"/>
  </conditionalFormatting>
  <conditionalFormatting sqref="G675:G682">
    <cfRule type="duplicateValues" dxfId="4213" priority="160"/>
  </conditionalFormatting>
  <conditionalFormatting sqref="H675:H682">
    <cfRule type="duplicateValues" dxfId="4212" priority="161"/>
  </conditionalFormatting>
  <conditionalFormatting sqref="F586:F594">
    <cfRule type="duplicateValues" dxfId="4211" priority="2075"/>
  </conditionalFormatting>
  <conditionalFormatting sqref="G586:G594">
    <cfRule type="duplicateValues" dxfId="4210" priority="2077"/>
  </conditionalFormatting>
  <conditionalFormatting sqref="H586:H594">
    <cfRule type="duplicateValues" dxfId="4209" priority="2079"/>
  </conditionalFormatting>
  <conditionalFormatting sqref="AA580:AA591">
    <cfRule type="containsBlanks" dxfId="4208" priority="157">
      <formula>LEN(TRIM(AA580))=0</formula>
    </cfRule>
  </conditionalFormatting>
  <conditionalFormatting sqref="AA592:AA606">
    <cfRule type="containsBlanks" dxfId="4207" priority="156">
      <formula>LEN(TRIM(AA592))=0</formula>
    </cfRule>
  </conditionalFormatting>
  <conditionalFormatting sqref="AB592:AC594">
    <cfRule type="containsBlanks" dxfId="4206" priority="155">
      <formula>LEN(TRIM(AB592))=0</formula>
    </cfRule>
  </conditionalFormatting>
  <conditionalFormatting sqref="AB595:AC606">
    <cfRule type="containsBlanks" dxfId="4205" priority="154">
      <formula>LEN(TRIM(AB595))=0</formula>
    </cfRule>
  </conditionalFormatting>
  <conditionalFormatting sqref="U614:X624">
    <cfRule type="containsBlanks" dxfId="4204" priority="153">
      <formula>LEN(TRIM(U614))=0</formula>
    </cfRule>
  </conditionalFormatting>
  <conditionalFormatting sqref="AA607:AA609">
    <cfRule type="containsBlanks" dxfId="4203" priority="152">
      <formula>LEN(TRIM(AA607))=0</formula>
    </cfRule>
  </conditionalFormatting>
  <conditionalFormatting sqref="AA610:AA612">
    <cfRule type="containsBlanks" dxfId="4202" priority="151">
      <formula>LEN(TRIM(AA610))=0</formula>
    </cfRule>
  </conditionalFormatting>
  <conditionalFormatting sqref="AA613:AA615">
    <cfRule type="containsBlanks" dxfId="4201" priority="150">
      <formula>LEN(TRIM(AA613))=0</formula>
    </cfRule>
  </conditionalFormatting>
  <conditionalFormatting sqref="AA616:AA621">
    <cfRule type="containsBlanks" dxfId="4200" priority="149">
      <formula>LEN(TRIM(AA616))=0</formula>
    </cfRule>
  </conditionalFormatting>
  <conditionalFormatting sqref="AB652:AC652">
    <cfRule type="containsBlanks" dxfId="4199" priority="130">
      <formula>LEN(TRIM(AB652))=0</formula>
    </cfRule>
  </conditionalFormatting>
  <conditionalFormatting sqref="AB607:AC607">
    <cfRule type="containsBlanks" dxfId="4198" priority="148">
      <formula>LEN(TRIM(AB607))=0</formula>
    </cfRule>
  </conditionalFormatting>
  <conditionalFormatting sqref="AB610:AC610">
    <cfRule type="containsBlanks" dxfId="4197" priority="147">
      <formula>LEN(TRIM(AB610))=0</formula>
    </cfRule>
  </conditionalFormatting>
  <conditionalFormatting sqref="AB613:AC613">
    <cfRule type="containsBlanks" dxfId="4196" priority="146">
      <formula>LEN(TRIM(AB613))=0</formula>
    </cfRule>
  </conditionalFormatting>
  <conditionalFormatting sqref="AB616:AC616 AB620:AC620 AB624:AC624 AB632:AC632 AB636:AC636">
    <cfRule type="containsBlanks" dxfId="4195" priority="145">
      <formula>LEN(TRIM(AB616))=0</formula>
    </cfRule>
  </conditionalFormatting>
  <conditionalFormatting sqref="AB619:AC619 AB623:AC623 AB627:AC627 AB635:AC635 AB631:AC631">
    <cfRule type="containsBlanks" dxfId="4194" priority="144">
      <formula>LEN(TRIM(AB619))=0</formula>
    </cfRule>
  </conditionalFormatting>
  <conditionalFormatting sqref="U626:X639">
    <cfRule type="containsBlanks" dxfId="4193" priority="143">
      <formula>LEN(TRIM(U626))=0</formula>
    </cfRule>
  </conditionalFormatting>
  <conditionalFormatting sqref="AA622:AA636">
    <cfRule type="containsBlanks" dxfId="4192" priority="142">
      <formula>LEN(TRIM(AA622))=0</formula>
    </cfRule>
  </conditionalFormatting>
  <conditionalFormatting sqref="AB622:AC622">
    <cfRule type="containsBlanks" dxfId="4191" priority="141">
      <formula>LEN(TRIM(AB622))=0</formula>
    </cfRule>
  </conditionalFormatting>
  <conditionalFormatting sqref="AB625:AC625">
    <cfRule type="containsBlanks" dxfId="4190" priority="140">
      <formula>LEN(TRIM(AB625))=0</formula>
    </cfRule>
  </conditionalFormatting>
  <conditionalFormatting sqref="AB628:AC628">
    <cfRule type="containsBlanks" dxfId="4189" priority="139">
      <formula>LEN(TRIM(AB628))=0</formula>
    </cfRule>
  </conditionalFormatting>
  <conditionalFormatting sqref="AB633:AC633">
    <cfRule type="containsBlanks" dxfId="4188" priority="138">
      <formula>LEN(TRIM(AB633))=0</formula>
    </cfRule>
  </conditionalFormatting>
  <conditionalFormatting sqref="AB634:AC634">
    <cfRule type="containsBlanks" dxfId="4187" priority="137">
      <formula>LEN(TRIM(AB634))=0</formula>
    </cfRule>
  </conditionalFormatting>
  <conditionalFormatting sqref="AA637:AA639">
    <cfRule type="containsBlanks" dxfId="4186" priority="136">
      <formula>LEN(TRIM(AA637))=0</formula>
    </cfRule>
  </conditionalFormatting>
  <conditionalFormatting sqref="AA640:AA642">
    <cfRule type="containsBlanks" dxfId="4185" priority="135">
      <formula>LEN(TRIM(AA640))=0</formula>
    </cfRule>
  </conditionalFormatting>
  <conditionalFormatting sqref="AA643:AA654">
    <cfRule type="containsBlanks" dxfId="4184" priority="134">
      <formula>LEN(TRIM(AA643))=0</formula>
    </cfRule>
  </conditionalFormatting>
  <conditionalFormatting sqref="AB643:AC643">
    <cfRule type="containsBlanks" dxfId="4183" priority="133">
      <formula>LEN(TRIM(AB643))=0</formula>
    </cfRule>
  </conditionalFormatting>
  <conditionalFormatting sqref="AB646:AC646">
    <cfRule type="containsBlanks" dxfId="4182" priority="132">
      <formula>LEN(TRIM(AB646))=0</formula>
    </cfRule>
  </conditionalFormatting>
  <conditionalFormatting sqref="AB649:AC649">
    <cfRule type="containsBlanks" dxfId="4181" priority="131">
      <formula>LEN(TRIM(AB649))=0</formula>
    </cfRule>
  </conditionalFormatting>
  <conditionalFormatting sqref="U655:X660">
    <cfRule type="containsBlanks" dxfId="4180" priority="129">
      <formula>LEN(TRIM(U655))=0</formula>
    </cfRule>
  </conditionalFormatting>
  <conditionalFormatting sqref="AB655:AC655">
    <cfRule type="containsBlanks" dxfId="4179" priority="127">
      <formula>LEN(TRIM(AB655))=0</formula>
    </cfRule>
  </conditionalFormatting>
  <conditionalFormatting sqref="AA655:AA657">
    <cfRule type="containsBlanks" dxfId="4178" priority="128">
      <formula>LEN(TRIM(AA655))=0</formula>
    </cfRule>
  </conditionalFormatting>
  <conditionalFormatting sqref="AB658:AC658">
    <cfRule type="containsBlanks" dxfId="4177" priority="125">
      <formula>LEN(TRIM(AB658))=0</formula>
    </cfRule>
  </conditionalFormatting>
  <conditionalFormatting sqref="AA658:AA660">
    <cfRule type="containsBlanks" dxfId="4176" priority="126">
      <formula>LEN(TRIM(AA658))=0</formula>
    </cfRule>
  </conditionalFormatting>
  <conditionalFormatting sqref="A683:B688 K683:K688 M683:U688 Y683:AI684 Y685:Z685 AB685:AI685 F683:I688">
    <cfRule type="containsBlanks" dxfId="4175" priority="121">
      <formula>LEN(TRIM(A683))=0</formula>
    </cfRule>
  </conditionalFormatting>
  <conditionalFormatting sqref="F683:F688">
    <cfRule type="duplicateValues" dxfId="4174" priority="122"/>
  </conditionalFormatting>
  <conditionalFormatting sqref="G683:G688">
    <cfRule type="duplicateValues" dxfId="4173" priority="123"/>
  </conditionalFormatting>
  <conditionalFormatting sqref="H683:H688">
    <cfRule type="duplicateValues" dxfId="4172" priority="124"/>
  </conditionalFormatting>
  <conditionalFormatting sqref="A694:B696 Y694:AI696 Y698:AI698 A698:B698 F698:U698 F694:U696">
    <cfRule type="containsBlanks" dxfId="4171" priority="117">
      <formula>LEN(TRIM(A694))=0</formula>
    </cfRule>
  </conditionalFormatting>
  <conditionalFormatting sqref="F689:F698">
    <cfRule type="duplicateValues" dxfId="4170" priority="118"/>
  </conditionalFormatting>
  <conditionalFormatting sqref="G689:G698">
    <cfRule type="duplicateValues" dxfId="4169" priority="119"/>
  </conditionalFormatting>
  <conditionalFormatting sqref="H689:H698">
    <cfRule type="duplicateValues" dxfId="4168" priority="120"/>
  </conditionalFormatting>
  <conditionalFormatting sqref="A699:B704 K703:K704 M703:U704 Y699:AI703 Y704:Z704 AB704:AI704 J713:J724 L713:L724 L727:L735 F699:U702 F703:I704">
    <cfRule type="containsBlanks" dxfId="4167" priority="113">
      <formula>LEN(TRIM(A699))=0</formula>
    </cfRule>
  </conditionalFormatting>
  <conditionalFormatting sqref="F699:F704">
    <cfRule type="duplicateValues" dxfId="4166" priority="114"/>
  </conditionalFormatting>
  <conditionalFormatting sqref="G699:G704">
    <cfRule type="duplicateValues" dxfId="4165" priority="115"/>
  </conditionalFormatting>
  <conditionalFormatting sqref="H699:H704">
    <cfRule type="duplicateValues" dxfId="4164" priority="116"/>
  </conditionalFormatting>
  <conditionalFormatting sqref="M705:U708 M712:W712 M709:V711 V713:V724">
    <cfRule type="containsBlanks" dxfId="4163" priority="109">
      <formula>LEN(TRIM(M705))=0</formula>
    </cfRule>
  </conditionalFormatting>
  <conditionalFormatting sqref="F705:F712">
    <cfRule type="duplicateValues" dxfId="4162" priority="110"/>
  </conditionalFormatting>
  <conditionalFormatting sqref="G705:G712">
    <cfRule type="duplicateValues" dxfId="4161" priority="111"/>
  </conditionalFormatting>
  <conditionalFormatting sqref="H705:H712">
    <cfRule type="duplicateValues" dxfId="4160" priority="112"/>
  </conditionalFormatting>
  <conditionalFormatting sqref="A713:B719 K713:K719 M713:U719 Y713:Z719 AB713:AI719 F713:I719">
    <cfRule type="containsBlanks" dxfId="4159" priority="105">
      <formula>LEN(TRIM(A713))=0</formula>
    </cfRule>
  </conditionalFormatting>
  <conditionalFormatting sqref="F713:F719">
    <cfRule type="duplicateValues" dxfId="4158" priority="106"/>
  </conditionalFormatting>
  <conditionalFormatting sqref="G713:G719">
    <cfRule type="duplicateValues" dxfId="4157" priority="107"/>
  </conditionalFormatting>
  <conditionalFormatting sqref="H713:H719">
    <cfRule type="duplicateValues" dxfId="4156" priority="108"/>
  </conditionalFormatting>
  <conditionalFormatting sqref="A727:B729 A720:B724 K720:K724 M720:U724 M728:T729 M727:V727 Y720:Z724 AB720:AI724 AB727:AI729 Y727:Z729 F720:I724 F727:K729">
    <cfRule type="containsBlanks" dxfId="4155" priority="101">
      <formula>LEN(TRIM(A720))=0</formula>
    </cfRule>
  </conditionalFormatting>
  <conditionalFormatting sqref="F720:F724 F727:F729">
    <cfRule type="duplicateValues" dxfId="4154" priority="102"/>
  </conditionalFormatting>
  <conditionalFormatting sqref="G720:G724 G727:G729">
    <cfRule type="duplicateValues" dxfId="4153" priority="103"/>
  </conditionalFormatting>
  <conditionalFormatting sqref="H720:H724 H727:H729">
    <cfRule type="duplicateValues" dxfId="4152" priority="104"/>
  </conditionalFormatting>
  <conditionalFormatting sqref="A730:B735 M730:T735 Y730:Z735 AB730:AI735 F730:K735">
    <cfRule type="containsBlanks" dxfId="4151" priority="97">
      <formula>LEN(TRIM(A730))=0</formula>
    </cfRule>
  </conditionalFormatting>
  <conditionalFormatting sqref="F730:F735">
    <cfRule type="duplicateValues" dxfId="4150" priority="98"/>
  </conditionalFormatting>
  <conditionalFormatting sqref="G730:G735">
    <cfRule type="duplicateValues" dxfId="4149" priority="99"/>
  </conditionalFormatting>
  <conditionalFormatting sqref="H730:H735">
    <cfRule type="duplicateValues" dxfId="4148" priority="100"/>
  </conditionalFormatting>
  <conditionalFormatting sqref="A742:AI747">
    <cfRule type="containsBlanks" dxfId="4147" priority="89">
      <formula>LEN(TRIM(A742))=0</formula>
    </cfRule>
  </conditionalFormatting>
  <conditionalFormatting sqref="F742:F747">
    <cfRule type="duplicateValues" dxfId="4146" priority="90"/>
  </conditionalFormatting>
  <conditionalFormatting sqref="G742:G747">
    <cfRule type="duplicateValues" dxfId="4145" priority="91"/>
  </conditionalFormatting>
  <conditionalFormatting sqref="H742:H747">
    <cfRule type="duplicateValues" dxfId="4144" priority="92"/>
  </conditionalFormatting>
  <conditionalFormatting sqref="A748:AI755">
    <cfRule type="containsBlanks" dxfId="4143" priority="85">
      <formula>LEN(TRIM(A748))=0</formula>
    </cfRule>
  </conditionalFormatting>
  <conditionalFormatting sqref="F748:F755">
    <cfRule type="duplicateValues" dxfId="4142" priority="86"/>
  </conditionalFormatting>
  <conditionalFormatting sqref="G748:G755">
    <cfRule type="duplicateValues" dxfId="4141" priority="87"/>
  </conditionalFormatting>
  <conditionalFormatting sqref="H748:H755">
    <cfRule type="duplicateValues" dxfId="4140" priority="88"/>
  </conditionalFormatting>
  <conditionalFormatting sqref="A756:AI761">
    <cfRule type="containsBlanks" dxfId="4139" priority="81">
      <formula>LEN(TRIM(A756))=0</formula>
    </cfRule>
  </conditionalFormatting>
  <conditionalFormatting sqref="F756:F761">
    <cfRule type="duplicateValues" dxfId="4138" priority="82"/>
  </conditionalFormatting>
  <conditionalFormatting sqref="G756:G761">
    <cfRule type="duplicateValues" dxfId="4137" priority="83"/>
  </conditionalFormatting>
  <conditionalFormatting sqref="H756:H761">
    <cfRule type="duplicateValues" dxfId="4136" priority="84"/>
  </conditionalFormatting>
  <conditionalFormatting sqref="A762:AI769">
    <cfRule type="containsBlanks" dxfId="4135" priority="77">
      <formula>LEN(TRIM(A762))=0</formula>
    </cfRule>
  </conditionalFormatting>
  <conditionalFormatting sqref="F762:F769">
    <cfRule type="duplicateValues" dxfId="4134" priority="78"/>
  </conditionalFormatting>
  <conditionalFormatting sqref="G762:G769">
    <cfRule type="duplicateValues" dxfId="4133" priority="79"/>
  </conditionalFormatting>
  <conditionalFormatting sqref="H762:H769">
    <cfRule type="duplicateValues" dxfId="4132" priority="80"/>
  </conditionalFormatting>
  <conditionalFormatting sqref="A770:AI775">
    <cfRule type="containsBlanks" dxfId="4131" priority="73">
      <formula>LEN(TRIM(A770))=0</formula>
    </cfRule>
  </conditionalFormatting>
  <conditionalFormatting sqref="F770:F775">
    <cfRule type="duplicateValues" dxfId="4130" priority="74"/>
  </conditionalFormatting>
  <conditionalFormatting sqref="G770:G775">
    <cfRule type="duplicateValues" dxfId="4129" priority="75"/>
  </conditionalFormatting>
  <conditionalFormatting sqref="H770:H775">
    <cfRule type="duplicateValues" dxfId="4128" priority="76"/>
  </conditionalFormatting>
  <conditionalFormatting sqref="A776:AI783">
    <cfRule type="containsBlanks" dxfId="4127" priority="69">
      <formula>LEN(TRIM(A776))=0</formula>
    </cfRule>
  </conditionalFormatting>
  <conditionalFormatting sqref="F776:F783">
    <cfRule type="duplicateValues" dxfId="4126" priority="70"/>
  </conditionalFormatting>
  <conditionalFormatting sqref="G776:G783">
    <cfRule type="duplicateValues" dxfId="4125" priority="71"/>
  </conditionalFormatting>
  <conditionalFormatting sqref="H776:H783">
    <cfRule type="duplicateValues" dxfId="4124" priority="72"/>
  </conditionalFormatting>
  <conditionalFormatting sqref="A784:AI789">
    <cfRule type="containsBlanks" dxfId="4123" priority="65">
      <formula>LEN(TRIM(A784))=0</formula>
    </cfRule>
  </conditionalFormatting>
  <conditionalFormatting sqref="F784:F789">
    <cfRule type="duplicateValues" dxfId="4122" priority="66"/>
  </conditionalFormatting>
  <conditionalFormatting sqref="G784:G789">
    <cfRule type="duplicateValues" dxfId="4121" priority="67"/>
  </conditionalFormatting>
  <conditionalFormatting sqref="H784:H789">
    <cfRule type="duplicateValues" dxfId="4120" priority="68"/>
  </conditionalFormatting>
  <conditionalFormatting sqref="A790:AI797">
    <cfRule type="containsBlanks" dxfId="4119" priority="61">
      <formula>LEN(TRIM(A790))=0</formula>
    </cfRule>
  </conditionalFormatting>
  <conditionalFormatting sqref="F790:F797">
    <cfRule type="duplicateValues" dxfId="4118" priority="62"/>
  </conditionalFormatting>
  <conditionalFormatting sqref="G790:G797">
    <cfRule type="duplicateValues" dxfId="4117" priority="63"/>
  </conditionalFormatting>
  <conditionalFormatting sqref="H790:H797">
    <cfRule type="duplicateValues" dxfId="4116" priority="64"/>
  </conditionalFormatting>
  <conditionalFormatting sqref="G668">
    <cfRule type="duplicateValues" dxfId="4115" priority="60"/>
  </conditionalFormatting>
  <conditionalFormatting sqref="I672">
    <cfRule type="containsBlanks" dxfId="4114" priority="59">
      <formula>LEN(TRIM(I672))=0</formula>
    </cfRule>
  </conditionalFormatting>
  <conditionalFormatting sqref="V667:X669">
    <cfRule type="containsBlanks" dxfId="4113" priority="58">
      <formula>LEN(TRIM(V667))=0</formula>
    </cfRule>
  </conditionalFormatting>
  <conditionalFormatting sqref="V670:X672">
    <cfRule type="containsBlanks" dxfId="4112" priority="57">
      <formula>LEN(TRIM(V670))=0</formula>
    </cfRule>
  </conditionalFormatting>
  <conditionalFormatting sqref="U673:U678">
    <cfRule type="containsBlanks" dxfId="4111" priority="56">
      <formula>LEN(TRIM(U673))=0</formula>
    </cfRule>
  </conditionalFormatting>
  <conditionalFormatting sqref="V673:X678 X698:X699">
    <cfRule type="containsBlanks" dxfId="4110" priority="55">
      <formula>LEN(TRIM(V673))=0</formula>
    </cfRule>
  </conditionalFormatting>
  <conditionalFormatting sqref="AB661:AC661">
    <cfRule type="containsBlanks" dxfId="4109" priority="53">
      <formula>LEN(TRIM(AB661))=0</formula>
    </cfRule>
  </conditionalFormatting>
  <conditionalFormatting sqref="AA661:AA663">
    <cfRule type="containsBlanks" dxfId="4108" priority="54">
      <formula>LEN(TRIM(AA661))=0</formula>
    </cfRule>
  </conditionalFormatting>
  <conditionalFormatting sqref="AB664:AC664">
    <cfRule type="containsBlanks" dxfId="4107" priority="51">
      <formula>LEN(TRIM(AB664))=0</formula>
    </cfRule>
  </conditionalFormatting>
  <conditionalFormatting sqref="AA664:AA666">
    <cfRule type="containsBlanks" dxfId="4106" priority="52">
      <formula>LEN(TRIM(AA664))=0</formula>
    </cfRule>
  </conditionalFormatting>
  <conditionalFormatting sqref="AB667:AC667">
    <cfRule type="containsBlanks" dxfId="4105" priority="49">
      <formula>LEN(TRIM(AB667))=0</formula>
    </cfRule>
  </conditionalFormatting>
  <conditionalFormatting sqref="AA667:AA669">
    <cfRule type="containsBlanks" dxfId="4104" priority="50">
      <formula>LEN(TRIM(AA667))=0</formula>
    </cfRule>
  </conditionalFormatting>
  <conditionalFormatting sqref="AB670:AC670">
    <cfRule type="containsBlanks" dxfId="4103" priority="47">
      <formula>LEN(TRIM(AB670))=0</formula>
    </cfRule>
  </conditionalFormatting>
  <conditionalFormatting sqref="AA670:AA672">
    <cfRule type="containsBlanks" dxfId="4102" priority="48">
      <formula>LEN(TRIM(AA670))=0</formula>
    </cfRule>
  </conditionalFormatting>
  <conditionalFormatting sqref="AB673:AC673">
    <cfRule type="containsBlanks" dxfId="4101" priority="45">
      <formula>LEN(TRIM(AB673))=0</formula>
    </cfRule>
  </conditionalFormatting>
  <conditionalFormatting sqref="AA673:AA675">
    <cfRule type="containsBlanks" dxfId="4100" priority="46">
      <formula>LEN(TRIM(AA673))=0</formula>
    </cfRule>
  </conditionalFormatting>
  <conditionalFormatting sqref="AB676:AC676">
    <cfRule type="containsBlanks" dxfId="4099" priority="43">
      <formula>LEN(TRIM(AB676))=0</formula>
    </cfRule>
  </conditionalFormatting>
  <conditionalFormatting sqref="AA676:AA678">
    <cfRule type="containsBlanks" dxfId="4098" priority="44">
      <formula>LEN(TRIM(AA676))=0</formula>
    </cfRule>
  </conditionalFormatting>
  <conditionalFormatting sqref="W694:W696">
    <cfRule type="containsBlanks" dxfId="4097" priority="41">
      <formula>LEN(TRIM(W694))=0</formula>
    </cfRule>
  </conditionalFormatting>
  <conditionalFormatting sqref="W698:W699">
    <cfRule type="containsBlanks" dxfId="4096" priority="40">
      <formula>LEN(TRIM(W698))=0</formula>
    </cfRule>
  </conditionalFormatting>
  <conditionalFormatting sqref="V700:V702">
    <cfRule type="containsBlanks" dxfId="4095" priority="39">
      <formula>LEN(TRIM(V700))=0</formula>
    </cfRule>
  </conditionalFormatting>
  <conditionalFormatting sqref="X700:X702">
    <cfRule type="containsBlanks" dxfId="4094" priority="38">
      <formula>LEN(TRIM(X700))=0</formula>
    </cfRule>
  </conditionalFormatting>
  <conditionalFormatting sqref="W700:W702">
    <cfRule type="containsBlanks" dxfId="4093" priority="37">
      <formula>LEN(TRIM(W700))=0</formula>
    </cfRule>
  </conditionalFormatting>
  <conditionalFormatting sqref="V703:V708">
    <cfRule type="containsBlanks" dxfId="4092" priority="36">
      <formula>LEN(TRIM(V703))=0</formula>
    </cfRule>
  </conditionalFormatting>
  <conditionalFormatting sqref="X713:X724">
    <cfRule type="containsBlanks" dxfId="4091" priority="35">
      <formula>LEN(TRIM(X713))=0</formula>
    </cfRule>
  </conditionalFormatting>
  <conditionalFormatting sqref="W703:W708">
    <cfRule type="containsBlanks" dxfId="4090" priority="34">
      <formula>LEN(TRIM(W703))=0</formula>
    </cfRule>
  </conditionalFormatting>
  <conditionalFormatting sqref="AA704:AA705">
    <cfRule type="containsBlanks" dxfId="4089" priority="33">
      <formula>LEN(TRIM(AA704))=0</formula>
    </cfRule>
  </conditionalFormatting>
  <conditionalFormatting sqref="AA706">
    <cfRule type="containsBlanks" dxfId="4088" priority="32">
      <formula>LEN(TRIM(AA706))=0</formula>
    </cfRule>
  </conditionalFormatting>
  <conditionalFormatting sqref="AA707:AA708">
    <cfRule type="containsBlanks" dxfId="4087" priority="31">
      <formula>LEN(TRIM(AA707))=0</formula>
    </cfRule>
  </conditionalFormatting>
  <conditionalFormatting sqref="W709:W711 W713:W724">
    <cfRule type="containsBlanks" dxfId="4086" priority="30">
      <formula>LEN(TRIM(W709))=0</formula>
    </cfRule>
  </conditionalFormatting>
  <conditionalFormatting sqref="AA712">
    <cfRule type="containsBlanks" dxfId="4085" priority="29">
      <formula>LEN(TRIM(AA712))=0</formula>
    </cfRule>
  </conditionalFormatting>
  <conditionalFormatting sqref="AA709:AA710">
    <cfRule type="containsBlanks" dxfId="4084" priority="28">
      <formula>LEN(TRIM(AA709))=0</formula>
    </cfRule>
  </conditionalFormatting>
  <conditionalFormatting sqref="AA711">
    <cfRule type="containsBlanks" dxfId="4083" priority="27">
      <formula>LEN(TRIM(AA711))=0</formula>
    </cfRule>
  </conditionalFormatting>
  <conditionalFormatting sqref="AA713:AA714">
    <cfRule type="containsBlanks" dxfId="4082" priority="26">
      <formula>LEN(TRIM(AA713))=0</formula>
    </cfRule>
  </conditionalFormatting>
  <conditionalFormatting sqref="AA715">
    <cfRule type="containsBlanks" dxfId="4081" priority="25">
      <formula>LEN(TRIM(AA715))=0</formula>
    </cfRule>
  </conditionalFormatting>
  <conditionalFormatting sqref="AA716:AA717">
    <cfRule type="containsBlanks" dxfId="4080" priority="24">
      <formula>LEN(TRIM(AA716))=0</formula>
    </cfRule>
  </conditionalFormatting>
  <conditionalFormatting sqref="AA718">
    <cfRule type="containsBlanks" dxfId="4079" priority="23">
      <formula>LEN(TRIM(AA718))=0</formula>
    </cfRule>
  </conditionalFormatting>
  <conditionalFormatting sqref="AA719:AA720">
    <cfRule type="containsBlanks" dxfId="4078" priority="22">
      <formula>LEN(TRIM(AA719))=0</formula>
    </cfRule>
  </conditionalFormatting>
  <conditionalFormatting sqref="AA721">
    <cfRule type="containsBlanks" dxfId="4077" priority="21">
      <formula>LEN(TRIM(AA721))=0</formula>
    </cfRule>
  </conditionalFormatting>
  <conditionalFormatting sqref="AA722:AA723">
    <cfRule type="containsBlanks" dxfId="4076" priority="20">
      <formula>LEN(TRIM(AA722))=0</formula>
    </cfRule>
  </conditionalFormatting>
  <conditionalFormatting sqref="AA724">
    <cfRule type="containsBlanks" dxfId="4075" priority="19">
      <formula>LEN(TRIM(AA724))=0</formula>
    </cfRule>
  </conditionalFormatting>
  <conditionalFormatting sqref="X727">
    <cfRule type="containsBlanks" dxfId="4074" priority="18">
      <formula>LEN(TRIM(X727))=0</formula>
    </cfRule>
  </conditionalFormatting>
  <conditionalFormatting sqref="W727">
    <cfRule type="containsBlanks" dxfId="4073" priority="17">
      <formula>LEN(TRIM(W727))=0</formula>
    </cfRule>
  </conditionalFormatting>
  <conditionalFormatting sqref="U728:V735">
    <cfRule type="containsBlanks" dxfId="4072" priority="16">
      <formula>LEN(TRIM(U728))=0</formula>
    </cfRule>
  </conditionalFormatting>
  <conditionalFormatting sqref="X728:X735">
    <cfRule type="containsBlanks" dxfId="4071" priority="15">
      <formula>LEN(TRIM(X728))=0</formula>
    </cfRule>
  </conditionalFormatting>
  <conditionalFormatting sqref="W728:W735">
    <cfRule type="containsBlanks" dxfId="4070" priority="14">
      <formula>LEN(TRIM(W728))=0</formula>
    </cfRule>
  </conditionalFormatting>
  <conditionalFormatting sqref="AA727">
    <cfRule type="containsBlanks" dxfId="4069" priority="13">
      <formula>LEN(TRIM(AA727))=0</formula>
    </cfRule>
  </conditionalFormatting>
  <conditionalFormatting sqref="AA728:AA730">
    <cfRule type="containsBlanks" dxfId="4068" priority="12">
      <formula>LEN(TRIM(AA728))=0</formula>
    </cfRule>
  </conditionalFormatting>
  <conditionalFormatting sqref="AA731:AA733">
    <cfRule type="containsBlanks" dxfId="4067" priority="11">
      <formula>LEN(TRIM(AA731))=0</formula>
    </cfRule>
  </conditionalFormatting>
  <conditionalFormatting sqref="AA734:AA735">
    <cfRule type="containsBlanks" dxfId="4066" priority="10">
      <formula>LEN(TRIM(AA734))=0</formula>
    </cfRule>
  </conditionalFormatting>
  <conditionalFormatting sqref="F736:F741 F725:F726">
    <cfRule type="duplicateValues" dxfId="4065" priority="2088"/>
  </conditionalFormatting>
  <conditionalFormatting sqref="G736:G741 G725:G726">
    <cfRule type="duplicateValues" dxfId="4064" priority="2090"/>
  </conditionalFormatting>
  <conditionalFormatting sqref="H736:H741 H725:H726">
    <cfRule type="duplicateValues" dxfId="4063" priority="2092"/>
  </conditionalFormatting>
  <conditionalFormatting sqref="V725:V726">
    <cfRule type="containsBlanks" dxfId="4062" priority="9">
      <formula>LEN(TRIM(V725))=0</formula>
    </cfRule>
  </conditionalFormatting>
  <conditionalFormatting sqref="X725:X726">
    <cfRule type="containsBlanks" dxfId="4061" priority="8">
      <formula>LEN(TRIM(X725))=0</formula>
    </cfRule>
  </conditionalFormatting>
  <conditionalFormatting sqref="W725:W726">
    <cfRule type="containsBlanks" dxfId="4060" priority="7">
      <formula>LEN(TRIM(W725))=0</formula>
    </cfRule>
  </conditionalFormatting>
  <conditionalFormatting sqref="AA725:AA726">
    <cfRule type="containsBlanks" dxfId="4059" priority="6">
      <formula>LEN(TRIM(AA725))=0</formula>
    </cfRule>
  </conditionalFormatting>
  <conditionalFormatting sqref="V736:V738">
    <cfRule type="containsBlanks" dxfId="4058" priority="5">
      <formula>LEN(TRIM(V736))=0</formula>
    </cfRule>
  </conditionalFormatting>
  <conditionalFormatting sqref="X736:X738">
    <cfRule type="containsBlanks" dxfId="4057" priority="4">
      <formula>LEN(TRIM(X736))=0</formula>
    </cfRule>
  </conditionalFormatting>
  <conditionalFormatting sqref="W736:W738">
    <cfRule type="containsBlanks" dxfId="4056" priority="3">
      <formula>LEN(TRIM(W736))=0</formula>
    </cfRule>
  </conditionalFormatting>
  <conditionalFormatting sqref="AA736">
    <cfRule type="containsBlanks" dxfId="4055" priority="2">
      <formula>LEN(TRIM(AA736))=0</formula>
    </cfRule>
  </conditionalFormatting>
  <conditionalFormatting sqref="AA737:AA738">
    <cfRule type="containsBlanks" dxfId="4054" priority="1">
      <formula>LEN(TRIM(AA737))=0</formula>
    </cfRule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61"/>
  <sheetViews>
    <sheetView topLeftCell="A46" zoomScale="60" zoomScaleNormal="60" workbookViewId="0">
      <selection activeCell="C24" sqref="C24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85</v>
      </c>
    </row>
    <row r="3" spans="1:35"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0</v>
      </c>
      <c r="K4" s="24">
        <f>'[7]SUMMARY WFP 2022'!VX75</f>
        <v>0</v>
      </c>
      <c r="L4" s="25">
        <f>J4-K4</f>
        <v>0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0</v>
      </c>
      <c r="K5" s="24">
        <f>'[7]SUMMARY WFP 2022'!VY75</f>
        <v>0</v>
      </c>
      <c r="L5" s="25">
        <f>J5-K5</f>
        <v>0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0</v>
      </c>
      <c r="K6" s="25">
        <f>SUM(K4:K5)</f>
        <v>0</v>
      </c>
      <c r="L6" s="25">
        <f>J6-K6</f>
        <v>0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2022'!WA75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0</v>
      </c>
      <c r="K8" s="24">
        <f>'[7]SUMMARY WFP 2022'!VM75</f>
        <v>0</v>
      </c>
      <c r="L8" s="25">
        <f>J8-K8</f>
        <v>0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89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SUM(J14,J26,J38,J50)</f>
        <v>0</v>
      </c>
      <c r="K13" s="29">
        <f>SUM(K14,K26,K38,K50)</f>
        <v>0</v>
      </c>
      <c r="L13" s="29">
        <f>SUM(L14,L26,L38,L50)</f>
        <v>0</v>
      </c>
      <c r="M13" s="29">
        <f>SUM(M14,M26,M38,M50)</f>
        <v>0</v>
      </c>
      <c r="N13" s="29">
        <f>SUM(N14,N26,N38,N50)</f>
        <v>0</v>
      </c>
      <c r="O13" s="29"/>
      <c r="P13" s="29">
        <f>SUM(P14,P26,P38,P50)</f>
        <v>0</v>
      </c>
      <c r="Q13" s="29">
        <f>SUM(Q14,Q26,Q38,Q50)</f>
        <v>0</v>
      </c>
      <c r="R13" s="29"/>
      <c r="S13" s="29">
        <f>SUM(S14,S26,S38,S50)</f>
        <v>0</v>
      </c>
      <c r="T13" s="29">
        <f>SUM(T14,T26,T38,T50)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SUM(AC14,AC26,AC38,AC50)</f>
        <v>0</v>
      </c>
      <c r="AD13" s="29">
        <f>SUM(AD14,AD26,AD38,AD50)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SUM(J27:J37)</f>
        <v>0</v>
      </c>
      <c r="K26" s="31">
        <f>SUM(K27:K37)</f>
        <v>0</v>
      </c>
      <c r="L26" s="31">
        <f>SUM(L27:L37)</f>
        <v>0</v>
      </c>
      <c r="M26" s="31">
        <f>SUM(M27:M37)</f>
        <v>0</v>
      </c>
      <c r="N26" s="31">
        <f>SUM(N27:N37)</f>
        <v>0</v>
      </c>
      <c r="O26" s="31"/>
      <c r="P26" s="31">
        <f>SUM(P27:P37)</f>
        <v>0</v>
      </c>
      <c r="Q26" s="31">
        <f>SUM(Q27:Q37)</f>
        <v>0</v>
      </c>
      <c r="R26" s="31"/>
      <c r="S26" s="31">
        <f>SUM(S27:S37)</f>
        <v>0</v>
      </c>
      <c r="T26" s="31">
        <f>SUM(T27:T37)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SUM(AC27:AC37)</f>
        <v>0</v>
      </c>
      <c r="AD26" s="31">
        <f>SUM(AD27:AD37)</f>
        <v>0</v>
      </c>
      <c r="AE26" s="31" t="e">
        <f>AVERAGE(AE27:AE37)</f>
        <v>#DIV/0!</v>
      </c>
      <c r="AF26" s="31" t="e">
        <f>AVERAGE(AF27:AF37)</f>
        <v>#DIV/0!</v>
      </c>
      <c r="AG26" s="31" t="e">
        <f>AVERAGE(AG27:AG37)</f>
        <v>#DIV/0!</v>
      </c>
      <c r="AH26" s="19"/>
      <c r="AI26" s="41"/>
    </row>
    <row r="27" spans="1:35">
      <c r="A27" s="14"/>
      <c r="B27" s="20"/>
      <c r="C27" s="20"/>
      <c r="D27" s="20"/>
      <c r="E27" s="20"/>
      <c r="F27" s="20"/>
      <c r="G27" s="20"/>
      <c r="H27" s="20"/>
      <c r="I27" s="32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0"/>
      <c r="V27" s="20"/>
      <c r="W27" s="20"/>
      <c r="X27" s="20"/>
      <c r="Y27" s="20"/>
      <c r="Z27" s="20"/>
      <c r="AA27" s="20"/>
      <c r="AB27" s="20"/>
      <c r="AC27" s="24"/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/>
      <c r="D28" s="20"/>
      <c r="E28" s="20"/>
      <c r="F28" s="20"/>
      <c r="G28" s="20"/>
      <c r="H28" s="20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0"/>
      <c r="V28" s="20"/>
      <c r="W28" s="20"/>
      <c r="X28" s="20"/>
      <c r="Y28" s="20"/>
      <c r="Z28" s="20"/>
      <c r="AA28" s="20"/>
      <c r="AB28" s="20"/>
      <c r="AC28" s="24"/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/>
      <c r="D29" s="20"/>
      <c r="E29" s="20"/>
      <c r="F29" s="20"/>
      <c r="G29" s="20"/>
      <c r="H29" s="20"/>
      <c r="I29" s="3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0"/>
      <c r="V29" s="20"/>
      <c r="W29" s="20"/>
      <c r="X29" s="20"/>
      <c r="Y29" s="20"/>
      <c r="Z29" s="20"/>
      <c r="AA29" s="20"/>
      <c r="AB29" s="20"/>
      <c r="AC29" s="24"/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/>
      <c r="D30" s="20"/>
      <c r="E30" s="20"/>
      <c r="F30" s="20"/>
      <c r="G30" s="20"/>
      <c r="H30" s="20"/>
      <c r="I30" s="3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0"/>
      <c r="V30" s="20"/>
      <c r="W30" s="20"/>
      <c r="X30" s="20"/>
      <c r="Y30" s="20"/>
      <c r="Z30" s="20"/>
      <c r="AA30" s="20"/>
      <c r="AB30" s="20"/>
      <c r="AC30" s="24"/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/>
      <c r="D31" s="20"/>
      <c r="E31" s="20"/>
      <c r="F31" s="20"/>
      <c r="G31" s="20"/>
      <c r="H31" s="20"/>
      <c r="I31" s="32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0"/>
      <c r="V31" s="20"/>
      <c r="W31" s="20"/>
      <c r="X31" s="20"/>
      <c r="Y31" s="20"/>
      <c r="Z31" s="20"/>
      <c r="AA31" s="20"/>
      <c r="AB31" s="20"/>
      <c r="AC31" s="24"/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/>
      <c r="D32" s="20"/>
      <c r="E32" s="20"/>
      <c r="F32" s="20"/>
      <c r="G32" s="20"/>
      <c r="H32" s="20"/>
      <c r="I32" s="32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0"/>
      <c r="V32" s="20"/>
      <c r="W32" s="20"/>
      <c r="X32" s="20"/>
      <c r="Y32" s="20"/>
      <c r="Z32" s="20"/>
      <c r="AA32" s="20"/>
      <c r="AB32" s="20"/>
      <c r="AC32" s="24"/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/>
      <c r="D33" s="20"/>
      <c r="E33" s="20"/>
      <c r="F33" s="20"/>
      <c r="G33" s="20"/>
      <c r="H33" s="20"/>
      <c r="I33" s="32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0"/>
      <c r="V33" s="20"/>
      <c r="W33" s="20"/>
      <c r="X33" s="20"/>
      <c r="Y33" s="20"/>
      <c r="Z33" s="20"/>
      <c r="AA33" s="20"/>
      <c r="AB33" s="20"/>
      <c r="AC33" s="24"/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/>
      <c r="D34" s="20"/>
      <c r="E34" s="20"/>
      <c r="F34" s="20"/>
      <c r="G34" s="20"/>
      <c r="H34" s="20"/>
      <c r="I34" s="32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0"/>
      <c r="V34" s="20"/>
      <c r="W34" s="20"/>
      <c r="X34" s="20"/>
      <c r="Y34" s="20"/>
      <c r="Z34" s="20"/>
      <c r="AA34" s="20"/>
      <c r="AB34" s="20"/>
      <c r="AC34" s="24"/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/>
      <c r="D35" s="20"/>
      <c r="E35" s="20"/>
      <c r="F35" s="20"/>
      <c r="G35" s="20"/>
      <c r="H35" s="20"/>
      <c r="I35" s="32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0"/>
      <c r="V35" s="20"/>
      <c r="W35" s="20"/>
      <c r="X35" s="20"/>
      <c r="Y35" s="20"/>
      <c r="Z35" s="20"/>
      <c r="AA35" s="20"/>
      <c r="AB35" s="20"/>
      <c r="AC35" s="24"/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/>
      <c r="G36" s="20"/>
      <c r="H36" s="20"/>
      <c r="I36" s="32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0"/>
      <c r="V36" s="20"/>
      <c r="W36" s="20"/>
      <c r="X36" s="20"/>
      <c r="Y36" s="20"/>
      <c r="Z36" s="20"/>
      <c r="AA36" s="20"/>
      <c r="AB36" s="20"/>
      <c r="AC36" s="24"/>
      <c r="AD36" s="24"/>
      <c r="AE36" s="24"/>
      <c r="AF36" s="24"/>
      <c r="AG36" s="24"/>
      <c r="AH36" s="20"/>
      <c r="AI36" s="42"/>
    </row>
    <row r="37" spans="1:35">
      <c r="A37" s="14"/>
      <c r="B37" s="20"/>
      <c r="C37" s="20"/>
      <c r="D37" s="20"/>
      <c r="E37" s="20"/>
      <c r="F37" s="20"/>
      <c r="G37" s="20"/>
      <c r="H37" s="20"/>
      <c r="I37" s="32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0"/>
      <c r="V37" s="20"/>
      <c r="W37" s="20"/>
      <c r="X37" s="20"/>
      <c r="Y37" s="20"/>
      <c r="Z37" s="20"/>
      <c r="AA37" s="20"/>
      <c r="AB37" s="20"/>
      <c r="AC37" s="24"/>
      <c r="AD37" s="24"/>
      <c r="AE37" s="24"/>
      <c r="AF37" s="24"/>
      <c r="AG37" s="24"/>
      <c r="AH37" s="20"/>
      <c r="AI37" s="42"/>
    </row>
    <row r="38" spans="1:35" s="6" customFormat="1">
      <c r="A38" s="18"/>
      <c r="B38" s="19"/>
      <c r="C38" s="19" t="s">
        <v>83</v>
      </c>
      <c r="D38" s="19"/>
      <c r="E38" s="19"/>
      <c r="F38" s="19"/>
      <c r="G38" s="19"/>
      <c r="H38" s="19"/>
      <c r="I38" s="30"/>
      <c r="J38" s="31">
        <f>SUM(J39:J49)</f>
        <v>0</v>
      </c>
      <c r="K38" s="31">
        <f>SUM(K39:K49)</f>
        <v>0</v>
      </c>
      <c r="L38" s="31">
        <f>SUM(L39:L49)</f>
        <v>0</v>
      </c>
      <c r="M38" s="31">
        <f>SUM(M39:M49)</f>
        <v>0</v>
      </c>
      <c r="N38" s="31">
        <f>SUM(N39:N49)</f>
        <v>0</v>
      </c>
      <c r="O38" s="31"/>
      <c r="P38" s="31">
        <f>SUM(P39:P49)</f>
        <v>0</v>
      </c>
      <c r="Q38" s="31">
        <f>SUM(Q39:Q49)</f>
        <v>0</v>
      </c>
      <c r="R38" s="31"/>
      <c r="S38" s="31">
        <f>SUM(S39:S49)</f>
        <v>0</v>
      </c>
      <c r="T38" s="31">
        <f>SUM(T39:T49)</f>
        <v>0</v>
      </c>
      <c r="U38" s="19"/>
      <c r="V38" s="19"/>
      <c r="W38" s="19"/>
      <c r="X38" s="19"/>
      <c r="Y38" s="19"/>
      <c r="Z38" s="19"/>
      <c r="AA38" s="19"/>
      <c r="AB38" s="19"/>
      <c r="AC38" s="31">
        <f>SUM(AC39:AC49)</f>
        <v>0</v>
      </c>
      <c r="AD38" s="31">
        <f>SUM(AD39:AD49)</f>
        <v>0</v>
      </c>
      <c r="AE38" s="31" t="e">
        <f>AVERAGE(AE39:AE49)</f>
        <v>#DIV/0!</v>
      </c>
      <c r="AF38" s="31" t="e">
        <f>AVERAGE(AF39:AF49)</f>
        <v>#DIV/0!</v>
      </c>
      <c r="AG38" s="31" t="e">
        <f>AVERAGE(AG39:AG49)</f>
        <v>#DIV/0!</v>
      </c>
      <c r="AH38" s="19"/>
      <c r="AI38" s="41"/>
    </row>
    <row r="39" spans="1:35">
      <c r="A39" s="14"/>
      <c r="B39" s="20"/>
      <c r="C39" s="20"/>
      <c r="D39" s="20"/>
      <c r="E39" s="20"/>
      <c r="F39" s="20"/>
      <c r="G39" s="20"/>
      <c r="H39" s="20"/>
      <c r="I39" s="3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20"/>
      <c r="AB39" s="20"/>
      <c r="AC39" s="24"/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/>
      <c r="D40" s="20"/>
      <c r="E40" s="20"/>
      <c r="F40" s="20"/>
      <c r="G40" s="20"/>
      <c r="H40" s="20"/>
      <c r="I40" s="32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0"/>
      <c r="V40" s="20"/>
      <c r="W40" s="20"/>
      <c r="X40" s="20"/>
      <c r="Y40" s="20"/>
      <c r="Z40" s="20"/>
      <c r="AA40" s="20"/>
      <c r="AB40" s="20"/>
      <c r="AC40" s="24"/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/>
      <c r="D41" s="20"/>
      <c r="E41" s="20"/>
      <c r="F41" s="20"/>
      <c r="G41" s="20"/>
      <c r="H41" s="20"/>
      <c r="I41" s="3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20"/>
      <c r="AB41" s="20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/>
      <c r="G42" s="20"/>
      <c r="H42" s="20"/>
      <c r="I42" s="3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20"/>
      <c r="AB42" s="20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/>
      <c r="G43" s="20"/>
      <c r="H43" s="20"/>
      <c r="I43" s="3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20"/>
      <c r="AB43" s="20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/>
      <c r="G44" s="20"/>
      <c r="H44" s="20"/>
      <c r="I44" s="32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20"/>
      <c r="AB44" s="20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/>
      <c r="G45" s="20"/>
      <c r="H45" s="20"/>
      <c r="I45" s="32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20"/>
      <c r="AB45" s="20"/>
      <c r="AC45" s="24"/>
      <c r="AD45" s="24"/>
      <c r="AE45" s="24"/>
      <c r="AF45" s="24"/>
      <c r="AG45" s="24"/>
      <c r="AH45" s="20"/>
      <c r="AI45" s="42"/>
    </row>
    <row r="46" spans="1:35">
      <c r="A46" s="14"/>
      <c r="B46" s="20"/>
      <c r="C46" s="20"/>
      <c r="D46" s="20"/>
      <c r="E46" s="20"/>
      <c r="F46" s="20"/>
      <c r="G46" s="20"/>
      <c r="H46" s="20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/>
      <c r="G47" s="20"/>
      <c r="H47" s="20"/>
      <c r="I47" s="3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20"/>
      <c r="AB47" s="20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/>
      <c r="G48" s="20"/>
      <c r="H48" s="20"/>
      <c r="I48" s="32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20"/>
      <c r="AB48" s="20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/>
      <c r="G49" s="20"/>
      <c r="H49" s="20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20"/>
      <c r="AB49" s="20"/>
      <c r="AC49" s="24"/>
      <c r="AD49" s="24"/>
      <c r="AE49" s="24"/>
      <c r="AF49" s="24"/>
      <c r="AG49" s="24"/>
      <c r="AH49" s="20"/>
      <c r="AI49" s="42"/>
    </row>
    <row r="50" spans="1:35" s="6" customFormat="1">
      <c r="A50" s="18"/>
      <c r="B50" s="19"/>
      <c r="C50" s="19" t="s">
        <v>84</v>
      </c>
      <c r="D50" s="19"/>
      <c r="E50" s="19"/>
      <c r="F50" s="19"/>
      <c r="G50" s="19"/>
      <c r="H50" s="19"/>
      <c r="I50" s="30"/>
      <c r="J50" s="31">
        <f>SUM(J51:J61)</f>
        <v>0</v>
      </c>
      <c r="K50" s="31">
        <f>SUM(K51:K61)</f>
        <v>0</v>
      </c>
      <c r="L50" s="31">
        <f>SUM(L51:L61)</f>
        <v>0</v>
      </c>
      <c r="M50" s="31">
        <f>SUM(M51:M61)</f>
        <v>0</v>
      </c>
      <c r="N50" s="31">
        <f>SUM(N51:N61)</f>
        <v>0</v>
      </c>
      <c r="O50" s="31"/>
      <c r="P50" s="31">
        <f>SUM(P51:P61)</f>
        <v>0</v>
      </c>
      <c r="Q50" s="31">
        <f>SUM(Q51:Q61)</f>
        <v>0</v>
      </c>
      <c r="R50" s="31"/>
      <c r="S50" s="31">
        <f>SUM(S51:S61)</f>
        <v>0</v>
      </c>
      <c r="T50" s="31">
        <f>SUM(T51:T61)</f>
        <v>0</v>
      </c>
      <c r="U50" s="19"/>
      <c r="V50" s="19"/>
      <c r="W50" s="19"/>
      <c r="X50" s="19"/>
      <c r="Y50" s="19"/>
      <c r="Z50" s="19"/>
      <c r="AA50" s="19"/>
      <c r="AB50" s="19"/>
      <c r="AC50" s="31">
        <f>SUM(AC51:AC61)</f>
        <v>0</v>
      </c>
      <c r="AD50" s="31">
        <f>SUM(AD51:AD61)</f>
        <v>0</v>
      </c>
      <c r="AE50" s="31" t="e">
        <f>AVERAGE(AE51:AE61)</f>
        <v>#DIV/0!</v>
      </c>
      <c r="AF50" s="31" t="e">
        <f>AVERAGE(AF51:AF61)</f>
        <v>#DIV/0!</v>
      </c>
      <c r="AG50" s="31" t="e">
        <f>AVERAGE(AG51:AG61)</f>
        <v>#DIV/0!</v>
      </c>
      <c r="AH50" s="19"/>
      <c r="AI50" s="41"/>
    </row>
    <row r="51" spans="1:35">
      <c r="A51" s="14"/>
      <c r="B51" s="20"/>
      <c r="C51" s="20"/>
      <c r="D51" s="20"/>
      <c r="E51" s="20"/>
      <c r="F51" s="20"/>
      <c r="G51" s="20"/>
      <c r="H51" s="20"/>
      <c r="I51" s="3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20"/>
      <c r="AB51" s="20"/>
      <c r="AC51" s="24"/>
      <c r="AD51" s="24"/>
      <c r="AE51" s="24"/>
      <c r="AF51" s="24"/>
      <c r="AG51" s="24"/>
      <c r="AH51" s="20"/>
      <c r="AI51" s="42"/>
    </row>
    <row r="52" spans="1:35">
      <c r="A52" s="14"/>
      <c r="B52" s="20"/>
      <c r="C52" s="20"/>
      <c r="D52" s="20"/>
      <c r="E52" s="20"/>
      <c r="F52" s="20"/>
      <c r="G52" s="20"/>
      <c r="H52" s="20"/>
      <c r="I52" s="32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0"/>
      <c r="V52" s="20"/>
      <c r="W52" s="20"/>
      <c r="X52" s="20"/>
      <c r="Y52" s="20"/>
      <c r="Z52" s="20"/>
      <c r="AA52" s="20"/>
      <c r="AB52" s="20"/>
      <c r="AC52" s="24"/>
      <c r="AD52" s="24"/>
      <c r="AE52" s="24"/>
      <c r="AF52" s="24"/>
      <c r="AG52" s="24"/>
      <c r="AH52" s="20"/>
      <c r="AI52" s="42"/>
    </row>
    <row r="53" spans="1:35">
      <c r="A53" s="14"/>
      <c r="B53" s="20"/>
      <c r="C53" s="20"/>
      <c r="D53" s="20"/>
      <c r="E53" s="20"/>
      <c r="F53" s="20"/>
      <c r="G53" s="20"/>
      <c r="H53" s="20"/>
      <c r="I53" s="3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20"/>
      <c r="AB53" s="20"/>
      <c r="AC53" s="24"/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3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20"/>
      <c r="AB54" s="20"/>
      <c r="AC54" s="24"/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3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3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20"/>
      <c r="AB56" s="20"/>
      <c r="AC56" s="24"/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3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/>
      <c r="D58" s="20"/>
      <c r="E58" s="20"/>
      <c r="F58" s="20"/>
      <c r="G58" s="20"/>
      <c r="H58" s="20"/>
      <c r="I58" s="3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0"/>
      <c r="V58" s="20"/>
      <c r="W58" s="20"/>
      <c r="X58" s="20"/>
      <c r="Y58" s="20"/>
      <c r="Z58" s="20"/>
      <c r="AA58" s="20"/>
      <c r="AB58" s="20"/>
      <c r="AC58" s="24"/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/>
      <c r="D59" s="20"/>
      <c r="E59" s="20"/>
      <c r="F59" s="20"/>
      <c r="G59" s="20"/>
      <c r="H59" s="20"/>
      <c r="I59" s="3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3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conditionalFormatting sqref="L4:L8">
    <cfRule type="cellIs" dxfId="4053" priority="2" operator="greaterThan">
      <formula>0</formula>
    </cfRule>
    <cfRule type="cellIs" dxfId="4052" priority="3" operator="lessThan">
      <formula>0</formula>
    </cfRule>
  </conditionalFormatting>
  <conditionalFormatting sqref="A27:S37 A39:S49 A51:S61 A15:S25 U15:AI25 U51:AI61 U39:AI49 U27:AI37">
    <cfRule type="containsBlanks" dxfId="4051" priority="4">
      <formula>LEN(TRIM(A15))=0</formula>
    </cfRule>
  </conditionalFormatting>
  <conditionalFormatting sqref="F15:F25 F27:F37 F39:F49 F51:F61">
    <cfRule type="duplicateValues" dxfId="4050" priority="5"/>
  </conditionalFormatting>
  <conditionalFormatting sqref="G15:G25 G27:G37 G39:G49 G51:G61">
    <cfRule type="duplicateValues" dxfId="4049" priority="6"/>
  </conditionalFormatting>
  <conditionalFormatting sqref="H15:H25 H27:H37 H39:H49 H51:H61">
    <cfRule type="duplicateValues" dxfId="4048" priority="7"/>
  </conditionalFormatting>
  <conditionalFormatting sqref="T27:T37 T39:T49 T51:T61 T15:T25">
    <cfRule type="containsBlanks" dxfId="4047" priority="1">
      <formula>LEN(TRIM(T15))=0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2085"/>
  <sheetViews>
    <sheetView zoomScale="85" zoomScaleNormal="85" workbookViewId="0">
      <pane ySplit="11" topLeftCell="A2002" activePane="bottomLeft" state="frozen"/>
      <selection pane="bottomLeft" activeCell="B2013" sqref="B2013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31.25" style="7" customWidth="1"/>
    <col min="6" max="9" width="21.5" style="7" customWidth="1"/>
    <col min="10" max="12" width="15" style="7" customWidth="1"/>
    <col min="13" max="13" width="15.625" style="7" customWidth="1"/>
    <col min="14" max="14" width="23.625" style="7" bestFit="1" customWidth="1"/>
    <col min="15" max="15" width="22.875" style="7" bestFit="1" customWidth="1"/>
    <col min="16" max="16" width="14" style="7" bestFit="1" customWidth="1"/>
    <col min="17" max="17" width="12.375" style="7" bestFit="1" customWidth="1"/>
    <col min="18" max="18" width="15.125" style="7" bestFit="1" customWidth="1"/>
    <col min="19" max="19" width="13.75" style="7" bestFit="1" customWidth="1"/>
    <col min="20" max="20" width="28.5" style="7" bestFit="1" customWidth="1"/>
    <col min="21" max="21" width="14.625" style="7" bestFit="1" customWidth="1"/>
    <col min="22" max="22" width="21.875" style="7" bestFit="1" customWidth="1"/>
    <col min="23" max="23" width="12.875" style="7" bestFit="1" customWidth="1"/>
    <col min="24" max="24" width="13.75" style="7" bestFit="1" customWidth="1"/>
    <col min="25" max="25" width="28.625" style="7" bestFit="1" customWidth="1"/>
    <col min="26" max="26" width="26.25" style="7" bestFit="1" customWidth="1"/>
    <col min="27" max="27" width="51.125" style="7" customWidth="1"/>
    <col min="28" max="28" width="26.75" style="7" customWidth="1"/>
    <col min="29" max="29" width="25.125" style="7" bestFit="1" customWidth="1"/>
    <col min="30" max="30" width="18.125" style="7" customWidth="1"/>
    <col min="31" max="31" width="16.2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3" customHeight="1">
      <c r="A1" s="1" t="s">
        <v>0</v>
      </c>
    </row>
    <row r="2" spans="1:35" s="2" customFormat="1" ht="18.75" hidden="1">
      <c r="A2" s="2" t="s">
        <v>90</v>
      </c>
    </row>
    <row r="3" spans="1:35" hidden="1">
      <c r="H3" s="8"/>
      <c r="I3" s="8"/>
      <c r="J3" s="22" t="s">
        <v>2</v>
      </c>
      <c r="K3" s="22" t="s">
        <v>86</v>
      </c>
      <c r="L3" s="22" t="s">
        <v>4</v>
      </c>
    </row>
    <row r="4" spans="1:35" hidden="1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650</v>
      </c>
      <c r="K4" s="24">
        <f>'[7]SUMMARY WFP 2022'!VX87</f>
        <v>0</v>
      </c>
      <c r="L4" s="25">
        <f>J4-K4</f>
        <v>650</v>
      </c>
    </row>
    <row r="5" spans="1:35" hidden="1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141</v>
      </c>
      <c r="K5" s="24">
        <f>'[7]SUMMARY WFP 2022'!VY87</f>
        <v>0</v>
      </c>
      <c r="L5" s="25">
        <f>J5-K5</f>
        <v>141</v>
      </c>
    </row>
    <row r="6" spans="1:35" ht="15.75" hidden="1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791</v>
      </c>
      <c r="K6" s="25">
        <f>SUM(K4:K5)</f>
        <v>0</v>
      </c>
      <c r="L6" s="25">
        <f>J6-K6</f>
        <v>791</v>
      </c>
    </row>
    <row r="7" spans="1:35" ht="15.75" hidden="1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9</v>
      </c>
      <c r="K7" s="24">
        <f>'[7]SUMMARY WFP 2022'!WA87</f>
        <v>0</v>
      </c>
      <c r="L7" s="25">
        <f>J7-K7</f>
        <v>9</v>
      </c>
    </row>
    <row r="8" spans="1:35" ht="15.75" hidden="1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87693.8</v>
      </c>
      <c r="K8" s="24">
        <f>'[7]SUMMARY WFP 2022'!VM87</f>
        <v>0</v>
      </c>
      <c r="L8" s="25">
        <f>J8-K8</f>
        <v>87693.8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31.5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15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89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16"/>
      <c r="J13" s="29">
        <f>SUM(J14,J26,J170,J938)</f>
        <v>650</v>
      </c>
      <c r="K13" s="29">
        <f>SUM(K14,K26,K170,K938)</f>
        <v>141</v>
      </c>
      <c r="L13" s="29">
        <f>SUM(L14,L26,L170,L938)</f>
        <v>779</v>
      </c>
      <c r="M13" s="29">
        <f>SUM(M14,M26,M170,M938)</f>
        <v>13</v>
      </c>
      <c r="N13" s="29">
        <f>SUM(N14,N26,N170,N938)</f>
        <v>23</v>
      </c>
      <c r="O13" s="29"/>
      <c r="P13" s="29">
        <f>SUM(P14,P26,P170,P938)</f>
        <v>0</v>
      </c>
      <c r="Q13" s="29">
        <f>SUM(Q14,Q26,Q170,Q938)</f>
        <v>14</v>
      </c>
      <c r="R13" s="29"/>
      <c r="S13" s="29">
        <f>SUM(S14,S26,S170,S938)</f>
        <v>9</v>
      </c>
      <c r="T13" s="29">
        <f>SUM(T14,T26,T170,T938)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SUM(AC14,AC26,AC170,AC938)</f>
        <v>87693.8</v>
      </c>
      <c r="AD13" s="29">
        <f>SUM(AD14,AD26,AD170,AD938)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212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211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211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211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211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211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211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211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211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211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211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211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212"/>
      <c r="J26" s="31">
        <f>SUM(J27:J169)</f>
        <v>49</v>
      </c>
      <c r="K26" s="31">
        <f>SUM(K27:K169)</f>
        <v>20</v>
      </c>
      <c r="L26" s="31">
        <f>SUM(L27:L169)</f>
        <v>62</v>
      </c>
      <c r="M26" s="31">
        <f>SUM(M27:M169)</f>
        <v>4</v>
      </c>
      <c r="N26" s="31">
        <f>SUM(N27:N169)</f>
        <v>22</v>
      </c>
      <c r="O26" s="31"/>
      <c r="P26" s="31">
        <f>SUM(P27:P169)</f>
        <v>0</v>
      </c>
      <c r="Q26" s="31">
        <f>SUM(Q27:Q169)</f>
        <v>7</v>
      </c>
      <c r="R26" s="31"/>
      <c r="S26" s="31">
        <f>SUM(S27:S169)</f>
        <v>7</v>
      </c>
      <c r="T26" s="31">
        <f>SUM(T27:T169)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SUM(AC27:AC169)</f>
        <v>29255</v>
      </c>
      <c r="AD26" s="31">
        <f>SUM(AD27:AD169)</f>
        <v>0</v>
      </c>
      <c r="AE26" s="31" t="e">
        <f>AVERAGE(AE27:AE169)</f>
        <v>#DIV/0!</v>
      </c>
      <c r="AF26" s="31" t="e">
        <f>AVERAGE(AF27:AF169)</f>
        <v>#DIV/0!</v>
      </c>
      <c r="AG26" s="31" t="e">
        <f>AVERAGE(AG27:AG169)</f>
        <v>#DIV/0!</v>
      </c>
      <c r="AH26" s="19"/>
      <c r="AI26" s="41"/>
    </row>
    <row r="27" spans="1:35">
      <c r="A27" s="14"/>
      <c r="B27" s="20"/>
      <c r="C27" s="84" t="s">
        <v>1432</v>
      </c>
      <c r="D27" s="84" t="s">
        <v>501</v>
      </c>
      <c r="E27" s="20" t="s">
        <v>80</v>
      </c>
      <c r="F27" s="84" t="s">
        <v>1441</v>
      </c>
      <c r="G27" s="84" t="s">
        <v>1442</v>
      </c>
      <c r="H27" s="84" t="s">
        <v>977</v>
      </c>
      <c r="I27" s="211">
        <v>32039</v>
      </c>
      <c r="J27" s="24">
        <v>1</v>
      </c>
      <c r="K27" s="24"/>
      <c r="L27" s="24">
        <v>1</v>
      </c>
      <c r="M27" s="24"/>
      <c r="N27" s="24"/>
      <c r="O27" s="24"/>
      <c r="P27" s="24"/>
      <c r="Q27" s="24"/>
      <c r="R27" s="24"/>
      <c r="S27" s="24"/>
      <c r="T27" s="24"/>
      <c r="U27" s="84" t="s">
        <v>1369</v>
      </c>
      <c r="V27" s="84" t="s">
        <v>1443</v>
      </c>
      <c r="W27" s="84" t="s">
        <v>280</v>
      </c>
      <c r="X27" s="84" t="s">
        <v>227</v>
      </c>
      <c r="Y27" s="20"/>
      <c r="Z27" s="20"/>
      <c r="AA27" s="95" t="s">
        <v>1829</v>
      </c>
      <c r="AB27" s="84" t="s">
        <v>1830</v>
      </c>
      <c r="AC27" s="85">
        <v>2</v>
      </c>
      <c r="AD27" s="24"/>
      <c r="AE27" s="24"/>
      <c r="AF27" s="24"/>
      <c r="AG27" s="24"/>
      <c r="AH27" s="20"/>
      <c r="AI27" s="42"/>
    </row>
    <row r="28" spans="1:35">
      <c r="A28" s="14"/>
      <c r="B28" s="20"/>
      <c r="C28" s="84"/>
      <c r="D28" s="84"/>
      <c r="E28" s="20"/>
      <c r="F28" s="84"/>
      <c r="G28" s="84"/>
      <c r="H28" s="84"/>
      <c r="I28" s="211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84"/>
      <c r="V28" s="84"/>
      <c r="W28" s="84"/>
      <c r="X28" s="84"/>
      <c r="Y28" s="20"/>
      <c r="Z28" s="20"/>
      <c r="AA28" s="95" t="s">
        <v>1828</v>
      </c>
      <c r="AB28" s="84" t="s">
        <v>1831</v>
      </c>
      <c r="AC28" s="85">
        <v>50</v>
      </c>
      <c r="AD28" s="24"/>
      <c r="AE28" s="24"/>
      <c r="AF28" s="24"/>
      <c r="AG28" s="24"/>
      <c r="AH28" s="20"/>
      <c r="AI28" s="42"/>
    </row>
    <row r="29" spans="1:35">
      <c r="A29" s="14"/>
      <c r="B29" s="20"/>
      <c r="C29" s="84" t="s">
        <v>1432</v>
      </c>
      <c r="D29" s="84" t="s">
        <v>501</v>
      </c>
      <c r="E29" s="20" t="s">
        <v>80</v>
      </c>
      <c r="F29" s="84" t="s">
        <v>1523</v>
      </c>
      <c r="G29" s="84" t="s">
        <v>1530</v>
      </c>
      <c r="H29" s="84"/>
      <c r="I29" s="211">
        <v>33005</v>
      </c>
      <c r="J29" s="24">
        <v>1</v>
      </c>
      <c r="K29" s="24"/>
      <c r="L29" s="24">
        <v>1</v>
      </c>
      <c r="M29" s="24"/>
      <c r="N29" s="24"/>
      <c r="O29" s="24"/>
      <c r="P29" s="24"/>
      <c r="Q29" s="24"/>
      <c r="R29" s="24"/>
      <c r="S29" s="24"/>
      <c r="T29" s="24"/>
      <c r="U29" s="84" t="s">
        <v>1369</v>
      </c>
      <c r="V29" s="84" t="s">
        <v>1443</v>
      </c>
      <c r="W29" s="84" t="s">
        <v>280</v>
      </c>
      <c r="X29" s="84" t="s">
        <v>227</v>
      </c>
      <c r="Y29" s="20"/>
      <c r="Z29" s="20"/>
      <c r="AA29" s="95" t="s">
        <v>1829</v>
      </c>
      <c r="AB29" s="84" t="s">
        <v>1830</v>
      </c>
      <c r="AC29" s="85">
        <v>2</v>
      </c>
      <c r="AD29" s="24"/>
      <c r="AE29" s="24"/>
      <c r="AF29" s="24"/>
      <c r="AG29" s="24"/>
      <c r="AH29" s="20"/>
      <c r="AI29" s="42"/>
    </row>
    <row r="30" spans="1:35">
      <c r="A30" s="14"/>
      <c r="B30" s="20"/>
      <c r="C30" s="84"/>
      <c r="D30" s="84"/>
      <c r="E30" s="20"/>
      <c r="F30" s="84"/>
      <c r="G30" s="84"/>
      <c r="H30" s="84"/>
      <c r="I30" s="211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84"/>
      <c r="V30" s="84"/>
      <c r="W30" s="84"/>
      <c r="X30" s="84"/>
      <c r="Y30" s="20"/>
      <c r="Z30" s="20"/>
      <c r="AA30" s="95" t="s">
        <v>1828</v>
      </c>
      <c r="AB30" s="84" t="s">
        <v>1831</v>
      </c>
      <c r="AC30" s="85">
        <v>50</v>
      </c>
      <c r="AD30" s="24"/>
      <c r="AE30" s="24"/>
      <c r="AF30" s="24"/>
      <c r="AG30" s="24"/>
      <c r="AH30" s="20"/>
      <c r="AI30" s="42"/>
    </row>
    <row r="31" spans="1:35">
      <c r="A31" s="14"/>
      <c r="B31" s="20"/>
      <c r="C31" s="84" t="s">
        <v>1432</v>
      </c>
      <c r="D31" s="84" t="s">
        <v>501</v>
      </c>
      <c r="E31" s="20" t="s">
        <v>80</v>
      </c>
      <c r="F31" s="84" t="s">
        <v>1524</v>
      </c>
      <c r="G31" s="84" t="s">
        <v>1525</v>
      </c>
      <c r="H31" s="84"/>
      <c r="I31" s="211">
        <v>34881</v>
      </c>
      <c r="J31" s="24"/>
      <c r="K31" s="24">
        <v>1</v>
      </c>
      <c r="L31" s="24">
        <v>1</v>
      </c>
      <c r="M31" s="24"/>
      <c r="N31" s="24">
        <v>1</v>
      </c>
      <c r="O31" s="24"/>
      <c r="P31" s="24"/>
      <c r="Q31" s="24"/>
      <c r="R31" s="24"/>
      <c r="S31" s="24"/>
      <c r="T31" s="24"/>
      <c r="U31" s="84" t="s">
        <v>1369</v>
      </c>
      <c r="V31" s="84" t="s">
        <v>1443</v>
      </c>
      <c r="W31" s="84" t="s">
        <v>280</v>
      </c>
      <c r="X31" s="84" t="s">
        <v>227</v>
      </c>
      <c r="Y31" s="20"/>
      <c r="Z31" s="20"/>
      <c r="AA31" s="95" t="s">
        <v>1829</v>
      </c>
      <c r="AB31" s="84" t="s">
        <v>1830</v>
      </c>
      <c r="AC31" s="85">
        <v>1</v>
      </c>
      <c r="AD31" s="24"/>
      <c r="AE31" s="24"/>
      <c r="AF31" s="24"/>
      <c r="AG31" s="24"/>
      <c r="AH31" s="20"/>
      <c r="AI31" s="42"/>
    </row>
    <row r="32" spans="1:35">
      <c r="A32" s="14"/>
      <c r="B32" s="20"/>
      <c r="C32" s="84"/>
      <c r="D32" s="84"/>
      <c r="E32" s="20"/>
      <c r="F32" s="84"/>
      <c r="G32" s="84"/>
      <c r="H32" s="84"/>
      <c r="I32" s="211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84"/>
      <c r="V32" s="84"/>
      <c r="W32" s="84"/>
      <c r="X32" s="84"/>
      <c r="Y32" s="20"/>
      <c r="Z32" s="20"/>
      <c r="AA32" s="95" t="s">
        <v>1828</v>
      </c>
      <c r="AB32" s="84" t="s">
        <v>1831</v>
      </c>
      <c r="AC32" s="85">
        <v>50</v>
      </c>
      <c r="AD32" s="24"/>
      <c r="AE32" s="24"/>
      <c r="AF32" s="24"/>
      <c r="AG32" s="24"/>
      <c r="AH32" s="20"/>
      <c r="AI32" s="42"/>
    </row>
    <row r="33" spans="1:35">
      <c r="A33" s="14"/>
      <c r="B33" s="20"/>
      <c r="C33" s="84" t="s">
        <v>1432</v>
      </c>
      <c r="D33" s="84" t="s">
        <v>501</v>
      </c>
      <c r="E33" s="20" t="s">
        <v>80</v>
      </c>
      <c r="F33" s="84" t="s">
        <v>1526</v>
      </c>
      <c r="G33" s="84" t="s">
        <v>1527</v>
      </c>
      <c r="H33" s="84"/>
      <c r="I33" s="211">
        <v>34890</v>
      </c>
      <c r="J33" s="24">
        <v>1</v>
      </c>
      <c r="K33" s="24"/>
      <c r="L33" s="24">
        <v>1</v>
      </c>
      <c r="M33" s="24"/>
      <c r="N33" s="24">
        <v>1</v>
      </c>
      <c r="O33" s="24"/>
      <c r="P33" s="24"/>
      <c r="Q33" s="24"/>
      <c r="R33" s="24"/>
      <c r="S33" s="24"/>
      <c r="T33" s="24"/>
      <c r="U33" s="84" t="s">
        <v>1369</v>
      </c>
      <c r="V33" s="84" t="s">
        <v>1443</v>
      </c>
      <c r="W33" s="84" t="s">
        <v>280</v>
      </c>
      <c r="X33" s="84" t="s">
        <v>227</v>
      </c>
      <c r="Y33" s="20"/>
      <c r="Z33" s="20"/>
      <c r="AA33" s="95" t="s">
        <v>1829</v>
      </c>
      <c r="AB33" s="84" t="s">
        <v>1830</v>
      </c>
      <c r="AC33" s="85">
        <v>1</v>
      </c>
      <c r="AD33" s="24"/>
      <c r="AE33" s="24"/>
      <c r="AF33" s="24"/>
      <c r="AG33" s="24"/>
      <c r="AH33" s="20"/>
      <c r="AI33" s="42"/>
    </row>
    <row r="34" spans="1:35">
      <c r="A34" s="14"/>
      <c r="B34" s="20"/>
      <c r="C34" s="84"/>
      <c r="D34" s="84"/>
      <c r="E34" s="20"/>
      <c r="F34" s="84"/>
      <c r="G34" s="84"/>
      <c r="H34" s="84"/>
      <c r="I34" s="211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84"/>
      <c r="V34" s="84"/>
      <c r="W34" s="84"/>
      <c r="X34" s="84"/>
      <c r="Y34" s="20"/>
      <c r="Z34" s="20"/>
      <c r="AA34" s="95" t="s">
        <v>1828</v>
      </c>
      <c r="AB34" s="84" t="s">
        <v>1831</v>
      </c>
      <c r="AC34" s="85">
        <v>50</v>
      </c>
      <c r="AD34" s="24"/>
      <c r="AE34" s="24"/>
      <c r="AF34" s="24"/>
      <c r="AG34" s="24"/>
      <c r="AH34" s="20"/>
      <c r="AI34" s="42"/>
    </row>
    <row r="35" spans="1:35">
      <c r="A35" s="14"/>
      <c r="B35" s="20"/>
      <c r="C35" s="84" t="s">
        <v>1432</v>
      </c>
      <c r="D35" s="84" t="s">
        <v>501</v>
      </c>
      <c r="E35" s="20" t="s">
        <v>80</v>
      </c>
      <c r="F35" s="84" t="s">
        <v>1528</v>
      </c>
      <c r="G35" s="84" t="s">
        <v>1529</v>
      </c>
      <c r="H35" s="84"/>
      <c r="I35" s="211">
        <v>25938</v>
      </c>
      <c r="J35" s="24">
        <v>1</v>
      </c>
      <c r="K35" s="24"/>
      <c r="L35" s="24">
        <v>1</v>
      </c>
      <c r="M35" s="24"/>
      <c r="N35" s="24"/>
      <c r="O35" s="24"/>
      <c r="P35" s="24"/>
      <c r="Q35" s="24"/>
      <c r="R35" s="24"/>
      <c r="S35" s="24"/>
      <c r="T35" s="24"/>
      <c r="U35" s="84" t="s">
        <v>1369</v>
      </c>
      <c r="V35" s="84" t="s">
        <v>1443</v>
      </c>
      <c r="W35" s="84" t="s">
        <v>280</v>
      </c>
      <c r="X35" s="84" t="s">
        <v>227</v>
      </c>
      <c r="Y35" s="20"/>
      <c r="Z35" s="20"/>
      <c r="AA35" s="95" t="s">
        <v>1829</v>
      </c>
      <c r="AB35" s="84" t="s">
        <v>1830</v>
      </c>
      <c r="AC35" s="85">
        <v>2</v>
      </c>
      <c r="AD35" s="24"/>
      <c r="AE35" s="24"/>
      <c r="AF35" s="24"/>
      <c r="AG35" s="24"/>
      <c r="AH35" s="20"/>
      <c r="AI35" s="42"/>
    </row>
    <row r="36" spans="1:35">
      <c r="A36" s="14"/>
      <c r="B36" s="20"/>
      <c r="C36" s="84"/>
      <c r="D36" s="84"/>
      <c r="E36" s="20"/>
      <c r="F36" s="84"/>
      <c r="G36" s="84"/>
      <c r="H36" s="84"/>
      <c r="I36" s="211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84"/>
      <c r="V36" s="84"/>
      <c r="W36" s="84"/>
      <c r="X36" s="84"/>
      <c r="Y36" s="20"/>
      <c r="Z36" s="20"/>
      <c r="AA36" s="95" t="s">
        <v>1828</v>
      </c>
      <c r="AB36" s="84" t="s">
        <v>1831</v>
      </c>
      <c r="AC36" s="85">
        <v>50</v>
      </c>
      <c r="AD36" s="24"/>
      <c r="AE36" s="24"/>
      <c r="AF36" s="24"/>
      <c r="AG36" s="24"/>
      <c r="AH36" s="20"/>
      <c r="AI36" s="42"/>
    </row>
    <row r="37" spans="1:35">
      <c r="A37" s="14"/>
      <c r="B37" s="20"/>
      <c r="C37" s="84" t="s">
        <v>1432</v>
      </c>
      <c r="D37" s="84" t="s">
        <v>501</v>
      </c>
      <c r="E37" s="20" t="s">
        <v>80</v>
      </c>
      <c r="F37" s="84" t="s">
        <v>1531</v>
      </c>
      <c r="G37" s="84" t="s">
        <v>1532</v>
      </c>
      <c r="H37" s="84"/>
      <c r="I37" s="211">
        <v>33480</v>
      </c>
      <c r="J37" s="24">
        <v>1</v>
      </c>
      <c r="K37" s="24"/>
      <c r="L37" s="24">
        <v>1</v>
      </c>
      <c r="M37" s="24"/>
      <c r="N37" s="24"/>
      <c r="O37" s="24"/>
      <c r="P37" s="24"/>
      <c r="Q37" s="24"/>
      <c r="R37" s="24"/>
      <c r="S37" s="24"/>
      <c r="T37" s="24"/>
      <c r="U37" s="84" t="s">
        <v>1369</v>
      </c>
      <c r="V37" s="84" t="s">
        <v>1443</v>
      </c>
      <c r="W37" s="84" t="s">
        <v>280</v>
      </c>
      <c r="X37" s="84" t="s">
        <v>227</v>
      </c>
      <c r="Y37" s="20">
        <v>9128191583</v>
      </c>
      <c r="Z37" s="20"/>
      <c r="AA37" s="95" t="s">
        <v>1829</v>
      </c>
      <c r="AB37" s="84" t="s">
        <v>1830</v>
      </c>
      <c r="AC37" s="85">
        <v>2</v>
      </c>
      <c r="AD37" s="24"/>
      <c r="AE37" s="24"/>
      <c r="AF37" s="24"/>
      <c r="AG37" s="24"/>
      <c r="AH37" s="20"/>
      <c r="AI37" s="42"/>
    </row>
    <row r="38" spans="1:35">
      <c r="A38" s="14"/>
      <c r="B38" s="20"/>
      <c r="C38" s="84"/>
      <c r="D38" s="84"/>
      <c r="E38" s="20"/>
      <c r="F38" s="84"/>
      <c r="G38" s="84"/>
      <c r="H38" s="84"/>
      <c r="I38" s="211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84"/>
      <c r="V38" s="84"/>
      <c r="W38" s="84"/>
      <c r="X38" s="84"/>
      <c r="Y38" s="20"/>
      <c r="Z38" s="20"/>
      <c r="AA38" s="95" t="s">
        <v>1828</v>
      </c>
      <c r="AB38" s="84" t="s">
        <v>1831</v>
      </c>
      <c r="AC38" s="85">
        <v>50</v>
      </c>
      <c r="AD38" s="24"/>
      <c r="AE38" s="24"/>
      <c r="AF38" s="24"/>
      <c r="AG38" s="24"/>
      <c r="AH38" s="20"/>
      <c r="AI38" s="42"/>
    </row>
    <row r="39" spans="1:35">
      <c r="A39" s="14"/>
      <c r="B39" s="20"/>
      <c r="C39" s="84" t="s">
        <v>1432</v>
      </c>
      <c r="D39" s="84" t="s">
        <v>501</v>
      </c>
      <c r="E39" s="20" t="s">
        <v>80</v>
      </c>
      <c r="F39" s="84" t="s">
        <v>1523</v>
      </c>
      <c r="G39" s="84" t="s">
        <v>1533</v>
      </c>
      <c r="H39" s="84"/>
      <c r="I39" s="211">
        <v>37154</v>
      </c>
      <c r="J39" s="24">
        <v>1</v>
      </c>
      <c r="K39" s="24"/>
      <c r="L39" s="24">
        <v>1</v>
      </c>
      <c r="M39" s="24"/>
      <c r="N39" s="24"/>
      <c r="O39" s="24"/>
      <c r="P39" s="24"/>
      <c r="Q39" s="24"/>
      <c r="R39" s="24"/>
      <c r="S39" s="24"/>
      <c r="T39" s="24"/>
      <c r="U39" s="84" t="s">
        <v>1369</v>
      </c>
      <c r="V39" s="84" t="s">
        <v>1443</v>
      </c>
      <c r="W39" s="84" t="s">
        <v>280</v>
      </c>
      <c r="X39" s="84" t="s">
        <v>227</v>
      </c>
      <c r="Y39" s="20">
        <v>9480139417</v>
      </c>
      <c r="Z39" s="20"/>
      <c r="AA39" s="95" t="s">
        <v>1829</v>
      </c>
      <c r="AB39" s="84" t="s">
        <v>1830</v>
      </c>
      <c r="AC39" s="85">
        <v>2</v>
      </c>
      <c r="AD39" s="24"/>
      <c r="AE39" s="24"/>
      <c r="AF39" s="24"/>
      <c r="AG39" s="24"/>
      <c r="AH39" s="20"/>
      <c r="AI39" s="42"/>
    </row>
    <row r="40" spans="1:35">
      <c r="A40" s="14"/>
      <c r="B40" s="20"/>
      <c r="C40" s="84"/>
      <c r="D40" s="84"/>
      <c r="E40" s="20"/>
      <c r="F40" s="84"/>
      <c r="G40" s="84"/>
      <c r="H40" s="84"/>
      <c r="I40" s="211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84"/>
      <c r="V40" s="84"/>
      <c r="W40" s="84"/>
      <c r="X40" s="84"/>
      <c r="Y40" s="20"/>
      <c r="Z40" s="20"/>
      <c r="AA40" s="95" t="s">
        <v>1828</v>
      </c>
      <c r="AB40" s="84" t="s">
        <v>1831</v>
      </c>
      <c r="AC40" s="85">
        <v>50</v>
      </c>
      <c r="AD40" s="24"/>
      <c r="AE40" s="24"/>
      <c r="AF40" s="24"/>
      <c r="AG40" s="24"/>
      <c r="AH40" s="20"/>
      <c r="AI40" s="42"/>
    </row>
    <row r="41" spans="1:35">
      <c r="A41" s="14"/>
      <c r="B41" s="20"/>
      <c r="C41" s="84" t="s">
        <v>1432</v>
      </c>
      <c r="D41" s="84" t="s">
        <v>501</v>
      </c>
      <c r="E41" s="20" t="s">
        <v>80</v>
      </c>
      <c r="F41" s="84" t="s">
        <v>1526</v>
      </c>
      <c r="G41" s="84" t="s">
        <v>1534</v>
      </c>
      <c r="H41" s="84"/>
      <c r="I41" s="211">
        <v>37097</v>
      </c>
      <c r="J41" s="24">
        <v>1</v>
      </c>
      <c r="K41" s="24"/>
      <c r="L41" s="24">
        <v>1</v>
      </c>
      <c r="M41" s="24"/>
      <c r="N41" s="24">
        <v>1</v>
      </c>
      <c r="O41" s="24"/>
      <c r="P41" s="24"/>
      <c r="Q41" s="24"/>
      <c r="R41" s="24"/>
      <c r="S41" s="24"/>
      <c r="T41" s="24"/>
      <c r="U41" s="84" t="s">
        <v>1369</v>
      </c>
      <c r="V41" s="84" t="s">
        <v>1443</v>
      </c>
      <c r="W41" s="84" t="s">
        <v>280</v>
      </c>
      <c r="X41" s="84" t="s">
        <v>227</v>
      </c>
      <c r="Y41" s="20">
        <v>9105357685</v>
      </c>
      <c r="Z41" s="20"/>
      <c r="AA41" s="95" t="s">
        <v>1829</v>
      </c>
      <c r="AB41" s="84" t="s">
        <v>1830</v>
      </c>
      <c r="AC41" s="85">
        <v>1</v>
      </c>
      <c r="AD41" s="24"/>
      <c r="AE41" s="24"/>
      <c r="AF41" s="24"/>
      <c r="AG41" s="24"/>
      <c r="AH41" s="20"/>
      <c r="AI41" s="42"/>
    </row>
    <row r="42" spans="1:35">
      <c r="A42" s="14"/>
      <c r="B42" s="20"/>
      <c r="C42" s="84"/>
      <c r="D42" s="84"/>
      <c r="E42" s="20"/>
      <c r="F42" s="84"/>
      <c r="G42" s="84"/>
      <c r="H42" s="84"/>
      <c r="I42" s="211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84"/>
      <c r="V42" s="84"/>
      <c r="W42" s="84"/>
      <c r="X42" s="84"/>
      <c r="Y42" s="20"/>
      <c r="Z42" s="20"/>
      <c r="AA42" s="95" t="s">
        <v>1828</v>
      </c>
      <c r="AB42" s="84" t="s">
        <v>1831</v>
      </c>
      <c r="AC42" s="85">
        <v>50</v>
      </c>
      <c r="AD42" s="24"/>
      <c r="AE42" s="24"/>
      <c r="AF42" s="24"/>
      <c r="AG42" s="24"/>
      <c r="AH42" s="20"/>
      <c r="AI42" s="42"/>
    </row>
    <row r="43" spans="1:35">
      <c r="A43" s="14"/>
      <c r="B43" s="20"/>
      <c r="C43" s="84" t="s">
        <v>1432</v>
      </c>
      <c r="D43" s="84" t="s">
        <v>501</v>
      </c>
      <c r="E43" s="20" t="s">
        <v>80</v>
      </c>
      <c r="F43" s="84" t="s">
        <v>1526</v>
      </c>
      <c r="G43" s="84" t="s">
        <v>1535</v>
      </c>
      <c r="H43" s="84"/>
      <c r="I43" s="211">
        <v>29174</v>
      </c>
      <c r="J43" s="24"/>
      <c r="K43" s="24">
        <v>1</v>
      </c>
      <c r="L43" s="24">
        <v>1</v>
      </c>
      <c r="M43" s="24"/>
      <c r="N43" s="24"/>
      <c r="O43" s="24"/>
      <c r="P43" s="24"/>
      <c r="Q43" s="24"/>
      <c r="R43" s="24"/>
      <c r="S43" s="24"/>
      <c r="T43" s="24"/>
      <c r="U43" s="84" t="s">
        <v>1369</v>
      </c>
      <c r="V43" s="84" t="s">
        <v>1443</v>
      </c>
      <c r="W43" s="84" t="s">
        <v>280</v>
      </c>
      <c r="X43" s="84" t="s">
        <v>227</v>
      </c>
      <c r="Y43" s="20">
        <v>9092528989</v>
      </c>
      <c r="Z43" s="20"/>
      <c r="AA43" s="95" t="s">
        <v>1829</v>
      </c>
      <c r="AB43" s="84" t="s">
        <v>1830</v>
      </c>
      <c r="AC43" s="85">
        <v>1</v>
      </c>
      <c r="AD43" s="24"/>
      <c r="AE43" s="24"/>
      <c r="AF43" s="24"/>
      <c r="AG43" s="24"/>
      <c r="AH43" s="20"/>
      <c r="AI43" s="42"/>
    </row>
    <row r="44" spans="1:35">
      <c r="A44" s="14"/>
      <c r="B44" s="20"/>
      <c r="C44" s="84"/>
      <c r="D44" s="84"/>
      <c r="E44" s="20"/>
      <c r="F44" s="84"/>
      <c r="G44" s="84"/>
      <c r="H44" s="84"/>
      <c r="I44" s="211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84"/>
      <c r="V44" s="84"/>
      <c r="W44" s="84"/>
      <c r="X44" s="84"/>
      <c r="Y44" s="20"/>
      <c r="Z44" s="20"/>
      <c r="AA44" s="95" t="s">
        <v>1828</v>
      </c>
      <c r="AB44" s="84" t="s">
        <v>1831</v>
      </c>
      <c r="AC44" s="85">
        <v>50</v>
      </c>
      <c r="AD44" s="24"/>
      <c r="AE44" s="24"/>
      <c r="AF44" s="24"/>
      <c r="AG44" s="24"/>
      <c r="AH44" s="20"/>
      <c r="AI44" s="42"/>
    </row>
    <row r="45" spans="1:35">
      <c r="A45" s="14"/>
      <c r="B45" s="20"/>
      <c r="C45" s="84" t="s">
        <v>1432</v>
      </c>
      <c r="D45" s="84" t="s">
        <v>501</v>
      </c>
      <c r="E45" s="20" t="s">
        <v>80</v>
      </c>
      <c r="F45" s="84" t="s">
        <v>1536</v>
      </c>
      <c r="G45" s="84" t="s">
        <v>1537</v>
      </c>
      <c r="H45" s="84" t="s">
        <v>1538</v>
      </c>
      <c r="I45" s="211">
        <v>32774</v>
      </c>
      <c r="J45" s="24">
        <v>1</v>
      </c>
      <c r="K45" s="24"/>
      <c r="L45" s="24">
        <v>1</v>
      </c>
      <c r="M45" s="24"/>
      <c r="N45" s="24"/>
      <c r="O45" s="24"/>
      <c r="P45" s="24"/>
      <c r="Q45" s="24"/>
      <c r="R45" s="24"/>
      <c r="S45" s="24"/>
      <c r="T45" s="24"/>
      <c r="U45" s="84" t="s">
        <v>1369</v>
      </c>
      <c r="V45" s="84" t="s">
        <v>1443</v>
      </c>
      <c r="W45" s="84" t="s">
        <v>280</v>
      </c>
      <c r="X45" s="84" t="s">
        <v>227</v>
      </c>
      <c r="Y45" s="20">
        <v>9105257685</v>
      </c>
      <c r="Z45" s="20"/>
      <c r="AA45" s="95" t="s">
        <v>1829</v>
      </c>
      <c r="AB45" s="84" t="s">
        <v>1830</v>
      </c>
      <c r="AC45" s="85">
        <v>2</v>
      </c>
      <c r="AD45" s="24"/>
      <c r="AE45" s="24"/>
      <c r="AF45" s="24"/>
      <c r="AG45" s="24"/>
      <c r="AH45" s="20"/>
      <c r="AI45" s="42"/>
    </row>
    <row r="46" spans="1:35">
      <c r="A46" s="14"/>
      <c r="B46" s="20"/>
      <c r="C46" s="84"/>
      <c r="D46" s="84"/>
      <c r="E46" s="20"/>
      <c r="F46" s="84"/>
      <c r="G46" s="84"/>
      <c r="H46" s="84"/>
      <c r="I46" s="211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84"/>
      <c r="V46" s="84"/>
      <c r="W46" s="84"/>
      <c r="X46" s="84"/>
      <c r="Y46" s="20"/>
      <c r="Z46" s="20"/>
      <c r="AA46" s="95" t="s">
        <v>1828</v>
      </c>
      <c r="AB46" s="84" t="s">
        <v>1831</v>
      </c>
      <c r="AC46" s="85">
        <v>50</v>
      </c>
      <c r="AD46" s="24"/>
      <c r="AE46" s="24"/>
      <c r="AF46" s="24"/>
      <c r="AG46" s="24"/>
      <c r="AH46" s="20"/>
      <c r="AI46" s="42"/>
    </row>
    <row r="47" spans="1:35">
      <c r="A47" s="14"/>
      <c r="B47" s="20"/>
      <c r="C47" s="84" t="s">
        <v>1432</v>
      </c>
      <c r="D47" s="84" t="s">
        <v>501</v>
      </c>
      <c r="E47" s="20" t="s">
        <v>80</v>
      </c>
      <c r="F47" s="84" t="s">
        <v>1539</v>
      </c>
      <c r="G47" s="84" t="s">
        <v>1540</v>
      </c>
      <c r="H47" s="84"/>
      <c r="I47" s="211">
        <v>16831</v>
      </c>
      <c r="J47" s="24"/>
      <c r="K47" s="24">
        <v>1</v>
      </c>
      <c r="L47" s="24">
        <v>1</v>
      </c>
      <c r="M47" s="24">
        <v>1</v>
      </c>
      <c r="N47" s="24">
        <v>1</v>
      </c>
      <c r="O47" s="24"/>
      <c r="P47" s="24"/>
      <c r="Q47" s="24"/>
      <c r="R47" s="24"/>
      <c r="S47" s="24"/>
      <c r="T47" s="24"/>
      <c r="U47" s="84" t="s">
        <v>1369</v>
      </c>
      <c r="V47" s="84" t="s">
        <v>1443</v>
      </c>
      <c r="W47" s="84" t="s">
        <v>280</v>
      </c>
      <c r="X47" s="84" t="s">
        <v>227</v>
      </c>
      <c r="Y47" s="20"/>
      <c r="Z47" s="20"/>
      <c r="AA47" s="95" t="s">
        <v>1829</v>
      </c>
      <c r="AB47" s="84" t="s">
        <v>1830</v>
      </c>
      <c r="AC47" s="85">
        <v>2</v>
      </c>
      <c r="AD47" s="24"/>
      <c r="AE47" s="24"/>
      <c r="AF47" s="24"/>
      <c r="AG47" s="24"/>
      <c r="AH47" s="20"/>
      <c r="AI47" s="42"/>
    </row>
    <row r="48" spans="1:35">
      <c r="A48" s="14"/>
      <c r="B48" s="20"/>
      <c r="C48" s="84"/>
      <c r="D48" s="84"/>
      <c r="E48" s="20"/>
      <c r="F48" s="84"/>
      <c r="G48" s="84"/>
      <c r="H48" s="84"/>
      <c r="I48" s="211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84"/>
      <c r="V48" s="84"/>
      <c r="W48" s="84"/>
      <c r="X48" s="84"/>
      <c r="Y48" s="20"/>
      <c r="Z48" s="20"/>
      <c r="AA48" s="95" t="s">
        <v>1828</v>
      </c>
      <c r="AB48" s="84" t="s">
        <v>1831</v>
      </c>
      <c r="AC48" s="85">
        <v>50</v>
      </c>
      <c r="AD48" s="24"/>
      <c r="AE48" s="24"/>
      <c r="AF48" s="24"/>
      <c r="AG48" s="24"/>
      <c r="AH48" s="20"/>
      <c r="AI48" s="42"/>
    </row>
    <row r="49" spans="1:35">
      <c r="A49" s="14"/>
      <c r="B49" s="20"/>
      <c r="C49" s="84" t="s">
        <v>1432</v>
      </c>
      <c r="D49" s="84" t="s">
        <v>501</v>
      </c>
      <c r="E49" s="20" t="s">
        <v>80</v>
      </c>
      <c r="F49" s="84" t="s">
        <v>1526</v>
      </c>
      <c r="G49" s="84" t="s">
        <v>1541</v>
      </c>
      <c r="H49" s="84"/>
      <c r="I49" s="211"/>
      <c r="J49" s="24">
        <v>1</v>
      </c>
      <c r="K49" s="24"/>
      <c r="L49" s="24">
        <v>1</v>
      </c>
      <c r="M49" s="24"/>
      <c r="N49" s="24"/>
      <c r="O49" s="24"/>
      <c r="P49" s="24"/>
      <c r="Q49" s="24"/>
      <c r="R49" s="24"/>
      <c r="S49" s="24"/>
      <c r="T49" s="24"/>
      <c r="U49" s="84" t="s">
        <v>1369</v>
      </c>
      <c r="V49" s="84" t="s">
        <v>1443</v>
      </c>
      <c r="W49" s="84" t="s">
        <v>280</v>
      </c>
      <c r="X49" s="84" t="s">
        <v>227</v>
      </c>
      <c r="Y49" s="20"/>
      <c r="Z49" s="20"/>
      <c r="AA49" s="95" t="s">
        <v>1829</v>
      </c>
      <c r="AB49" s="84" t="s">
        <v>1830</v>
      </c>
      <c r="AC49" s="85">
        <v>2</v>
      </c>
      <c r="AD49" s="24"/>
      <c r="AE49" s="24"/>
      <c r="AF49" s="24"/>
      <c r="AG49" s="24"/>
      <c r="AH49" s="20"/>
      <c r="AI49" s="42"/>
    </row>
    <row r="50" spans="1:35">
      <c r="A50" s="14"/>
      <c r="B50" s="20"/>
      <c r="C50" s="84"/>
      <c r="D50" s="84"/>
      <c r="E50" s="20"/>
      <c r="F50" s="84"/>
      <c r="G50" s="84"/>
      <c r="H50" s="84"/>
      <c r="I50" s="211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84"/>
      <c r="V50" s="84"/>
      <c r="W50" s="84"/>
      <c r="X50" s="84"/>
      <c r="Y50" s="20"/>
      <c r="Z50" s="20"/>
      <c r="AA50" s="95" t="s">
        <v>1828</v>
      </c>
      <c r="AB50" s="84" t="s">
        <v>1831</v>
      </c>
      <c r="AC50" s="85">
        <v>50</v>
      </c>
      <c r="AD50" s="24"/>
      <c r="AE50" s="24"/>
      <c r="AF50" s="24"/>
      <c r="AG50" s="24"/>
      <c r="AH50" s="20"/>
      <c r="AI50" s="42"/>
    </row>
    <row r="51" spans="1:35">
      <c r="A51" s="14"/>
      <c r="B51" s="20"/>
      <c r="C51" s="84" t="s">
        <v>1432</v>
      </c>
      <c r="D51" s="84" t="s">
        <v>501</v>
      </c>
      <c r="E51" s="20" t="s">
        <v>80</v>
      </c>
      <c r="F51" s="84" t="s">
        <v>1539</v>
      </c>
      <c r="G51" s="84" t="s">
        <v>1542</v>
      </c>
      <c r="H51" s="84"/>
      <c r="I51" s="211"/>
      <c r="J51" s="24">
        <v>1</v>
      </c>
      <c r="K51" s="24"/>
      <c r="L51" s="24">
        <v>1</v>
      </c>
      <c r="M51" s="24"/>
      <c r="N51" s="24">
        <v>1</v>
      </c>
      <c r="O51" s="24"/>
      <c r="P51" s="24"/>
      <c r="Q51" s="24"/>
      <c r="R51" s="24"/>
      <c r="S51" s="24"/>
      <c r="T51" s="24"/>
      <c r="U51" s="84" t="s">
        <v>1369</v>
      </c>
      <c r="V51" s="84" t="s">
        <v>1443</v>
      </c>
      <c r="W51" s="84" t="s">
        <v>280</v>
      </c>
      <c r="X51" s="84" t="s">
        <v>227</v>
      </c>
      <c r="Y51" s="20"/>
      <c r="Z51" s="20"/>
      <c r="AA51" s="95" t="s">
        <v>1829</v>
      </c>
      <c r="AB51" s="84" t="s">
        <v>1830</v>
      </c>
      <c r="AC51" s="85">
        <v>2</v>
      </c>
      <c r="AD51" s="24"/>
      <c r="AE51" s="24"/>
      <c r="AF51" s="24"/>
      <c r="AG51" s="24"/>
      <c r="AH51" s="20"/>
      <c r="AI51" s="42"/>
    </row>
    <row r="52" spans="1:35">
      <c r="A52" s="14"/>
      <c r="B52" s="20"/>
      <c r="C52" s="84"/>
      <c r="D52" s="84"/>
      <c r="E52" s="20"/>
      <c r="F52" s="84"/>
      <c r="G52" s="84"/>
      <c r="H52" s="84"/>
      <c r="I52" s="211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84"/>
      <c r="V52" s="84"/>
      <c r="W52" s="84"/>
      <c r="X52" s="84"/>
      <c r="Y52" s="20"/>
      <c r="Z52" s="20"/>
      <c r="AA52" s="95" t="s">
        <v>1828</v>
      </c>
      <c r="AB52" s="84" t="s">
        <v>1831</v>
      </c>
      <c r="AC52" s="85">
        <v>50</v>
      </c>
      <c r="AD52" s="24"/>
      <c r="AE52" s="24"/>
      <c r="AF52" s="24"/>
      <c r="AG52" s="24"/>
      <c r="AH52" s="20"/>
      <c r="AI52" s="42"/>
    </row>
    <row r="53" spans="1:35">
      <c r="A53" s="14"/>
      <c r="B53" s="20"/>
      <c r="C53" s="84" t="s">
        <v>1432</v>
      </c>
      <c r="D53" s="84" t="s">
        <v>501</v>
      </c>
      <c r="E53" s="20" t="s">
        <v>80</v>
      </c>
      <c r="F53" s="84" t="s">
        <v>1543</v>
      </c>
      <c r="G53" s="84" t="s">
        <v>1544</v>
      </c>
      <c r="H53" s="84"/>
      <c r="I53" s="211">
        <v>26751</v>
      </c>
      <c r="J53" s="24">
        <v>1</v>
      </c>
      <c r="K53" s="24"/>
      <c r="L53" s="24">
        <v>1</v>
      </c>
      <c r="M53" s="24"/>
      <c r="N53" s="24">
        <v>1</v>
      </c>
      <c r="O53" s="24"/>
      <c r="P53" s="24"/>
      <c r="Q53" s="24"/>
      <c r="R53" s="24"/>
      <c r="S53" s="24"/>
      <c r="T53" s="24"/>
      <c r="U53" s="84" t="s">
        <v>1369</v>
      </c>
      <c r="V53" s="84" t="s">
        <v>1443</v>
      </c>
      <c r="W53" s="84" t="s">
        <v>280</v>
      </c>
      <c r="X53" s="84" t="s">
        <v>227</v>
      </c>
      <c r="Y53" s="20"/>
      <c r="Z53" s="20"/>
      <c r="AA53" s="95" t="s">
        <v>1829</v>
      </c>
      <c r="AB53" s="84" t="s">
        <v>1830</v>
      </c>
      <c r="AC53" s="85">
        <v>2</v>
      </c>
      <c r="AD53" s="24"/>
      <c r="AE53" s="24"/>
      <c r="AF53" s="24"/>
      <c r="AG53" s="24"/>
      <c r="AH53" s="20"/>
      <c r="AI53" s="42"/>
    </row>
    <row r="54" spans="1:35">
      <c r="A54" s="14"/>
      <c r="B54" s="20"/>
      <c r="C54" s="84"/>
      <c r="D54" s="84"/>
      <c r="E54" s="20"/>
      <c r="F54" s="84"/>
      <c r="G54" s="84"/>
      <c r="H54" s="84"/>
      <c r="I54" s="211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84"/>
      <c r="V54" s="84"/>
      <c r="W54" s="84"/>
      <c r="X54" s="84"/>
      <c r="Y54" s="20"/>
      <c r="Z54" s="20"/>
      <c r="AA54" s="95" t="s">
        <v>1828</v>
      </c>
      <c r="AB54" s="84" t="s">
        <v>1831</v>
      </c>
      <c r="AC54" s="85">
        <v>50</v>
      </c>
      <c r="AD54" s="24"/>
      <c r="AE54" s="24"/>
      <c r="AF54" s="24"/>
      <c r="AG54" s="24"/>
      <c r="AH54" s="20"/>
      <c r="AI54" s="42"/>
    </row>
    <row r="55" spans="1:35">
      <c r="A55" s="14"/>
      <c r="B55" s="20"/>
      <c r="C55" s="84" t="s">
        <v>1432</v>
      </c>
      <c r="D55" s="84" t="s">
        <v>501</v>
      </c>
      <c r="E55" s="20" t="s">
        <v>80</v>
      </c>
      <c r="F55" s="84" t="s">
        <v>1526</v>
      </c>
      <c r="G55" s="84" t="s">
        <v>1545</v>
      </c>
      <c r="H55" s="84"/>
      <c r="I55" s="211">
        <v>25962</v>
      </c>
      <c r="J55" s="24">
        <v>1</v>
      </c>
      <c r="K55" s="24"/>
      <c r="L55" s="24">
        <v>1</v>
      </c>
      <c r="M55" s="24"/>
      <c r="N55" s="24">
        <v>1</v>
      </c>
      <c r="O55" s="24"/>
      <c r="P55" s="24"/>
      <c r="Q55" s="24"/>
      <c r="R55" s="24"/>
      <c r="S55" s="24"/>
      <c r="T55" s="24"/>
      <c r="U55" s="84" t="s">
        <v>1369</v>
      </c>
      <c r="V55" s="84" t="s">
        <v>1443</v>
      </c>
      <c r="W55" s="84" t="s">
        <v>280</v>
      </c>
      <c r="X55" s="84" t="s">
        <v>227</v>
      </c>
      <c r="Y55" s="20">
        <v>9103857685</v>
      </c>
      <c r="Z55" s="20"/>
      <c r="AA55" s="95" t="s">
        <v>1829</v>
      </c>
      <c r="AB55" s="84" t="s">
        <v>1830</v>
      </c>
      <c r="AC55" s="85">
        <v>2</v>
      </c>
      <c r="AD55" s="24"/>
      <c r="AE55" s="24"/>
      <c r="AF55" s="24"/>
      <c r="AG55" s="24"/>
      <c r="AH55" s="20"/>
      <c r="AI55" s="42"/>
    </row>
    <row r="56" spans="1:35">
      <c r="A56" s="14"/>
      <c r="B56" s="20"/>
      <c r="C56" s="84"/>
      <c r="D56" s="84"/>
      <c r="E56" s="20"/>
      <c r="F56" s="84"/>
      <c r="G56" s="84"/>
      <c r="H56" s="84"/>
      <c r="I56" s="211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84"/>
      <c r="V56" s="84"/>
      <c r="W56" s="84"/>
      <c r="X56" s="84"/>
      <c r="Y56" s="20"/>
      <c r="Z56" s="20"/>
      <c r="AA56" s="95" t="s">
        <v>1828</v>
      </c>
      <c r="AB56" s="84" t="s">
        <v>1831</v>
      </c>
      <c r="AC56" s="85">
        <v>50</v>
      </c>
      <c r="AD56" s="24"/>
      <c r="AE56" s="24"/>
      <c r="AF56" s="24"/>
      <c r="AG56" s="24"/>
      <c r="AH56" s="20"/>
      <c r="AI56" s="42"/>
    </row>
    <row r="57" spans="1:35">
      <c r="A57" s="14"/>
      <c r="B57" s="20"/>
      <c r="C57" s="84" t="s">
        <v>1432</v>
      </c>
      <c r="D57" s="84" t="s">
        <v>501</v>
      </c>
      <c r="E57" s="20" t="s">
        <v>80</v>
      </c>
      <c r="F57" s="84" t="s">
        <v>1526</v>
      </c>
      <c r="G57" s="84" t="s">
        <v>1546</v>
      </c>
      <c r="H57" s="84" t="s">
        <v>1523</v>
      </c>
      <c r="I57" s="211">
        <v>33673</v>
      </c>
      <c r="J57" s="24"/>
      <c r="K57" s="24">
        <v>1</v>
      </c>
      <c r="L57" s="24">
        <v>1</v>
      </c>
      <c r="M57" s="24"/>
      <c r="N57" s="24">
        <v>1</v>
      </c>
      <c r="O57" s="24"/>
      <c r="P57" s="24"/>
      <c r="Q57" s="24"/>
      <c r="R57" s="24"/>
      <c r="S57" s="24"/>
      <c r="T57" s="24"/>
      <c r="U57" s="84" t="s">
        <v>1369</v>
      </c>
      <c r="V57" s="84" t="s">
        <v>1443</v>
      </c>
      <c r="W57" s="84" t="s">
        <v>280</v>
      </c>
      <c r="X57" s="84" t="s">
        <v>227</v>
      </c>
      <c r="Y57" s="20">
        <v>9512732247</v>
      </c>
      <c r="Z57" s="20"/>
      <c r="AA57" s="95" t="s">
        <v>1829</v>
      </c>
      <c r="AB57" s="84" t="s">
        <v>1830</v>
      </c>
      <c r="AC57" s="85">
        <v>1</v>
      </c>
      <c r="AD57" s="24"/>
      <c r="AE57" s="24"/>
      <c r="AF57" s="24"/>
      <c r="AG57" s="24"/>
      <c r="AH57" s="20"/>
      <c r="AI57" s="42"/>
    </row>
    <row r="58" spans="1:35">
      <c r="A58" s="14"/>
      <c r="B58" s="20"/>
      <c r="C58" s="84"/>
      <c r="D58" s="84"/>
      <c r="E58" s="20"/>
      <c r="F58" s="84"/>
      <c r="G58" s="84"/>
      <c r="H58" s="84"/>
      <c r="I58" s="211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84"/>
      <c r="V58" s="84"/>
      <c r="W58" s="84"/>
      <c r="X58" s="84"/>
      <c r="Y58" s="20"/>
      <c r="Z58" s="20"/>
      <c r="AA58" s="95" t="s">
        <v>1828</v>
      </c>
      <c r="AB58" s="84" t="s">
        <v>1831</v>
      </c>
      <c r="AC58" s="85">
        <v>50</v>
      </c>
      <c r="AD58" s="24"/>
      <c r="AE58" s="24"/>
      <c r="AF58" s="24"/>
      <c r="AG58" s="24"/>
      <c r="AH58" s="20"/>
      <c r="AI58" s="42"/>
    </row>
    <row r="59" spans="1:35">
      <c r="A59" s="14"/>
      <c r="B59" s="20"/>
      <c r="C59" s="84" t="s">
        <v>1432</v>
      </c>
      <c r="D59" s="84" t="s">
        <v>501</v>
      </c>
      <c r="E59" s="20" t="s">
        <v>80</v>
      </c>
      <c r="F59" s="84" t="s">
        <v>1526</v>
      </c>
      <c r="G59" s="84" t="s">
        <v>1547</v>
      </c>
      <c r="H59" s="84" t="s">
        <v>1548</v>
      </c>
      <c r="I59" s="211">
        <v>24607</v>
      </c>
      <c r="J59" s="24">
        <v>1</v>
      </c>
      <c r="K59" s="24"/>
      <c r="L59" s="24">
        <v>1</v>
      </c>
      <c r="M59" s="24"/>
      <c r="N59" s="24">
        <v>1</v>
      </c>
      <c r="O59" s="24"/>
      <c r="P59" s="24"/>
      <c r="Q59" s="24"/>
      <c r="R59" s="24"/>
      <c r="S59" s="24"/>
      <c r="T59" s="24"/>
      <c r="U59" s="84" t="s">
        <v>1369</v>
      </c>
      <c r="V59" s="84" t="s">
        <v>1443</v>
      </c>
      <c r="W59" s="84" t="s">
        <v>280</v>
      </c>
      <c r="X59" s="84" t="s">
        <v>227</v>
      </c>
      <c r="Y59" s="20">
        <v>9105357685</v>
      </c>
      <c r="Z59" s="20"/>
      <c r="AA59" s="95" t="s">
        <v>1829</v>
      </c>
      <c r="AB59" s="84" t="s">
        <v>1830</v>
      </c>
      <c r="AC59" s="85">
        <v>1</v>
      </c>
      <c r="AD59" s="24"/>
      <c r="AE59" s="24"/>
      <c r="AF59" s="24"/>
      <c r="AG59" s="24"/>
      <c r="AH59" s="20"/>
      <c r="AI59" s="42"/>
    </row>
    <row r="60" spans="1:35">
      <c r="A60" s="14"/>
      <c r="B60" s="20"/>
      <c r="C60" s="84"/>
      <c r="D60" s="84"/>
      <c r="E60" s="20"/>
      <c r="F60" s="84"/>
      <c r="G60" s="84"/>
      <c r="H60" s="84"/>
      <c r="I60" s="211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84"/>
      <c r="V60" s="84"/>
      <c r="W60" s="84"/>
      <c r="X60" s="84"/>
      <c r="Y60" s="20"/>
      <c r="Z60" s="20"/>
      <c r="AA60" s="95" t="s">
        <v>1828</v>
      </c>
      <c r="AB60" s="84" t="s">
        <v>1831</v>
      </c>
      <c r="AC60" s="85">
        <v>50</v>
      </c>
      <c r="AD60" s="24"/>
      <c r="AE60" s="24"/>
      <c r="AF60" s="24"/>
      <c r="AG60" s="24"/>
      <c r="AH60" s="20"/>
      <c r="AI60" s="42"/>
    </row>
    <row r="61" spans="1:35">
      <c r="A61" s="14"/>
      <c r="B61" s="20"/>
      <c r="C61" s="84" t="s">
        <v>1432</v>
      </c>
      <c r="D61" s="84" t="s">
        <v>501</v>
      </c>
      <c r="E61" s="20" t="s">
        <v>80</v>
      </c>
      <c r="F61" s="84" t="s">
        <v>1526</v>
      </c>
      <c r="G61" s="84" t="s">
        <v>1549</v>
      </c>
      <c r="H61" s="84" t="s">
        <v>1550</v>
      </c>
      <c r="I61" s="211">
        <v>29627</v>
      </c>
      <c r="J61" s="24">
        <v>1</v>
      </c>
      <c r="K61" s="24"/>
      <c r="L61" s="24">
        <v>1</v>
      </c>
      <c r="M61" s="24"/>
      <c r="N61" s="24">
        <v>1</v>
      </c>
      <c r="O61" s="24"/>
      <c r="P61" s="24"/>
      <c r="Q61" s="24"/>
      <c r="R61" s="24"/>
      <c r="S61" s="24"/>
      <c r="T61" s="24"/>
      <c r="U61" s="84" t="s">
        <v>1369</v>
      </c>
      <c r="V61" s="84" t="s">
        <v>1443</v>
      </c>
      <c r="W61" s="84" t="s">
        <v>280</v>
      </c>
      <c r="X61" s="84" t="s">
        <v>227</v>
      </c>
      <c r="Y61" s="20">
        <v>9667684601</v>
      </c>
      <c r="Z61" s="20"/>
      <c r="AA61" s="95" t="s">
        <v>1829</v>
      </c>
      <c r="AB61" s="84" t="s">
        <v>1830</v>
      </c>
      <c r="AC61" s="85">
        <v>1</v>
      </c>
      <c r="AD61" s="24"/>
      <c r="AE61" s="24"/>
      <c r="AF61" s="24"/>
      <c r="AG61" s="24"/>
      <c r="AH61" s="20"/>
      <c r="AI61" s="42"/>
    </row>
    <row r="62" spans="1:35">
      <c r="A62" s="14"/>
      <c r="B62" s="20"/>
      <c r="C62" s="84"/>
      <c r="D62" s="84"/>
      <c r="E62" s="20"/>
      <c r="F62" s="84"/>
      <c r="G62" s="84"/>
      <c r="H62" s="84"/>
      <c r="I62" s="211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84"/>
      <c r="V62" s="84"/>
      <c r="W62" s="84"/>
      <c r="X62" s="84"/>
      <c r="Y62" s="20"/>
      <c r="Z62" s="20"/>
      <c r="AA62" s="95" t="s">
        <v>1828</v>
      </c>
      <c r="AB62" s="84" t="s">
        <v>1831</v>
      </c>
      <c r="AC62" s="85">
        <v>50</v>
      </c>
      <c r="AD62" s="24"/>
      <c r="AE62" s="24"/>
      <c r="AF62" s="24"/>
      <c r="AG62" s="24"/>
      <c r="AH62" s="20"/>
      <c r="AI62" s="42"/>
    </row>
    <row r="63" spans="1:35">
      <c r="A63" s="14"/>
      <c r="B63" s="20"/>
      <c r="C63" s="84" t="s">
        <v>1432</v>
      </c>
      <c r="D63" s="84" t="s">
        <v>501</v>
      </c>
      <c r="E63" s="20" t="s">
        <v>80</v>
      </c>
      <c r="F63" s="84" t="s">
        <v>1523</v>
      </c>
      <c r="G63" s="84" t="s">
        <v>1551</v>
      </c>
      <c r="H63" s="84" t="s">
        <v>166</v>
      </c>
      <c r="I63" s="211">
        <v>32587</v>
      </c>
      <c r="J63" s="24">
        <v>1</v>
      </c>
      <c r="K63" s="24"/>
      <c r="L63" s="24">
        <v>1</v>
      </c>
      <c r="M63" s="24"/>
      <c r="N63" s="24">
        <v>1</v>
      </c>
      <c r="O63" s="24"/>
      <c r="P63" s="24"/>
      <c r="Q63" s="24"/>
      <c r="R63" s="24"/>
      <c r="S63" s="24"/>
      <c r="T63" s="24"/>
      <c r="U63" s="84" t="s">
        <v>1369</v>
      </c>
      <c r="V63" s="84" t="s">
        <v>1443</v>
      </c>
      <c r="W63" s="84" t="s">
        <v>280</v>
      </c>
      <c r="X63" s="84" t="s">
        <v>227</v>
      </c>
      <c r="Y63" s="20">
        <v>9092711762</v>
      </c>
      <c r="Z63" s="20"/>
      <c r="AA63" s="95" t="s">
        <v>1829</v>
      </c>
      <c r="AB63" s="84" t="s">
        <v>1830</v>
      </c>
      <c r="AC63" s="85">
        <v>1</v>
      </c>
      <c r="AD63" s="24"/>
      <c r="AE63" s="24"/>
      <c r="AF63" s="24"/>
      <c r="AG63" s="24"/>
      <c r="AH63" s="20"/>
      <c r="AI63" s="42"/>
    </row>
    <row r="64" spans="1:35">
      <c r="A64" s="14"/>
      <c r="B64" s="20"/>
      <c r="C64" s="84"/>
      <c r="D64" s="84"/>
      <c r="E64" s="20"/>
      <c r="F64" s="84"/>
      <c r="G64" s="84"/>
      <c r="H64" s="84"/>
      <c r="I64" s="211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84"/>
      <c r="V64" s="84"/>
      <c r="W64" s="84"/>
      <c r="X64" s="84"/>
      <c r="Y64" s="20"/>
      <c r="Z64" s="20"/>
      <c r="AA64" s="95" t="s">
        <v>1828</v>
      </c>
      <c r="AB64" s="84" t="s">
        <v>1831</v>
      </c>
      <c r="AC64" s="85">
        <v>50</v>
      </c>
      <c r="AD64" s="24"/>
      <c r="AE64" s="24"/>
      <c r="AF64" s="24"/>
      <c r="AG64" s="24"/>
      <c r="AH64" s="20"/>
      <c r="AI64" s="42"/>
    </row>
    <row r="65" spans="1:35">
      <c r="A65" s="14"/>
      <c r="B65" s="20"/>
      <c r="C65" s="84" t="s">
        <v>1432</v>
      </c>
      <c r="D65" s="84" t="s">
        <v>501</v>
      </c>
      <c r="E65" s="20" t="s">
        <v>80</v>
      </c>
      <c r="F65" s="84" t="s">
        <v>1552</v>
      </c>
      <c r="G65" s="84" t="s">
        <v>1553</v>
      </c>
      <c r="H65" s="84" t="s">
        <v>1523</v>
      </c>
      <c r="I65" s="211">
        <v>29481</v>
      </c>
      <c r="J65" s="24">
        <v>1</v>
      </c>
      <c r="K65" s="24"/>
      <c r="L65" s="24">
        <v>1</v>
      </c>
      <c r="M65" s="24"/>
      <c r="N65" s="24">
        <v>1</v>
      </c>
      <c r="O65" s="24"/>
      <c r="P65" s="24"/>
      <c r="Q65" s="24"/>
      <c r="R65" s="24"/>
      <c r="S65" s="24"/>
      <c r="T65" s="24"/>
      <c r="U65" s="84" t="s">
        <v>1369</v>
      </c>
      <c r="V65" s="84" t="s">
        <v>1443</v>
      </c>
      <c r="W65" s="84" t="s">
        <v>280</v>
      </c>
      <c r="X65" s="84" t="s">
        <v>227</v>
      </c>
      <c r="Y65" s="20">
        <v>9386032377</v>
      </c>
      <c r="Z65" s="20"/>
      <c r="AA65" s="95" t="s">
        <v>1829</v>
      </c>
      <c r="AB65" s="84" t="s">
        <v>1830</v>
      </c>
      <c r="AC65" s="85">
        <v>2</v>
      </c>
      <c r="AD65" s="24"/>
      <c r="AE65" s="24"/>
      <c r="AF65" s="24"/>
      <c r="AG65" s="24"/>
      <c r="AH65" s="20"/>
      <c r="AI65" s="42"/>
    </row>
    <row r="66" spans="1:35">
      <c r="A66" s="14"/>
      <c r="B66" s="20"/>
      <c r="C66" s="84"/>
      <c r="D66" s="84"/>
      <c r="E66" s="20"/>
      <c r="F66" s="84"/>
      <c r="G66" s="84"/>
      <c r="H66" s="84"/>
      <c r="I66" s="211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84"/>
      <c r="V66" s="84"/>
      <c r="W66" s="84"/>
      <c r="X66" s="84"/>
      <c r="Y66" s="20"/>
      <c r="Z66" s="20"/>
      <c r="AA66" s="95" t="s">
        <v>1828</v>
      </c>
      <c r="AB66" s="84" t="s">
        <v>1831</v>
      </c>
      <c r="AC66" s="85">
        <v>50</v>
      </c>
      <c r="AD66" s="24"/>
      <c r="AE66" s="24"/>
      <c r="AF66" s="24"/>
      <c r="AG66" s="24"/>
      <c r="AH66" s="20"/>
      <c r="AI66" s="42"/>
    </row>
    <row r="67" spans="1:35">
      <c r="A67" s="14"/>
      <c r="B67" s="20"/>
      <c r="C67" s="84" t="s">
        <v>1432</v>
      </c>
      <c r="D67" s="84" t="s">
        <v>501</v>
      </c>
      <c r="E67" s="20" t="s">
        <v>80</v>
      </c>
      <c r="F67" s="84" t="s">
        <v>1554</v>
      </c>
      <c r="G67" s="84" t="s">
        <v>1555</v>
      </c>
      <c r="H67" s="84"/>
      <c r="I67" s="211">
        <v>31520</v>
      </c>
      <c r="J67" s="24"/>
      <c r="K67" s="24">
        <v>1</v>
      </c>
      <c r="L67" s="24">
        <v>1</v>
      </c>
      <c r="M67" s="24"/>
      <c r="N67" s="24">
        <v>1</v>
      </c>
      <c r="O67" s="24"/>
      <c r="P67" s="24"/>
      <c r="Q67" s="24"/>
      <c r="R67" s="24"/>
      <c r="S67" s="24"/>
      <c r="T67" s="24"/>
      <c r="U67" s="84" t="s">
        <v>1369</v>
      </c>
      <c r="V67" s="84" t="s">
        <v>1443</v>
      </c>
      <c r="W67" s="84" t="s">
        <v>280</v>
      </c>
      <c r="X67" s="84" t="s">
        <v>227</v>
      </c>
      <c r="Y67" s="20">
        <v>9754859598</v>
      </c>
      <c r="Z67" s="20"/>
      <c r="AA67" s="95" t="s">
        <v>1829</v>
      </c>
      <c r="AB67" s="84" t="s">
        <v>1830</v>
      </c>
      <c r="AC67" s="85">
        <v>2</v>
      </c>
      <c r="AD67" s="24"/>
      <c r="AE67" s="24"/>
      <c r="AF67" s="24"/>
      <c r="AG67" s="24"/>
      <c r="AH67" s="20"/>
      <c r="AI67" s="42"/>
    </row>
    <row r="68" spans="1:35">
      <c r="A68" s="14"/>
      <c r="B68" s="20"/>
      <c r="C68" s="84"/>
      <c r="D68" s="84"/>
      <c r="E68" s="20"/>
      <c r="F68" s="84"/>
      <c r="G68" s="84"/>
      <c r="H68" s="84"/>
      <c r="I68" s="211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84"/>
      <c r="V68" s="84"/>
      <c r="W68" s="84"/>
      <c r="X68" s="84"/>
      <c r="Y68" s="20"/>
      <c r="Z68" s="20"/>
      <c r="AA68" s="95" t="s">
        <v>1828</v>
      </c>
      <c r="AB68" s="84" t="s">
        <v>1831</v>
      </c>
      <c r="AC68" s="85">
        <v>50</v>
      </c>
      <c r="AD68" s="24"/>
      <c r="AE68" s="24"/>
      <c r="AF68" s="24"/>
      <c r="AG68" s="24"/>
      <c r="AH68" s="20"/>
      <c r="AI68" s="42"/>
    </row>
    <row r="69" spans="1:35">
      <c r="A69" s="14"/>
      <c r="B69" s="20"/>
      <c r="C69" s="84" t="s">
        <v>1432</v>
      </c>
      <c r="D69" s="84" t="s">
        <v>501</v>
      </c>
      <c r="E69" s="20" t="s">
        <v>80</v>
      </c>
      <c r="F69" s="84" t="s">
        <v>1523</v>
      </c>
      <c r="G69" s="84" t="s">
        <v>1556</v>
      </c>
      <c r="H69" s="84" t="s">
        <v>166</v>
      </c>
      <c r="I69" s="211">
        <v>30340</v>
      </c>
      <c r="J69" s="24">
        <v>1</v>
      </c>
      <c r="K69" s="24"/>
      <c r="L69" s="24">
        <v>1</v>
      </c>
      <c r="M69" s="24"/>
      <c r="N69" s="24">
        <v>1</v>
      </c>
      <c r="O69" s="24"/>
      <c r="P69" s="24"/>
      <c r="Q69" s="24"/>
      <c r="R69" s="24"/>
      <c r="S69" s="24"/>
      <c r="T69" s="24"/>
      <c r="U69" s="84" t="s">
        <v>1369</v>
      </c>
      <c r="V69" s="84" t="s">
        <v>1443</v>
      </c>
      <c r="W69" s="84" t="s">
        <v>280</v>
      </c>
      <c r="X69" s="84" t="s">
        <v>227</v>
      </c>
      <c r="Y69" s="20">
        <v>9631622113</v>
      </c>
      <c r="Z69" s="20"/>
      <c r="AA69" s="95" t="s">
        <v>1829</v>
      </c>
      <c r="AB69" s="84" t="s">
        <v>1830</v>
      </c>
      <c r="AC69" s="85">
        <v>2</v>
      </c>
      <c r="AD69" s="24"/>
      <c r="AE69" s="24"/>
      <c r="AF69" s="24"/>
      <c r="AG69" s="24"/>
      <c r="AH69" s="20"/>
      <c r="AI69" s="42"/>
    </row>
    <row r="70" spans="1:35">
      <c r="A70" s="14"/>
      <c r="B70" s="20"/>
      <c r="C70" s="84"/>
      <c r="D70" s="84"/>
      <c r="E70" s="20"/>
      <c r="F70" s="84"/>
      <c r="G70" s="84"/>
      <c r="H70" s="84"/>
      <c r="I70" s="211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84"/>
      <c r="V70" s="84"/>
      <c r="W70" s="84"/>
      <c r="X70" s="84"/>
      <c r="Y70" s="20"/>
      <c r="Z70" s="20"/>
      <c r="AA70" s="95" t="s">
        <v>1828</v>
      </c>
      <c r="AB70" s="84" t="s">
        <v>1831</v>
      </c>
      <c r="AC70" s="85">
        <v>50</v>
      </c>
      <c r="AD70" s="24"/>
      <c r="AE70" s="24"/>
      <c r="AF70" s="24"/>
      <c r="AG70" s="24"/>
      <c r="AH70" s="20"/>
      <c r="AI70" s="42"/>
    </row>
    <row r="71" spans="1:35">
      <c r="A71" s="14"/>
      <c r="B71" s="20"/>
      <c r="C71" s="84" t="s">
        <v>1432</v>
      </c>
      <c r="D71" s="84" t="s">
        <v>501</v>
      </c>
      <c r="E71" s="20" t="s">
        <v>80</v>
      </c>
      <c r="F71" s="84" t="s">
        <v>1523</v>
      </c>
      <c r="G71" s="84" t="s">
        <v>1557</v>
      </c>
      <c r="H71" s="84" t="s">
        <v>166</v>
      </c>
      <c r="I71" s="211">
        <v>31267</v>
      </c>
      <c r="J71" s="24">
        <v>1</v>
      </c>
      <c r="K71" s="24"/>
      <c r="L71" s="24">
        <v>1</v>
      </c>
      <c r="M71" s="24"/>
      <c r="N71" s="24">
        <v>1</v>
      </c>
      <c r="O71" s="24"/>
      <c r="P71" s="24"/>
      <c r="Q71" s="24"/>
      <c r="R71" s="24"/>
      <c r="S71" s="24"/>
      <c r="T71" s="24"/>
      <c r="U71" s="84" t="s">
        <v>1369</v>
      </c>
      <c r="V71" s="84" t="s">
        <v>1443</v>
      </c>
      <c r="W71" s="84" t="s">
        <v>280</v>
      </c>
      <c r="X71" s="84" t="s">
        <v>227</v>
      </c>
      <c r="Y71" s="20">
        <v>9317825654</v>
      </c>
      <c r="Z71" s="20"/>
      <c r="AA71" s="95" t="s">
        <v>1829</v>
      </c>
      <c r="AB71" s="84" t="s">
        <v>1830</v>
      </c>
      <c r="AC71" s="85">
        <v>2</v>
      </c>
      <c r="AD71" s="24"/>
      <c r="AE71" s="24"/>
      <c r="AF71" s="24"/>
      <c r="AG71" s="24"/>
      <c r="AH71" s="20"/>
      <c r="AI71" s="42"/>
    </row>
    <row r="72" spans="1:35">
      <c r="A72" s="14"/>
      <c r="B72" s="20"/>
      <c r="C72" s="84"/>
      <c r="D72" s="84"/>
      <c r="E72" s="20"/>
      <c r="F72" s="84"/>
      <c r="G72" s="84"/>
      <c r="H72" s="84"/>
      <c r="I72" s="211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84"/>
      <c r="V72" s="84"/>
      <c r="W72" s="84"/>
      <c r="X72" s="84"/>
      <c r="Y72" s="20"/>
      <c r="Z72" s="20"/>
      <c r="AA72" s="95" t="s">
        <v>1828</v>
      </c>
      <c r="AB72" s="84" t="s">
        <v>1831</v>
      </c>
      <c r="AC72" s="85">
        <v>50</v>
      </c>
      <c r="AD72" s="24"/>
      <c r="AE72" s="24"/>
      <c r="AF72" s="24"/>
      <c r="AG72" s="24"/>
      <c r="AH72" s="20"/>
      <c r="AI72" s="42"/>
    </row>
    <row r="73" spans="1:35">
      <c r="A73" s="14"/>
      <c r="B73" s="20"/>
      <c r="C73" s="84" t="s">
        <v>1432</v>
      </c>
      <c r="D73" s="84" t="s">
        <v>501</v>
      </c>
      <c r="E73" s="20" t="s">
        <v>80</v>
      </c>
      <c r="F73" s="84" t="s">
        <v>1523</v>
      </c>
      <c r="G73" s="84" t="s">
        <v>1560</v>
      </c>
      <c r="H73" s="84" t="s">
        <v>166</v>
      </c>
      <c r="I73" s="211">
        <v>28096</v>
      </c>
      <c r="J73" s="24">
        <v>1</v>
      </c>
      <c r="K73" s="24"/>
      <c r="L73" s="24">
        <v>1</v>
      </c>
      <c r="M73" s="24"/>
      <c r="N73" s="24">
        <v>1</v>
      </c>
      <c r="O73" s="24"/>
      <c r="P73" s="24"/>
      <c r="Q73" s="24"/>
      <c r="R73" s="24"/>
      <c r="S73" s="24"/>
      <c r="T73" s="24"/>
      <c r="U73" s="84" t="s">
        <v>1369</v>
      </c>
      <c r="V73" s="84" t="s">
        <v>1443</v>
      </c>
      <c r="W73" s="84" t="s">
        <v>280</v>
      </c>
      <c r="X73" s="84" t="s">
        <v>227</v>
      </c>
      <c r="Y73" s="20">
        <v>9512923249</v>
      </c>
      <c r="Z73" s="20"/>
      <c r="AA73" s="95" t="s">
        <v>1829</v>
      </c>
      <c r="AB73" s="84" t="s">
        <v>1830</v>
      </c>
      <c r="AC73" s="85">
        <v>2</v>
      </c>
      <c r="AD73" s="24"/>
      <c r="AE73" s="24"/>
      <c r="AF73" s="24"/>
      <c r="AG73" s="24"/>
      <c r="AH73" s="20"/>
      <c r="AI73" s="42"/>
    </row>
    <row r="74" spans="1:35">
      <c r="A74" s="14"/>
      <c r="B74" s="20"/>
      <c r="C74" s="84"/>
      <c r="D74" s="84"/>
      <c r="E74" s="20"/>
      <c r="F74" s="84"/>
      <c r="G74" s="84"/>
      <c r="H74" s="84"/>
      <c r="I74" s="211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84"/>
      <c r="V74" s="84"/>
      <c r="W74" s="84"/>
      <c r="X74" s="84"/>
      <c r="Y74" s="20"/>
      <c r="Z74" s="20"/>
      <c r="AA74" s="95" t="s">
        <v>1828</v>
      </c>
      <c r="AB74" s="84" t="s">
        <v>1831</v>
      </c>
      <c r="AC74" s="85">
        <v>50</v>
      </c>
      <c r="AD74" s="24"/>
      <c r="AE74" s="24"/>
      <c r="AF74" s="24"/>
      <c r="AG74" s="24"/>
      <c r="AH74" s="20"/>
      <c r="AI74" s="42"/>
    </row>
    <row r="75" spans="1:35">
      <c r="A75" s="14"/>
      <c r="B75" s="20"/>
      <c r="C75" s="84" t="s">
        <v>1432</v>
      </c>
      <c r="D75" s="84" t="s">
        <v>501</v>
      </c>
      <c r="E75" s="20" t="s">
        <v>80</v>
      </c>
      <c r="F75" s="84" t="s">
        <v>1526</v>
      </c>
      <c r="G75" s="84" t="s">
        <v>1566</v>
      </c>
      <c r="H75" s="84" t="s">
        <v>1523</v>
      </c>
      <c r="I75" s="211">
        <v>32643</v>
      </c>
      <c r="J75" s="24">
        <v>1</v>
      </c>
      <c r="K75" s="24"/>
      <c r="L75" s="24">
        <v>1</v>
      </c>
      <c r="M75" s="24"/>
      <c r="N75" s="24">
        <v>1</v>
      </c>
      <c r="O75" s="24"/>
      <c r="P75" s="24"/>
      <c r="Q75" s="24"/>
      <c r="R75" s="24"/>
      <c r="S75" s="24"/>
      <c r="T75" s="24"/>
      <c r="U75" s="84" t="s">
        <v>1369</v>
      </c>
      <c r="V75" s="84" t="s">
        <v>1443</v>
      </c>
      <c r="W75" s="84" t="s">
        <v>280</v>
      </c>
      <c r="X75" s="84" t="s">
        <v>227</v>
      </c>
      <c r="Y75" s="20"/>
      <c r="Z75" s="20"/>
      <c r="AA75" s="95" t="s">
        <v>1829</v>
      </c>
      <c r="AB75" s="84" t="s">
        <v>1830</v>
      </c>
      <c r="AC75" s="85">
        <v>2</v>
      </c>
      <c r="AD75" s="24"/>
      <c r="AE75" s="24"/>
      <c r="AF75" s="24"/>
      <c r="AG75" s="24"/>
      <c r="AH75" s="20"/>
      <c r="AI75" s="42"/>
    </row>
    <row r="76" spans="1:35">
      <c r="A76" s="14"/>
      <c r="B76" s="20"/>
      <c r="C76" s="84"/>
      <c r="D76" s="84"/>
      <c r="E76" s="20"/>
      <c r="F76" s="84"/>
      <c r="G76" s="84"/>
      <c r="H76" s="84"/>
      <c r="I76" s="211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84"/>
      <c r="V76" s="84"/>
      <c r="W76" s="84"/>
      <c r="X76" s="84"/>
      <c r="Y76" s="20"/>
      <c r="Z76" s="20"/>
      <c r="AA76" s="95" t="s">
        <v>1828</v>
      </c>
      <c r="AB76" s="84" t="s">
        <v>1831</v>
      </c>
      <c r="AC76" s="85">
        <v>50</v>
      </c>
      <c r="AD76" s="24"/>
      <c r="AE76" s="24"/>
      <c r="AF76" s="24"/>
      <c r="AG76" s="24"/>
      <c r="AH76" s="20"/>
      <c r="AI76" s="42"/>
    </row>
    <row r="77" spans="1:35">
      <c r="A77" s="14"/>
      <c r="B77" s="20"/>
      <c r="C77" s="84" t="s">
        <v>1432</v>
      </c>
      <c r="D77" s="84" t="s">
        <v>501</v>
      </c>
      <c r="E77" s="20" t="s">
        <v>80</v>
      </c>
      <c r="F77" s="84" t="s">
        <v>1552</v>
      </c>
      <c r="G77" s="84" t="s">
        <v>1558</v>
      </c>
      <c r="H77" s="84" t="s">
        <v>1559</v>
      </c>
      <c r="I77" s="211">
        <v>26927</v>
      </c>
      <c r="J77" s="24">
        <v>1</v>
      </c>
      <c r="K77" s="24"/>
      <c r="L77" s="24">
        <v>1</v>
      </c>
      <c r="M77" s="24"/>
      <c r="N77" s="24">
        <v>1</v>
      </c>
      <c r="O77" s="24"/>
      <c r="P77" s="24"/>
      <c r="Q77" s="24"/>
      <c r="R77" s="24"/>
      <c r="S77" s="24"/>
      <c r="T77" s="24"/>
      <c r="U77" s="84" t="s">
        <v>1369</v>
      </c>
      <c r="V77" s="84" t="s">
        <v>1443</v>
      </c>
      <c r="W77" s="84" t="s">
        <v>280</v>
      </c>
      <c r="X77" s="84" t="s">
        <v>227</v>
      </c>
      <c r="Y77" s="20">
        <v>9512923240</v>
      </c>
      <c r="Z77" s="20"/>
      <c r="AA77" s="95" t="s">
        <v>1829</v>
      </c>
      <c r="AB77" s="84" t="s">
        <v>1830</v>
      </c>
      <c r="AC77" s="85">
        <v>2</v>
      </c>
      <c r="AD77" s="24"/>
      <c r="AE77" s="24"/>
      <c r="AF77" s="24"/>
      <c r="AG77" s="24"/>
      <c r="AH77" s="20"/>
      <c r="AI77" s="42"/>
    </row>
    <row r="78" spans="1:35">
      <c r="A78" s="14"/>
      <c r="B78" s="20"/>
      <c r="C78" s="84"/>
      <c r="D78" s="84"/>
      <c r="E78" s="20"/>
      <c r="F78" s="84"/>
      <c r="G78" s="84"/>
      <c r="H78" s="84"/>
      <c r="I78" s="211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84"/>
      <c r="V78" s="84"/>
      <c r="W78" s="84"/>
      <c r="X78" s="84"/>
      <c r="Y78" s="20"/>
      <c r="Z78" s="20"/>
      <c r="AA78" s="95" t="s">
        <v>1828</v>
      </c>
      <c r="AB78" s="84" t="s">
        <v>1831</v>
      </c>
      <c r="AC78" s="85">
        <v>50</v>
      </c>
      <c r="AD78" s="24"/>
      <c r="AE78" s="24"/>
      <c r="AF78" s="24"/>
      <c r="AG78" s="24"/>
      <c r="AH78" s="20"/>
      <c r="AI78" s="42"/>
    </row>
    <row r="79" spans="1:35">
      <c r="A79" s="14"/>
      <c r="B79" s="20"/>
      <c r="C79" s="84" t="s">
        <v>1432</v>
      </c>
      <c r="D79" s="84" t="s">
        <v>501</v>
      </c>
      <c r="E79" s="20" t="s">
        <v>80</v>
      </c>
      <c r="F79" s="84" t="s">
        <v>153</v>
      </c>
      <c r="G79" s="84" t="s">
        <v>1561</v>
      </c>
      <c r="H79" s="84"/>
      <c r="I79" s="211">
        <v>31371</v>
      </c>
      <c r="J79" s="24">
        <v>1</v>
      </c>
      <c r="K79" s="24"/>
      <c r="L79" s="24">
        <v>1</v>
      </c>
      <c r="M79" s="24"/>
      <c r="N79" s="24">
        <v>1</v>
      </c>
      <c r="O79" s="24"/>
      <c r="P79" s="24"/>
      <c r="Q79" s="24"/>
      <c r="R79" s="24"/>
      <c r="S79" s="24"/>
      <c r="T79" s="24"/>
      <c r="U79" s="84" t="s">
        <v>1369</v>
      </c>
      <c r="V79" s="84" t="s">
        <v>1443</v>
      </c>
      <c r="W79" s="84" t="s">
        <v>280</v>
      </c>
      <c r="X79" s="84" t="s">
        <v>227</v>
      </c>
      <c r="Y79" s="20">
        <v>9703664371</v>
      </c>
      <c r="Z79" s="20"/>
      <c r="AA79" s="95" t="s">
        <v>1829</v>
      </c>
      <c r="AB79" s="84" t="s">
        <v>1830</v>
      </c>
      <c r="AC79" s="85">
        <v>2</v>
      </c>
      <c r="AD79" s="24"/>
      <c r="AE79" s="24"/>
      <c r="AF79" s="24"/>
      <c r="AG79" s="24"/>
      <c r="AH79" s="20"/>
      <c r="AI79" s="42"/>
    </row>
    <row r="80" spans="1:35">
      <c r="A80" s="14"/>
      <c r="B80" s="20"/>
      <c r="C80" s="84"/>
      <c r="D80" s="84"/>
      <c r="E80" s="20"/>
      <c r="F80" s="84"/>
      <c r="G80" s="84"/>
      <c r="H80" s="84"/>
      <c r="I80" s="211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84"/>
      <c r="V80" s="84"/>
      <c r="W80" s="84"/>
      <c r="X80" s="84"/>
      <c r="Y80" s="20"/>
      <c r="Z80" s="20"/>
      <c r="AA80" s="95" t="s">
        <v>1828</v>
      </c>
      <c r="AB80" s="84" t="s">
        <v>1831</v>
      </c>
      <c r="AC80" s="85">
        <v>50</v>
      </c>
      <c r="AD80" s="24"/>
      <c r="AE80" s="24"/>
      <c r="AF80" s="24"/>
      <c r="AG80" s="24"/>
      <c r="AH80" s="20"/>
      <c r="AI80" s="42"/>
    </row>
    <row r="81" spans="1:35">
      <c r="A81" s="14"/>
      <c r="B81" s="20"/>
      <c r="C81" s="84" t="s">
        <v>1432</v>
      </c>
      <c r="D81" s="84" t="s">
        <v>501</v>
      </c>
      <c r="E81" s="20" t="s">
        <v>80</v>
      </c>
      <c r="F81" s="84" t="s">
        <v>1562</v>
      </c>
      <c r="G81" s="84" t="s">
        <v>1563</v>
      </c>
      <c r="H81" s="84"/>
      <c r="I81" s="211">
        <v>37420</v>
      </c>
      <c r="J81" s="24">
        <v>1</v>
      </c>
      <c r="K81" s="24"/>
      <c r="L81" s="24">
        <v>1</v>
      </c>
      <c r="M81" s="24"/>
      <c r="N81" s="24">
        <v>1</v>
      </c>
      <c r="O81" s="24"/>
      <c r="P81" s="24"/>
      <c r="Q81" s="24"/>
      <c r="R81" s="24"/>
      <c r="S81" s="24"/>
      <c r="T81" s="24"/>
      <c r="U81" s="84" t="s">
        <v>1369</v>
      </c>
      <c r="V81" s="84" t="s">
        <v>1443</v>
      </c>
      <c r="W81" s="84" t="s">
        <v>280</v>
      </c>
      <c r="X81" s="84" t="s">
        <v>227</v>
      </c>
      <c r="Y81" s="20">
        <v>9703664384</v>
      </c>
      <c r="Z81" s="20"/>
      <c r="AA81" s="95" t="s">
        <v>1829</v>
      </c>
      <c r="AB81" s="84" t="s">
        <v>1830</v>
      </c>
      <c r="AC81" s="85">
        <v>1</v>
      </c>
      <c r="AD81" s="24"/>
      <c r="AE81" s="24"/>
      <c r="AF81" s="24"/>
      <c r="AG81" s="24"/>
      <c r="AH81" s="20"/>
      <c r="AI81" s="42"/>
    </row>
    <row r="82" spans="1:35">
      <c r="A82" s="14"/>
      <c r="B82" s="20"/>
      <c r="C82" s="84"/>
      <c r="D82" s="84"/>
      <c r="E82" s="20"/>
      <c r="F82" s="84"/>
      <c r="G82" s="84"/>
      <c r="H82" s="84"/>
      <c r="I82" s="211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84"/>
      <c r="V82" s="84"/>
      <c r="W82" s="84"/>
      <c r="X82" s="84"/>
      <c r="Y82" s="20"/>
      <c r="Z82" s="20"/>
      <c r="AA82" s="95" t="s">
        <v>1828</v>
      </c>
      <c r="AB82" s="84" t="s">
        <v>1831</v>
      </c>
      <c r="AC82" s="85">
        <v>50</v>
      </c>
      <c r="AD82" s="24"/>
      <c r="AE82" s="24"/>
      <c r="AF82" s="24"/>
      <c r="AG82" s="24"/>
      <c r="AH82" s="20"/>
      <c r="AI82" s="42"/>
    </row>
    <row r="83" spans="1:35">
      <c r="A83" s="14"/>
      <c r="B83" s="20"/>
      <c r="C83" s="84" t="s">
        <v>1432</v>
      </c>
      <c r="D83" s="84" t="s">
        <v>501</v>
      </c>
      <c r="E83" s="20" t="s">
        <v>80</v>
      </c>
      <c r="F83" s="84" t="s">
        <v>1523</v>
      </c>
      <c r="G83" s="84" t="s">
        <v>1564</v>
      </c>
      <c r="H83" s="84"/>
      <c r="I83" s="211">
        <v>29387</v>
      </c>
      <c r="J83" s="24"/>
      <c r="K83" s="24">
        <v>1</v>
      </c>
      <c r="L83" s="24">
        <v>1</v>
      </c>
      <c r="M83" s="24"/>
      <c r="N83" s="24">
        <v>1</v>
      </c>
      <c r="O83" s="24"/>
      <c r="P83" s="24"/>
      <c r="Q83" s="24"/>
      <c r="R83" s="24"/>
      <c r="S83" s="24"/>
      <c r="T83" s="24"/>
      <c r="U83" s="84" t="s">
        <v>1369</v>
      </c>
      <c r="V83" s="84" t="s">
        <v>1443</v>
      </c>
      <c r="W83" s="84" t="s">
        <v>280</v>
      </c>
      <c r="X83" s="84" t="s">
        <v>227</v>
      </c>
      <c r="Y83" s="20">
        <v>9480139417</v>
      </c>
      <c r="Z83" s="20"/>
      <c r="AA83" s="95" t="s">
        <v>1829</v>
      </c>
      <c r="AB83" s="84" t="s">
        <v>1830</v>
      </c>
      <c r="AC83" s="85">
        <v>1</v>
      </c>
      <c r="AD83" s="24"/>
      <c r="AE83" s="24"/>
      <c r="AF83" s="24"/>
      <c r="AG83" s="24"/>
      <c r="AH83" s="20"/>
      <c r="AI83" s="42"/>
    </row>
    <row r="84" spans="1:35">
      <c r="A84" s="14"/>
      <c r="B84" s="20"/>
      <c r="C84" s="84"/>
      <c r="D84" s="84"/>
      <c r="E84" s="20"/>
      <c r="F84" s="84"/>
      <c r="G84" s="84"/>
      <c r="H84" s="84"/>
      <c r="I84" s="211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84"/>
      <c r="V84" s="84"/>
      <c r="W84" s="84"/>
      <c r="X84" s="84"/>
      <c r="Y84" s="20"/>
      <c r="Z84" s="20"/>
      <c r="AA84" s="95" t="s">
        <v>1828</v>
      </c>
      <c r="AB84" s="84" t="s">
        <v>1831</v>
      </c>
      <c r="AC84" s="85">
        <v>50</v>
      </c>
      <c r="AD84" s="24"/>
      <c r="AE84" s="24"/>
      <c r="AF84" s="24"/>
      <c r="AG84" s="24"/>
      <c r="AH84" s="20"/>
      <c r="AI84" s="42"/>
    </row>
    <row r="85" spans="1:35">
      <c r="A85" s="14"/>
      <c r="B85" s="20"/>
      <c r="C85" s="84" t="s">
        <v>1432</v>
      </c>
      <c r="D85" s="84" t="s">
        <v>501</v>
      </c>
      <c r="E85" s="20" t="s">
        <v>80</v>
      </c>
      <c r="F85" s="84" t="s">
        <v>1552</v>
      </c>
      <c r="G85" s="84" t="s">
        <v>1565</v>
      </c>
      <c r="H85" s="84"/>
      <c r="I85" s="211">
        <v>35523</v>
      </c>
      <c r="J85" s="24">
        <v>1</v>
      </c>
      <c r="K85" s="24"/>
      <c r="L85" s="24">
        <v>1</v>
      </c>
      <c r="M85" s="24"/>
      <c r="N85" s="24">
        <v>1</v>
      </c>
      <c r="O85" s="24"/>
      <c r="P85" s="24"/>
      <c r="Q85" s="24"/>
      <c r="R85" s="24"/>
      <c r="S85" s="24"/>
      <c r="T85" s="24"/>
      <c r="U85" s="84" t="s">
        <v>1369</v>
      </c>
      <c r="V85" s="84" t="s">
        <v>1443</v>
      </c>
      <c r="W85" s="84" t="s">
        <v>280</v>
      </c>
      <c r="X85" s="84" t="s">
        <v>227</v>
      </c>
      <c r="Y85" s="20">
        <v>9480139417</v>
      </c>
      <c r="Z85" s="20"/>
      <c r="AA85" s="95" t="s">
        <v>1829</v>
      </c>
      <c r="AB85" s="84" t="s">
        <v>1830</v>
      </c>
      <c r="AC85" s="85">
        <v>2</v>
      </c>
      <c r="AD85" s="24"/>
      <c r="AE85" s="24"/>
      <c r="AF85" s="24"/>
      <c r="AG85" s="24"/>
      <c r="AH85" s="20"/>
      <c r="AI85" s="42"/>
    </row>
    <row r="86" spans="1:35">
      <c r="A86" s="14"/>
      <c r="B86" s="20"/>
      <c r="C86" s="84"/>
      <c r="D86" s="84"/>
      <c r="E86" s="20"/>
      <c r="F86" s="84"/>
      <c r="G86" s="84"/>
      <c r="H86" s="84"/>
      <c r="I86" s="217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84"/>
      <c r="V86" s="84"/>
      <c r="W86" s="84"/>
      <c r="X86" s="84"/>
      <c r="Y86" s="20"/>
      <c r="Z86" s="20"/>
      <c r="AA86" s="95" t="s">
        <v>1828</v>
      </c>
      <c r="AB86" s="84" t="s">
        <v>1831</v>
      </c>
      <c r="AC86" s="85">
        <v>50</v>
      </c>
      <c r="AD86" s="24"/>
      <c r="AE86" s="24"/>
      <c r="AF86" s="24"/>
      <c r="AG86" s="24"/>
      <c r="AH86" s="20"/>
      <c r="AI86" s="42"/>
    </row>
    <row r="87" spans="1:35">
      <c r="A87" s="14"/>
      <c r="B87" s="20"/>
      <c r="C87" s="84" t="s">
        <v>1432</v>
      </c>
      <c r="D87" s="84" t="s">
        <v>501</v>
      </c>
      <c r="E87" s="20" t="s">
        <v>80</v>
      </c>
      <c r="F87" s="84" t="s">
        <v>1567</v>
      </c>
      <c r="G87" s="84" t="s">
        <v>156</v>
      </c>
      <c r="H87" s="84" t="s">
        <v>144</v>
      </c>
      <c r="I87" s="217">
        <v>29940</v>
      </c>
      <c r="J87" s="24">
        <v>1</v>
      </c>
      <c r="K87" s="24"/>
      <c r="L87" s="24">
        <v>1</v>
      </c>
      <c r="M87" s="24"/>
      <c r="N87" s="24"/>
      <c r="O87" s="24"/>
      <c r="P87" s="24"/>
      <c r="Q87" s="24"/>
      <c r="R87" s="24"/>
      <c r="S87" s="24"/>
      <c r="T87" s="24"/>
      <c r="U87" s="84" t="s">
        <v>1369</v>
      </c>
      <c r="V87" s="84" t="s">
        <v>1443</v>
      </c>
      <c r="W87" s="84" t="s">
        <v>280</v>
      </c>
      <c r="X87" s="84" t="s">
        <v>227</v>
      </c>
      <c r="Y87" s="20">
        <v>9454582547</v>
      </c>
      <c r="Z87" s="20"/>
      <c r="AA87" s="95" t="s">
        <v>1829</v>
      </c>
      <c r="AB87" s="84" t="s">
        <v>1830</v>
      </c>
      <c r="AC87" s="85">
        <v>2</v>
      </c>
      <c r="AD87" s="24"/>
      <c r="AE87" s="24"/>
      <c r="AF87" s="24"/>
      <c r="AG87" s="24"/>
      <c r="AH87" s="20"/>
      <c r="AI87" s="42"/>
    </row>
    <row r="88" spans="1:35">
      <c r="A88" s="14"/>
      <c r="B88" s="20"/>
      <c r="C88" s="84"/>
      <c r="D88" s="84"/>
      <c r="E88" s="20"/>
      <c r="F88" s="84"/>
      <c r="G88" s="84"/>
      <c r="H88" s="84"/>
      <c r="I88" s="217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84"/>
      <c r="V88" s="84"/>
      <c r="W88" s="84"/>
      <c r="X88" s="84"/>
      <c r="Y88" s="20"/>
      <c r="Z88" s="20"/>
      <c r="AA88" s="95" t="s">
        <v>1828</v>
      </c>
      <c r="AB88" s="84" t="s">
        <v>1831</v>
      </c>
      <c r="AC88" s="85">
        <v>50</v>
      </c>
      <c r="AD88" s="24"/>
      <c r="AE88" s="24"/>
      <c r="AF88" s="24"/>
      <c r="AG88" s="24"/>
      <c r="AH88" s="20"/>
      <c r="AI88" s="42"/>
    </row>
    <row r="89" spans="1:35">
      <c r="A89" s="14"/>
      <c r="B89" s="20"/>
      <c r="C89" s="84" t="s">
        <v>1432</v>
      </c>
      <c r="D89" s="84" t="s">
        <v>501</v>
      </c>
      <c r="E89" s="20" t="s">
        <v>80</v>
      </c>
      <c r="F89" s="84" t="s">
        <v>1568</v>
      </c>
      <c r="G89" s="84" t="s">
        <v>1569</v>
      </c>
      <c r="H89" s="84" t="s">
        <v>1570</v>
      </c>
      <c r="I89" s="211">
        <v>26196</v>
      </c>
      <c r="J89" s="24">
        <v>1</v>
      </c>
      <c r="K89" s="24"/>
      <c r="L89" s="24">
        <v>1</v>
      </c>
      <c r="M89" s="24"/>
      <c r="N89" s="24"/>
      <c r="O89" s="24"/>
      <c r="P89" s="24"/>
      <c r="Q89" s="24"/>
      <c r="R89" s="24"/>
      <c r="S89" s="24"/>
      <c r="T89" s="24"/>
      <c r="U89" s="84" t="s">
        <v>1369</v>
      </c>
      <c r="V89" s="84" t="s">
        <v>1443</v>
      </c>
      <c r="W89" s="84" t="s">
        <v>280</v>
      </c>
      <c r="X89" s="84" t="s">
        <v>227</v>
      </c>
      <c r="Y89" s="20"/>
      <c r="Z89" s="20"/>
      <c r="AA89" s="95" t="s">
        <v>1829</v>
      </c>
      <c r="AB89" s="84" t="s">
        <v>1830</v>
      </c>
      <c r="AC89" s="85">
        <v>1</v>
      </c>
      <c r="AD89" s="24"/>
      <c r="AE89" s="24"/>
      <c r="AF89" s="24"/>
      <c r="AG89" s="24"/>
      <c r="AH89" s="20"/>
      <c r="AI89" s="42"/>
    </row>
    <row r="90" spans="1:35">
      <c r="A90" s="14"/>
      <c r="B90" s="20"/>
      <c r="C90" s="84"/>
      <c r="D90" s="84"/>
      <c r="E90" s="20"/>
      <c r="F90" s="84"/>
      <c r="G90" s="84"/>
      <c r="H90" s="84"/>
      <c r="I90" s="211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84"/>
      <c r="V90" s="84"/>
      <c r="W90" s="84"/>
      <c r="X90" s="84"/>
      <c r="Y90" s="20"/>
      <c r="Z90" s="20"/>
      <c r="AA90" s="95" t="s">
        <v>1828</v>
      </c>
      <c r="AB90" s="84" t="s">
        <v>1831</v>
      </c>
      <c r="AC90" s="85">
        <v>50</v>
      </c>
      <c r="AD90" s="24"/>
      <c r="AE90" s="24"/>
      <c r="AF90" s="24"/>
      <c r="AG90" s="24"/>
      <c r="AH90" s="20"/>
      <c r="AI90" s="42"/>
    </row>
    <row r="91" spans="1:35">
      <c r="A91" s="14"/>
      <c r="B91" s="20"/>
      <c r="C91" s="84" t="s">
        <v>1432</v>
      </c>
      <c r="D91" s="84" t="s">
        <v>501</v>
      </c>
      <c r="E91" s="20" t="s">
        <v>80</v>
      </c>
      <c r="F91" s="84" t="s">
        <v>1571</v>
      </c>
      <c r="G91" s="84" t="s">
        <v>1572</v>
      </c>
      <c r="H91" s="84" t="s">
        <v>202</v>
      </c>
      <c r="I91" s="211">
        <v>28927</v>
      </c>
      <c r="J91" s="24"/>
      <c r="K91" s="24">
        <v>1</v>
      </c>
      <c r="L91" s="24">
        <v>1</v>
      </c>
      <c r="M91" s="24"/>
      <c r="N91" s="24"/>
      <c r="O91" s="24"/>
      <c r="P91" s="24"/>
      <c r="Q91" s="24"/>
      <c r="R91" s="24"/>
      <c r="S91" s="24"/>
      <c r="T91" s="24"/>
      <c r="U91" s="84" t="s">
        <v>1369</v>
      </c>
      <c r="V91" s="84" t="s">
        <v>1443</v>
      </c>
      <c r="W91" s="84" t="s">
        <v>280</v>
      </c>
      <c r="X91" s="84" t="s">
        <v>227</v>
      </c>
      <c r="Y91" s="20"/>
      <c r="Z91" s="20"/>
      <c r="AA91" s="95" t="s">
        <v>1829</v>
      </c>
      <c r="AB91" s="84" t="s">
        <v>1830</v>
      </c>
      <c r="AC91" s="85">
        <v>1</v>
      </c>
      <c r="AD91" s="24"/>
      <c r="AE91" s="24"/>
      <c r="AF91" s="24"/>
      <c r="AG91" s="24"/>
      <c r="AH91" s="20"/>
      <c r="AI91" s="42"/>
    </row>
    <row r="92" spans="1:35">
      <c r="A92" s="14"/>
      <c r="B92" s="20"/>
      <c r="C92" s="84"/>
      <c r="D92" s="84"/>
      <c r="E92" s="20"/>
      <c r="F92" s="84"/>
      <c r="G92" s="84"/>
      <c r="H92" s="84"/>
      <c r="I92" s="211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84"/>
      <c r="V92" s="84"/>
      <c r="W92" s="84"/>
      <c r="X92" s="84"/>
      <c r="Y92" s="20"/>
      <c r="Z92" s="20"/>
      <c r="AA92" s="95" t="s">
        <v>1828</v>
      </c>
      <c r="AB92" s="84" t="s">
        <v>1831</v>
      </c>
      <c r="AC92" s="85">
        <v>50</v>
      </c>
      <c r="AD92" s="24"/>
      <c r="AE92" s="24"/>
      <c r="AF92" s="24"/>
      <c r="AG92" s="24"/>
      <c r="AH92" s="20"/>
      <c r="AI92" s="42"/>
    </row>
    <row r="93" spans="1:35">
      <c r="A93" s="14"/>
      <c r="B93" s="20"/>
      <c r="C93" s="84" t="s">
        <v>1432</v>
      </c>
      <c r="D93" s="84" t="s">
        <v>501</v>
      </c>
      <c r="E93" s="20" t="s">
        <v>80</v>
      </c>
      <c r="F93" s="84" t="s">
        <v>1573</v>
      </c>
      <c r="G93" s="84" t="s">
        <v>1574</v>
      </c>
      <c r="H93" s="84" t="s">
        <v>202</v>
      </c>
      <c r="I93" s="211">
        <v>31752</v>
      </c>
      <c r="J93" s="24"/>
      <c r="K93" s="24">
        <v>1</v>
      </c>
      <c r="L93" s="24">
        <v>1</v>
      </c>
      <c r="M93" s="24"/>
      <c r="N93" s="24"/>
      <c r="O93" s="24"/>
      <c r="P93" s="24"/>
      <c r="Q93" s="24"/>
      <c r="R93" s="24"/>
      <c r="S93" s="24"/>
      <c r="T93" s="24"/>
      <c r="U93" s="84" t="s">
        <v>1369</v>
      </c>
      <c r="V93" s="84" t="s">
        <v>1443</v>
      </c>
      <c r="W93" s="84" t="s">
        <v>280</v>
      </c>
      <c r="X93" s="84" t="s">
        <v>227</v>
      </c>
      <c r="Y93" s="20"/>
      <c r="Z93" s="20"/>
      <c r="AA93" s="95" t="s">
        <v>1829</v>
      </c>
      <c r="AB93" s="84" t="s">
        <v>1830</v>
      </c>
      <c r="AC93" s="85">
        <v>1</v>
      </c>
      <c r="AD93" s="24"/>
      <c r="AE93" s="24"/>
      <c r="AF93" s="24"/>
      <c r="AG93" s="24"/>
      <c r="AH93" s="20"/>
      <c r="AI93" s="42"/>
    </row>
    <row r="94" spans="1:35">
      <c r="A94" s="14"/>
      <c r="B94" s="20"/>
      <c r="C94" s="84"/>
      <c r="D94" s="84"/>
      <c r="E94" s="20"/>
      <c r="F94" s="84"/>
      <c r="G94" s="84"/>
      <c r="H94" s="84"/>
      <c r="I94" s="211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84"/>
      <c r="V94" s="84"/>
      <c r="W94" s="84"/>
      <c r="X94" s="84"/>
      <c r="Y94" s="20"/>
      <c r="Z94" s="20"/>
      <c r="AA94" s="95" t="s">
        <v>1828</v>
      </c>
      <c r="AB94" s="84" t="s">
        <v>1831</v>
      </c>
      <c r="AC94" s="85">
        <v>50</v>
      </c>
      <c r="AD94" s="24"/>
      <c r="AE94" s="24"/>
      <c r="AF94" s="24"/>
      <c r="AG94" s="24"/>
      <c r="AH94" s="20"/>
      <c r="AI94" s="42"/>
    </row>
    <row r="95" spans="1:35">
      <c r="A95" s="14"/>
      <c r="B95" s="20"/>
      <c r="C95" s="84" t="s">
        <v>1432</v>
      </c>
      <c r="D95" s="84" t="s">
        <v>501</v>
      </c>
      <c r="E95" s="20" t="s">
        <v>80</v>
      </c>
      <c r="F95" s="84" t="s">
        <v>558</v>
      </c>
      <c r="G95" s="84" t="s">
        <v>1575</v>
      </c>
      <c r="H95" s="84" t="s">
        <v>144</v>
      </c>
      <c r="I95" s="211">
        <v>24968</v>
      </c>
      <c r="J95" s="24"/>
      <c r="K95" s="24">
        <v>1</v>
      </c>
      <c r="L95" s="24">
        <v>1</v>
      </c>
      <c r="M95" s="24"/>
      <c r="N95" s="24"/>
      <c r="O95" s="24"/>
      <c r="P95" s="24"/>
      <c r="Q95" s="24"/>
      <c r="R95" s="24"/>
      <c r="S95" s="24"/>
      <c r="T95" s="24"/>
      <c r="U95" s="84" t="s">
        <v>1369</v>
      </c>
      <c r="V95" s="84" t="s">
        <v>1443</v>
      </c>
      <c r="W95" s="84" t="s">
        <v>280</v>
      </c>
      <c r="X95" s="84" t="s">
        <v>227</v>
      </c>
      <c r="Y95" s="20"/>
      <c r="Z95" s="20"/>
      <c r="AA95" s="95" t="s">
        <v>1829</v>
      </c>
      <c r="AB95" s="84" t="s">
        <v>1830</v>
      </c>
      <c r="AC95" s="85">
        <v>1</v>
      </c>
      <c r="AD95" s="24"/>
      <c r="AE95" s="24"/>
      <c r="AF95" s="24"/>
      <c r="AG95" s="24"/>
      <c r="AH95" s="20"/>
      <c r="AI95" s="42"/>
    </row>
    <row r="96" spans="1:35">
      <c r="A96" s="14"/>
      <c r="B96" s="20"/>
      <c r="C96" s="84"/>
      <c r="D96" s="84"/>
      <c r="E96" s="20"/>
      <c r="F96" s="84"/>
      <c r="G96" s="84"/>
      <c r="H96" s="84"/>
      <c r="I96" s="211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84"/>
      <c r="V96" s="84"/>
      <c r="W96" s="84"/>
      <c r="X96" s="84"/>
      <c r="Y96" s="20"/>
      <c r="Z96" s="20"/>
      <c r="AA96" s="95" t="s">
        <v>1828</v>
      </c>
      <c r="AB96" s="84" t="s">
        <v>1831</v>
      </c>
      <c r="AC96" s="85">
        <v>50</v>
      </c>
      <c r="AD96" s="24"/>
      <c r="AE96" s="24"/>
      <c r="AF96" s="24"/>
      <c r="AG96" s="24"/>
      <c r="AH96" s="20"/>
      <c r="AI96" s="42"/>
    </row>
    <row r="97" spans="1:35">
      <c r="A97" s="14"/>
      <c r="B97" s="20"/>
      <c r="C97" s="84" t="s">
        <v>1432</v>
      </c>
      <c r="D97" s="84" t="s">
        <v>501</v>
      </c>
      <c r="E97" s="20" t="s">
        <v>80</v>
      </c>
      <c r="F97" s="84" t="s">
        <v>1576</v>
      </c>
      <c r="G97" s="84" t="s">
        <v>1577</v>
      </c>
      <c r="H97" s="84" t="s">
        <v>120</v>
      </c>
      <c r="I97" s="211">
        <v>33849</v>
      </c>
      <c r="J97" s="24"/>
      <c r="K97" s="24">
        <v>1</v>
      </c>
      <c r="L97" s="24">
        <v>1</v>
      </c>
      <c r="M97" s="24"/>
      <c r="N97" s="24"/>
      <c r="O97" s="24"/>
      <c r="P97" s="24"/>
      <c r="Q97" s="24"/>
      <c r="R97" s="24"/>
      <c r="S97" s="24"/>
      <c r="T97" s="24"/>
      <c r="U97" s="84" t="s">
        <v>1369</v>
      </c>
      <c r="V97" s="84" t="s">
        <v>1443</v>
      </c>
      <c r="W97" s="84" t="s">
        <v>280</v>
      </c>
      <c r="X97" s="84" t="s">
        <v>227</v>
      </c>
      <c r="Y97" s="20"/>
      <c r="Z97" s="20"/>
      <c r="AA97" s="95" t="s">
        <v>1829</v>
      </c>
      <c r="AB97" s="84" t="s">
        <v>1830</v>
      </c>
      <c r="AC97" s="85">
        <v>2</v>
      </c>
      <c r="AD97" s="24"/>
      <c r="AE97" s="24"/>
      <c r="AF97" s="24"/>
      <c r="AG97" s="24"/>
      <c r="AH97" s="20"/>
      <c r="AI97" s="42"/>
    </row>
    <row r="98" spans="1:35">
      <c r="A98" s="14"/>
      <c r="B98" s="20"/>
      <c r="C98" s="84"/>
      <c r="D98" s="84"/>
      <c r="E98" s="20"/>
      <c r="F98" s="84"/>
      <c r="G98" s="84"/>
      <c r="H98" s="84"/>
      <c r="I98" s="211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84"/>
      <c r="V98" s="84"/>
      <c r="W98" s="84"/>
      <c r="X98" s="84"/>
      <c r="Y98" s="20"/>
      <c r="Z98" s="20"/>
      <c r="AA98" s="95" t="s">
        <v>1828</v>
      </c>
      <c r="AB98" s="84" t="s">
        <v>1831</v>
      </c>
      <c r="AC98" s="85">
        <v>50</v>
      </c>
      <c r="AD98" s="24"/>
      <c r="AE98" s="24"/>
      <c r="AF98" s="24"/>
      <c r="AG98" s="24"/>
      <c r="AH98" s="20"/>
      <c r="AI98" s="42"/>
    </row>
    <row r="99" spans="1:35">
      <c r="A99" s="14"/>
      <c r="B99" s="20"/>
      <c r="C99" s="84" t="s">
        <v>1432</v>
      </c>
      <c r="D99" s="84" t="s">
        <v>501</v>
      </c>
      <c r="E99" s="20" t="s">
        <v>80</v>
      </c>
      <c r="F99" s="84" t="s">
        <v>1578</v>
      </c>
      <c r="G99" s="84" t="s">
        <v>381</v>
      </c>
      <c r="H99" s="84" t="s">
        <v>160</v>
      </c>
      <c r="I99" s="211">
        <v>20654</v>
      </c>
      <c r="J99" s="24">
        <v>1</v>
      </c>
      <c r="K99" s="24"/>
      <c r="L99" s="24">
        <v>1</v>
      </c>
      <c r="M99" s="24">
        <v>1</v>
      </c>
      <c r="N99" s="24"/>
      <c r="O99" s="24"/>
      <c r="P99" s="24"/>
      <c r="Q99" s="24"/>
      <c r="R99" s="24"/>
      <c r="S99" s="24"/>
      <c r="T99" s="24"/>
      <c r="U99" s="84" t="s">
        <v>1369</v>
      </c>
      <c r="V99" s="84" t="s">
        <v>1443</v>
      </c>
      <c r="W99" s="84" t="s">
        <v>280</v>
      </c>
      <c r="X99" s="84" t="s">
        <v>227</v>
      </c>
      <c r="Y99" s="20"/>
      <c r="Z99" s="20"/>
      <c r="AA99" s="95" t="s">
        <v>1829</v>
      </c>
      <c r="AB99" s="84" t="s">
        <v>1830</v>
      </c>
      <c r="AC99" s="85">
        <v>2</v>
      </c>
      <c r="AD99" s="24"/>
      <c r="AE99" s="24"/>
      <c r="AF99" s="24"/>
      <c r="AG99" s="24"/>
      <c r="AH99" s="20"/>
      <c r="AI99" s="42"/>
    </row>
    <row r="100" spans="1:35">
      <c r="A100" s="14"/>
      <c r="B100" s="20"/>
      <c r="C100" s="84"/>
      <c r="D100" s="84"/>
      <c r="E100" s="20"/>
      <c r="F100" s="84"/>
      <c r="G100" s="84"/>
      <c r="H100" s="84"/>
      <c r="I100" s="211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84"/>
      <c r="V100" s="84"/>
      <c r="W100" s="84"/>
      <c r="X100" s="84"/>
      <c r="Y100" s="20"/>
      <c r="Z100" s="20"/>
      <c r="AA100" s="95" t="s">
        <v>1828</v>
      </c>
      <c r="AB100" s="84" t="s">
        <v>1831</v>
      </c>
      <c r="AC100" s="85">
        <v>50</v>
      </c>
      <c r="AD100" s="24"/>
      <c r="AE100" s="24"/>
      <c r="AF100" s="24"/>
      <c r="AG100" s="24"/>
      <c r="AH100" s="20"/>
      <c r="AI100" s="42"/>
    </row>
    <row r="101" spans="1:35">
      <c r="A101" s="14"/>
      <c r="B101" s="20"/>
      <c r="C101" s="84" t="s">
        <v>1432</v>
      </c>
      <c r="D101" s="84" t="s">
        <v>501</v>
      </c>
      <c r="E101" s="20" t="s">
        <v>80</v>
      </c>
      <c r="F101" s="84" t="s">
        <v>1579</v>
      </c>
      <c r="G101" s="84" t="s">
        <v>1580</v>
      </c>
      <c r="H101" s="84" t="s">
        <v>136</v>
      </c>
      <c r="I101" s="211">
        <v>33328</v>
      </c>
      <c r="J101" s="24"/>
      <c r="K101" s="24">
        <v>1</v>
      </c>
      <c r="L101" s="24">
        <v>1</v>
      </c>
      <c r="M101" s="24"/>
      <c r="N101" s="24"/>
      <c r="O101" s="24"/>
      <c r="P101" s="24"/>
      <c r="Q101" s="24"/>
      <c r="R101" s="24"/>
      <c r="S101" s="24"/>
      <c r="T101" s="24"/>
      <c r="U101" s="84" t="s">
        <v>1369</v>
      </c>
      <c r="V101" s="84" t="s">
        <v>1443</v>
      </c>
      <c r="W101" s="84" t="s">
        <v>280</v>
      </c>
      <c r="X101" s="84" t="s">
        <v>227</v>
      </c>
      <c r="Y101" s="20"/>
      <c r="Z101" s="20"/>
      <c r="AA101" s="95" t="s">
        <v>1829</v>
      </c>
      <c r="AB101" s="84" t="s">
        <v>1830</v>
      </c>
      <c r="AC101" s="85">
        <v>2</v>
      </c>
      <c r="AD101" s="24"/>
      <c r="AE101" s="24"/>
      <c r="AF101" s="24"/>
      <c r="AG101" s="24"/>
      <c r="AH101" s="20"/>
      <c r="AI101" s="42"/>
    </row>
    <row r="102" spans="1:35">
      <c r="A102" s="14"/>
      <c r="B102" s="20"/>
      <c r="C102" s="84"/>
      <c r="D102" s="84"/>
      <c r="E102" s="20"/>
      <c r="F102" s="84"/>
      <c r="G102" s="84"/>
      <c r="H102" s="84"/>
      <c r="I102" s="211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84"/>
      <c r="V102" s="84"/>
      <c r="W102" s="84"/>
      <c r="X102" s="84"/>
      <c r="Y102" s="20"/>
      <c r="Z102" s="20"/>
      <c r="AA102" s="95" t="s">
        <v>1828</v>
      </c>
      <c r="AB102" s="84" t="s">
        <v>1831</v>
      </c>
      <c r="AC102" s="85">
        <v>50</v>
      </c>
      <c r="AD102" s="24"/>
      <c r="AE102" s="24"/>
      <c r="AF102" s="24"/>
      <c r="AG102" s="24"/>
      <c r="AH102" s="20"/>
      <c r="AI102" s="42"/>
    </row>
    <row r="103" spans="1:35">
      <c r="A103" s="14"/>
      <c r="B103" s="20"/>
      <c r="C103" s="84" t="s">
        <v>1432</v>
      </c>
      <c r="D103" s="84" t="s">
        <v>501</v>
      </c>
      <c r="E103" s="20" t="s">
        <v>80</v>
      </c>
      <c r="F103" s="84" t="s">
        <v>392</v>
      </c>
      <c r="G103" s="84" t="s">
        <v>1581</v>
      </c>
      <c r="H103" s="84" t="s">
        <v>120</v>
      </c>
      <c r="I103" s="211">
        <v>27775</v>
      </c>
      <c r="J103" s="24"/>
      <c r="K103" s="24">
        <v>1</v>
      </c>
      <c r="L103" s="24">
        <v>1</v>
      </c>
      <c r="M103" s="24"/>
      <c r="N103" s="24"/>
      <c r="O103" s="24"/>
      <c r="P103" s="24"/>
      <c r="Q103" s="24"/>
      <c r="R103" s="24"/>
      <c r="S103" s="24"/>
      <c r="T103" s="24"/>
      <c r="U103" s="84" t="s">
        <v>1369</v>
      </c>
      <c r="V103" s="84" t="s">
        <v>1443</v>
      </c>
      <c r="W103" s="84" t="s">
        <v>280</v>
      </c>
      <c r="X103" s="84" t="s">
        <v>227</v>
      </c>
      <c r="Y103" s="20"/>
      <c r="Z103" s="20"/>
      <c r="AA103" s="95" t="s">
        <v>1829</v>
      </c>
      <c r="AB103" s="84" t="s">
        <v>1830</v>
      </c>
      <c r="AC103" s="85">
        <v>2</v>
      </c>
      <c r="AD103" s="24"/>
      <c r="AE103" s="24"/>
      <c r="AF103" s="24"/>
      <c r="AG103" s="24"/>
      <c r="AH103" s="20"/>
      <c r="AI103" s="42"/>
    </row>
    <row r="104" spans="1:35">
      <c r="A104" s="14"/>
      <c r="B104" s="20"/>
      <c r="C104" s="84"/>
      <c r="D104" s="84"/>
      <c r="E104" s="20"/>
      <c r="F104" s="84"/>
      <c r="G104" s="84"/>
      <c r="H104" s="84"/>
      <c r="I104" s="211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84"/>
      <c r="V104" s="84"/>
      <c r="W104" s="84"/>
      <c r="X104" s="84"/>
      <c r="Y104" s="20"/>
      <c r="Z104" s="20"/>
      <c r="AA104" s="95" t="s">
        <v>1828</v>
      </c>
      <c r="AB104" s="84" t="s">
        <v>1831</v>
      </c>
      <c r="AC104" s="85">
        <v>50</v>
      </c>
      <c r="AD104" s="24"/>
      <c r="AE104" s="24"/>
      <c r="AF104" s="24"/>
      <c r="AG104" s="24"/>
      <c r="AH104" s="20"/>
      <c r="AI104" s="42"/>
    </row>
    <row r="105" spans="1:35">
      <c r="A105" s="14"/>
      <c r="B105" s="20"/>
      <c r="C105" s="84" t="s">
        <v>1432</v>
      </c>
      <c r="D105" s="84" t="s">
        <v>501</v>
      </c>
      <c r="E105" s="20" t="s">
        <v>80</v>
      </c>
      <c r="F105" s="84" t="s">
        <v>392</v>
      </c>
      <c r="G105" s="84" t="s">
        <v>1582</v>
      </c>
      <c r="H105" s="84" t="s">
        <v>120</v>
      </c>
      <c r="I105" s="211">
        <v>29414</v>
      </c>
      <c r="J105" s="24"/>
      <c r="K105" s="24">
        <v>1</v>
      </c>
      <c r="L105" s="24">
        <v>1</v>
      </c>
      <c r="M105" s="24"/>
      <c r="N105" s="24"/>
      <c r="O105" s="24"/>
      <c r="P105" s="24"/>
      <c r="Q105" s="24"/>
      <c r="R105" s="24"/>
      <c r="S105" s="24"/>
      <c r="T105" s="24"/>
      <c r="U105" s="84" t="s">
        <v>1369</v>
      </c>
      <c r="V105" s="84" t="s">
        <v>1443</v>
      </c>
      <c r="W105" s="84" t="s">
        <v>280</v>
      </c>
      <c r="X105" s="84" t="s">
        <v>227</v>
      </c>
      <c r="Y105" s="20"/>
      <c r="Z105" s="20"/>
      <c r="AA105" s="95" t="s">
        <v>1829</v>
      </c>
      <c r="AB105" s="84" t="s">
        <v>1830</v>
      </c>
      <c r="AC105" s="85">
        <v>2</v>
      </c>
      <c r="AD105" s="24"/>
      <c r="AE105" s="24"/>
      <c r="AF105" s="24"/>
      <c r="AG105" s="24"/>
      <c r="AH105" s="20"/>
      <c r="AI105" s="42"/>
    </row>
    <row r="106" spans="1:35">
      <c r="A106" s="14"/>
      <c r="B106" s="20"/>
      <c r="C106" s="84"/>
      <c r="D106" s="84"/>
      <c r="E106" s="20"/>
      <c r="F106" s="84"/>
      <c r="G106" s="84"/>
      <c r="H106" s="84"/>
      <c r="I106" s="211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84"/>
      <c r="V106" s="84"/>
      <c r="W106" s="84"/>
      <c r="X106" s="84"/>
      <c r="Y106" s="20"/>
      <c r="Z106" s="20"/>
      <c r="AA106" s="95" t="s">
        <v>1828</v>
      </c>
      <c r="AB106" s="84" t="s">
        <v>1831</v>
      </c>
      <c r="AC106" s="85">
        <v>50</v>
      </c>
      <c r="AD106" s="24"/>
      <c r="AE106" s="24"/>
      <c r="AF106" s="24"/>
      <c r="AG106" s="24"/>
      <c r="AH106" s="20"/>
      <c r="AI106" s="42"/>
    </row>
    <row r="107" spans="1:35">
      <c r="A107" s="14"/>
      <c r="B107" s="20"/>
      <c r="C107" s="84" t="s">
        <v>1432</v>
      </c>
      <c r="D107" s="84" t="s">
        <v>501</v>
      </c>
      <c r="E107" s="20" t="s">
        <v>80</v>
      </c>
      <c r="F107" s="84" t="s">
        <v>1583</v>
      </c>
      <c r="G107" s="84" t="s">
        <v>1584</v>
      </c>
      <c r="H107" s="84" t="s">
        <v>421</v>
      </c>
      <c r="I107" s="211">
        <v>22784</v>
      </c>
      <c r="J107" s="24">
        <v>1</v>
      </c>
      <c r="K107" s="24"/>
      <c r="L107" s="24">
        <v>1</v>
      </c>
      <c r="M107" s="24">
        <v>1</v>
      </c>
      <c r="N107" s="24"/>
      <c r="O107" s="24"/>
      <c r="P107" s="24"/>
      <c r="Q107" s="24"/>
      <c r="R107" s="24"/>
      <c r="S107" s="24"/>
      <c r="T107" s="24"/>
      <c r="U107" s="84" t="s">
        <v>1369</v>
      </c>
      <c r="V107" s="84" t="s">
        <v>1443</v>
      </c>
      <c r="W107" s="84" t="s">
        <v>280</v>
      </c>
      <c r="X107" s="84" t="s">
        <v>227</v>
      </c>
      <c r="Y107" s="20"/>
      <c r="Z107" s="20"/>
      <c r="AA107" s="95" t="s">
        <v>1829</v>
      </c>
      <c r="AB107" s="84" t="s">
        <v>1830</v>
      </c>
      <c r="AC107" s="85">
        <v>2</v>
      </c>
      <c r="AD107" s="24"/>
      <c r="AE107" s="24"/>
      <c r="AF107" s="24"/>
      <c r="AG107" s="24"/>
      <c r="AH107" s="20"/>
      <c r="AI107" s="42"/>
    </row>
    <row r="108" spans="1:35">
      <c r="A108" s="14"/>
      <c r="B108" s="20"/>
      <c r="C108" s="84"/>
      <c r="D108" s="84"/>
      <c r="E108" s="20"/>
      <c r="F108" s="84"/>
      <c r="G108" s="84"/>
      <c r="H108" s="84"/>
      <c r="I108" s="211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84"/>
      <c r="V108" s="84"/>
      <c r="W108" s="84"/>
      <c r="X108" s="84"/>
      <c r="Y108" s="20"/>
      <c r="Z108" s="20"/>
      <c r="AA108" s="95" t="s">
        <v>1828</v>
      </c>
      <c r="AB108" s="84" t="s">
        <v>1831</v>
      </c>
      <c r="AC108" s="85">
        <v>50</v>
      </c>
      <c r="AD108" s="24"/>
      <c r="AE108" s="24"/>
      <c r="AF108" s="24"/>
      <c r="AG108" s="24"/>
      <c r="AH108" s="20"/>
      <c r="AI108" s="42"/>
    </row>
    <row r="109" spans="1:35">
      <c r="A109" s="14"/>
      <c r="B109" s="20"/>
      <c r="C109" s="84" t="s">
        <v>1432</v>
      </c>
      <c r="D109" s="84" t="s">
        <v>501</v>
      </c>
      <c r="E109" s="20" t="s">
        <v>80</v>
      </c>
      <c r="F109" s="84" t="s">
        <v>1583</v>
      </c>
      <c r="G109" s="84" t="s">
        <v>1322</v>
      </c>
      <c r="H109" s="84" t="s">
        <v>126</v>
      </c>
      <c r="I109" s="211">
        <v>31489</v>
      </c>
      <c r="J109" s="24">
        <v>1</v>
      </c>
      <c r="K109" s="24"/>
      <c r="L109" s="24">
        <v>1</v>
      </c>
      <c r="M109" s="24"/>
      <c r="N109" s="24"/>
      <c r="O109" s="24"/>
      <c r="P109" s="24"/>
      <c r="Q109" s="24"/>
      <c r="R109" s="24"/>
      <c r="S109" s="24"/>
      <c r="T109" s="24"/>
      <c r="U109" s="84" t="s">
        <v>1369</v>
      </c>
      <c r="V109" s="84" t="s">
        <v>1443</v>
      </c>
      <c r="W109" s="84" t="s">
        <v>280</v>
      </c>
      <c r="X109" s="84" t="s">
        <v>227</v>
      </c>
      <c r="Y109" s="20"/>
      <c r="Z109" s="20"/>
      <c r="AA109" s="95" t="s">
        <v>1829</v>
      </c>
      <c r="AB109" s="84" t="s">
        <v>1830</v>
      </c>
      <c r="AC109" s="85">
        <v>2</v>
      </c>
      <c r="AD109" s="24"/>
      <c r="AE109" s="24"/>
      <c r="AF109" s="24"/>
      <c r="AG109" s="24"/>
      <c r="AH109" s="20"/>
      <c r="AI109" s="42"/>
    </row>
    <row r="110" spans="1:35">
      <c r="A110" s="14"/>
      <c r="B110" s="20"/>
      <c r="C110" s="84"/>
      <c r="D110" s="84"/>
      <c r="E110" s="20"/>
      <c r="F110" s="84"/>
      <c r="G110" s="84"/>
      <c r="H110" s="84"/>
      <c r="I110" s="211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84"/>
      <c r="V110" s="84"/>
      <c r="W110" s="84"/>
      <c r="X110" s="84"/>
      <c r="Y110" s="20"/>
      <c r="Z110" s="20"/>
      <c r="AA110" s="95" t="s">
        <v>1828</v>
      </c>
      <c r="AB110" s="84" t="s">
        <v>1831</v>
      </c>
      <c r="AC110" s="85">
        <v>50</v>
      </c>
      <c r="AD110" s="24"/>
      <c r="AE110" s="24"/>
      <c r="AF110" s="24"/>
      <c r="AG110" s="24"/>
      <c r="AH110" s="20"/>
      <c r="AI110" s="42"/>
    </row>
    <row r="111" spans="1:35">
      <c r="A111" s="14"/>
      <c r="B111" s="20"/>
      <c r="C111" s="84" t="s">
        <v>1432</v>
      </c>
      <c r="D111" s="84" t="s">
        <v>501</v>
      </c>
      <c r="E111" s="20" t="s">
        <v>80</v>
      </c>
      <c r="F111" s="84" t="s">
        <v>392</v>
      </c>
      <c r="G111" s="84" t="s">
        <v>1585</v>
      </c>
      <c r="H111" s="84" t="s">
        <v>126</v>
      </c>
      <c r="I111" s="211">
        <v>26470</v>
      </c>
      <c r="J111" s="24"/>
      <c r="K111" s="24">
        <v>1</v>
      </c>
      <c r="L111" s="24">
        <v>1</v>
      </c>
      <c r="M111" s="24"/>
      <c r="N111" s="24"/>
      <c r="O111" s="24"/>
      <c r="P111" s="24"/>
      <c r="Q111" s="24"/>
      <c r="R111" s="24"/>
      <c r="S111" s="24"/>
      <c r="T111" s="24"/>
      <c r="U111" s="84" t="s">
        <v>1369</v>
      </c>
      <c r="V111" s="84" t="s">
        <v>1443</v>
      </c>
      <c r="W111" s="84" t="s">
        <v>280</v>
      </c>
      <c r="X111" s="84" t="s">
        <v>227</v>
      </c>
      <c r="Y111" s="20"/>
      <c r="Z111" s="20"/>
      <c r="AA111" s="95" t="s">
        <v>1829</v>
      </c>
      <c r="AB111" s="84" t="s">
        <v>1830</v>
      </c>
      <c r="AC111" s="85">
        <v>2</v>
      </c>
      <c r="AD111" s="24"/>
      <c r="AE111" s="24"/>
      <c r="AF111" s="24"/>
      <c r="AG111" s="24"/>
      <c r="AH111" s="20"/>
      <c r="AI111" s="42"/>
    </row>
    <row r="112" spans="1:35">
      <c r="A112" s="14"/>
      <c r="B112" s="20"/>
      <c r="C112" s="84"/>
      <c r="D112" s="84"/>
      <c r="E112" s="20"/>
      <c r="F112" s="84"/>
      <c r="G112" s="84"/>
      <c r="H112" s="84"/>
      <c r="I112" s="211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84"/>
      <c r="V112" s="84"/>
      <c r="W112" s="84"/>
      <c r="X112" s="84"/>
      <c r="Y112" s="20"/>
      <c r="Z112" s="20"/>
      <c r="AA112" s="95" t="s">
        <v>1828</v>
      </c>
      <c r="AB112" s="84" t="s">
        <v>1831</v>
      </c>
      <c r="AC112" s="85">
        <v>50</v>
      </c>
      <c r="AD112" s="24"/>
      <c r="AE112" s="24"/>
      <c r="AF112" s="24"/>
      <c r="AG112" s="24"/>
      <c r="AH112" s="20"/>
      <c r="AI112" s="42"/>
    </row>
    <row r="113" spans="1:35">
      <c r="A113" s="14"/>
      <c r="B113" s="20"/>
      <c r="C113" s="84" t="s">
        <v>1432</v>
      </c>
      <c r="D113" s="84" t="s">
        <v>501</v>
      </c>
      <c r="E113" s="20" t="s">
        <v>80</v>
      </c>
      <c r="F113" s="84" t="s">
        <v>1586</v>
      </c>
      <c r="G113" s="84" t="s">
        <v>1587</v>
      </c>
      <c r="H113" s="84" t="s">
        <v>1559</v>
      </c>
      <c r="I113" s="211">
        <v>29121</v>
      </c>
      <c r="J113" s="24">
        <v>1</v>
      </c>
      <c r="K113" s="24"/>
      <c r="L113" s="24">
        <v>1</v>
      </c>
      <c r="M113" s="24"/>
      <c r="N113" s="24"/>
      <c r="O113" s="24"/>
      <c r="P113" s="24"/>
      <c r="Q113" s="24"/>
      <c r="R113" s="24"/>
      <c r="S113" s="24"/>
      <c r="T113" s="24"/>
      <c r="U113" s="84" t="s">
        <v>1369</v>
      </c>
      <c r="V113" s="84" t="s">
        <v>1443</v>
      </c>
      <c r="W113" s="84" t="s">
        <v>280</v>
      </c>
      <c r="X113" s="84" t="s">
        <v>227</v>
      </c>
      <c r="Y113" s="20"/>
      <c r="Z113" s="20"/>
      <c r="AA113" s="95" t="s">
        <v>1829</v>
      </c>
      <c r="AB113" s="84" t="s">
        <v>1830</v>
      </c>
      <c r="AC113" s="85">
        <v>2</v>
      </c>
      <c r="AD113" s="24"/>
      <c r="AE113" s="24"/>
      <c r="AF113" s="24"/>
      <c r="AG113" s="24"/>
      <c r="AH113" s="20"/>
      <c r="AI113" s="42"/>
    </row>
    <row r="114" spans="1:35">
      <c r="A114" s="14"/>
      <c r="B114" s="20"/>
      <c r="C114" s="84"/>
      <c r="D114" s="84"/>
      <c r="E114" s="20"/>
      <c r="F114" s="84"/>
      <c r="G114" s="84"/>
      <c r="H114" s="84"/>
      <c r="I114" s="211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84"/>
      <c r="V114" s="84"/>
      <c r="W114" s="84"/>
      <c r="X114" s="84"/>
      <c r="Y114" s="20"/>
      <c r="Z114" s="20"/>
      <c r="AA114" s="95" t="s">
        <v>1828</v>
      </c>
      <c r="AB114" s="84" t="s">
        <v>1831</v>
      </c>
      <c r="AC114" s="85">
        <v>50</v>
      </c>
      <c r="AD114" s="24"/>
      <c r="AE114" s="24"/>
      <c r="AF114" s="24"/>
      <c r="AG114" s="24"/>
      <c r="AH114" s="20"/>
      <c r="AI114" s="42"/>
    </row>
    <row r="115" spans="1:35">
      <c r="A115" s="14"/>
      <c r="B115" s="20"/>
      <c r="C115" s="84" t="s">
        <v>1432</v>
      </c>
      <c r="D115" s="84" t="s">
        <v>501</v>
      </c>
      <c r="E115" s="20" t="s">
        <v>80</v>
      </c>
      <c r="F115" s="84" t="s">
        <v>1588</v>
      </c>
      <c r="G115" s="84" t="s">
        <v>1589</v>
      </c>
      <c r="H115" s="84" t="s">
        <v>202</v>
      </c>
      <c r="I115" s="211">
        <v>25694</v>
      </c>
      <c r="J115" s="24">
        <v>1</v>
      </c>
      <c r="K115" s="24"/>
      <c r="L115" s="24">
        <v>1</v>
      </c>
      <c r="M115" s="24"/>
      <c r="N115" s="24"/>
      <c r="O115" s="24"/>
      <c r="P115" s="24"/>
      <c r="Q115" s="24"/>
      <c r="R115" s="24"/>
      <c r="S115" s="24"/>
      <c r="T115" s="24"/>
      <c r="U115" s="84" t="s">
        <v>1369</v>
      </c>
      <c r="V115" s="84" t="s">
        <v>1443</v>
      </c>
      <c r="W115" s="84" t="s">
        <v>280</v>
      </c>
      <c r="X115" s="84" t="s">
        <v>227</v>
      </c>
      <c r="Y115" s="20"/>
      <c r="Z115" s="20"/>
      <c r="AA115" s="95" t="s">
        <v>1829</v>
      </c>
      <c r="AB115" s="84" t="s">
        <v>1830</v>
      </c>
      <c r="AC115" s="85">
        <v>1</v>
      </c>
      <c r="AD115" s="24"/>
      <c r="AE115" s="24"/>
      <c r="AF115" s="24"/>
      <c r="AG115" s="24"/>
      <c r="AH115" s="20"/>
      <c r="AI115" s="42"/>
    </row>
    <row r="116" spans="1:35">
      <c r="A116" s="14"/>
      <c r="B116" s="20"/>
      <c r="C116" s="84"/>
      <c r="D116" s="84"/>
      <c r="E116" s="20"/>
      <c r="F116" s="84"/>
      <c r="G116" s="84"/>
      <c r="H116" s="84"/>
      <c r="I116" s="211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84"/>
      <c r="V116" s="84"/>
      <c r="W116" s="84"/>
      <c r="X116" s="84"/>
      <c r="Y116" s="20"/>
      <c r="Z116" s="20"/>
      <c r="AA116" s="95" t="s">
        <v>1828</v>
      </c>
      <c r="AB116" s="84" t="s">
        <v>1831</v>
      </c>
      <c r="AC116" s="85">
        <v>50</v>
      </c>
      <c r="AD116" s="24"/>
      <c r="AE116" s="24"/>
      <c r="AF116" s="24"/>
      <c r="AG116" s="24"/>
      <c r="AH116" s="20"/>
      <c r="AI116" s="42"/>
    </row>
    <row r="117" spans="1:35">
      <c r="A117" s="14"/>
      <c r="B117" s="20"/>
      <c r="C117" s="84" t="s">
        <v>1432</v>
      </c>
      <c r="D117" s="84" t="s">
        <v>501</v>
      </c>
      <c r="E117" s="20" t="s">
        <v>80</v>
      </c>
      <c r="F117" s="84" t="s">
        <v>1590</v>
      </c>
      <c r="G117" s="84" t="s">
        <v>343</v>
      </c>
      <c r="H117" s="84" t="s">
        <v>286</v>
      </c>
      <c r="I117" s="211">
        <v>32019</v>
      </c>
      <c r="J117" s="24">
        <v>1</v>
      </c>
      <c r="K117" s="24"/>
      <c r="L117" s="24">
        <v>1</v>
      </c>
      <c r="M117" s="24"/>
      <c r="N117" s="24"/>
      <c r="O117" s="24"/>
      <c r="P117" s="24"/>
      <c r="Q117" s="24"/>
      <c r="R117" s="24"/>
      <c r="S117" s="24"/>
      <c r="T117" s="24"/>
      <c r="U117" s="84" t="s">
        <v>1369</v>
      </c>
      <c r="V117" s="84" t="s">
        <v>1443</v>
      </c>
      <c r="W117" s="84" t="s">
        <v>280</v>
      </c>
      <c r="X117" s="84" t="s">
        <v>227</v>
      </c>
      <c r="Y117" s="20"/>
      <c r="Z117" s="20"/>
      <c r="AA117" s="95" t="s">
        <v>1829</v>
      </c>
      <c r="AB117" s="84" t="s">
        <v>1830</v>
      </c>
      <c r="AC117" s="85">
        <v>2</v>
      </c>
      <c r="AD117" s="24"/>
      <c r="AE117" s="24"/>
      <c r="AF117" s="24"/>
      <c r="AG117" s="24"/>
      <c r="AH117" s="20"/>
      <c r="AI117" s="42"/>
    </row>
    <row r="118" spans="1:35">
      <c r="A118" s="14"/>
      <c r="B118" s="20"/>
      <c r="C118" s="84"/>
      <c r="D118" s="84"/>
      <c r="E118" s="20"/>
      <c r="F118" s="84"/>
      <c r="G118" s="84"/>
      <c r="H118" s="84"/>
      <c r="I118" s="211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84"/>
      <c r="V118" s="84"/>
      <c r="W118" s="84"/>
      <c r="X118" s="84"/>
      <c r="Y118" s="20"/>
      <c r="Z118" s="20"/>
      <c r="AA118" s="95" t="s">
        <v>1828</v>
      </c>
      <c r="AB118" s="84" t="s">
        <v>1831</v>
      </c>
      <c r="AC118" s="85">
        <v>50</v>
      </c>
      <c r="AD118" s="24"/>
      <c r="AE118" s="24"/>
      <c r="AF118" s="24"/>
      <c r="AG118" s="24"/>
      <c r="AH118" s="20"/>
      <c r="AI118" s="42"/>
    </row>
    <row r="119" spans="1:35">
      <c r="A119" s="14"/>
      <c r="B119" s="20"/>
      <c r="C119" s="84" t="s">
        <v>1432</v>
      </c>
      <c r="D119" s="84" t="s">
        <v>501</v>
      </c>
      <c r="E119" s="20" t="s">
        <v>80</v>
      </c>
      <c r="F119" s="20" t="s">
        <v>974</v>
      </c>
      <c r="G119" s="20" t="s">
        <v>1591</v>
      </c>
      <c r="H119" s="20" t="s">
        <v>286</v>
      </c>
      <c r="I119" s="211">
        <v>30096</v>
      </c>
      <c r="J119" s="24">
        <v>1</v>
      </c>
      <c r="K119" s="24"/>
      <c r="L119" s="24">
        <v>1</v>
      </c>
      <c r="M119" s="24"/>
      <c r="N119" s="24"/>
      <c r="O119" s="24"/>
      <c r="P119" s="24"/>
      <c r="Q119" s="24"/>
      <c r="R119" s="24"/>
      <c r="S119" s="24"/>
      <c r="T119" s="24"/>
      <c r="U119" s="84" t="s">
        <v>1369</v>
      </c>
      <c r="V119" s="84" t="s">
        <v>1443</v>
      </c>
      <c r="W119" s="84" t="s">
        <v>280</v>
      </c>
      <c r="X119" s="84" t="s">
        <v>227</v>
      </c>
      <c r="Y119" s="20"/>
      <c r="Z119" s="20"/>
      <c r="AA119" s="95" t="s">
        <v>1829</v>
      </c>
      <c r="AB119" s="84" t="s">
        <v>1830</v>
      </c>
      <c r="AC119" s="85">
        <v>1</v>
      </c>
      <c r="AD119" s="24"/>
      <c r="AE119" s="24"/>
      <c r="AF119" s="24"/>
      <c r="AG119" s="24"/>
      <c r="AH119" s="20"/>
      <c r="AI119" s="42"/>
    </row>
    <row r="120" spans="1:35">
      <c r="A120" s="14"/>
      <c r="B120" s="20"/>
      <c r="C120" s="84"/>
      <c r="D120" s="84"/>
      <c r="E120" s="20"/>
      <c r="F120" s="20"/>
      <c r="G120" s="20"/>
      <c r="H120" s="20"/>
      <c r="I120" s="211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84"/>
      <c r="V120" s="84"/>
      <c r="W120" s="84"/>
      <c r="X120" s="84"/>
      <c r="Y120" s="20"/>
      <c r="Z120" s="20"/>
      <c r="AA120" s="95" t="s">
        <v>1828</v>
      </c>
      <c r="AB120" s="84" t="s">
        <v>1831</v>
      </c>
      <c r="AC120" s="85">
        <v>50</v>
      </c>
      <c r="AD120" s="24"/>
      <c r="AE120" s="24"/>
      <c r="AF120" s="24"/>
      <c r="AG120" s="24"/>
      <c r="AH120" s="20"/>
      <c r="AI120" s="42"/>
    </row>
    <row r="121" spans="1:35">
      <c r="A121" s="14"/>
      <c r="B121" s="20"/>
      <c r="C121" s="84" t="s">
        <v>1432</v>
      </c>
      <c r="D121" s="84" t="s">
        <v>501</v>
      </c>
      <c r="E121" s="20" t="s">
        <v>80</v>
      </c>
      <c r="F121" s="20" t="s">
        <v>1592</v>
      </c>
      <c r="G121" s="20" t="s">
        <v>1076</v>
      </c>
      <c r="H121" s="20" t="s">
        <v>126</v>
      </c>
      <c r="I121" s="211">
        <v>29292</v>
      </c>
      <c r="J121" s="24">
        <v>1</v>
      </c>
      <c r="K121" s="24"/>
      <c r="L121" s="24">
        <v>1</v>
      </c>
      <c r="M121" s="24"/>
      <c r="N121" s="24"/>
      <c r="O121" s="24"/>
      <c r="P121" s="24"/>
      <c r="Q121" s="24"/>
      <c r="R121" s="24"/>
      <c r="S121" s="24"/>
      <c r="T121" s="24"/>
      <c r="U121" s="84" t="s">
        <v>1369</v>
      </c>
      <c r="V121" s="84" t="s">
        <v>1443</v>
      </c>
      <c r="W121" s="84" t="s">
        <v>280</v>
      </c>
      <c r="X121" s="84" t="s">
        <v>227</v>
      </c>
      <c r="Y121" s="20"/>
      <c r="Z121" s="20"/>
      <c r="AA121" s="95" t="s">
        <v>1829</v>
      </c>
      <c r="AB121" s="84" t="s">
        <v>1830</v>
      </c>
      <c r="AC121" s="85">
        <v>2</v>
      </c>
      <c r="AD121" s="24"/>
      <c r="AE121" s="24"/>
      <c r="AF121" s="24"/>
      <c r="AG121" s="24"/>
      <c r="AH121" s="20"/>
      <c r="AI121" s="42"/>
    </row>
    <row r="122" spans="1:35">
      <c r="A122" s="14"/>
      <c r="B122" s="20"/>
      <c r="C122" s="84"/>
      <c r="D122" s="84"/>
      <c r="E122" s="20"/>
      <c r="F122" s="20"/>
      <c r="G122" s="20"/>
      <c r="H122" s="20"/>
      <c r="I122" s="211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84"/>
      <c r="V122" s="84"/>
      <c r="W122" s="84"/>
      <c r="X122" s="84"/>
      <c r="Y122" s="20"/>
      <c r="Z122" s="20"/>
      <c r="AA122" s="95" t="s">
        <v>1828</v>
      </c>
      <c r="AB122" s="84" t="s">
        <v>1831</v>
      </c>
      <c r="AC122" s="85">
        <v>50</v>
      </c>
      <c r="AD122" s="24"/>
      <c r="AE122" s="24"/>
      <c r="AF122" s="24"/>
      <c r="AG122" s="24"/>
      <c r="AH122" s="20"/>
      <c r="AI122" s="42"/>
    </row>
    <row r="123" spans="1:35">
      <c r="A123" s="14"/>
      <c r="B123" s="20"/>
      <c r="C123" s="84" t="s">
        <v>1432</v>
      </c>
      <c r="D123" s="84" t="s">
        <v>501</v>
      </c>
      <c r="E123" s="20" t="s">
        <v>80</v>
      </c>
      <c r="F123" s="20" t="s">
        <v>1593</v>
      </c>
      <c r="G123" s="20" t="s">
        <v>1594</v>
      </c>
      <c r="H123" s="20" t="s">
        <v>136</v>
      </c>
      <c r="I123" s="211">
        <v>34169</v>
      </c>
      <c r="J123" s="24"/>
      <c r="K123" s="24">
        <v>1</v>
      </c>
      <c r="L123" s="24">
        <v>1</v>
      </c>
      <c r="M123" s="24"/>
      <c r="N123" s="24"/>
      <c r="O123" s="24"/>
      <c r="P123" s="24"/>
      <c r="Q123" s="24"/>
      <c r="R123" s="24"/>
      <c r="S123" s="24"/>
      <c r="T123" s="24"/>
      <c r="U123" s="84" t="s">
        <v>1369</v>
      </c>
      <c r="V123" s="84" t="s">
        <v>1443</v>
      </c>
      <c r="W123" s="84" t="s">
        <v>280</v>
      </c>
      <c r="X123" s="84" t="s">
        <v>227</v>
      </c>
      <c r="Y123" s="20"/>
      <c r="Z123" s="20"/>
      <c r="AA123" s="95" t="s">
        <v>1829</v>
      </c>
      <c r="AB123" s="84" t="s">
        <v>1830</v>
      </c>
      <c r="AC123" s="85">
        <v>2</v>
      </c>
      <c r="AD123" s="24"/>
      <c r="AE123" s="24"/>
      <c r="AF123" s="24"/>
      <c r="AG123" s="24"/>
      <c r="AH123" s="20"/>
      <c r="AI123" s="42"/>
    </row>
    <row r="124" spans="1:35">
      <c r="A124" s="14"/>
      <c r="B124" s="20"/>
      <c r="C124" s="84"/>
      <c r="D124" s="84"/>
      <c r="E124" s="20"/>
      <c r="F124" s="20"/>
      <c r="G124" s="20"/>
      <c r="H124" s="20"/>
      <c r="I124" s="211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84"/>
      <c r="V124" s="84"/>
      <c r="W124" s="84"/>
      <c r="X124" s="84"/>
      <c r="Y124" s="20"/>
      <c r="Z124" s="20"/>
      <c r="AA124" s="95" t="s">
        <v>1828</v>
      </c>
      <c r="AB124" s="84" t="s">
        <v>1831</v>
      </c>
      <c r="AC124" s="85">
        <v>50</v>
      </c>
      <c r="AD124" s="24"/>
      <c r="AE124" s="24"/>
      <c r="AF124" s="24"/>
      <c r="AG124" s="24"/>
      <c r="AH124" s="20"/>
      <c r="AI124" s="42"/>
    </row>
    <row r="125" spans="1:35">
      <c r="A125" s="14"/>
      <c r="B125" s="20"/>
      <c r="C125" s="84" t="s">
        <v>1432</v>
      </c>
      <c r="D125" s="84" t="s">
        <v>501</v>
      </c>
      <c r="E125" s="20" t="s">
        <v>80</v>
      </c>
      <c r="F125" s="20" t="s">
        <v>1595</v>
      </c>
      <c r="G125" s="20" t="s">
        <v>1464</v>
      </c>
      <c r="H125" s="20" t="s">
        <v>202</v>
      </c>
      <c r="I125" s="211">
        <v>35312</v>
      </c>
      <c r="J125" s="24">
        <v>1</v>
      </c>
      <c r="K125" s="24"/>
      <c r="L125" s="24">
        <v>1</v>
      </c>
      <c r="M125" s="24"/>
      <c r="N125" s="24"/>
      <c r="O125" s="24"/>
      <c r="P125" s="24"/>
      <c r="Q125" s="24"/>
      <c r="R125" s="24"/>
      <c r="S125" s="24"/>
      <c r="T125" s="24"/>
      <c r="U125" s="84" t="s">
        <v>1369</v>
      </c>
      <c r="V125" s="84" t="s">
        <v>1443</v>
      </c>
      <c r="W125" s="84" t="s">
        <v>280</v>
      </c>
      <c r="X125" s="84" t="s">
        <v>227</v>
      </c>
      <c r="Y125" s="20"/>
      <c r="Z125" s="20"/>
      <c r="AA125" s="95" t="s">
        <v>1829</v>
      </c>
      <c r="AB125" s="84" t="s">
        <v>1830</v>
      </c>
      <c r="AC125" s="85">
        <v>2</v>
      </c>
      <c r="AD125" s="24"/>
      <c r="AE125" s="24"/>
      <c r="AF125" s="24"/>
      <c r="AG125" s="24"/>
      <c r="AH125" s="20"/>
      <c r="AI125" s="42"/>
    </row>
    <row r="126" spans="1:35">
      <c r="A126" s="14"/>
      <c r="B126" s="20"/>
      <c r="C126" s="84"/>
      <c r="D126" s="84"/>
      <c r="E126" s="20"/>
      <c r="F126" s="20"/>
      <c r="G126" s="20"/>
      <c r="H126" s="20"/>
      <c r="I126" s="211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84"/>
      <c r="V126" s="84"/>
      <c r="W126" s="84"/>
      <c r="X126" s="84"/>
      <c r="Y126" s="20"/>
      <c r="Z126" s="20"/>
      <c r="AA126" s="95" t="s">
        <v>1828</v>
      </c>
      <c r="AB126" s="84" t="s">
        <v>1831</v>
      </c>
      <c r="AC126" s="85">
        <v>50</v>
      </c>
      <c r="AD126" s="24"/>
      <c r="AE126" s="24"/>
      <c r="AF126" s="24"/>
      <c r="AG126" s="24"/>
      <c r="AH126" s="20"/>
      <c r="AI126" s="42"/>
    </row>
    <row r="127" spans="1:35">
      <c r="A127" s="14"/>
      <c r="B127" s="20"/>
      <c r="C127" s="84" t="s">
        <v>1432</v>
      </c>
      <c r="D127" s="84" t="s">
        <v>501</v>
      </c>
      <c r="E127" s="20" t="s">
        <v>80</v>
      </c>
      <c r="F127" s="20" t="s">
        <v>392</v>
      </c>
      <c r="G127" s="20" t="s">
        <v>1076</v>
      </c>
      <c r="H127" s="20" t="s">
        <v>126</v>
      </c>
      <c r="I127" s="211">
        <v>34349</v>
      </c>
      <c r="J127" s="24">
        <v>1</v>
      </c>
      <c r="K127" s="24"/>
      <c r="L127" s="24">
        <v>1</v>
      </c>
      <c r="M127" s="24"/>
      <c r="N127" s="24"/>
      <c r="O127" s="24"/>
      <c r="P127" s="24"/>
      <c r="Q127" s="24"/>
      <c r="R127" s="24"/>
      <c r="S127" s="24"/>
      <c r="T127" s="24"/>
      <c r="U127" s="84" t="s">
        <v>1369</v>
      </c>
      <c r="V127" s="84" t="s">
        <v>1443</v>
      </c>
      <c r="W127" s="84" t="s">
        <v>280</v>
      </c>
      <c r="X127" s="84" t="s">
        <v>227</v>
      </c>
      <c r="Y127" s="20"/>
      <c r="Z127" s="20"/>
      <c r="AA127" s="95" t="s">
        <v>1829</v>
      </c>
      <c r="AB127" s="84" t="s">
        <v>1830</v>
      </c>
      <c r="AC127" s="85">
        <v>2</v>
      </c>
      <c r="AD127" s="24"/>
      <c r="AE127" s="24"/>
      <c r="AF127" s="24"/>
      <c r="AG127" s="24"/>
      <c r="AH127" s="20"/>
      <c r="AI127" s="42"/>
    </row>
    <row r="128" spans="1:35">
      <c r="A128" s="14"/>
      <c r="B128" s="20"/>
      <c r="C128" s="84"/>
      <c r="D128" s="84"/>
      <c r="E128" s="20"/>
      <c r="F128" s="20"/>
      <c r="G128" s="20"/>
      <c r="H128" s="20"/>
      <c r="I128" s="211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84"/>
      <c r="V128" s="84"/>
      <c r="W128" s="84"/>
      <c r="X128" s="84"/>
      <c r="Y128" s="20"/>
      <c r="Z128" s="20"/>
      <c r="AA128" s="95" t="s">
        <v>1828</v>
      </c>
      <c r="AB128" s="84" t="s">
        <v>1831</v>
      </c>
      <c r="AC128" s="85">
        <v>50</v>
      </c>
      <c r="AD128" s="24"/>
      <c r="AE128" s="24"/>
      <c r="AF128" s="24"/>
      <c r="AG128" s="24"/>
      <c r="AH128" s="20"/>
      <c r="AI128" s="42"/>
    </row>
    <row r="129" spans="1:35">
      <c r="A129" s="14"/>
      <c r="B129" s="20"/>
      <c r="C129" s="84" t="s">
        <v>1432</v>
      </c>
      <c r="D129" s="84" t="s">
        <v>501</v>
      </c>
      <c r="E129" s="20" t="s">
        <v>80</v>
      </c>
      <c r="F129" s="20" t="s">
        <v>1596</v>
      </c>
      <c r="G129" s="20" t="s">
        <v>1597</v>
      </c>
      <c r="H129" s="20" t="s">
        <v>115</v>
      </c>
      <c r="I129" s="211">
        <v>30638</v>
      </c>
      <c r="J129" s="24"/>
      <c r="K129" s="24">
        <v>1</v>
      </c>
      <c r="L129" s="24">
        <v>1</v>
      </c>
      <c r="M129" s="24"/>
      <c r="N129" s="24"/>
      <c r="O129" s="24"/>
      <c r="P129" s="24"/>
      <c r="Q129" s="24"/>
      <c r="R129" s="24"/>
      <c r="S129" s="24"/>
      <c r="T129" s="24"/>
      <c r="U129" s="84" t="s">
        <v>1369</v>
      </c>
      <c r="V129" s="84" t="s">
        <v>1443</v>
      </c>
      <c r="W129" s="84" t="s">
        <v>280</v>
      </c>
      <c r="X129" s="84" t="s">
        <v>227</v>
      </c>
      <c r="Y129" s="20"/>
      <c r="Z129" s="20"/>
      <c r="AA129" s="95" t="s">
        <v>1829</v>
      </c>
      <c r="AB129" s="84" t="s">
        <v>1830</v>
      </c>
      <c r="AC129" s="85">
        <v>2</v>
      </c>
      <c r="AD129" s="24"/>
      <c r="AE129" s="24"/>
      <c r="AF129" s="24"/>
      <c r="AG129" s="24"/>
      <c r="AH129" s="20"/>
      <c r="AI129" s="42"/>
    </row>
    <row r="130" spans="1:35">
      <c r="A130" s="14"/>
      <c r="B130" s="20"/>
      <c r="C130" s="84"/>
      <c r="D130" s="84"/>
      <c r="E130" s="20"/>
      <c r="F130" s="20"/>
      <c r="G130" s="20"/>
      <c r="H130" s="20"/>
      <c r="I130" s="211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84"/>
      <c r="V130" s="84"/>
      <c r="W130" s="84"/>
      <c r="X130" s="84"/>
      <c r="Y130" s="20"/>
      <c r="Z130" s="20"/>
      <c r="AA130" s="95" t="s">
        <v>1828</v>
      </c>
      <c r="AB130" s="84" t="s">
        <v>1831</v>
      </c>
      <c r="AC130" s="85">
        <v>50</v>
      </c>
      <c r="AD130" s="24"/>
      <c r="AE130" s="24"/>
      <c r="AF130" s="24"/>
      <c r="AG130" s="24"/>
      <c r="AH130" s="20"/>
      <c r="AI130" s="42"/>
    </row>
    <row r="131" spans="1:35">
      <c r="A131" s="14"/>
      <c r="B131" s="20"/>
      <c r="C131" s="84" t="s">
        <v>1432</v>
      </c>
      <c r="D131" s="84" t="s">
        <v>501</v>
      </c>
      <c r="E131" s="20" t="s">
        <v>80</v>
      </c>
      <c r="F131" s="20" t="s">
        <v>1576</v>
      </c>
      <c r="G131" s="20" t="s">
        <v>309</v>
      </c>
      <c r="H131" s="20" t="s">
        <v>202</v>
      </c>
      <c r="I131" s="211">
        <v>29832</v>
      </c>
      <c r="J131" s="24">
        <v>1</v>
      </c>
      <c r="K131" s="24"/>
      <c r="L131" s="24">
        <v>1</v>
      </c>
      <c r="M131" s="24"/>
      <c r="N131" s="24"/>
      <c r="O131" s="24"/>
      <c r="P131" s="24"/>
      <c r="Q131" s="24"/>
      <c r="R131" s="24"/>
      <c r="S131" s="24"/>
      <c r="T131" s="24"/>
      <c r="U131" s="84" t="s">
        <v>1369</v>
      </c>
      <c r="V131" s="84" t="s">
        <v>1443</v>
      </c>
      <c r="W131" s="84" t="s">
        <v>280</v>
      </c>
      <c r="X131" s="84" t="s">
        <v>227</v>
      </c>
      <c r="Y131" s="20"/>
      <c r="Z131" s="20"/>
      <c r="AA131" s="95" t="s">
        <v>1829</v>
      </c>
      <c r="AB131" s="84" t="s">
        <v>1830</v>
      </c>
      <c r="AC131" s="85">
        <v>2</v>
      </c>
      <c r="AD131" s="24"/>
      <c r="AE131" s="24"/>
      <c r="AF131" s="24"/>
      <c r="AG131" s="24"/>
      <c r="AH131" s="20"/>
      <c r="AI131" s="42"/>
    </row>
    <row r="132" spans="1:35">
      <c r="A132" s="14"/>
      <c r="B132" s="20"/>
      <c r="C132" s="84"/>
      <c r="D132" s="84"/>
      <c r="E132" s="20"/>
      <c r="F132" s="20"/>
      <c r="G132" s="20"/>
      <c r="H132" s="20"/>
      <c r="I132" s="211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84"/>
      <c r="V132" s="84"/>
      <c r="W132" s="84"/>
      <c r="X132" s="84"/>
      <c r="Y132" s="20"/>
      <c r="Z132" s="20"/>
      <c r="AA132" s="95" t="s">
        <v>1828</v>
      </c>
      <c r="AB132" s="84" t="s">
        <v>1831</v>
      </c>
      <c r="AC132" s="85">
        <v>50</v>
      </c>
      <c r="AD132" s="24"/>
      <c r="AE132" s="24"/>
      <c r="AF132" s="24"/>
      <c r="AG132" s="24"/>
      <c r="AH132" s="20"/>
      <c r="AI132" s="42"/>
    </row>
    <row r="133" spans="1:35">
      <c r="A133" s="14"/>
      <c r="B133" s="20"/>
      <c r="C133" s="84" t="s">
        <v>1432</v>
      </c>
      <c r="D133" s="84" t="s">
        <v>501</v>
      </c>
      <c r="E133" s="20" t="s">
        <v>80</v>
      </c>
      <c r="F133" s="20" t="s">
        <v>1524</v>
      </c>
      <c r="G133" s="20" t="s">
        <v>1598</v>
      </c>
      <c r="H133" s="20" t="s">
        <v>120</v>
      </c>
      <c r="I133" s="211">
        <v>31943</v>
      </c>
      <c r="J133" s="24">
        <v>1</v>
      </c>
      <c r="K133" s="24"/>
      <c r="L133" s="24">
        <v>1</v>
      </c>
      <c r="M133" s="24"/>
      <c r="N133" s="24"/>
      <c r="O133" s="24"/>
      <c r="P133" s="24"/>
      <c r="Q133" s="24"/>
      <c r="R133" s="24"/>
      <c r="S133" s="24"/>
      <c r="T133" s="24"/>
      <c r="U133" s="84" t="s">
        <v>1369</v>
      </c>
      <c r="V133" s="84" t="s">
        <v>1443</v>
      </c>
      <c r="W133" s="84" t="s">
        <v>280</v>
      </c>
      <c r="X133" s="84" t="s">
        <v>227</v>
      </c>
      <c r="Y133" s="20"/>
      <c r="Z133" s="20"/>
      <c r="AA133" s="95" t="s">
        <v>1829</v>
      </c>
      <c r="AB133" s="84" t="s">
        <v>1830</v>
      </c>
      <c r="AC133" s="85">
        <v>1</v>
      </c>
      <c r="AD133" s="24"/>
      <c r="AE133" s="24"/>
      <c r="AF133" s="24"/>
      <c r="AG133" s="24"/>
      <c r="AH133" s="20"/>
      <c r="AI133" s="42"/>
    </row>
    <row r="134" spans="1:35">
      <c r="A134" s="14"/>
      <c r="B134" s="20"/>
      <c r="C134" s="84"/>
      <c r="D134" s="84"/>
      <c r="E134" s="20"/>
      <c r="F134" s="20"/>
      <c r="G134" s="20"/>
      <c r="H134" s="20"/>
      <c r="I134" s="211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84"/>
      <c r="V134" s="84"/>
      <c r="W134" s="84"/>
      <c r="X134" s="84"/>
      <c r="Y134" s="20"/>
      <c r="Z134" s="20"/>
      <c r="AA134" s="95" t="s">
        <v>1828</v>
      </c>
      <c r="AB134" s="84" t="s">
        <v>1831</v>
      </c>
      <c r="AC134" s="85">
        <v>50</v>
      </c>
      <c r="AD134" s="24"/>
      <c r="AE134" s="24"/>
      <c r="AF134" s="24"/>
      <c r="AG134" s="24"/>
      <c r="AH134" s="20"/>
      <c r="AI134" s="42"/>
    </row>
    <row r="135" spans="1:35">
      <c r="A135" s="14"/>
      <c r="B135" s="20"/>
      <c r="C135" s="84" t="s">
        <v>1432</v>
      </c>
      <c r="D135" s="84" t="s">
        <v>501</v>
      </c>
      <c r="E135" s="20" t="s">
        <v>80</v>
      </c>
      <c r="F135" s="20" t="s">
        <v>1586</v>
      </c>
      <c r="G135" s="20" t="s">
        <v>1599</v>
      </c>
      <c r="H135" s="20" t="s">
        <v>1600</v>
      </c>
      <c r="I135" s="211">
        <v>28455</v>
      </c>
      <c r="J135" s="24">
        <v>1</v>
      </c>
      <c r="K135" s="24"/>
      <c r="L135" s="24">
        <v>1</v>
      </c>
      <c r="M135" s="24"/>
      <c r="N135" s="24"/>
      <c r="O135" s="24"/>
      <c r="P135" s="24"/>
      <c r="Q135" s="24"/>
      <c r="R135" s="24"/>
      <c r="S135" s="24"/>
      <c r="T135" s="24"/>
      <c r="U135" s="84" t="s">
        <v>1369</v>
      </c>
      <c r="V135" s="84" t="s">
        <v>1443</v>
      </c>
      <c r="W135" s="84" t="s">
        <v>280</v>
      </c>
      <c r="X135" s="84" t="s">
        <v>227</v>
      </c>
      <c r="Y135" s="20"/>
      <c r="Z135" s="20"/>
      <c r="AA135" s="95" t="s">
        <v>1829</v>
      </c>
      <c r="AB135" s="84" t="s">
        <v>1830</v>
      </c>
      <c r="AC135" s="85">
        <v>2</v>
      </c>
      <c r="AD135" s="24"/>
      <c r="AE135" s="24"/>
      <c r="AF135" s="24"/>
      <c r="AG135" s="24"/>
      <c r="AH135" s="20"/>
      <c r="AI135" s="42"/>
    </row>
    <row r="136" spans="1:35">
      <c r="A136" s="14"/>
      <c r="B136" s="20"/>
      <c r="C136" s="84"/>
      <c r="D136" s="84"/>
      <c r="E136" s="20"/>
      <c r="F136" s="20"/>
      <c r="G136" s="20"/>
      <c r="H136" s="20"/>
      <c r="I136" s="211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84"/>
      <c r="V136" s="84"/>
      <c r="W136" s="84"/>
      <c r="X136" s="84"/>
      <c r="Y136" s="20"/>
      <c r="Z136" s="20"/>
      <c r="AA136" s="95" t="s">
        <v>1828</v>
      </c>
      <c r="AB136" s="84" t="s">
        <v>1831</v>
      </c>
      <c r="AC136" s="85">
        <v>50</v>
      </c>
      <c r="AD136" s="24"/>
      <c r="AE136" s="24"/>
      <c r="AF136" s="24"/>
      <c r="AG136" s="24"/>
      <c r="AH136" s="20"/>
      <c r="AI136" s="42"/>
    </row>
    <row r="137" spans="1:35">
      <c r="A137" s="14"/>
      <c r="B137" s="20"/>
      <c r="C137" s="84" t="s">
        <v>1432</v>
      </c>
      <c r="D137" s="84" t="s">
        <v>501</v>
      </c>
      <c r="E137" s="20" t="s">
        <v>80</v>
      </c>
      <c r="F137" s="20" t="s">
        <v>392</v>
      </c>
      <c r="G137" s="20" t="s">
        <v>1601</v>
      </c>
      <c r="H137" s="20" t="s">
        <v>133</v>
      </c>
      <c r="I137" s="211">
        <v>31424</v>
      </c>
      <c r="J137" s="24">
        <v>1</v>
      </c>
      <c r="K137" s="24"/>
      <c r="L137" s="24">
        <v>1</v>
      </c>
      <c r="M137" s="24"/>
      <c r="N137" s="24"/>
      <c r="O137" s="24"/>
      <c r="P137" s="24"/>
      <c r="Q137" s="24"/>
      <c r="R137" s="24"/>
      <c r="S137" s="24"/>
      <c r="T137" s="24"/>
      <c r="U137" s="84" t="s">
        <v>1369</v>
      </c>
      <c r="V137" s="84" t="s">
        <v>1443</v>
      </c>
      <c r="W137" s="84" t="s">
        <v>280</v>
      </c>
      <c r="X137" s="84" t="s">
        <v>227</v>
      </c>
      <c r="Y137" s="20"/>
      <c r="Z137" s="20"/>
      <c r="AA137" s="95" t="s">
        <v>1829</v>
      </c>
      <c r="AB137" s="84" t="s">
        <v>1830</v>
      </c>
      <c r="AC137" s="85">
        <v>1</v>
      </c>
      <c r="AD137" s="24"/>
      <c r="AE137" s="24"/>
      <c r="AF137" s="24"/>
      <c r="AG137" s="24"/>
      <c r="AH137" s="20"/>
      <c r="AI137" s="42"/>
    </row>
    <row r="138" spans="1:35">
      <c r="A138" s="14"/>
      <c r="B138" s="20"/>
      <c r="C138" s="84"/>
      <c r="D138" s="84"/>
      <c r="E138" s="20"/>
      <c r="F138" s="20"/>
      <c r="G138" s="20"/>
      <c r="H138" s="20"/>
      <c r="I138" s="211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84"/>
      <c r="V138" s="84"/>
      <c r="W138" s="84"/>
      <c r="X138" s="84"/>
      <c r="Y138" s="20"/>
      <c r="Z138" s="20"/>
      <c r="AA138" s="95" t="s">
        <v>1828</v>
      </c>
      <c r="AB138" s="84" t="s">
        <v>1831</v>
      </c>
      <c r="AC138" s="85">
        <v>50</v>
      </c>
      <c r="AD138" s="24"/>
      <c r="AE138" s="24"/>
      <c r="AF138" s="24"/>
      <c r="AG138" s="24"/>
      <c r="AH138" s="20"/>
      <c r="AI138" s="42"/>
    </row>
    <row r="139" spans="1:35">
      <c r="A139" s="14"/>
      <c r="B139" s="20"/>
      <c r="C139" s="84" t="s">
        <v>1432</v>
      </c>
      <c r="D139" s="84" t="s">
        <v>501</v>
      </c>
      <c r="E139" s="20" t="s">
        <v>80</v>
      </c>
      <c r="F139" s="20" t="s">
        <v>1602</v>
      </c>
      <c r="G139" s="20" t="s">
        <v>1603</v>
      </c>
      <c r="H139" s="20" t="s">
        <v>115</v>
      </c>
      <c r="I139" s="211">
        <v>23360</v>
      </c>
      <c r="J139" s="24">
        <v>1</v>
      </c>
      <c r="K139" s="24"/>
      <c r="L139" s="24">
        <v>1</v>
      </c>
      <c r="M139" s="24"/>
      <c r="N139" s="24"/>
      <c r="O139" s="24"/>
      <c r="P139" s="24"/>
      <c r="Q139" s="24"/>
      <c r="R139" s="24"/>
      <c r="S139" s="24"/>
      <c r="T139" s="24"/>
      <c r="U139" s="84" t="s">
        <v>1369</v>
      </c>
      <c r="V139" s="84" t="s">
        <v>1443</v>
      </c>
      <c r="W139" s="84" t="s">
        <v>280</v>
      </c>
      <c r="X139" s="84" t="s">
        <v>227</v>
      </c>
      <c r="Y139" s="20"/>
      <c r="Z139" s="20"/>
      <c r="AA139" s="95" t="s">
        <v>1829</v>
      </c>
      <c r="AB139" s="84" t="s">
        <v>1830</v>
      </c>
      <c r="AC139" s="85">
        <v>1</v>
      </c>
      <c r="AD139" s="24"/>
      <c r="AE139" s="24"/>
      <c r="AF139" s="24"/>
      <c r="AG139" s="24"/>
      <c r="AH139" s="20"/>
      <c r="AI139" s="42"/>
    </row>
    <row r="140" spans="1:35">
      <c r="A140" s="14"/>
      <c r="B140" s="20"/>
      <c r="C140" s="84"/>
      <c r="D140" s="84"/>
      <c r="E140" s="20"/>
      <c r="F140" s="20"/>
      <c r="G140" s="20"/>
      <c r="H140" s="20"/>
      <c r="I140" s="211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84"/>
      <c r="V140" s="84"/>
      <c r="W140" s="84"/>
      <c r="X140" s="84"/>
      <c r="Y140" s="20"/>
      <c r="Z140" s="20"/>
      <c r="AA140" s="95" t="s">
        <v>1828</v>
      </c>
      <c r="AB140" s="84" t="s">
        <v>1831</v>
      </c>
      <c r="AC140" s="85">
        <v>50</v>
      </c>
      <c r="AD140" s="24"/>
      <c r="AE140" s="24"/>
      <c r="AF140" s="24"/>
      <c r="AG140" s="24"/>
      <c r="AH140" s="20"/>
      <c r="AI140" s="42"/>
    </row>
    <row r="141" spans="1:35">
      <c r="A141" s="14"/>
      <c r="B141" s="20"/>
      <c r="C141" s="84" t="s">
        <v>1432</v>
      </c>
      <c r="D141" s="84" t="s">
        <v>501</v>
      </c>
      <c r="E141" s="20" t="s">
        <v>80</v>
      </c>
      <c r="F141" s="20" t="s">
        <v>1576</v>
      </c>
      <c r="G141" s="20" t="s">
        <v>1604</v>
      </c>
      <c r="H141" s="20" t="s">
        <v>136</v>
      </c>
      <c r="I141" s="211">
        <v>31456</v>
      </c>
      <c r="J141" s="24"/>
      <c r="K141" s="24">
        <v>1</v>
      </c>
      <c r="L141" s="24">
        <v>1</v>
      </c>
      <c r="M141" s="24"/>
      <c r="N141" s="24"/>
      <c r="O141" s="24"/>
      <c r="P141" s="24"/>
      <c r="Q141" s="24"/>
      <c r="R141" s="24"/>
      <c r="S141" s="24"/>
      <c r="T141" s="24"/>
      <c r="U141" s="84" t="s">
        <v>1369</v>
      </c>
      <c r="V141" s="84" t="s">
        <v>1443</v>
      </c>
      <c r="W141" s="84" t="s">
        <v>280</v>
      </c>
      <c r="X141" s="84" t="s">
        <v>227</v>
      </c>
      <c r="Y141" s="20"/>
      <c r="Z141" s="20"/>
      <c r="AA141" s="95" t="s">
        <v>1829</v>
      </c>
      <c r="AB141" s="84" t="s">
        <v>1830</v>
      </c>
      <c r="AC141" s="85">
        <v>1</v>
      </c>
      <c r="AD141" s="24"/>
      <c r="AE141" s="24"/>
      <c r="AF141" s="24"/>
      <c r="AG141" s="24"/>
      <c r="AH141" s="20"/>
      <c r="AI141" s="42"/>
    </row>
    <row r="142" spans="1:35">
      <c r="A142" s="14"/>
      <c r="B142" s="20"/>
      <c r="C142" s="84"/>
      <c r="D142" s="84"/>
      <c r="E142" s="20"/>
      <c r="F142" s="20"/>
      <c r="G142" s="20"/>
      <c r="H142" s="20"/>
      <c r="I142" s="211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84"/>
      <c r="V142" s="84"/>
      <c r="W142" s="84"/>
      <c r="X142" s="84"/>
      <c r="Y142" s="20"/>
      <c r="Z142" s="20"/>
      <c r="AA142" s="95" t="s">
        <v>1828</v>
      </c>
      <c r="AB142" s="84" t="s">
        <v>1831</v>
      </c>
      <c r="AC142" s="85">
        <v>50</v>
      </c>
      <c r="AD142" s="24"/>
      <c r="AE142" s="24"/>
      <c r="AF142" s="24"/>
      <c r="AG142" s="24"/>
      <c r="AH142" s="20"/>
      <c r="AI142" s="42"/>
    </row>
    <row r="143" spans="1:35">
      <c r="A143" s="14"/>
      <c r="B143" s="20"/>
      <c r="C143" s="84" t="s">
        <v>1432</v>
      </c>
      <c r="D143" s="84" t="s">
        <v>501</v>
      </c>
      <c r="E143" s="20" t="s">
        <v>80</v>
      </c>
      <c r="F143" s="20" t="s">
        <v>1605</v>
      </c>
      <c r="G143" s="20" t="s">
        <v>459</v>
      </c>
      <c r="H143" s="20" t="s">
        <v>115</v>
      </c>
      <c r="I143" s="211">
        <v>22308</v>
      </c>
      <c r="J143" s="24"/>
      <c r="K143" s="24">
        <v>1</v>
      </c>
      <c r="L143" s="24">
        <v>1</v>
      </c>
      <c r="M143" s="24">
        <v>1</v>
      </c>
      <c r="N143" s="24"/>
      <c r="O143" s="24"/>
      <c r="P143" s="24"/>
      <c r="Q143" s="24"/>
      <c r="R143" s="24"/>
      <c r="S143" s="24"/>
      <c r="T143" s="24"/>
      <c r="U143" s="84" t="s">
        <v>1369</v>
      </c>
      <c r="V143" s="84" t="s">
        <v>1443</v>
      </c>
      <c r="W143" s="84" t="s">
        <v>280</v>
      </c>
      <c r="X143" s="84" t="s">
        <v>227</v>
      </c>
      <c r="Y143" s="20"/>
      <c r="Z143" s="20"/>
      <c r="AA143" s="95" t="s">
        <v>1829</v>
      </c>
      <c r="AB143" s="84" t="s">
        <v>1830</v>
      </c>
      <c r="AC143" s="85">
        <v>2</v>
      </c>
      <c r="AD143" s="24"/>
      <c r="AE143" s="24"/>
      <c r="AF143" s="24"/>
      <c r="AG143" s="24"/>
      <c r="AH143" s="20"/>
      <c r="AI143" s="42"/>
    </row>
    <row r="144" spans="1:35">
      <c r="A144" s="14"/>
      <c r="B144" s="20"/>
      <c r="C144" s="84"/>
      <c r="D144" s="84"/>
      <c r="E144" s="20"/>
      <c r="F144" s="20"/>
      <c r="G144" s="20"/>
      <c r="H144" s="20"/>
      <c r="I144" s="211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84"/>
      <c r="V144" s="84"/>
      <c r="W144" s="84"/>
      <c r="X144" s="84"/>
      <c r="Y144" s="20"/>
      <c r="Z144" s="20"/>
      <c r="AA144" s="95" t="s">
        <v>1828</v>
      </c>
      <c r="AB144" s="84" t="s">
        <v>1831</v>
      </c>
      <c r="AC144" s="85">
        <v>50</v>
      </c>
      <c r="AD144" s="24"/>
      <c r="AE144" s="24"/>
      <c r="AF144" s="24"/>
      <c r="AG144" s="24"/>
      <c r="AH144" s="20"/>
      <c r="AI144" s="42"/>
    </row>
    <row r="145" spans="1:35">
      <c r="A145" s="14"/>
      <c r="B145" s="20"/>
      <c r="C145" s="84" t="s">
        <v>1432</v>
      </c>
      <c r="D145" s="84" t="s">
        <v>501</v>
      </c>
      <c r="E145" s="20" t="s">
        <v>80</v>
      </c>
      <c r="F145" s="20" t="s">
        <v>1605</v>
      </c>
      <c r="G145" s="20" t="s">
        <v>1606</v>
      </c>
      <c r="H145" s="20" t="s">
        <v>144</v>
      </c>
      <c r="I145" s="211">
        <v>30136</v>
      </c>
      <c r="J145" s="24"/>
      <c r="K145" s="24">
        <v>1</v>
      </c>
      <c r="L145" s="24">
        <v>1</v>
      </c>
      <c r="M145" s="24"/>
      <c r="N145" s="24"/>
      <c r="O145" s="24"/>
      <c r="P145" s="24"/>
      <c r="Q145" s="24"/>
      <c r="R145" s="24"/>
      <c r="S145" s="24"/>
      <c r="T145" s="24"/>
      <c r="U145" s="84" t="s">
        <v>1369</v>
      </c>
      <c r="V145" s="84" t="s">
        <v>1443</v>
      </c>
      <c r="W145" s="84" t="s">
        <v>280</v>
      </c>
      <c r="X145" s="84" t="s">
        <v>227</v>
      </c>
      <c r="Y145" s="20"/>
      <c r="Z145" s="20"/>
      <c r="AA145" s="95" t="s">
        <v>1829</v>
      </c>
      <c r="AB145" s="84" t="s">
        <v>1830</v>
      </c>
      <c r="AC145" s="85">
        <v>2</v>
      </c>
      <c r="AD145" s="24" t="s">
        <v>93</v>
      </c>
      <c r="AE145" s="24"/>
      <c r="AF145" s="24"/>
      <c r="AG145" s="24"/>
      <c r="AH145" s="20"/>
      <c r="AI145" s="42"/>
    </row>
    <row r="146" spans="1:35">
      <c r="A146" s="14"/>
      <c r="B146" s="20"/>
      <c r="C146" s="84"/>
      <c r="D146" s="84"/>
      <c r="E146" s="20"/>
      <c r="F146" s="20"/>
      <c r="G146" s="20"/>
      <c r="H146" s="20"/>
      <c r="I146" s="211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84"/>
      <c r="V146" s="84"/>
      <c r="W146" s="84"/>
      <c r="X146" s="84"/>
      <c r="Y146" s="20"/>
      <c r="Z146" s="20"/>
      <c r="AA146" s="95" t="s">
        <v>1828</v>
      </c>
      <c r="AB146" s="84" t="s">
        <v>1831</v>
      </c>
      <c r="AC146" s="85">
        <v>50</v>
      </c>
      <c r="AD146" s="24"/>
      <c r="AE146" s="24"/>
      <c r="AF146" s="24"/>
      <c r="AG146" s="24"/>
      <c r="AH146" s="20"/>
      <c r="AI146" s="42"/>
    </row>
    <row r="147" spans="1:35" ht="15.75" customHeight="1">
      <c r="A147" s="14"/>
      <c r="B147" s="20"/>
      <c r="C147" s="88" t="s">
        <v>1432</v>
      </c>
      <c r="D147" s="77" t="s">
        <v>1782</v>
      </c>
      <c r="E147" s="77" t="s">
        <v>1783</v>
      </c>
      <c r="F147" s="77" t="s">
        <v>1694</v>
      </c>
      <c r="G147" s="77" t="s">
        <v>1401</v>
      </c>
      <c r="H147" s="77" t="s">
        <v>133</v>
      </c>
      <c r="I147" s="218"/>
      <c r="J147" s="24"/>
      <c r="K147" s="90">
        <v>1</v>
      </c>
      <c r="L147" s="90">
        <v>1</v>
      </c>
      <c r="M147" s="24"/>
      <c r="N147" s="24"/>
      <c r="O147" s="79"/>
      <c r="P147" s="24"/>
      <c r="Q147" s="24"/>
      <c r="R147" s="24"/>
      <c r="S147" s="90">
        <v>1</v>
      </c>
      <c r="T147" s="90"/>
      <c r="U147" s="77"/>
      <c r="V147" s="77" t="s">
        <v>949</v>
      </c>
      <c r="W147" s="89" t="s">
        <v>280</v>
      </c>
      <c r="X147" s="77" t="s">
        <v>227</v>
      </c>
      <c r="Y147" s="20"/>
      <c r="Z147" s="20"/>
      <c r="AA147" s="97" t="s">
        <v>1791</v>
      </c>
      <c r="AB147" s="89" t="s">
        <v>1793</v>
      </c>
      <c r="AC147" s="113">
        <v>50</v>
      </c>
      <c r="AD147" s="24"/>
      <c r="AE147" s="24"/>
      <c r="AF147" s="24"/>
      <c r="AG147" s="24"/>
      <c r="AH147" s="20"/>
      <c r="AI147" s="42"/>
    </row>
    <row r="148" spans="1:35">
      <c r="A148" s="14"/>
      <c r="B148" s="20"/>
      <c r="C148" s="88"/>
      <c r="D148" s="77"/>
      <c r="E148" s="53"/>
      <c r="F148" s="53"/>
      <c r="G148" s="53"/>
      <c r="H148" s="20"/>
      <c r="I148" s="211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84"/>
      <c r="V148" s="84"/>
      <c r="W148" s="84"/>
      <c r="X148" s="84"/>
      <c r="Y148" s="20"/>
      <c r="Z148" s="20"/>
      <c r="AA148" s="95" t="s">
        <v>1792</v>
      </c>
      <c r="AB148" s="84" t="s">
        <v>526</v>
      </c>
      <c r="AC148" s="85">
        <v>4950</v>
      </c>
      <c r="AD148" s="24"/>
      <c r="AE148" s="24"/>
      <c r="AF148" s="24"/>
      <c r="AG148" s="24"/>
      <c r="AH148" s="20"/>
      <c r="AI148" s="42"/>
    </row>
    <row r="149" spans="1:35">
      <c r="A149" s="14"/>
      <c r="B149" s="20"/>
      <c r="C149" s="88" t="s">
        <v>1432</v>
      </c>
      <c r="D149" s="77" t="s">
        <v>1782</v>
      </c>
      <c r="E149" s="53" t="s">
        <v>1788</v>
      </c>
      <c r="F149" s="53" t="s">
        <v>1789</v>
      </c>
      <c r="G149" s="53" t="s">
        <v>1720</v>
      </c>
      <c r="H149" s="20"/>
      <c r="I149" s="211"/>
      <c r="J149" s="24">
        <v>1</v>
      </c>
      <c r="K149" s="24"/>
      <c r="L149" s="24"/>
      <c r="M149" s="24"/>
      <c r="N149" s="24"/>
      <c r="O149" s="24"/>
      <c r="P149" s="24"/>
      <c r="Q149" s="24">
        <v>1</v>
      </c>
      <c r="R149" s="75" t="s">
        <v>1009</v>
      </c>
      <c r="S149" s="24">
        <v>1</v>
      </c>
      <c r="T149" s="24"/>
      <c r="U149" s="84"/>
      <c r="V149" s="84" t="s">
        <v>872</v>
      </c>
      <c r="W149" s="84" t="s">
        <v>280</v>
      </c>
      <c r="X149" s="84" t="s">
        <v>227</v>
      </c>
      <c r="Y149" s="20"/>
      <c r="Z149" s="20"/>
      <c r="AA149" s="95" t="s">
        <v>1792</v>
      </c>
      <c r="AB149" s="84" t="s">
        <v>526</v>
      </c>
      <c r="AC149" s="85">
        <v>1500</v>
      </c>
      <c r="AD149" s="24"/>
      <c r="AE149" s="24"/>
      <c r="AF149" s="24"/>
      <c r="AG149" s="24"/>
      <c r="AH149" s="20"/>
      <c r="AI149" s="42"/>
    </row>
    <row r="150" spans="1:35">
      <c r="A150" s="14"/>
      <c r="B150" s="20"/>
      <c r="C150" s="88" t="s">
        <v>1432</v>
      </c>
      <c r="D150" s="77" t="s">
        <v>1782</v>
      </c>
      <c r="E150" s="53" t="s">
        <v>1798</v>
      </c>
      <c r="F150" s="53" t="s">
        <v>852</v>
      </c>
      <c r="G150" s="53" t="s">
        <v>118</v>
      </c>
      <c r="H150" s="53" t="s">
        <v>283</v>
      </c>
      <c r="I150" s="211"/>
      <c r="J150" s="24">
        <v>1</v>
      </c>
      <c r="K150" s="24"/>
      <c r="L150" s="24"/>
      <c r="M150" s="24"/>
      <c r="N150" s="24"/>
      <c r="O150" s="24"/>
      <c r="P150" s="24"/>
      <c r="Q150" s="24">
        <v>1</v>
      </c>
      <c r="R150" s="75" t="s">
        <v>1009</v>
      </c>
      <c r="S150" s="24">
        <v>1</v>
      </c>
      <c r="T150" s="24"/>
      <c r="U150" s="84"/>
      <c r="V150" s="84" t="s">
        <v>952</v>
      </c>
      <c r="W150" s="84" t="s">
        <v>280</v>
      </c>
      <c r="X150" s="84" t="s">
        <v>227</v>
      </c>
      <c r="Y150" s="20"/>
      <c r="Z150" s="20"/>
      <c r="AA150" s="97" t="s">
        <v>1791</v>
      </c>
      <c r="AB150" s="89" t="s">
        <v>1793</v>
      </c>
      <c r="AC150" s="85">
        <v>25</v>
      </c>
      <c r="AD150" s="24"/>
      <c r="AE150" s="24"/>
      <c r="AF150" s="24"/>
      <c r="AG150" s="24"/>
      <c r="AH150" s="20"/>
      <c r="AI150" s="42"/>
    </row>
    <row r="151" spans="1:35">
      <c r="A151" s="14"/>
      <c r="B151" s="20"/>
      <c r="C151" s="84"/>
      <c r="D151" s="84"/>
      <c r="E151" s="20"/>
      <c r="F151" s="20"/>
      <c r="G151" s="20"/>
      <c r="H151" s="20"/>
      <c r="I151" s="211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84"/>
      <c r="V151" s="84"/>
      <c r="W151" s="84"/>
      <c r="X151" s="84"/>
      <c r="Y151" s="20"/>
      <c r="Z151" s="20"/>
      <c r="AA151" s="95" t="s">
        <v>3198</v>
      </c>
      <c r="AB151" s="84" t="s">
        <v>1793</v>
      </c>
      <c r="AC151" s="85">
        <v>200</v>
      </c>
      <c r="AD151" s="24"/>
      <c r="AE151" s="24"/>
      <c r="AF151" s="24"/>
      <c r="AG151" s="24"/>
      <c r="AH151" s="20"/>
      <c r="AI151" s="42"/>
    </row>
    <row r="152" spans="1:35">
      <c r="A152" s="14"/>
      <c r="B152" s="20"/>
      <c r="C152" s="84"/>
      <c r="D152" s="84"/>
      <c r="E152" s="20"/>
      <c r="F152" s="20"/>
      <c r="G152" s="20"/>
      <c r="H152" s="20"/>
      <c r="I152" s="211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84"/>
      <c r="V152" s="84"/>
      <c r="W152" s="84"/>
      <c r="X152" s="84"/>
      <c r="Y152" s="20"/>
      <c r="Z152" s="20"/>
      <c r="AA152" s="95" t="s">
        <v>1792</v>
      </c>
      <c r="AB152" s="84" t="s">
        <v>526</v>
      </c>
      <c r="AC152" s="85">
        <v>2500</v>
      </c>
      <c r="AD152" s="24"/>
      <c r="AE152" s="24"/>
      <c r="AF152" s="24"/>
      <c r="AG152" s="24"/>
      <c r="AH152" s="20"/>
      <c r="AI152" s="42"/>
    </row>
    <row r="153" spans="1:35">
      <c r="A153" s="14"/>
      <c r="B153" s="20"/>
      <c r="C153" s="84" t="s">
        <v>1432</v>
      </c>
      <c r="D153" s="84" t="s">
        <v>1782</v>
      </c>
      <c r="E153" s="53" t="s">
        <v>1801</v>
      </c>
      <c r="F153" s="53" t="s">
        <v>826</v>
      </c>
      <c r="G153" s="53" t="s">
        <v>827</v>
      </c>
      <c r="H153" s="20"/>
      <c r="I153" s="211"/>
      <c r="J153" s="24">
        <v>1</v>
      </c>
      <c r="K153" s="24"/>
      <c r="L153" s="24"/>
      <c r="M153" s="24"/>
      <c r="N153" s="24"/>
      <c r="O153" s="24"/>
      <c r="P153" s="24"/>
      <c r="Q153" s="24">
        <v>1</v>
      </c>
      <c r="R153" s="75" t="s">
        <v>1009</v>
      </c>
      <c r="S153" s="24">
        <v>1</v>
      </c>
      <c r="T153" s="24"/>
      <c r="U153" s="84"/>
      <c r="V153" s="84" t="s">
        <v>513</v>
      </c>
      <c r="W153" s="84" t="s">
        <v>279</v>
      </c>
      <c r="X153" s="84" t="s">
        <v>227</v>
      </c>
      <c r="Y153" s="20"/>
      <c r="Z153" s="20"/>
      <c r="AA153" s="97" t="s">
        <v>1791</v>
      </c>
      <c r="AB153" s="89" t="s">
        <v>1793</v>
      </c>
      <c r="AC153" s="85">
        <v>25</v>
      </c>
      <c r="AD153" s="24"/>
      <c r="AE153" s="24"/>
      <c r="AF153" s="24"/>
      <c r="AG153" s="24"/>
      <c r="AH153" s="20"/>
      <c r="AI153" s="42"/>
    </row>
    <row r="154" spans="1:35">
      <c r="A154" s="14"/>
      <c r="B154" s="20"/>
      <c r="C154" s="84"/>
      <c r="D154" s="84"/>
      <c r="E154" s="20"/>
      <c r="F154" s="20"/>
      <c r="G154" s="20"/>
      <c r="H154" s="20"/>
      <c r="I154" s="211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84"/>
      <c r="V154" s="84"/>
      <c r="W154" s="84"/>
      <c r="X154" s="84"/>
      <c r="Y154" s="20"/>
      <c r="Z154" s="20"/>
      <c r="AA154" s="95" t="s">
        <v>3198</v>
      </c>
      <c r="AB154" s="84" t="s">
        <v>1793</v>
      </c>
      <c r="AC154" s="85">
        <v>200</v>
      </c>
      <c r="AD154" s="24"/>
      <c r="AE154" s="24"/>
      <c r="AF154" s="24"/>
      <c r="AG154" s="24"/>
      <c r="AH154" s="20"/>
      <c r="AI154" s="42"/>
    </row>
    <row r="155" spans="1:35">
      <c r="A155" s="14"/>
      <c r="B155" s="20"/>
      <c r="C155" s="84"/>
      <c r="D155" s="84"/>
      <c r="E155" s="20"/>
      <c r="F155" s="20"/>
      <c r="G155" s="20"/>
      <c r="H155" s="20"/>
      <c r="I155" s="211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84"/>
      <c r="V155" s="84"/>
      <c r="W155" s="84"/>
      <c r="X155" s="84"/>
      <c r="Y155" s="20"/>
      <c r="Z155" s="20"/>
      <c r="AA155" s="95" t="s">
        <v>1792</v>
      </c>
      <c r="AB155" s="84" t="s">
        <v>526</v>
      </c>
      <c r="AC155" s="85">
        <v>3500</v>
      </c>
      <c r="AD155" s="24"/>
      <c r="AE155" s="24"/>
      <c r="AF155" s="24"/>
      <c r="AG155" s="24"/>
      <c r="AH155" s="20"/>
      <c r="AI155" s="42"/>
    </row>
    <row r="156" spans="1:35">
      <c r="A156" s="14"/>
      <c r="B156" s="20"/>
      <c r="C156" s="84" t="s">
        <v>1432</v>
      </c>
      <c r="D156" s="84" t="s">
        <v>1782</v>
      </c>
      <c r="E156" s="53" t="s">
        <v>1802</v>
      </c>
      <c r="F156" s="53" t="s">
        <v>1707</v>
      </c>
      <c r="G156" s="53" t="s">
        <v>698</v>
      </c>
      <c r="H156" s="20"/>
      <c r="I156" s="211"/>
      <c r="J156" s="24">
        <v>1</v>
      </c>
      <c r="K156" s="24"/>
      <c r="L156" s="24"/>
      <c r="M156" s="24"/>
      <c r="N156" s="24"/>
      <c r="O156" s="24"/>
      <c r="P156" s="24"/>
      <c r="Q156" s="24">
        <v>1</v>
      </c>
      <c r="R156" s="75" t="s">
        <v>1009</v>
      </c>
      <c r="S156" s="24">
        <v>1</v>
      </c>
      <c r="T156" s="24"/>
      <c r="U156" s="84"/>
      <c r="V156" s="84" t="s">
        <v>519</v>
      </c>
      <c r="W156" s="84" t="s">
        <v>280</v>
      </c>
      <c r="X156" s="84" t="s">
        <v>227</v>
      </c>
      <c r="Y156" s="20"/>
      <c r="Z156" s="20"/>
      <c r="AA156" s="97" t="s">
        <v>1791</v>
      </c>
      <c r="AB156" s="89" t="s">
        <v>1793</v>
      </c>
      <c r="AC156" s="85">
        <v>25</v>
      </c>
      <c r="AD156" s="24"/>
      <c r="AE156" s="24"/>
      <c r="AF156" s="24"/>
      <c r="AG156" s="24"/>
      <c r="AH156" s="20"/>
      <c r="AI156" s="42"/>
    </row>
    <row r="157" spans="1:35">
      <c r="A157" s="14"/>
      <c r="B157" s="20"/>
      <c r="C157" s="84"/>
      <c r="D157" s="84"/>
      <c r="E157" s="20"/>
      <c r="F157" s="20"/>
      <c r="G157" s="20"/>
      <c r="H157" s="20"/>
      <c r="I157" s="211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84"/>
      <c r="V157" s="84"/>
      <c r="W157" s="84"/>
      <c r="X157" s="84"/>
      <c r="Y157" s="20"/>
      <c r="Z157" s="20"/>
      <c r="AA157" s="95" t="s">
        <v>3198</v>
      </c>
      <c r="AB157" s="84" t="s">
        <v>1793</v>
      </c>
      <c r="AC157" s="85">
        <v>200</v>
      </c>
      <c r="AD157" s="24"/>
      <c r="AE157" s="24"/>
      <c r="AF157" s="24"/>
      <c r="AG157" s="24"/>
      <c r="AH157" s="20"/>
      <c r="AI157" s="42"/>
    </row>
    <row r="158" spans="1:35">
      <c r="A158" s="14"/>
      <c r="B158" s="20"/>
      <c r="C158" s="84"/>
      <c r="D158" s="84"/>
      <c r="E158" s="20"/>
      <c r="F158" s="20"/>
      <c r="G158" s="20"/>
      <c r="H158" s="20"/>
      <c r="I158" s="211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84"/>
      <c r="V158" s="84"/>
      <c r="W158" s="84"/>
      <c r="X158" s="84"/>
      <c r="Y158" s="20"/>
      <c r="Z158" s="20"/>
      <c r="AA158" s="95" t="s">
        <v>1792</v>
      </c>
      <c r="AB158" s="84" t="s">
        <v>526</v>
      </c>
      <c r="AC158" s="85">
        <v>3500</v>
      </c>
      <c r="AD158" s="24"/>
      <c r="AE158" s="24"/>
      <c r="AF158" s="24"/>
      <c r="AG158" s="24"/>
      <c r="AH158" s="20"/>
      <c r="AI158" s="42"/>
    </row>
    <row r="159" spans="1:35">
      <c r="A159" s="14"/>
      <c r="B159" s="20"/>
      <c r="C159" s="84" t="s">
        <v>1432</v>
      </c>
      <c r="D159" s="84" t="s">
        <v>1782</v>
      </c>
      <c r="E159" s="53" t="s">
        <v>1804</v>
      </c>
      <c r="F159" s="53" t="s">
        <v>1805</v>
      </c>
      <c r="G159" s="53" t="s">
        <v>1047</v>
      </c>
      <c r="H159" s="53" t="s">
        <v>283</v>
      </c>
      <c r="I159" s="211"/>
      <c r="J159" s="24">
        <v>1</v>
      </c>
      <c r="K159" s="24"/>
      <c r="L159" s="24"/>
      <c r="M159" s="24"/>
      <c r="N159" s="24"/>
      <c r="O159" s="24"/>
      <c r="P159" s="24"/>
      <c r="Q159" s="24">
        <v>1</v>
      </c>
      <c r="R159" s="75" t="s">
        <v>1009</v>
      </c>
      <c r="S159" s="24">
        <v>1</v>
      </c>
      <c r="T159" s="24"/>
      <c r="U159" s="84"/>
      <c r="V159" s="84" t="s">
        <v>223</v>
      </c>
      <c r="W159" s="84" t="s">
        <v>279</v>
      </c>
      <c r="X159" s="84" t="s">
        <v>227</v>
      </c>
      <c r="Y159" s="20"/>
      <c r="Z159" s="20"/>
      <c r="AA159" s="97" t="s">
        <v>1791</v>
      </c>
      <c r="AB159" s="89" t="s">
        <v>1793</v>
      </c>
      <c r="AC159" s="85">
        <v>25</v>
      </c>
      <c r="AD159" s="24"/>
      <c r="AE159" s="24"/>
      <c r="AF159" s="24"/>
      <c r="AG159" s="24"/>
      <c r="AH159" s="20"/>
      <c r="AI159" s="42"/>
    </row>
    <row r="160" spans="1:35">
      <c r="A160" s="14"/>
      <c r="B160" s="20"/>
      <c r="C160" s="84"/>
      <c r="D160" s="84"/>
      <c r="E160" s="53"/>
      <c r="F160" s="53"/>
      <c r="G160" s="53"/>
      <c r="H160" s="53"/>
      <c r="I160" s="211"/>
      <c r="J160" s="24"/>
      <c r="K160" s="24"/>
      <c r="L160" s="24"/>
      <c r="M160" s="24"/>
      <c r="N160" s="24"/>
      <c r="O160" s="24"/>
      <c r="P160" s="24"/>
      <c r="Q160" s="24"/>
      <c r="R160" s="75"/>
      <c r="S160" s="24"/>
      <c r="T160" s="24"/>
      <c r="U160" s="84"/>
      <c r="V160" s="84"/>
      <c r="W160" s="84"/>
      <c r="X160" s="84"/>
      <c r="Y160" s="20"/>
      <c r="Z160" s="20"/>
      <c r="AA160" s="95" t="s">
        <v>3198</v>
      </c>
      <c r="AB160" s="84" t="s">
        <v>1793</v>
      </c>
      <c r="AC160" s="85">
        <v>100</v>
      </c>
      <c r="AD160" s="24"/>
      <c r="AE160" s="24"/>
      <c r="AF160" s="24"/>
      <c r="AG160" s="24"/>
      <c r="AH160" s="20"/>
      <c r="AI160" s="42"/>
    </row>
    <row r="161" spans="1:35">
      <c r="A161" s="14"/>
      <c r="B161" s="20"/>
      <c r="C161" s="84"/>
      <c r="D161" s="84"/>
      <c r="E161" s="53"/>
      <c r="F161" s="53"/>
      <c r="G161" s="53"/>
      <c r="H161" s="53"/>
      <c r="I161" s="211"/>
      <c r="J161" s="24"/>
      <c r="K161" s="24"/>
      <c r="L161" s="24"/>
      <c r="M161" s="24"/>
      <c r="N161" s="24"/>
      <c r="O161" s="24"/>
      <c r="P161" s="24"/>
      <c r="Q161" s="24"/>
      <c r="R161" s="75"/>
      <c r="S161" s="24"/>
      <c r="T161" s="24"/>
      <c r="U161" s="84"/>
      <c r="V161" s="84"/>
      <c r="W161" s="84"/>
      <c r="X161" s="84"/>
      <c r="Y161" s="20"/>
      <c r="Z161" s="20"/>
      <c r="AA161" s="95" t="s">
        <v>1792</v>
      </c>
      <c r="AB161" s="84" t="s">
        <v>526</v>
      </c>
      <c r="AC161" s="85">
        <v>3500</v>
      </c>
      <c r="AD161" s="24"/>
      <c r="AE161" s="24"/>
      <c r="AF161" s="24"/>
      <c r="AG161" s="24"/>
      <c r="AH161" s="20"/>
      <c r="AI161" s="42"/>
    </row>
    <row r="162" spans="1:35">
      <c r="A162" s="14"/>
      <c r="B162" s="20"/>
      <c r="C162" s="84" t="s">
        <v>1432</v>
      </c>
      <c r="D162" s="84" t="s">
        <v>1782</v>
      </c>
      <c r="E162" s="53" t="s">
        <v>1808</v>
      </c>
      <c r="F162" s="53" t="s">
        <v>1809</v>
      </c>
      <c r="G162" s="53" t="s">
        <v>698</v>
      </c>
      <c r="H162" s="53" t="s">
        <v>126</v>
      </c>
      <c r="I162" s="211"/>
      <c r="J162" s="24">
        <v>1</v>
      </c>
      <c r="K162" s="24"/>
      <c r="L162" s="24"/>
      <c r="M162" s="24"/>
      <c r="N162" s="24"/>
      <c r="O162" s="24"/>
      <c r="P162" s="24"/>
      <c r="Q162" s="24">
        <v>1</v>
      </c>
      <c r="R162" s="75" t="s">
        <v>1009</v>
      </c>
      <c r="S162" s="24">
        <v>1</v>
      </c>
      <c r="T162" s="24"/>
      <c r="U162" s="84"/>
      <c r="V162" s="84" t="s">
        <v>1280</v>
      </c>
      <c r="W162" s="84" t="s">
        <v>280</v>
      </c>
      <c r="X162" s="84" t="s">
        <v>227</v>
      </c>
      <c r="Y162" s="20"/>
      <c r="Z162" s="20"/>
      <c r="AA162" s="97" t="s">
        <v>1791</v>
      </c>
      <c r="AB162" s="89" t="s">
        <v>1793</v>
      </c>
      <c r="AC162" s="85">
        <v>25</v>
      </c>
      <c r="AD162" s="24"/>
      <c r="AE162" s="24"/>
      <c r="AF162" s="24"/>
      <c r="AG162" s="24"/>
      <c r="AH162" s="20"/>
      <c r="AI162" s="42"/>
    </row>
    <row r="163" spans="1:35">
      <c r="A163" s="14"/>
      <c r="B163" s="20"/>
      <c r="C163" s="84"/>
      <c r="D163" s="84"/>
      <c r="E163" s="53"/>
      <c r="F163" s="53"/>
      <c r="G163" s="53"/>
      <c r="H163" s="53"/>
      <c r="I163" s="211"/>
      <c r="J163" s="24"/>
      <c r="K163" s="24"/>
      <c r="L163" s="24"/>
      <c r="M163" s="24"/>
      <c r="N163" s="24"/>
      <c r="O163" s="24"/>
      <c r="P163" s="24"/>
      <c r="Q163" s="24"/>
      <c r="R163" s="75"/>
      <c r="S163" s="24"/>
      <c r="T163" s="24"/>
      <c r="U163" s="84"/>
      <c r="V163" s="84"/>
      <c r="W163" s="84"/>
      <c r="X163" s="84"/>
      <c r="Y163" s="20"/>
      <c r="Z163" s="20"/>
      <c r="AA163" s="95" t="s">
        <v>3198</v>
      </c>
      <c r="AB163" s="84" t="s">
        <v>1793</v>
      </c>
      <c r="AC163" s="85">
        <v>200</v>
      </c>
      <c r="AD163" s="24"/>
      <c r="AE163" s="24"/>
      <c r="AF163" s="24"/>
      <c r="AG163" s="24"/>
      <c r="AH163" s="20"/>
      <c r="AI163" s="42"/>
    </row>
    <row r="164" spans="1:35">
      <c r="A164" s="14"/>
      <c r="B164" s="20"/>
      <c r="C164" s="84"/>
      <c r="D164" s="84"/>
      <c r="E164" s="53"/>
      <c r="F164" s="53"/>
      <c r="G164" s="53"/>
      <c r="H164" s="53"/>
      <c r="I164" s="211"/>
      <c r="J164" s="24"/>
      <c r="K164" s="24"/>
      <c r="L164" s="24"/>
      <c r="M164" s="24"/>
      <c r="N164" s="24"/>
      <c r="O164" s="24"/>
      <c r="P164" s="24"/>
      <c r="Q164" s="24"/>
      <c r="R164" s="75"/>
      <c r="S164" s="24"/>
      <c r="T164" s="24"/>
      <c r="U164" s="84"/>
      <c r="V164" s="84"/>
      <c r="W164" s="84"/>
      <c r="X164" s="84"/>
      <c r="Y164" s="20"/>
      <c r="Z164" s="20"/>
      <c r="AA164" s="95" t="s">
        <v>1792</v>
      </c>
      <c r="AB164" s="84" t="s">
        <v>526</v>
      </c>
      <c r="AC164" s="85">
        <v>3500</v>
      </c>
      <c r="AD164" s="24"/>
      <c r="AE164" s="24"/>
      <c r="AF164" s="24"/>
      <c r="AG164" s="24"/>
      <c r="AH164" s="20"/>
      <c r="AI164" s="42"/>
    </row>
    <row r="165" spans="1:35">
      <c r="A165" s="14"/>
      <c r="B165" s="20"/>
      <c r="C165" s="84" t="s">
        <v>1432</v>
      </c>
      <c r="D165" s="84" t="s">
        <v>1782</v>
      </c>
      <c r="E165" s="53" t="s">
        <v>1958</v>
      </c>
      <c r="F165" s="53" t="s">
        <v>1959</v>
      </c>
      <c r="G165" s="53" t="s">
        <v>1960</v>
      </c>
      <c r="H165" s="53" t="s">
        <v>126</v>
      </c>
      <c r="I165" s="211"/>
      <c r="J165" s="24">
        <v>1</v>
      </c>
      <c r="K165" s="24"/>
      <c r="L165" s="24"/>
      <c r="M165" s="24"/>
      <c r="N165" s="24"/>
      <c r="O165" s="24"/>
      <c r="P165" s="24"/>
      <c r="Q165" s="24">
        <v>1</v>
      </c>
      <c r="R165" s="75" t="s">
        <v>1009</v>
      </c>
      <c r="S165" s="24"/>
      <c r="T165" s="24"/>
      <c r="U165" s="84"/>
      <c r="V165" s="84" t="s">
        <v>949</v>
      </c>
      <c r="W165" s="84" t="s">
        <v>280</v>
      </c>
      <c r="X165" s="84" t="s">
        <v>227</v>
      </c>
      <c r="Y165" s="20"/>
      <c r="Z165" s="20"/>
      <c r="AA165" s="95" t="s">
        <v>1792</v>
      </c>
      <c r="AB165" s="84" t="s">
        <v>526</v>
      </c>
      <c r="AC165" s="85">
        <v>2000</v>
      </c>
      <c r="AD165" s="24"/>
      <c r="AE165" s="24"/>
      <c r="AF165" s="24"/>
      <c r="AG165" s="24"/>
      <c r="AH165" s="20"/>
      <c r="AI165" s="42"/>
    </row>
    <row r="166" spans="1:35">
      <c r="A166" s="14"/>
      <c r="B166" s="20"/>
      <c r="C166" s="84" t="s">
        <v>1432</v>
      </c>
      <c r="D166" s="84" t="s">
        <v>1782</v>
      </c>
      <c r="E166" s="53" t="s">
        <v>1783</v>
      </c>
      <c r="F166" s="53" t="s">
        <v>1694</v>
      </c>
      <c r="G166" s="53" t="s">
        <v>1401</v>
      </c>
      <c r="H166" s="53" t="s">
        <v>133</v>
      </c>
      <c r="I166" s="211"/>
      <c r="J166" s="24">
        <v>1</v>
      </c>
      <c r="K166" s="24"/>
      <c r="L166" s="24">
        <v>1</v>
      </c>
      <c r="M166" s="24"/>
      <c r="N166" s="24"/>
      <c r="O166" s="24"/>
      <c r="P166" s="24"/>
      <c r="Q166" s="24"/>
      <c r="R166" s="75" t="s">
        <v>93</v>
      </c>
      <c r="S166" s="24"/>
      <c r="T166" s="24"/>
      <c r="U166" s="84"/>
      <c r="V166" s="84" t="s">
        <v>949</v>
      </c>
      <c r="W166" s="84" t="s">
        <v>280</v>
      </c>
      <c r="X166" s="84" t="s">
        <v>227</v>
      </c>
      <c r="Y166" s="20"/>
      <c r="Z166" s="20"/>
      <c r="AA166" s="95" t="s">
        <v>1961</v>
      </c>
      <c r="AB166" s="84" t="s">
        <v>1793</v>
      </c>
      <c r="AC166" s="85">
        <v>25</v>
      </c>
      <c r="AD166" s="24"/>
      <c r="AE166" s="24"/>
      <c r="AF166" s="24"/>
      <c r="AG166" s="24"/>
      <c r="AH166" s="20"/>
      <c r="AI166" s="42"/>
    </row>
    <row r="167" spans="1:35">
      <c r="A167" s="14"/>
      <c r="B167" s="20"/>
      <c r="C167" s="84"/>
      <c r="D167" s="84"/>
      <c r="E167" s="53"/>
      <c r="F167" s="53"/>
      <c r="G167" s="53"/>
      <c r="H167" s="53"/>
      <c r="I167" s="211"/>
      <c r="J167" s="24"/>
      <c r="K167" s="24"/>
      <c r="L167" s="24"/>
      <c r="M167" s="24"/>
      <c r="N167" s="24"/>
      <c r="O167" s="24"/>
      <c r="P167" s="24"/>
      <c r="Q167" s="24"/>
      <c r="R167" s="75"/>
      <c r="S167" s="24"/>
      <c r="T167" s="24"/>
      <c r="U167" s="84"/>
      <c r="V167" s="84"/>
      <c r="W167" s="84"/>
      <c r="X167" s="84"/>
      <c r="Y167" s="20"/>
      <c r="Z167" s="20"/>
      <c r="AA167" s="95" t="s">
        <v>1800</v>
      </c>
      <c r="AB167" s="84" t="s">
        <v>1793</v>
      </c>
      <c r="AC167" s="85">
        <v>100</v>
      </c>
      <c r="AD167" s="24"/>
      <c r="AE167" s="24"/>
      <c r="AF167" s="24"/>
      <c r="AG167" s="24"/>
      <c r="AH167" s="20"/>
      <c r="AI167" s="42"/>
    </row>
    <row r="168" spans="1:35">
      <c r="A168" s="14"/>
      <c r="B168" s="20"/>
      <c r="C168" s="84"/>
      <c r="D168" s="84"/>
      <c r="E168" s="53"/>
      <c r="F168" s="53"/>
      <c r="G168" s="53"/>
      <c r="H168" s="53"/>
      <c r="I168" s="211"/>
      <c r="J168" s="24"/>
      <c r="K168" s="24"/>
      <c r="L168" s="24"/>
      <c r="M168" s="24"/>
      <c r="N168" s="24"/>
      <c r="O168" s="24"/>
      <c r="P168" s="24"/>
      <c r="Q168" s="24"/>
      <c r="R168" s="75"/>
      <c r="S168" s="24"/>
      <c r="T168" s="24"/>
      <c r="U168" s="84"/>
      <c r="V168" s="84"/>
      <c r="W168" s="84"/>
      <c r="X168" s="84"/>
      <c r="Y168" s="20"/>
      <c r="Z168" s="20"/>
      <c r="AA168" s="95" t="s">
        <v>1962</v>
      </c>
      <c r="AB168" s="84" t="s">
        <v>1793</v>
      </c>
      <c r="AC168" s="85">
        <v>5</v>
      </c>
      <c r="AD168" s="24"/>
      <c r="AE168" s="24"/>
      <c r="AF168" s="24"/>
      <c r="AG168" s="24"/>
      <c r="AH168" s="20"/>
      <c r="AI168" s="42"/>
    </row>
    <row r="169" spans="1:35">
      <c r="A169" s="14"/>
      <c r="B169" s="20"/>
      <c r="C169" s="20"/>
      <c r="D169" s="20"/>
      <c r="E169" s="20"/>
      <c r="F169" s="20"/>
      <c r="G169" s="20"/>
      <c r="H169" s="20"/>
      <c r="I169" s="211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0"/>
      <c r="V169" s="20"/>
      <c r="W169" s="84"/>
      <c r="X169" s="20"/>
      <c r="Y169" s="20"/>
      <c r="Z169" s="20"/>
      <c r="AA169" s="20"/>
      <c r="AB169" s="20"/>
      <c r="AC169" s="24"/>
      <c r="AD169" s="24"/>
      <c r="AE169" s="24"/>
      <c r="AF169" s="24"/>
      <c r="AG169" s="24"/>
      <c r="AH169" s="20"/>
      <c r="AI169" s="42"/>
    </row>
    <row r="170" spans="1:35" s="6" customFormat="1">
      <c r="A170" s="18"/>
      <c r="B170" s="19"/>
      <c r="C170" s="19" t="s">
        <v>83</v>
      </c>
      <c r="D170" s="19"/>
      <c r="E170" s="19"/>
      <c r="F170" s="19"/>
      <c r="G170" s="19"/>
      <c r="H170" s="19"/>
      <c r="I170" s="212"/>
      <c r="J170" s="31">
        <f t="shared" ref="J170:X170" si="0">SUM(J171:J973)</f>
        <v>457</v>
      </c>
      <c r="K170" s="31">
        <f t="shared" si="0"/>
        <v>89</v>
      </c>
      <c r="L170" s="31">
        <f t="shared" si="0"/>
        <v>541</v>
      </c>
      <c r="M170" s="31">
        <f t="shared" si="0"/>
        <v>9</v>
      </c>
      <c r="N170" s="31">
        <f t="shared" si="0"/>
        <v>1</v>
      </c>
      <c r="O170" s="31">
        <f t="shared" si="0"/>
        <v>13</v>
      </c>
      <c r="P170" s="31">
        <f t="shared" si="0"/>
        <v>0</v>
      </c>
      <c r="Q170" s="31">
        <f t="shared" si="0"/>
        <v>7</v>
      </c>
      <c r="R170" s="31">
        <f t="shared" si="0"/>
        <v>0</v>
      </c>
      <c r="S170" s="31">
        <f t="shared" si="0"/>
        <v>2</v>
      </c>
      <c r="T170" s="31">
        <f t="shared" si="0"/>
        <v>0</v>
      </c>
      <c r="U170" s="31">
        <f t="shared" si="0"/>
        <v>0</v>
      </c>
      <c r="V170" s="31">
        <f t="shared" si="0"/>
        <v>0</v>
      </c>
      <c r="W170" s="31">
        <f t="shared" si="0"/>
        <v>0</v>
      </c>
      <c r="X170" s="31">
        <f t="shared" si="0"/>
        <v>0</v>
      </c>
      <c r="Y170" s="31" t="s">
        <v>93</v>
      </c>
      <c r="Z170" s="31">
        <f>SUM(Z171:Z973)</f>
        <v>0</v>
      </c>
      <c r="AA170" s="31">
        <f>SUM(AA171:AA973)</f>
        <v>0</v>
      </c>
      <c r="AB170" s="31">
        <f>SUM(AB171:AB973)</f>
        <v>0</v>
      </c>
      <c r="AC170" s="31">
        <f>SUM(AC171:AC973)</f>
        <v>58226.8</v>
      </c>
      <c r="AD170" s="31">
        <f>SUM(AD171:AD258)</f>
        <v>0</v>
      </c>
      <c r="AE170" s="31" t="e">
        <f>AVERAGE(AE171:AE258)</f>
        <v>#DIV/0!</v>
      </c>
      <c r="AF170" s="31" t="e">
        <f>AVERAGE(AF171:AF258)</f>
        <v>#DIV/0!</v>
      </c>
      <c r="AG170" s="31" t="e">
        <f>AVERAGE(AG171:AG258)</f>
        <v>#DIV/0!</v>
      </c>
      <c r="AH170" s="19"/>
      <c r="AI170" s="41"/>
    </row>
    <row r="171" spans="1:35">
      <c r="A171" s="14"/>
      <c r="B171" s="20"/>
      <c r="C171" s="84" t="s">
        <v>1866</v>
      </c>
      <c r="D171" s="84" t="s">
        <v>1782</v>
      </c>
      <c r="E171" s="53" t="s">
        <v>1949</v>
      </c>
      <c r="F171" s="53" t="s">
        <v>1885</v>
      </c>
      <c r="G171" s="53" t="s">
        <v>1950</v>
      </c>
      <c r="H171" s="53" t="s">
        <v>286</v>
      </c>
      <c r="I171" s="211"/>
      <c r="J171" s="24">
        <v>1</v>
      </c>
      <c r="K171" s="24"/>
      <c r="L171" s="24"/>
      <c r="M171" s="24"/>
      <c r="N171" s="24"/>
      <c r="O171" s="24"/>
      <c r="P171" s="24"/>
      <c r="Q171" s="24">
        <v>1</v>
      </c>
      <c r="R171" s="75" t="s">
        <v>1009</v>
      </c>
      <c r="S171" s="24">
        <v>1</v>
      </c>
      <c r="T171" s="24"/>
      <c r="U171" s="84"/>
      <c r="V171" s="84" t="s">
        <v>293</v>
      </c>
      <c r="W171" s="84" t="s">
        <v>298</v>
      </c>
      <c r="X171" s="84" t="s">
        <v>227</v>
      </c>
      <c r="Y171" s="20"/>
      <c r="Z171" s="20"/>
      <c r="AA171" s="95" t="s">
        <v>1961</v>
      </c>
      <c r="AB171" s="84" t="s">
        <v>1793</v>
      </c>
      <c r="AC171" s="85">
        <v>30</v>
      </c>
      <c r="AD171" s="24"/>
      <c r="AE171" s="24"/>
      <c r="AF171" s="24"/>
      <c r="AG171" s="24"/>
      <c r="AH171" s="20"/>
      <c r="AI171" s="42"/>
    </row>
    <row r="172" spans="1:35">
      <c r="A172" s="14"/>
      <c r="B172" s="20"/>
      <c r="C172" s="84"/>
      <c r="D172" s="84"/>
      <c r="E172" s="53"/>
      <c r="F172" s="53"/>
      <c r="G172" s="53"/>
      <c r="H172" s="53"/>
      <c r="I172" s="211"/>
      <c r="J172" s="24"/>
      <c r="K172" s="24"/>
      <c r="L172" s="24"/>
      <c r="M172" s="24"/>
      <c r="N172" s="24"/>
      <c r="O172" s="24"/>
      <c r="P172" s="24"/>
      <c r="Q172" s="24"/>
      <c r="R172" s="75"/>
      <c r="S172" s="24"/>
      <c r="T172" s="24"/>
      <c r="U172" s="84"/>
      <c r="V172" s="84"/>
      <c r="W172" s="84"/>
      <c r="X172" s="84"/>
      <c r="Y172" s="20"/>
      <c r="Z172" s="20"/>
      <c r="AA172" s="95" t="s">
        <v>1800</v>
      </c>
      <c r="AB172" s="84" t="s">
        <v>1793</v>
      </c>
      <c r="AC172" s="85">
        <v>60</v>
      </c>
      <c r="AD172" s="24"/>
      <c r="AE172" s="24"/>
      <c r="AF172" s="24"/>
      <c r="AG172" s="24"/>
      <c r="AH172" s="20"/>
      <c r="AI172" s="42"/>
    </row>
    <row r="173" spans="1:35">
      <c r="A173" s="14"/>
      <c r="B173" s="20"/>
      <c r="C173" s="84"/>
      <c r="D173" s="84"/>
      <c r="E173" s="53"/>
      <c r="F173" s="53"/>
      <c r="G173" s="53"/>
      <c r="H173" s="53"/>
      <c r="I173" s="211"/>
      <c r="J173" s="24"/>
      <c r="K173" s="24"/>
      <c r="L173" s="24"/>
      <c r="M173" s="24"/>
      <c r="N173" s="24"/>
      <c r="O173" s="24"/>
      <c r="P173" s="24"/>
      <c r="Q173" s="24"/>
      <c r="R173" s="75"/>
      <c r="S173" s="24"/>
      <c r="T173" s="24"/>
      <c r="U173" s="84"/>
      <c r="V173" s="84"/>
      <c r="W173" s="84"/>
      <c r="X173" s="84"/>
      <c r="Y173" s="20"/>
      <c r="Z173" s="20"/>
      <c r="AA173" s="95" t="s">
        <v>1792</v>
      </c>
      <c r="AB173" s="84" t="s">
        <v>526</v>
      </c>
      <c r="AC173" s="85">
        <v>3000</v>
      </c>
      <c r="AD173" s="24"/>
      <c r="AE173" s="24"/>
      <c r="AF173" s="24"/>
      <c r="AG173" s="24"/>
      <c r="AH173" s="20"/>
      <c r="AI173" s="42"/>
    </row>
    <row r="174" spans="1:35">
      <c r="A174" s="14"/>
      <c r="B174" s="20"/>
      <c r="C174" s="84" t="s">
        <v>1866</v>
      </c>
      <c r="D174" s="84" t="s">
        <v>1782</v>
      </c>
      <c r="E174" s="53" t="s">
        <v>1963</v>
      </c>
      <c r="F174" s="53" t="s">
        <v>1964</v>
      </c>
      <c r="G174" s="53" t="s">
        <v>494</v>
      </c>
      <c r="H174" s="53" t="s">
        <v>136</v>
      </c>
      <c r="I174" s="211"/>
      <c r="J174" s="24">
        <v>1</v>
      </c>
      <c r="K174" s="24"/>
      <c r="L174" s="24"/>
      <c r="M174" s="24">
        <v>1</v>
      </c>
      <c r="N174" s="24"/>
      <c r="O174" s="24"/>
      <c r="P174" s="24"/>
      <c r="Q174" s="24">
        <v>1</v>
      </c>
      <c r="R174" s="75" t="s">
        <v>1009</v>
      </c>
      <c r="S174" s="24">
        <v>1</v>
      </c>
      <c r="T174" s="24"/>
      <c r="U174" s="84"/>
      <c r="V174" s="84" t="s">
        <v>218</v>
      </c>
      <c r="W174" s="84" t="s">
        <v>279</v>
      </c>
      <c r="X174" s="84" t="s">
        <v>227</v>
      </c>
      <c r="Y174" s="20"/>
      <c r="Z174" s="20"/>
      <c r="AA174" s="95" t="s">
        <v>1792</v>
      </c>
      <c r="AB174" s="84" t="s">
        <v>526</v>
      </c>
      <c r="AC174" s="85">
        <v>3000</v>
      </c>
      <c r="AD174" s="24"/>
      <c r="AE174" s="24"/>
      <c r="AF174" s="24"/>
      <c r="AG174" s="24"/>
      <c r="AH174" s="20"/>
      <c r="AI174" s="42"/>
    </row>
    <row r="175" spans="1:35">
      <c r="A175" s="14"/>
      <c r="B175" s="20"/>
      <c r="C175" s="84" t="s">
        <v>1866</v>
      </c>
      <c r="D175" s="84" t="s">
        <v>79</v>
      </c>
      <c r="E175" s="53" t="s">
        <v>80</v>
      </c>
      <c r="F175" s="53" t="s">
        <v>593</v>
      </c>
      <c r="G175" s="53" t="s">
        <v>1990</v>
      </c>
      <c r="H175" s="53" t="s">
        <v>588</v>
      </c>
      <c r="I175" s="211">
        <v>29499</v>
      </c>
      <c r="J175" s="24">
        <v>1</v>
      </c>
      <c r="K175" s="24"/>
      <c r="L175" s="24">
        <v>1</v>
      </c>
      <c r="M175" s="24"/>
      <c r="N175" s="24"/>
      <c r="O175" s="24"/>
      <c r="P175" s="24"/>
      <c r="Q175" s="24"/>
      <c r="R175" s="75"/>
      <c r="S175" s="24"/>
      <c r="T175" s="24"/>
      <c r="U175" s="84" t="s">
        <v>515</v>
      </c>
      <c r="V175" s="84" t="s">
        <v>293</v>
      </c>
      <c r="W175" s="84" t="s">
        <v>298</v>
      </c>
      <c r="X175" s="84" t="s">
        <v>227</v>
      </c>
      <c r="Y175" s="20"/>
      <c r="Z175" s="20"/>
      <c r="AA175" s="95" t="s">
        <v>1792</v>
      </c>
      <c r="AB175" s="84" t="s">
        <v>526</v>
      </c>
      <c r="AC175" s="85">
        <v>150</v>
      </c>
      <c r="AD175" s="24"/>
      <c r="AE175" s="24"/>
      <c r="AF175" s="24"/>
      <c r="AG175" s="24"/>
      <c r="AH175" s="20"/>
      <c r="AI175" s="42"/>
    </row>
    <row r="176" spans="1:35">
      <c r="A176" s="14"/>
      <c r="B176" s="20"/>
      <c r="C176" s="20"/>
      <c r="D176" s="20"/>
      <c r="E176" s="20"/>
      <c r="F176" s="20"/>
      <c r="G176" s="20"/>
      <c r="H176" s="20"/>
      <c r="I176" s="211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0"/>
      <c r="V176" s="20"/>
      <c r="W176" s="20"/>
      <c r="X176" s="20"/>
      <c r="Y176" s="20"/>
      <c r="Z176" s="20"/>
      <c r="AA176" s="95" t="s">
        <v>1800</v>
      </c>
      <c r="AB176" s="20" t="s">
        <v>1793</v>
      </c>
      <c r="AC176" s="24">
        <v>2</v>
      </c>
      <c r="AD176" s="24"/>
      <c r="AE176" s="24"/>
      <c r="AF176" s="24"/>
      <c r="AG176" s="24"/>
      <c r="AH176" s="20"/>
      <c r="AI176" s="42"/>
    </row>
    <row r="177" spans="1:35">
      <c r="A177" s="14"/>
      <c r="B177" s="20"/>
      <c r="C177" s="20"/>
      <c r="D177" s="20"/>
      <c r="E177" s="20"/>
      <c r="F177" s="20"/>
      <c r="G177" s="20"/>
      <c r="H177" s="20"/>
      <c r="I177" s="211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0"/>
      <c r="V177" s="20"/>
      <c r="W177" s="20"/>
      <c r="X177" s="20"/>
      <c r="Y177" s="20"/>
      <c r="Z177" s="20"/>
      <c r="AA177" s="95" t="s">
        <v>1961</v>
      </c>
      <c r="AB177" s="20" t="s">
        <v>1815</v>
      </c>
      <c r="AC177" s="24">
        <v>1</v>
      </c>
      <c r="AD177" s="24"/>
      <c r="AE177" s="24"/>
      <c r="AF177" s="24"/>
      <c r="AG177" s="24"/>
      <c r="AH177" s="20"/>
      <c r="AI177" s="42"/>
    </row>
    <row r="178" spans="1:35">
      <c r="A178" s="14"/>
      <c r="B178" s="20"/>
      <c r="C178" s="20" t="s">
        <v>1866</v>
      </c>
      <c r="D178" s="84" t="s">
        <v>79</v>
      </c>
      <c r="E178" s="53" t="s">
        <v>80</v>
      </c>
      <c r="F178" s="20" t="s">
        <v>1991</v>
      </c>
      <c r="G178" s="20" t="s">
        <v>1992</v>
      </c>
      <c r="H178" s="20" t="s">
        <v>120</v>
      </c>
      <c r="I178" s="211">
        <v>23534</v>
      </c>
      <c r="J178" s="24"/>
      <c r="K178" s="24">
        <v>1</v>
      </c>
      <c r="L178" s="24">
        <v>1</v>
      </c>
      <c r="M178" s="24">
        <v>1</v>
      </c>
      <c r="N178" s="24"/>
      <c r="O178" s="24"/>
      <c r="P178" s="24"/>
      <c r="Q178" s="24"/>
      <c r="R178" s="24"/>
      <c r="S178" s="24"/>
      <c r="T178" s="24"/>
      <c r="U178" s="84" t="s">
        <v>515</v>
      </c>
      <c r="V178" s="84" t="s">
        <v>293</v>
      </c>
      <c r="W178" s="84" t="s">
        <v>298</v>
      </c>
      <c r="X178" s="84" t="s">
        <v>227</v>
      </c>
      <c r="Y178" s="20"/>
      <c r="Z178" s="20"/>
      <c r="AA178" s="95" t="s">
        <v>1792</v>
      </c>
      <c r="AB178" s="84" t="s">
        <v>526</v>
      </c>
      <c r="AC178" s="85">
        <v>150</v>
      </c>
      <c r="AD178" s="24"/>
      <c r="AE178" s="24"/>
      <c r="AF178" s="24"/>
      <c r="AG178" s="24"/>
      <c r="AH178" s="20"/>
      <c r="AI178" s="42"/>
    </row>
    <row r="179" spans="1:35">
      <c r="A179" s="14"/>
      <c r="B179" s="20"/>
      <c r="C179" s="20"/>
      <c r="D179" s="20"/>
      <c r="E179" s="20"/>
      <c r="F179" s="20"/>
      <c r="G179" s="20"/>
      <c r="H179" s="20"/>
      <c r="I179" s="211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0"/>
      <c r="V179" s="20"/>
      <c r="W179" s="20"/>
      <c r="X179" s="20"/>
      <c r="Y179" s="20"/>
      <c r="Z179" s="20"/>
      <c r="AA179" s="95" t="s">
        <v>1800</v>
      </c>
      <c r="AB179" s="20" t="s">
        <v>1793</v>
      </c>
      <c r="AC179" s="24">
        <v>2</v>
      </c>
      <c r="AD179" s="24"/>
      <c r="AE179" s="24"/>
      <c r="AF179" s="24"/>
      <c r="AG179" s="24"/>
      <c r="AH179" s="20"/>
      <c r="AI179" s="42"/>
    </row>
    <row r="180" spans="1:35">
      <c r="A180" s="14"/>
      <c r="B180" s="20"/>
      <c r="C180" s="20"/>
      <c r="D180" s="20"/>
      <c r="E180" s="20"/>
      <c r="F180" s="20"/>
      <c r="G180" s="20"/>
      <c r="H180" s="20"/>
      <c r="I180" s="211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0"/>
      <c r="V180" s="20"/>
      <c r="W180" s="20"/>
      <c r="X180" s="20"/>
      <c r="Y180" s="20"/>
      <c r="Z180" s="20"/>
      <c r="AA180" s="95" t="s">
        <v>1961</v>
      </c>
      <c r="AB180" s="20" t="s">
        <v>1815</v>
      </c>
      <c r="AC180" s="24">
        <v>1</v>
      </c>
      <c r="AD180" s="24"/>
      <c r="AE180" s="24"/>
      <c r="AF180" s="24"/>
      <c r="AG180" s="24"/>
      <c r="AH180" s="20"/>
      <c r="AI180" s="42"/>
    </row>
    <row r="181" spans="1:35">
      <c r="A181" s="14"/>
      <c r="B181" s="20"/>
      <c r="C181" s="20" t="s">
        <v>1866</v>
      </c>
      <c r="D181" s="84" t="s">
        <v>79</v>
      </c>
      <c r="E181" s="53" t="s">
        <v>80</v>
      </c>
      <c r="F181" s="20" t="s">
        <v>1993</v>
      </c>
      <c r="G181" s="20" t="s">
        <v>1994</v>
      </c>
      <c r="H181" s="20" t="s">
        <v>202</v>
      </c>
      <c r="I181" s="211">
        <v>23403</v>
      </c>
      <c r="J181" s="24">
        <v>1</v>
      </c>
      <c r="K181" s="24"/>
      <c r="L181" s="24">
        <v>1</v>
      </c>
      <c r="M181" s="24">
        <v>1</v>
      </c>
      <c r="N181" s="24"/>
      <c r="O181" s="24"/>
      <c r="P181" s="24"/>
      <c r="Q181" s="24"/>
      <c r="R181" s="24"/>
      <c r="S181" s="24"/>
      <c r="T181" s="24"/>
      <c r="U181" s="84" t="s">
        <v>515</v>
      </c>
      <c r="V181" s="84" t="s">
        <v>293</v>
      </c>
      <c r="W181" s="84" t="s">
        <v>298</v>
      </c>
      <c r="X181" s="84" t="s">
        <v>227</v>
      </c>
      <c r="Y181" s="20"/>
      <c r="Z181" s="20"/>
      <c r="AA181" s="95" t="s">
        <v>1792</v>
      </c>
      <c r="AB181" s="84" t="s">
        <v>526</v>
      </c>
      <c r="AC181" s="85">
        <v>150</v>
      </c>
      <c r="AD181" s="24"/>
      <c r="AE181" s="24"/>
      <c r="AF181" s="24"/>
      <c r="AG181" s="24"/>
      <c r="AH181" s="20"/>
      <c r="AI181" s="42"/>
    </row>
    <row r="182" spans="1:35">
      <c r="A182" s="14"/>
      <c r="B182" s="20"/>
      <c r="C182" s="20"/>
      <c r="D182" s="20"/>
      <c r="E182" s="20"/>
      <c r="F182" s="20"/>
      <c r="G182" s="20"/>
      <c r="H182" s="20"/>
      <c r="I182" s="211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0"/>
      <c r="V182" s="20"/>
      <c r="W182" s="20"/>
      <c r="X182" s="20"/>
      <c r="Y182" s="20"/>
      <c r="Z182" s="20"/>
      <c r="AA182" s="95" t="s">
        <v>1800</v>
      </c>
      <c r="AB182" s="20" t="s">
        <v>1793</v>
      </c>
      <c r="AC182" s="24">
        <v>2</v>
      </c>
      <c r="AD182" s="24"/>
      <c r="AE182" s="24"/>
      <c r="AF182" s="24"/>
      <c r="AG182" s="24"/>
      <c r="AH182" s="20"/>
      <c r="AI182" s="42"/>
    </row>
    <row r="183" spans="1:35">
      <c r="A183" s="14"/>
      <c r="B183" s="20"/>
      <c r="C183" s="20"/>
      <c r="D183" s="20"/>
      <c r="E183" s="20"/>
      <c r="F183" s="20"/>
      <c r="G183" s="20"/>
      <c r="H183" s="20"/>
      <c r="I183" s="211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0"/>
      <c r="V183" s="20"/>
      <c r="W183" s="20"/>
      <c r="X183" s="20"/>
      <c r="Y183" s="20"/>
      <c r="Z183" s="20"/>
      <c r="AA183" s="95" t="s">
        <v>1961</v>
      </c>
      <c r="AB183" s="20" t="s">
        <v>1815</v>
      </c>
      <c r="AC183" s="24">
        <v>1</v>
      </c>
      <c r="AD183" s="24"/>
      <c r="AE183" s="24"/>
      <c r="AF183" s="24"/>
      <c r="AG183" s="24"/>
      <c r="AH183" s="20"/>
      <c r="AI183" s="42"/>
    </row>
    <row r="184" spans="1:35">
      <c r="A184" s="14"/>
      <c r="B184" s="20"/>
      <c r="C184" s="20" t="s">
        <v>1866</v>
      </c>
      <c r="D184" s="84" t="s">
        <v>79</v>
      </c>
      <c r="E184" s="53" t="s">
        <v>80</v>
      </c>
      <c r="F184" s="20" t="s">
        <v>1995</v>
      </c>
      <c r="G184" s="20" t="s">
        <v>1996</v>
      </c>
      <c r="H184" s="20" t="s">
        <v>133</v>
      </c>
      <c r="I184" s="211">
        <v>34233</v>
      </c>
      <c r="J184" s="24">
        <v>1</v>
      </c>
      <c r="K184" s="24"/>
      <c r="L184" s="24">
        <v>1</v>
      </c>
      <c r="M184" s="24" t="s">
        <v>93</v>
      </c>
      <c r="N184" s="24"/>
      <c r="O184" s="24"/>
      <c r="P184" s="24"/>
      <c r="Q184" s="24"/>
      <c r="R184" s="24"/>
      <c r="S184" s="24"/>
      <c r="T184" s="24"/>
      <c r="U184" s="84" t="s">
        <v>515</v>
      </c>
      <c r="V184" s="84" t="s">
        <v>293</v>
      </c>
      <c r="W184" s="84" t="s">
        <v>298</v>
      </c>
      <c r="X184" s="84" t="s">
        <v>227</v>
      </c>
      <c r="Y184" s="20"/>
      <c r="Z184" s="20"/>
      <c r="AA184" s="95" t="s">
        <v>1792</v>
      </c>
      <c r="AB184" s="84" t="s">
        <v>526</v>
      </c>
      <c r="AC184" s="85">
        <v>150</v>
      </c>
      <c r="AD184" s="24"/>
      <c r="AE184" s="24"/>
      <c r="AF184" s="24"/>
      <c r="AG184" s="24"/>
      <c r="AH184" s="20"/>
      <c r="AI184" s="42"/>
    </row>
    <row r="185" spans="1:35">
      <c r="A185" s="14"/>
      <c r="B185" s="20"/>
      <c r="C185" s="20"/>
      <c r="D185" s="20"/>
      <c r="E185" s="20"/>
      <c r="F185" s="20"/>
      <c r="G185" s="20"/>
      <c r="H185" s="20"/>
      <c r="I185" s="211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0"/>
      <c r="V185" s="20"/>
      <c r="W185" s="20"/>
      <c r="X185" s="20"/>
      <c r="Y185" s="20"/>
      <c r="Z185" s="20"/>
      <c r="AA185" s="95" t="s">
        <v>1800</v>
      </c>
      <c r="AB185" s="20" t="s">
        <v>1793</v>
      </c>
      <c r="AC185" s="24">
        <v>2</v>
      </c>
      <c r="AD185" s="24"/>
      <c r="AE185" s="24"/>
      <c r="AF185" s="24"/>
      <c r="AG185" s="24"/>
      <c r="AH185" s="20"/>
      <c r="AI185" s="42"/>
    </row>
    <row r="186" spans="1:35">
      <c r="A186" s="14"/>
      <c r="B186" s="20"/>
      <c r="C186" s="20"/>
      <c r="D186" s="20"/>
      <c r="E186" s="20"/>
      <c r="F186" s="20"/>
      <c r="G186" s="20"/>
      <c r="H186" s="20"/>
      <c r="I186" s="211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0"/>
      <c r="V186" s="20"/>
      <c r="W186" s="20"/>
      <c r="X186" s="20"/>
      <c r="Y186" s="20"/>
      <c r="Z186" s="20"/>
      <c r="AA186" s="95" t="s">
        <v>1961</v>
      </c>
      <c r="AB186" s="20" t="s">
        <v>1815</v>
      </c>
      <c r="AC186" s="24">
        <v>1</v>
      </c>
      <c r="AD186" s="24"/>
      <c r="AE186" s="24"/>
      <c r="AF186" s="24"/>
      <c r="AG186" s="24"/>
      <c r="AH186" s="20"/>
      <c r="AI186" s="42"/>
    </row>
    <row r="187" spans="1:35">
      <c r="A187" s="14"/>
      <c r="B187" s="20"/>
      <c r="C187" s="20" t="s">
        <v>1866</v>
      </c>
      <c r="D187" s="84" t="s">
        <v>79</v>
      </c>
      <c r="E187" s="53" t="s">
        <v>80</v>
      </c>
      <c r="F187" s="20" t="s">
        <v>1997</v>
      </c>
      <c r="G187" s="20" t="s">
        <v>1150</v>
      </c>
      <c r="H187" s="20"/>
      <c r="I187" s="211">
        <v>26916</v>
      </c>
      <c r="J187" s="24">
        <v>1</v>
      </c>
      <c r="K187" s="24"/>
      <c r="L187" s="24">
        <v>1</v>
      </c>
      <c r="M187" s="24" t="s">
        <v>93</v>
      </c>
      <c r="N187" s="24"/>
      <c r="O187" s="24"/>
      <c r="P187" s="24"/>
      <c r="Q187" s="24"/>
      <c r="R187" s="24"/>
      <c r="S187" s="24"/>
      <c r="T187" s="24"/>
      <c r="U187" s="84" t="s">
        <v>515</v>
      </c>
      <c r="V187" s="84" t="s">
        <v>293</v>
      </c>
      <c r="W187" s="84" t="s">
        <v>298</v>
      </c>
      <c r="X187" s="84" t="s">
        <v>227</v>
      </c>
      <c r="Y187" s="20"/>
      <c r="Z187" s="20"/>
      <c r="AA187" s="95" t="s">
        <v>1792</v>
      </c>
      <c r="AB187" s="84" t="s">
        <v>526</v>
      </c>
      <c r="AC187" s="85">
        <v>150</v>
      </c>
      <c r="AD187" s="24"/>
      <c r="AE187" s="24"/>
      <c r="AF187" s="24"/>
      <c r="AG187" s="24"/>
      <c r="AH187" s="20"/>
      <c r="AI187" s="42"/>
    </row>
    <row r="188" spans="1:35">
      <c r="A188" s="14"/>
      <c r="B188" s="20"/>
      <c r="C188" s="20"/>
      <c r="D188" s="20"/>
      <c r="E188" s="20"/>
      <c r="F188" s="20"/>
      <c r="G188" s="20"/>
      <c r="H188" s="20"/>
      <c r="I188" s="211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0"/>
      <c r="V188" s="20"/>
      <c r="W188" s="20"/>
      <c r="X188" s="20"/>
      <c r="Y188" s="20"/>
      <c r="Z188" s="20"/>
      <c r="AA188" s="95" t="s">
        <v>1800</v>
      </c>
      <c r="AB188" s="20" t="s">
        <v>1793</v>
      </c>
      <c r="AC188" s="24">
        <v>2</v>
      </c>
      <c r="AD188" s="24"/>
      <c r="AE188" s="24"/>
      <c r="AF188" s="24"/>
      <c r="AG188" s="24"/>
      <c r="AH188" s="20"/>
      <c r="AI188" s="42"/>
    </row>
    <row r="189" spans="1:35">
      <c r="A189" s="14" t="s">
        <v>93</v>
      </c>
      <c r="B189" s="20"/>
      <c r="C189" s="20"/>
      <c r="D189" s="20"/>
      <c r="E189" s="20"/>
      <c r="F189" s="20"/>
      <c r="G189" s="20"/>
      <c r="H189" s="20"/>
      <c r="I189" s="211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0"/>
      <c r="V189" s="20"/>
      <c r="W189" s="20"/>
      <c r="X189" s="20"/>
      <c r="Y189" s="20"/>
      <c r="Z189" s="20"/>
      <c r="AA189" s="95" t="s">
        <v>1961</v>
      </c>
      <c r="AB189" s="20" t="s">
        <v>1815</v>
      </c>
      <c r="AC189" s="24">
        <v>1</v>
      </c>
      <c r="AD189" s="24"/>
      <c r="AE189" s="24"/>
      <c r="AF189" s="24"/>
      <c r="AG189" s="24"/>
      <c r="AH189" s="20"/>
      <c r="AI189" s="42"/>
    </row>
    <row r="190" spans="1:35">
      <c r="A190" s="14"/>
      <c r="B190" s="20"/>
      <c r="C190" s="20" t="s">
        <v>1866</v>
      </c>
      <c r="D190" s="84" t="s">
        <v>79</v>
      </c>
      <c r="E190" s="53" t="s">
        <v>80</v>
      </c>
      <c r="F190" s="20" t="s">
        <v>1998</v>
      </c>
      <c r="G190" s="20" t="s">
        <v>1726</v>
      </c>
      <c r="H190" s="20"/>
      <c r="I190" s="211">
        <v>27295</v>
      </c>
      <c r="J190" s="24">
        <v>1</v>
      </c>
      <c r="K190" s="24"/>
      <c r="L190" s="24">
        <v>1</v>
      </c>
      <c r="M190" s="24"/>
      <c r="N190" s="24"/>
      <c r="O190" s="24"/>
      <c r="P190" s="24"/>
      <c r="Q190" s="24"/>
      <c r="R190" s="24"/>
      <c r="S190" s="24"/>
      <c r="T190" s="24"/>
      <c r="U190" s="84" t="s">
        <v>515</v>
      </c>
      <c r="V190" s="84" t="s">
        <v>293</v>
      </c>
      <c r="W190" s="84" t="s">
        <v>298</v>
      </c>
      <c r="X190" s="84" t="s">
        <v>227</v>
      </c>
      <c r="Y190" s="20"/>
      <c r="Z190" s="20"/>
      <c r="AA190" s="95" t="s">
        <v>1792</v>
      </c>
      <c r="AB190" s="84" t="s">
        <v>526</v>
      </c>
      <c r="AC190" s="85">
        <v>150</v>
      </c>
      <c r="AD190" s="24"/>
      <c r="AE190" s="24"/>
      <c r="AF190" s="24"/>
      <c r="AG190" s="24"/>
      <c r="AH190" s="20"/>
      <c r="AI190" s="42"/>
    </row>
    <row r="191" spans="1:35">
      <c r="A191" s="14"/>
      <c r="B191" s="20"/>
      <c r="C191" s="20"/>
      <c r="D191" s="20"/>
      <c r="E191" s="20"/>
      <c r="F191" s="20"/>
      <c r="G191" s="20"/>
      <c r="H191" s="20"/>
      <c r="I191" s="211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0"/>
      <c r="V191" s="20"/>
      <c r="W191" s="20"/>
      <c r="X191" s="20"/>
      <c r="Y191" s="20"/>
      <c r="Z191" s="20"/>
      <c r="AA191" s="95" t="s">
        <v>1800</v>
      </c>
      <c r="AB191" s="20" t="s">
        <v>1793</v>
      </c>
      <c r="AC191" s="24">
        <v>2</v>
      </c>
      <c r="AD191" s="24"/>
      <c r="AE191" s="24"/>
      <c r="AF191" s="24"/>
      <c r="AG191" s="24"/>
      <c r="AH191" s="20"/>
      <c r="AI191" s="42"/>
    </row>
    <row r="192" spans="1:35">
      <c r="A192" s="14"/>
      <c r="B192" s="20"/>
      <c r="C192" s="20"/>
      <c r="D192" s="20"/>
      <c r="E192" s="20"/>
      <c r="F192" s="20"/>
      <c r="G192" s="20"/>
      <c r="H192" s="20"/>
      <c r="I192" s="211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0"/>
      <c r="V192" s="20"/>
      <c r="W192" s="20"/>
      <c r="X192" s="20"/>
      <c r="Y192" s="20"/>
      <c r="Z192" s="20"/>
      <c r="AA192" s="95" t="s">
        <v>1961</v>
      </c>
      <c r="AB192" s="20" t="s">
        <v>1815</v>
      </c>
      <c r="AC192" s="24">
        <v>1</v>
      </c>
      <c r="AD192" s="24"/>
      <c r="AE192" s="24"/>
      <c r="AF192" s="24"/>
      <c r="AG192" s="24"/>
      <c r="AH192" s="20"/>
      <c r="AI192" s="42"/>
    </row>
    <row r="193" spans="1:35">
      <c r="A193" s="14"/>
      <c r="B193" s="20"/>
      <c r="C193" s="20" t="s">
        <v>1866</v>
      </c>
      <c r="D193" s="84" t="s">
        <v>79</v>
      </c>
      <c r="E193" s="53" t="s">
        <v>80</v>
      </c>
      <c r="F193" s="20" t="s">
        <v>1999</v>
      </c>
      <c r="G193" s="20" t="s">
        <v>2000</v>
      </c>
      <c r="H193" s="20" t="s">
        <v>136</v>
      </c>
      <c r="I193" s="211">
        <v>29880</v>
      </c>
      <c r="J193" s="24"/>
      <c r="K193" s="24">
        <v>1</v>
      </c>
      <c r="L193" s="24">
        <v>1</v>
      </c>
      <c r="M193" s="24"/>
      <c r="N193" s="24"/>
      <c r="O193" s="24"/>
      <c r="P193" s="24"/>
      <c r="Q193" s="24"/>
      <c r="R193" s="24"/>
      <c r="S193" s="24"/>
      <c r="T193" s="24"/>
      <c r="U193" s="84" t="s">
        <v>515</v>
      </c>
      <c r="V193" s="84" t="s">
        <v>293</v>
      </c>
      <c r="W193" s="84" t="s">
        <v>298</v>
      </c>
      <c r="X193" s="84" t="s">
        <v>227</v>
      </c>
      <c r="Y193" s="20"/>
      <c r="Z193" s="20"/>
      <c r="AA193" s="95" t="s">
        <v>1792</v>
      </c>
      <c r="AB193" s="84" t="s">
        <v>526</v>
      </c>
      <c r="AC193" s="85">
        <v>150</v>
      </c>
      <c r="AD193" s="24"/>
      <c r="AE193" s="24"/>
      <c r="AF193" s="24"/>
      <c r="AG193" s="24"/>
      <c r="AH193" s="20"/>
      <c r="AI193" s="42"/>
    </row>
    <row r="194" spans="1:35">
      <c r="A194" s="14"/>
      <c r="B194" s="20"/>
      <c r="C194" s="20"/>
      <c r="D194" s="20"/>
      <c r="E194" s="20"/>
      <c r="F194" s="20"/>
      <c r="G194" s="20"/>
      <c r="H194" s="20"/>
      <c r="I194" s="211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0"/>
      <c r="V194" s="20"/>
      <c r="W194" s="20"/>
      <c r="X194" s="20"/>
      <c r="Y194" s="20"/>
      <c r="Z194" s="20"/>
      <c r="AA194" s="95" t="s">
        <v>1800</v>
      </c>
      <c r="AB194" s="20" t="s">
        <v>1793</v>
      </c>
      <c r="AC194" s="24">
        <v>2</v>
      </c>
      <c r="AD194" s="24"/>
      <c r="AE194" s="24"/>
      <c r="AF194" s="24"/>
      <c r="AG194" s="24"/>
      <c r="AH194" s="20"/>
      <c r="AI194" s="42"/>
    </row>
    <row r="195" spans="1:35">
      <c r="A195" s="14"/>
      <c r="B195" s="20"/>
      <c r="C195" s="20"/>
      <c r="D195" s="20"/>
      <c r="E195" s="20"/>
      <c r="F195" s="20"/>
      <c r="G195" s="20"/>
      <c r="H195" s="20"/>
      <c r="I195" s="211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0"/>
      <c r="V195" s="20"/>
      <c r="W195" s="20"/>
      <c r="X195" s="20"/>
      <c r="Y195" s="20"/>
      <c r="Z195" s="20"/>
      <c r="AA195" s="95" t="s">
        <v>1961</v>
      </c>
      <c r="AB195" s="20" t="s">
        <v>1815</v>
      </c>
      <c r="AC195" s="24">
        <v>1</v>
      </c>
      <c r="AD195" s="24"/>
      <c r="AE195" s="24"/>
      <c r="AF195" s="24"/>
      <c r="AG195" s="24"/>
      <c r="AH195" s="20"/>
      <c r="AI195" s="42"/>
    </row>
    <row r="196" spans="1:35">
      <c r="A196" s="14"/>
      <c r="B196" s="20"/>
      <c r="C196" s="20" t="s">
        <v>1866</v>
      </c>
      <c r="D196" s="84" t="s">
        <v>79</v>
      </c>
      <c r="E196" s="53" t="s">
        <v>80</v>
      </c>
      <c r="F196" s="20" t="s">
        <v>2001</v>
      </c>
      <c r="G196" s="20" t="s">
        <v>2002</v>
      </c>
      <c r="H196" s="20" t="s">
        <v>133</v>
      </c>
      <c r="I196" s="211">
        <v>30070</v>
      </c>
      <c r="J196" s="24"/>
      <c r="K196" s="24">
        <v>1</v>
      </c>
      <c r="L196" s="24">
        <v>1</v>
      </c>
      <c r="M196" s="24"/>
      <c r="N196" s="24"/>
      <c r="O196" s="24"/>
      <c r="P196" s="24"/>
      <c r="Q196" s="24"/>
      <c r="R196" s="24"/>
      <c r="S196" s="24"/>
      <c r="T196" s="24"/>
      <c r="U196" s="84" t="s">
        <v>515</v>
      </c>
      <c r="V196" s="84" t="s">
        <v>293</v>
      </c>
      <c r="W196" s="84" t="s">
        <v>298</v>
      </c>
      <c r="X196" s="84" t="s">
        <v>227</v>
      </c>
      <c r="Y196" s="20"/>
      <c r="Z196" s="20"/>
      <c r="AA196" s="95" t="s">
        <v>1792</v>
      </c>
      <c r="AB196" s="84" t="s">
        <v>526</v>
      </c>
      <c r="AC196" s="85">
        <v>150</v>
      </c>
      <c r="AD196" s="24"/>
      <c r="AE196" s="24"/>
      <c r="AF196" s="24"/>
      <c r="AG196" s="24"/>
      <c r="AH196" s="20"/>
      <c r="AI196" s="42"/>
    </row>
    <row r="197" spans="1:35">
      <c r="A197" s="14"/>
      <c r="B197" s="20"/>
      <c r="C197" s="20"/>
      <c r="D197" s="20"/>
      <c r="E197" s="20"/>
      <c r="F197" s="20"/>
      <c r="G197" s="20"/>
      <c r="H197" s="20"/>
      <c r="I197" s="211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0"/>
      <c r="V197" s="20"/>
      <c r="W197" s="20"/>
      <c r="X197" s="20"/>
      <c r="Y197" s="20"/>
      <c r="Z197" s="20"/>
      <c r="AA197" s="95" t="s">
        <v>1800</v>
      </c>
      <c r="AB197" s="20" t="s">
        <v>1793</v>
      </c>
      <c r="AC197" s="24">
        <v>2</v>
      </c>
      <c r="AD197" s="24"/>
      <c r="AE197" s="24"/>
      <c r="AF197" s="24"/>
      <c r="AG197" s="24"/>
      <c r="AH197" s="20"/>
      <c r="AI197" s="42"/>
    </row>
    <row r="198" spans="1:35">
      <c r="A198" s="14"/>
      <c r="B198" s="20"/>
      <c r="C198" s="20"/>
      <c r="D198" s="20"/>
      <c r="E198" s="20"/>
      <c r="F198" s="20"/>
      <c r="G198" s="20"/>
      <c r="H198" s="20"/>
      <c r="I198" s="211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0"/>
      <c r="V198" s="20"/>
      <c r="W198" s="20"/>
      <c r="X198" s="20"/>
      <c r="Y198" s="20"/>
      <c r="Z198" s="20"/>
      <c r="AA198" s="95" t="s">
        <v>1961</v>
      </c>
      <c r="AB198" s="20" t="s">
        <v>1815</v>
      </c>
      <c r="AC198" s="24">
        <v>1</v>
      </c>
      <c r="AD198" s="24"/>
      <c r="AE198" s="24"/>
      <c r="AF198" s="24"/>
      <c r="AG198" s="24"/>
      <c r="AH198" s="20"/>
      <c r="AI198" s="42"/>
    </row>
    <row r="199" spans="1:35">
      <c r="A199" s="14"/>
      <c r="B199" s="20"/>
      <c r="C199" s="20" t="s">
        <v>1866</v>
      </c>
      <c r="D199" s="84" t="s">
        <v>79</v>
      </c>
      <c r="E199" s="53" t="s">
        <v>80</v>
      </c>
      <c r="F199" s="20" t="s">
        <v>1995</v>
      </c>
      <c r="G199" s="20" t="s">
        <v>1995</v>
      </c>
      <c r="H199" s="20" t="s">
        <v>421</v>
      </c>
      <c r="I199" s="211">
        <v>23981</v>
      </c>
      <c r="J199" s="24">
        <v>1</v>
      </c>
      <c r="K199" s="24"/>
      <c r="L199" s="24">
        <v>1</v>
      </c>
      <c r="M199" s="24"/>
      <c r="N199" s="24"/>
      <c r="O199" s="24"/>
      <c r="P199" s="24"/>
      <c r="Q199" s="24"/>
      <c r="R199" s="24"/>
      <c r="S199" s="24"/>
      <c r="T199" s="24"/>
      <c r="U199" s="84" t="s">
        <v>515</v>
      </c>
      <c r="V199" s="84" t="s">
        <v>293</v>
      </c>
      <c r="W199" s="84" t="s">
        <v>298</v>
      </c>
      <c r="X199" s="84" t="s">
        <v>227</v>
      </c>
      <c r="Y199" s="20"/>
      <c r="Z199" s="20"/>
      <c r="AA199" s="95" t="s">
        <v>1792</v>
      </c>
      <c r="AB199" s="84" t="s">
        <v>526</v>
      </c>
      <c r="AC199" s="85">
        <v>150</v>
      </c>
      <c r="AD199" s="24"/>
      <c r="AE199" s="24"/>
      <c r="AF199" s="24"/>
      <c r="AG199" s="24"/>
      <c r="AH199" s="20"/>
      <c r="AI199" s="42"/>
    </row>
    <row r="200" spans="1:35">
      <c r="A200" s="14"/>
      <c r="B200" s="20"/>
      <c r="C200" s="20"/>
      <c r="D200" s="20"/>
      <c r="E200" s="20"/>
      <c r="F200" s="20"/>
      <c r="G200" s="20"/>
      <c r="H200" s="20"/>
      <c r="I200" s="211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0"/>
      <c r="V200" s="20"/>
      <c r="W200" s="20"/>
      <c r="X200" s="20"/>
      <c r="Y200" s="20"/>
      <c r="Z200" s="20"/>
      <c r="AA200" s="95" t="s">
        <v>1800</v>
      </c>
      <c r="AB200" s="20" t="s">
        <v>1793</v>
      </c>
      <c r="AC200" s="24">
        <v>2</v>
      </c>
      <c r="AD200" s="24"/>
      <c r="AE200" s="24"/>
      <c r="AF200" s="24"/>
      <c r="AG200" s="24"/>
      <c r="AH200" s="20"/>
      <c r="AI200" s="42"/>
    </row>
    <row r="201" spans="1:35">
      <c r="A201" s="14"/>
      <c r="B201" s="20"/>
      <c r="C201" s="20"/>
      <c r="D201" s="20"/>
      <c r="E201" s="20"/>
      <c r="F201" s="20"/>
      <c r="G201" s="20"/>
      <c r="H201" s="20"/>
      <c r="I201" s="211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0"/>
      <c r="V201" s="20"/>
      <c r="W201" s="20"/>
      <c r="X201" s="20"/>
      <c r="Y201" s="20"/>
      <c r="Z201" s="20"/>
      <c r="AA201" s="95" t="s">
        <v>1961</v>
      </c>
      <c r="AB201" s="20" t="s">
        <v>1815</v>
      </c>
      <c r="AC201" s="24">
        <v>1</v>
      </c>
      <c r="AD201" s="24"/>
      <c r="AE201" s="24"/>
      <c r="AF201" s="24"/>
      <c r="AG201" s="24"/>
      <c r="AH201" s="20"/>
      <c r="AI201" s="42"/>
    </row>
    <row r="202" spans="1:35">
      <c r="A202" s="14"/>
      <c r="B202" s="20"/>
      <c r="C202" s="20" t="s">
        <v>1866</v>
      </c>
      <c r="D202" s="84" t="s">
        <v>79</v>
      </c>
      <c r="E202" s="53" t="s">
        <v>80</v>
      </c>
      <c r="F202" s="20" t="s">
        <v>2001</v>
      </c>
      <c r="G202" s="20" t="s">
        <v>2003</v>
      </c>
      <c r="H202" s="20"/>
      <c r="I202" s="211">
        <v>34963</v>
      </c>
      <c r="J202" s="24"/>
      <c r="K202" s="24">
        <v>1</v>
      </c>
      <c r="L202" s="24">
        <v>1</v>
      </c>
      <c r="M202" s="24"/>
      <c r="N202" s="24"/>
      <c r="O202" s="24"/>
      <c r="P202" s="24"/>
      <c r="Q202" s="24"/>
      <c r="R202" s="24"/>
      <c r="S202" s="24"/>
      <c r="T202" s="24"/>
      <c r="U202" s="84" t="s">
        <v>515</v>
      </c>
      <c r="V202" s="84" t="s">
        <v>293</v>
      </c>
      <c r="W202" s="84" t="s">
        <v>298</v>
      </c>
      <c r="X202" s="84" t="s">
        <v>227</v>
      </c>
      <c r="Y202" s="20"/>
      <c r="Z202" s="20"/>
      <c r="AA202" s="95" t="s">
        <v>1792</v>
      </c>
      <c r="AB202" s="84" t="s">
        <v>526</v>
      </c>
      <c r="AC202" s="85">
        <v>150</v>
      </c>
      <c r="AD202" s="24"/>
      <c r="AE202" s="24"/>
      <c r="AF202" s="24"/>
      <c r="AG202" s="24"/>
      <c r="AH202" s="20"/>
      <c r="AI202" s="42"/>
    </row>
    <row r="203" spans="1:35">
      <c r="A203" s="14"/>
      <c r="B203" s="20"/>
      <c r="C203" s="20"/>
      <c r="D203" s="20"/>
      <c r="E203" s="20"/>
      <c r="F203" s="20"/>
      <c r="G203" s="20"/>
      <c r="H203" s="20"/>
      <c r="I203" s="211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0"/>
      <c r="V203" s="20"/>
      <c r="W203" s="20"/>
      <c r="X203" s="20"/>
      <c r="Y203" s="20"/>
      <c r="Z203" s="20"/>
      <c r="AA203" s="95" t="s">
        <v>1800</v>
      </c>
      <c r="AB203" s="20" t="s">
        <v>1793</v>
      </c>
      <c r="AC203" s="24">
        <v>2</v>
      </c>
      <c r="AD203" s="24"/>
      <c r="AE203" s="24"/>
      <c r="AF203" s="24"/>
      <c r="AG203" s="24"/>
      <c r="AH203" s="20"/>
      <c r="AI203" s="42"/>
    </row>
    <row r="204" spans="1:35">
      <c r="A204" s="14"/>
      <c r="B204" s="20"/>
      <c r="C204" s="20"/>
      <c r="D204" s="20"/>
      <c r="E204" s="20"/>
      <c r="F204" s="20"/>
      <c r="G204" s="20"/>
      <c r="H204" s="20"/>
      <c r="I204" s="211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0"/>
      <c r="V204" s="20"/>
      <c r="W204" s="20"/>
      <c r="X204" s="20"/>
      <c r="Y204" s="20"/>
      <c r="Z204" s="20"/>
      <c r="AA204" s="95" t="s">
        <v>1961</v>
      </c>
      <c r="AB204" s="20" t="s">
        <v>1815</v>
      </c>
      <c r="AC204" s="24">
        <v>1</v>
      </c>
      <c r="AD204" s="24"/>
      <c r="AE204" s="24"/>
      <c r="AF204" s="24"/>
      <c r="AG204" s="24"/>
      <c r="AH204" s="20"/>
      <c r="AI204" s="42"/>
    </row>
    <row r="205" spans="1:35">
      <c r="A205" s="14"/>
      <c r="B205" s="20"/>
      <c r="C205" s="20" t="s">
        <v>1866</v>
      </c>
      <c r="D205" s="84" t="s">
        <v>79</v>
      </c>
      <c r="E205" s="53" t="s">
        <v>80</v>
      </c>
      <c r="F205" s="20" t="s">
        <v>593</v>
      </c>
      <c r="G205" s="20" t="s">
        <v>2004</v>
      </c>
      <c r="H205" s="20" t="s">
        <v>113</v>
      </c>
      <c r="I205" s="211">
        <v>23082</v>
      </c>
      <c r="J205" s="24">
        <v>1</v>
      </c>
      <c r="K205" s="24"/>
      <c r="L205" s="24">
        <v>1</v>
      </c>
      <c r="M205" s="24"/>
      <c r="N205" s="24"/>
      <c r="O205" s="24"/>
      <c r="P205" s="24"/>
      <c r="Q205" s="24"/>
      <c r="R205" s="24"/>
      <c r="S205" s="24"/>
      <c r="T205" s="24"/>
      <c r="U205" s="84" t="s">
        <v>515</v>
      </c>
      <c r="V205" s="84" t="s">
        <v>293</v>
      </c>
      <c r="W205" s="84" t="s">
        <v>298</v>
      </c>
      <c r="X205" s="84" t="s">
        <v>227</v>
      </c>
      <c r="Y205" s="20"/>
      <c r="Z205" s="20"/>
      <c r="AA205" s="95" t="s">
        <v>1792</v>
      </c>
      <c r="AB205" s="84" t="s">
        <v>526</v>
      </c>
      <c r="AC205" s="85">
        <v>150</v>
      </c>
      <c r="AD205" s="24"/>
      <c r="AE205" s="24"/>
      <c r="AF205" s="24"/>
      <c r="AG205" s="24"/>
      <c r="AH205" s="20"/>
      <c r="AI205" s="42"/>
    </row>
    <row r="206" spans="1:35">
      <c r="A206" s="14"/>
      <c r="B206" s="20"/>
      <c r="C206" s="20"/>
      <c r="D206" s="20"/>
      <c r="E206" s="20"/>
      <c r="F206" s="20"/>
      <c r="G206" s="20"/>
      <c r="H206" s="20"/>
      <c r="I206" s="211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0"/>
      <c r="V206" s="20"/>
      <c r="W206" s="20"/>
      <c r="X206" s="20"/>
      <c r="Y206" s="20"/>
      <c r="Z206" s="20"/>
      <c r="AA206" s="95" t="s">
        <v>1800</v>
      </c>
      <c r="AB206" s="20" t="s">
        <v>1793</v>
      </c>
      <c r="AC206" s="24">
        <v>2</v>
      </c>
      <c r="AD206" s="24"/>
      <c r="AE206" s="24"/>
      <c r="AF206" s="24"/>
      <c r="AG206" s="24"/>
      <c r="AH206" s="20"/>
      <c r="AI206" s="42"/>
    </row>
    <row r="207" spans="1:35">
      <c r="A207" s="14"/>
      <c r="B207" s="20"/>
      <c r="C207" s="20"/>
      <c r="D207" s="20"/>
      <c r="E207" s="20"/>
      <c r="F207" s="20"/>
      <c r="G207" s="20"/>
      <c r="H207" s="20"/>
      <c r="I207" s="211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0"/>
      <c r="V207" s="20"/>
      <c r="W207" s="20"/>
      <c r="X207" s="20"/>
      <c r="Y207" s="20"/>
      <c r="Z207" s="20"/>
      <c r="AA207" s="95" t="s">
        <v>1961</v>
      </c>
      <c r="AB207" s="20" t="s">
        <v>1815</v>
      </c>
      <c r="AC207" s="24">
        <v>1</v>
      </c>
      <c r="AD207" s="24"/>
      <c r="AE207" s="24"/>
      <c r="AF207" s="24"/>
      <c r="AG207" s="24"/>
      <c r="AH207" s="20"/>
      <c r="AI207" s="42"/>
    </row>
    <row r="208" spans="1:35">
      <c r="A208" s="14"/>
      <c r="B208" s="20"/>
      <c r="C208" s="20" t="s">
        <v>1866</v>
      </c>
      <c r="D208" s="84" t="s">
        <v>79</v>
      </c>
      <c r="E208" s="53" t="s">
        <v>80</v>
      </c>
      <c r="F208" s="20" t="s">
        <v>2005</v>
      </c>
      <c r="G208" s="20" t="s">
        <v>2006</v>
      </c>
      <c r="H208" s="20" t="s">
        <v>126</v>
      </c>
      <c r="I208" s="211">
        <v>34245</v>
      </c>
      <c r="J208" s="24">
        <v>1</v>
      </c>
      <c r="K208" s="24"/>
      <c r="L208" s="24">
        <v>1</v>
      </c>
      <c r="M208" s="24"/>
      <c r="N208" s="24"/>
      <c r="O208" s="24"/>
      <c r="P208" s="24"/>
      <c r="Q208" s="24"/>
      <c r="R208" s="24"/>
      <c r="S208" s="24"/>
      <c r="T208" s="24"/>
      <c r="U208" s="84" t="s">
        <v>515</v>
      </c>
      <c r="V208" s="84" t="s">
        <v>293</v>
      </c>
      <c r="W208" s="84" t="s">
        <v>298</v>
      </c>
      <c r="X208" s="84" t="s">
        <v>227</v>
      </c>
      <c r="Y208" s="20"/>
      <c r="Z208" s="20"/>
      <c r="AA208" s="95" t="s">
        <v>1792</v>
      </c>
      <c r="AB208" s="84" t="s">
        <v>526</v>
      </c>
      <c r="AC208" s="85">
        <v>150</v>
      </c>
      <c r="AD208" s="24"/>
      <c r="AE208" s="24"/>
      <c r="AF208" s="24"/>
      <c r="AG208" s="24"/>
      <c r="AH208" s="20"/>
      <c r="AI208" s="42"/>
    </row>
    <row r="209" spans="1:35">
      <c r="A209" s="14"/>
      <c r="B209" s="20"/>
      <c r="C209" s="20"/>
      <c r="D209" s="20"/>
      <c r="E209" s="20"/>
      <c r="F209" s="20"/>
      <c r="G209" s="20"/>
      <c r="H209" s="20"/>
      <c r="I209" s="211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0"/>
      <c r="V209" s="20"/>
      <c r="W209" s="20"/>
      <c r="X209" s="20"/>
      <c r="Y209" s="20"/>
      <c r="Z209" s="20"/>
      <c r="AA209" s="95" t="s">
        <v>1800</v>
      </c>
      <c r="AB209" s="20" t="s">
        <v>1793</v>
      </c>
      <c r="AC209" s="24">
        <v>2</v>
      </c>
      <c r="AD209" s="24"/>
      <c r="AE209" s="24"/>
      <c r="AF209" s="24"/>
      <c r="AG209" s="24"/>
      <c r="AH209" s="20"/>
      <c r="AI209" s="42"/>
    </row>
    <row r="210" spans="1:35">
      <c r="A210" s="14"/>
      <c r="B210" s="20"/>
      <c r="C210" s="20"/>
      <c r="D210" s="20"/>
      <c r="E210" s="20"/>
      <c r="F210" s="20"/>
      <c r="G210" s="20"/>
      <c r="H210" s="20"/>
      <c r="I210" s="211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0"/>
      <c r="V210" s="20"/>
      <c r="W210" s="20"/>
      <c r="X210" s="20"/>
      <c r="Y210" s="20"/>
      <c r="Z210" s="20"/>
      <c r="AA210" s="95" t="s">
        <v>1961</v>
      </c>
      <c r="AB210" s="20" t="s">
        <v>1815</v>
      </c>
      <c r="AC210" s="24">
        <v>1</v>
      </c>
      <c r="AD210" s="24"/>
      <c r="AE210" s="24"/>
      <c r="AF210" s="24"/>
      <c r="AG210" s="24"/>
      <c r="AH210" s="20"/>
      <c r="AI210" s="42"/>
    </row>
    <row r="211" spans="1:35">
      <c r="A211" s="14"/>
      <c r="B211" s="20"/>
      <c r="C211" s="20" t="s">
        <v>1866</v>
      </c>
      <c r="D211" s="84" t="s">
        <v>79</v>
      </c>
      <c r="E211" s="53" t="s">
        <v>80</v>
      </c>
      <c r="F211" s="20" t="s">
        <v>2005</v>
      </c>
      <c r="G211" s="20" t="s">
        <v>2007</v>
      </c>
      <c r="H211" s="20" t="s">
        <v>126</v>
      </c>
      <c r="I211" s="211">
        <v>32324</v>
      </c>
      <c r="J211" s="24">
        <v>1</v>
      </c>
      <c r="K211" s="24"/>
      <c r="L211" s="24">
        <v>1</v>
      </c>
      <c r="M211" s="24"/>
      <c r="N211" s="24"/>
      <c r="O211" s="24"/>
      <c r="P211" s="24"/>
      <c r="Q211" s="24"/>
      <c r="R211" s="24"/>
      <c r="S211" s="24"/>
      <c r="T211" s="24"/>
      <c r="U211" s="84" t="s">
        <v>515</v>
      </c>
      <c r="V211" s="84" t="s">
        <v>293</v>
      </c>
      <c r="W211" s="84" t="s">
        <v>298</v>
      </c>
      <c r="X211" s="84" t="s">
        <v>227</v>
      </c>
      <c r="Y211" s="20"/>
      <c r="Z211" s="20"/>
      <c r="AA211" s="95" t="s">
        <v>1792</v>
      </c>
      <c r="AB211" s="84" t="s">
        <v>526</v>
      </c>
      <c r="AC211" s="85">
        <v>150</v>
      </c>
      <c r="AD211" s="24"/>
      <c r="AE211" s="24"/>
      <c r="AF211" s="24"/>
      <c r="AG211" s="24"/>
      <c r="AH211" s="20"/>
      <c r="AI211" s="42"/>
    </row>
    <row r="212" spans="1:35">
      <c r="A212" s="14"/>
      <c r="B212" s="20"/>
      <c r="C212" s="20"/>
      <c r="D212" s="20"/>
      <c r="E212" s="20"/>
      <c r="F212" s="20"/>
      <c r="G212" s="20"/>
      <c r="H212" s="20"/>
      <c r="I212" s="211"/>
      <c r="J212" s="24" t="s">
        <v>93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0"/>
      <c r="V212" s="20"/>
      <c r="W212" s="20"/>
      <c r="X212" s="20"/>
      <c r="Y212" s="20"/>
      <c r="Z212" s="20"/>
      <c r="AA212" s="95" t="s">
        <v>1800</v>
      </c>
      <c r="AB212" s="20" t="s">
        <v>1793</v>
      </c>
      <c r="AC212" s="24">
        <v>2</v>
      </c>
      <c r="AD212" s="24"/>
      <c r="AE212" s="24"/>
      <c r="AF212" s="24"/>
      <c r="AG212" s="24"/>
      <c r="AH212" s="20"/>
      <c r="AI212" s="42"/>
    </row>
    <row r="213" spans="1:35">
      <c r="A213" s="14"/>
      <c r="B213" s="20"/>
      <c r="C213" s="20"/>
      <c r="D213" s="20"/>
      <c r="E213" s="20"/>
      <c r="F213" s="20"/>
      <c r="G213" s="20"/>
      <c r="H213" s="20"/>
      <c r="I213" s="211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0"/>
      <c r="V213" s="20"/>
      <c r="W213" s="20"/>
      <c r="X213" s="20"/>
      <c r="Y213" s="20"/>
      <c r="Z213" s="20"/>
      <c r="AA213" s="95" t="s">
        <v>1961</v>
      </c>
      <c r="AB213" s="20" t="s">
        <v>1815</v>
      </c>
      <c r="AC213" s="24">
        <v>1</v>
      </c>
      <c r="AD213" s="24"/>
      <c r="AE213" s="24"/>
      <c r="AF213" s="24"/>
      <c r="AG213" s="24"/>
      <c r="AH213" s="20"/>
      <c r="AI213" s="42"/>
    </row>
    <row r="214" spans="1:35">
      <c r="A214" s="14"/>
      <c r="B214" s="20"/>
      <c r="C214" s="20" t="s">
        <v>1866</v>
      </c>
      <c r="D214" s="84" t="s">
        <v>79</v>
      </c>
      <c r="E214" s="53" t="s">
        <v>80</v>
      </c>
      <c r="F214" s="20" t="s">
        <v>1997</v>
      </c>
      <c r="G214" s="20" t="s">
        <v>433</v>
      </c>
      <c r="H214" s="20" t="s">
        <v>588</v>
      </c>
      <c r="I214" s="211">
        <v>29482</v>
      </c>
      <c r="J214" s="24">
        <v>1</v>
      </c>
      <c r="K214" s="24"/>
      <c r="L214" s="24">
        <v>1</v>
      </c>
      <c r="M214" s="24"/>
      <c r="N214" s="24"/>
      <c r="O214" s="24"/>
      <c r="P214" s="24"/>
      <c r="Q214" s="24"/>
      <c r="R214" s="24"/>
      <c r="S214" s="24"/>
      <c r="T214" s="24"/>
      <c r="U214" s="84" t="s">
        <v>515</v>
      </c>
      <c r="V214" s="84" t="s">
        <v>293</v>
      </c>
      <c r="W214" s="84" t="s">
        <v>298</v>
      </c>
      <c r="X214" s="84" t="s">
        <v>227</v>
      </c>
      <c r="Y214" s="20"/>
      <c r="Z214" s="20"/>
      <c r="AA214" s="95" t="s">
        <v>1792</v>
      </c>
      <c r="AB214" s="84" t="s">
        <v>526</v>
      </c>
      <c r="AC214" s="85">
        <v>150</v>
      </c>
      <c r="AD214" s="24"/>
      <c r="AE214" s="24"/>
      <c r="AF214" s="24"/>
      <c r="AG214" s="24"/>
      <c r="AH214" s="20"/>
      <c r="AI214" s="42"/>
    </row>
    <row r="215" spans="1:35">
      <c r="A215" s="14"/>
      <c r="B215" s="20"/>
      <c r="C215" s="20"/>
      <c r="D215" s="20"/>
      <c r="E215" s="20"/>
      <c r="F215" s="20"/>
      <c r="G215" s="20"/>
      <c r="H215" s="20"/>
      <c r="I215" s="211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0"/>
      <c r="V215" s="20"/>
      <c r="W215" s="20"/>
      <c r="X215" s="20"/>
      <c r="Y215" s="20"/>
      <c r="Z215" s="20"/>
      <c r="AA215" s="95" t="s">
        <v>1800</v>
      </c>
      <c r="AB215" s="20" t="s">
        <v>1793</v>
      </c>
      <c r="AC215" s="24">
        <v>2</v>
      </c>
      <c r="AD215" s="24"/>
      <c r="AE215" s="24"/>
      <c r="AF215" s="24"/>
      <c r="AG215" s="24"/>
      <c r="AH215" s="20"/>
      <c r="AI215" s="42"/>
    </row>
    <row r="216" spans="1:35">
      <c r="A216" s="14"/>
      <c r="B216" s="20"/>
      <c r="C216" s="20"/>
      <c r="D216" s="20"/>
      <c r="E216" s="20"/>
      <c r="F216" s="20"/>
      <c r="G216" s="20"/>
      <c r="H216" s="20"/>
      <c r="I216" s="211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0"/>
      <c r="Z216" s="20"/>
      <c r="AA216" s="95" t="s">
        <v>1961</v>
      </c>
      <c r="AB216" s="20" t="s">
        <v>1815</v>
      </c>
      <c r="AC216" s="24">
        <v>1</v>
      </c>
      <c r="AD216" s="24"/>
      <c r="AE216" s="24"/>
      <c r="AF216" s="24"/>
      <c r="AG216" s="24"/>
      <c r="AH216" s="20"/>
      <c r="AI216" s="42"/>
    </row>
    <row r="217" spans="1:35">
      <c r="A217" s="14" t="s">
        <v>93</v>
      </c>
      <c r="B217" s="20"/>
      <c r="C217" s="20" t="s">
        <v>1866</v>
      </c>
      <c r="D217" s="20" t="s">
        <v>79</v>
      </c>
      <c r="E217" s="20" t="s">
        <v>80</v>
      </c>
      <c r="F217" s="20" t="s">
        <v>1982</v>
      </c>
      <c r="G217" s="20" t="s">
        <v>150</v>
      </c>
      <c r="H217" s="20" t="s">
        <v>113</v>
      </c>
      <c r="I217" s="211">
        <v>22900</v>
      </c>
      <c r="J217" s="24">
        <v>1</v>
      </c>
      <c r="K217" s="24"/>
      <c r="L217" s="24">
        <v>1</v>
      </c>
      <c r="M217" s="24"/>
      <c r="N217" s="24"/>
      <c r="O217" s="24"/>
      <c r="P217" s="24"/>
      <c r="Q217" s="24"/>
      <c r="R217" s="24"/>
      <c r="S217" s="24"/>
      <c r="T217" s="24"/>
      <c r="U217" s="20" t="s">
        <v>862</v>
      </c>
      <c r="V217" s="20" t="s">
        <v>293</v>
      </c>
      <c r="W217" s="20" t="s">
        <v>298</v>
      </c>
      <c r="X217" s="20" t="s">
        <v>227</v>
      </c>
      <c r="Y217" s="20">
        <v>9173604292</v>
      </c>
      <c r="Z217" s="20"/>
      <c r="AA217" s="20" t="s">
        <v>2040</v>
      </c>
      <c r="AB217" s="20" t="s">
        <v>1793</v>
      </c>
      <c r="AC217" s="24">
        <v>2</v>
      </c>
      <c r="AD217" s="24"/>
      <c r="AE217" s="24"/>
      <c r="AF217" s="24"/>
      <c r="AG217" s="24"/>
      <c r="AH217" s="20"/>
      <c r="AI217" s="42"/>
    </row>
    <row r="218" spans="1:35">
      <c r="A218" s="14"/>
      <c r="B218" s="20"/>
      <c r="C218" s="20"/>
      <c r="D218" s="20"/>
      <c r="E218" s="20"/>
      <c r="F218" s="20"/>
      <c r="G218" s="20"/>
      <c r="H218" s="20"/>
      <c r="I218" s="211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0"/>
      <c r="V218" s="20"/>
      <c r="W218" s="20"/>
      <c r="X218" s="20"/>
      <c r="Y218" s="20"/>
      <c r="Z218" s="20"/>
      <c r="AA218" s="20" t="s">
        <v>1961</v>
      </c>
      <c r="AB218" s="20" t="s">
        <v>1815</v>
      </c>
      <c r="AC218" s="24">
        <v>1</v>
      </c>
      <c r="AD218" s="24"/>
      <c r="AE218" s="24"/>
      <c r="AF218" s="24"/>
      <c r="AG218" s="24"/>
      <c r="AH218" s="20"/>
      <c r="AI218" s="42"/>
    </row>
    <row r="219" spans="1:35">
      <c r="A219" s="14"/>
      <c r="B219" s="20"/>
      <c r="C219" s="20"/>
      <c r="D219" s="20"/>
      <c r="E219" s="20"/>
      <c r="F219" s="20"/>
      <c r="G219" s="20"/>
      <c r="H219" s="20"/>
      <c r="I219" s="211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0"/>
      <c r="V219" s="20"/>
      <c r="W219" s="20"/>
      <c r="X219" s="20"/>
      <c r="Y219" s="20"/>
      <c r="Z219" s="20"/>
      <c r="AA219" s="20" t="s">
        <v>2055</v>
      </c>
      <c r="AB219" s="20" t="s">
        <v>526</v>
      </c>
      <c r="AC219" s="24">
        <v>200</v>
      </c>
      <c r="AD219" s="24"/>
      <c r="AE219" s="24"/>
      <c r="AF219" s="24"/>
      <c r="AG219" s="24"/>
      <c r="AH219" s="20"/>
      <c r="AI219" s="42"/>
    </row>
    <row r="220" spans="1:35">
      <c r="A220" s="14"/>
      <c r="B220" s="20"/>
      <c r="C220" s="20" t="s">
        <v>1866</v>
      </c>
      <c r="D220" s="20" t="s">
        <v>79</v>
      </c>
      <c r="E220" s="20" t="s">
        <v>80</v>
      </c>
      <c r="F220" s="20" t="s">
        <v>2041</v>
      </c>
      <c r="G220" s="20" t="s">
        <v>2042</v>
      </c>
      <c r="H220" s="20" t="s">
        <v>126</v>
      </c>
      <c r="I220" s="211">
        <v>17415</v>
      </c>
      <c r="J220" s="24">
        <v>1</v>
      </c>
      <c r="K220" s="24"/>
      <c r="L220" s="24">
        <v>1</v>
      </c>
      <c r="M220" s="24"/>
      <c r="N220" s="24"/>
      <c r="O220" s="24"/>
      <c r="P220" s="24"/>
      <c r="Q220" s="24"/>
      <c r="R220" s="24"/>
      <c r="S220" s="24"/>
      <c r="T220" s="24"/>
      <c r="U220" s="20" t="s">
        <v>862</v>
      </c>
      <c r="V220" s="20" t="s">
        <v>293</v>
      </c>
      <c r="W220" s="20" t="s">
        <v>298</v>
      </c>
      <c r="X220" s="20" t="s">
        <v>227</v>
      </c>
      <c r="Y220" s="20">
        <v>9557024876</v>
      </c>
      <c r="Z220" s="20"/>
      <c r="AA220" s="20" t="s">
        <v>2040</v>
      </c>
      <c r="AB220" s="20" t="s">
        <v>1793</v>
      </c>
      <c r="AC220" s="24">
        <v>2</v>
      </c>
      <c r="AD220" s="24"/>
      <c r="AE220" s="24"/>
      <c r="AF220" s="24"/>
      <c r="AG220" s="24"/>
      <c r="AH220" s="20"/>
      <c r="AI220" s="42"/>
    </row>
    <row r="221" spans="1:35">
      <c r="A221" s="14"/>
      <c r="B221" s="20"/>
      <c r="C221" s="20"/>
      <c r="D221" s="20"/>
      <c r="E221" s="20"/>
      <c r="F221" s="20"/>
      <c r="G221" s="20"/>
      <c r="H221" s="20"/>
      <c r="I221" s="211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0"/>
      <c r="V221" s="20"/>
      <c r="W221" s="20"/>
      <c r="X221" s="20"/>
      <c r="Y221" s="20"/>
      <c r="Z221" s="20"/>
      <c r="AA221" s="20" t="s">
        <v>1961</v>
      </c>
      <c r="AB221" s="20" t="s">
        <v>1815</v>
      </c>
      <c r="AC221" s="24">
        <v>1</v>
      </c>
      <c r="AD221" s="24"/>
      <c r="AE221" s="24"/>
      <c r="AF221" s="24"/>
      <c r="AG221" s="24"/>
      <c r="AH221" s="20"/>
      <c r="AI221" s="42"/>
    </row>
    <row r="222" spans="1:35">
      <c r="A222" s="14"/>
      <c r="B222" s="20"/>
      <c r="C222" s="20"/>
      <c r="D222" s="20"/>
      <c r="E222" s="20"/>
      <c r="F222" s="20"/>
      <c r="G222" s="20"/>
      <c r="H222" s="20"/>
      <c r="I222" s="211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0"/>
      <c r="V222" s="20"/>
      <c r="W222" s="20"/>
      <c r="X222" s="20"/>
      <c r="Y222" s="20"/>
      <c r="Z222" s="20"/>
      <c r="AA222" s="20" t="s">
        <v>2055</v>
      </c>
      <c r="AB222" s="20" t="s">
        <v>526</v>
      </c>
      <c r="AC222" s="24">
        <v>200</v>
      </c>
      <c r="AD222" s="24"/>
      <c r="AE222" s="24"/>
      <c r="AF222" s="24"/>
      <c r="AG222" s="24"/>
      <c r="AH222" s="20"/>
      <c r="AI222" s="42"/>
    </row>
    <row r="223" spans="1:35">
      <c r="A223" s="14"/>
      <c r="B223" s="20"/>
      <c r="C223" s="20" t="s">
        <v>1866</v>
      </c>
      <c r="D223" s="20" t="s">
        <v>79</v>
      </c>
      <c r="E223" s="20" t="s">
        <v>80</v>
      </c>
      <c r="F223" s="20" t="s">
        <v>2043</v>
      </c>
      <c r="G223" s="20" t="s">
        <v>2044</v>
      </c>
      <c r="H223" s="20" t="s">
        <v>120</v>
      </c>
      <c r="I223" s="211">
        <v>21460</v>
      </c>
      <c r="J223" s="24"/>
      <c r="K223" s="24">
        <v>1</v>
      </c>
      <c r="L223" s="24">
        <v>1</v>
      </c>
      <c r="M223" s="24">
        <v>1</v>
      </c>
      <c r="N223" s="24"/>
      <c r="O223" s="24"/>
      <c r="P223" s="24"/>
      <c r="Q223" s="24"/>
      <c r="R223" s="24"/>
      <c r="S223" s="24"/>
      <c r="T223" s="24"/>
      <c r="U223" s="20" t="s">
        <v>862</v>
      </c>
      <c r="V223" s="20" t="s">
        <v>293</v>
      </c>
      <c r="W223" s="20" t="s">
        <v>298</v>
      </c>
      <c r="X223" s="20" t="s">
        <v>227</v>
      </c>
      <c r="Y223" s="20">
        <v>9563090041</v>
      </c>
      <c r="Z223" s="20"/>
      <c r="AA223" s="20" t="s">
        <v>2040</v>
      </c>
      <c r="AB223" s="20" t="s">
        <v>1793</v>
      </c>
      <c r="AC223" s="24">
        <v>2</v>
      </c>
      <c r="AD223" s="24"/>
      <c r="AE223" s="24"/>
      <c r="AF223" s="24"/>
      <c r="AG223" s="24"/>
      <c r="AH223" s="20"/>
      <c r="AI223" s="42"/>
    </row>
    <row r="224" spans="1:35">
      <c r="A224" s="14"/>
      <c r="B224" s="20"/>
      <c r="C224" s="20"/>
      <c r="D224" s="20"/>
      <c r="E224" s="20"/>
      <c r="F224" s="20"/>
      <c r="G224" s="20"/>
      <c r="H224" s="20"/>
      <c r="I224" s="211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0"/>
      <c r="V224" s="20"/>
      <c r="W224" s="20"/>
      <c r="X224" s="20"/>
      <c r="Y224" s="20"/>
      <c r="Z224" s="20"/>
      <c r="AA224" s="20" t="s">
        <v>1961</v>
      </c>
      <c r="AB224" s="20" t="s">
        <v>1815</v>
      </c>
      <c r="AC224" s="24">
        <v>1</v>
      </c>
      <c r="AD224" s="24"/>
      <c r="AE224" s="24"/>
      <c r="AF224" s="24"/>
      <c r="AG224" s="24"/>
      <c r="AH224" s="20"/>
      <c r="AI224" s="42"/>
    </row>
    <row r="225" spans="1:35">
      <c r="A225" s="14"/>
      <c r="B225" s="20"/>
      <c r="C225" s="20"/>
      <c r="D225" s="20"/>
      <c r="E225" s="20"/>
      <c r="F225" s="20"/>
      <c r="G225" s="20"/>
      <c r="H225" s="20"/>
      <c r="I225" s="211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0"/>
      <c r="V225" s="20"/>
      <c r="W225" s="20"/>
      <c r="X225" s="20"/>
      <c r="Y225" s="20"/>
      <c r="Z225" s="20"/>
      <c r="AA225" s="20" t="s">
        <v>2055</v>
      </c>
      <c r="AB225" s="20" t="s">
        <v>526</v>
      </c>
      <c r="AC225" s="24">
        <v>200</v>
      </c>
      <c r="AD225" s="24"/>
      <c r="AE225" s="24"/>
      <c r="AF225" s="24"/>
      <c r="AG225" s="24"/>
      <c r="AH225" s="20"/>
      <c r="AI225" s="42"/>
    </row>
    <row r="226" spans="1:35">
      <c r="A226" s="14"/>
      <c r="B226" s="20"/>
      <c r="C226" s="20" t="s">
        <v>1866</v>
      </c>
      <c r="D226" s="20" t="s">
        <v>79</v>
      </c>
      <c r="E226" s="20" t="s">
        <v>80</v>
      </c>
      <c r="F226" s="20" t="s">
        <v>1839</v>
      </c>
      <c r="G226" s="20" t="s">
        <v>2045</v>
      </c>
      <c r="H226" s="20" t="s">
        <v>160</v>
      </c>
      <c r="I226" s="211">
        <v>24429</v>
      </c>
      <c r="J226" s="24">
        <v>1</v>
      </c>
      <c r="K226" s="24"/>
      <c r="L226" s="24">
        <v>1</v>
      </c>
      <c r="M226" s="24"/>
      <c r="N226" s="24"/>
      <c r="O226" s="24"/>
      <c r="P226" s="24"/>
      <c r="Q226" s="24"/>
      <c r="R226" s="24"/>
      <c r="S226" s="24"/>
      <c r="T226" s="24"/>
      <c r="U226" s="20" t="s">
        <v>862</v>
      </c>
      <c r="V226" s="20" t="s">
        <v>293</v>
      </c>
      <c r="W226" s="20" t="s">
        <v>298</v>
      </c>
      <c r="X226" s="20" t="s">
        <v>227</v>
      </c>
      <c r="Y226" s="20">
        <v>9678704124</v>
      </c>
      <c r="Z226" s="20"/>
      <c r="AA226" s="20" t="s">
        <v>2040</v>
      </c>
      <c r="AB226" s="20" t="s">
        <v>1793</v>
      </c>
      <c r="AC226" s="24">
        <v>2</v>
      </c>
      <c r="AD226" s="24"/>
      <c r="AE226" s="24"/>
      <c r="AF226" s="24"/>
      <c r="AG226" s="24"/>
      <c r="AH226" s="20"/>
      <c r="AI226" s="42"/>
    </row>
    <row r="227" spans="1:35">
      <c r="A227" s="14"/>
      <c r="B227" s="20"/>
      <c r="C227" s="20"/>
      <c r="D227" s="20"/>
      <c r="E227" s="20"/>
      <c r="F227" s="20"/>
      <c r="G227" s="20"/>
      <c r="H227" s="20"/>
      <c r="I227" s="211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0"/>
      <c r="V227" s="20"/>
      <c r="W227" s="20"/>
      <c r="X227" s="20"/>
      <c r="Y227" s="20"/>
      <c r="Z227" s="20"/>
      <c r="AA227" s="20" t="s">
        <v>1961</v>
      </c>
      <c r="AB227" s="20" t="s">
        <v>1815</v>
      </c>
      <c r="AC227" s="24">
        <v>1</v>
      </c>
      <c r="AD227" s="24"/>
      <c r="AE227" s="24"/>
      <c r="AF227" s="24"/>
      <c r="AG227" s="24"/>
      <c r="AH227" s="20"/>
      <c r="AI227" s="42"/>
    </row>
    <row r="228" spans="1:35">
      <c r="A228" s="14"/>
      <c r="B228" s="20"/>
      <c r="C228" s="20"/>
      <c r="D228" s="20"/>
      <c r="E228" s="20"/>
      <c r="F228" s="20"/>
      <c r="G228" s="20"/>
      <c r="H228" s="20"/>
      <c r="I228" s="211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0"/>
      <c r="V228" s="20"/>
      <c r="W228" s="20"/>
      <c r="X228" s="20"/>
      <c r="Y228" s="20"/>
      <c r="Z228" s="20"/>
      <c r="AA228" s="20" t="s">
        <v>2055</v>
      </c>
      <c r="AB228" s="20" t="s">
        <v>526</v>
      </c>
      <c r="AC228" s="24">
        <v>200</v>
      </c>
      <c r="AD228" s="24"/>
      <c r="AE228" s="24"/>
      <c r="AF228" s="24"/>
      <c r="AG228" s="24"/>
      <c r="AH228" s="20"/>
      <c r="AI228" s="42"/>
    </row>
    <row r="229" spans="1:35">
      <c r="A229" s="14"/>
      <c r="B229" s="20"/>
      <c r="C229" s="20" t="s">
        <v>1866</v>
      </c>
      <c r="D229" s="20" t="s">
        <v>79</v>
      </c>
      <c r="E229" s="20" t="s">
        <v>80</v>
      </c>
      <c r="F229" s="20" t="s">
        <v>2046</v>
      </c>
      <c r="G229" s="20" t="s">
        <v>554</v>
      </c>
      <c r="H229" s="20" t="s">
        <v>160</v>
      </c>
      <c r="I229" s="211">
        <v>26488</v>
      </c>
      <c r="J229" s="24"/>
      <c r="K229" s="24">
        <v>1</v>
      </c>
      <c r="L229" s="24">
        <v>1</v>
      </c>
      <c r="M229" s="24"/>
      <c r="N229" s="24"/>
      <c r="O229" s="24"/>
      <c r="P229" s="24"/>
      <c r="Q229" s="24"/>
      <c r="R229" s="24"/>
      <c r="S229" s="24"/>
      <c r="T229" s="24"/>
      <c r="U229" s="20" t="s">
        <v>862</v>
      </c>
      <c r="V229" s="20" t="s">
        <v>293</v>
      </c>
      <c r="W229" s="20" t="s">
        <v>298</v>
      </c>
      <c r="X229" s="20" t="s">
        <v>227</v>
      </c>
      <c r="Y229" s="20"/>
      <c r="Z229" s="20"/>
      <c r="AA229" s="20" t="s">
        <v>2040</v>
      </c>
      <c r="AB229" s="20" t="s">
        <v>1793</v>
      </c>
      <c r="AC229" s="24">
        <v>2</v>
      </c>
      <c r="AD229" s="24"/>
      <c r="AE229" s="24"/>
      <c r="AF229" s="24"/>
      <c r="AG229" s="24"/>
      <c r="AH229" s="20"/>
      <c r="AI229" s="42"/>
    </row>
    <row r="230" spans="1:35">
      <c r="A230" s="14"/>
      <c r="B230" s="20"/>
      <c r="C230" s="20"/>
      <c r="D230" s="20"/>
      <c r="E230" s="20"/>
      <c r="F230" s="20"/>
      <c r="G230" s="20"/>
      <c r="H230" s="20"/>
      <c r="I230" s="211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0"/>
      <c r="V230" s="20"/>
      <c r="W230" s="20"/>
      <c r="X230" s="20"/>
      <c r="Y230" s="20"/>
      <c r="Z230" s="20"/>
      <c r="AA230" s="20" t="s">
        <v>1961</v>
      </c>
      <c r="AB230" s="20" t="s">
        <v>1815</v>
      </c>
      <c r="AC230" s="24">
        <v>1</v>
      </c>
      <c r="AD230" s="24"/>
      <c r="AE230" s="24"/>
      <c r="AF230" s="24"/>
      <c r="AG230" s="24"/>
      <c r="AH230" s="20"/>
      <c r="AI230" s="42"/>
    </row>
    <row r="231" spans="1:35">
      <c r="A231" s="14"/>
      <c r="B231" s="20"/>
      <c r="C231" s="20"/>
      <c r="D231" s="20"/>
      <c r="E231" s="20"/>
      <c r="F231" s="20"/>
      <c r="G231" s="20"/>
      <c r="H231" s="20"/>
      <c r="I231" s="211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0"/>
      <c r="V231" s="20"/>
      <c r="W231" s="20"/>
      <c r="X231" s="20"/>
      <c r="Y231" s="20"/>
      <c r="Z231" s="20"/>
      <c r="AA231" s="20" t="s">
        <v>2055</v>
      </c>
      <c r="AB231" s="20" t="s">
        <v>526</v>
      </c>
      <c r="AC231" s="24">
        <v>200</v>
      </c>
      <c r="AD231" s="24"/>
      <c r="AE231" s="24"/>
      <c r="AF231" s="24"/>
      <c r="AG231" s="24"/>
      <c r="AH231" s="20"/>
      <c r="AI231" s="42"/>
    </row>
    <row r="232" spans="1:35">
      <c r="A232" s="14"/>
      <c r="B232" s="20"/>
      <c r="C232" s="20" t="s">
        <v>1866</v>
      </c>
      <c r="D232" s="20" t="s">
        <v>79</v>
      </c>
      <c r="E232" s="20" t="s">
        <v>80</v>
      </c>
      <c r="F232" s="20" t="s">
        <v>2047</v>
      </c>
      <c r="G232" s="20" t="s">
        <v>2048</v>
      </c>
      <c r="H232" s="20" t="s">
        <v>742</v>
      </c>
      <c r="I232" s="211">
        <v>28596</v>
      </c>
      <c r="J232" s="24">
        <v>1</v>
      </c>
      <c r="K232" s="24"/>
      <c r="L232" s="24">
        <v>1</v>
      </c>
      <c r="M232" s="24"/>
      <c r="N232" s="24"/>
      <c r="O232" s="24"/>
      <c r="P232" s="24"/>
      <c r="Q232" s="24"/>
      <c r="R232" s="24"/>
      <c r="S232" s="24"/>
      <c r="T232" s="24"/>
      <c r="U232" s="20" t="s">
        <v>862</v>
      </c>
      <c r="V232" s="20" t="s">
        <v>293</v>
      </c>
      <c r="W232" s="20" t="s">
        <v>298</v>
      </c>
      <c r="X232" s="20" t="s">
        <v>227</v>
      </c>
      <c r="Y232" s="20"/>
      <c r="Z232" s="20"/>
      <c r="AA232" s="20" t="s">
        <v>2040</v>
      </c>
      <c r="AB232" s="20" t="s">
        <v>1793</v>
      </c>
      <c r="AC232" s="24">
        <v>2</v>
      </c>
      <c r="AD232" s="24"/>
      <c r="AE232" s="24"/>
      <c r="AF232" s="24"/>
      <c r="AG232" s="24"/>
      <c r="AH232" s="20"/>
      <c r="AI232" s="42"/>
    </row>
    <row r="233" spans="1:35">
      <c r="A233" s="14"/>
      <c r="B233" s="20"/>
      <c r="C233" s="20"/>
      <c r="D233" s="20"/>
      <c r="E233" s="20"/>
      <c r="F233" s="20"/>
      <c r="G233" s="20"/>
      <c r="H233" s="20"/>
      <c r="I233" s="211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0"/>
      <c r="V233" s="20"/>
      <c r="W233" s="20"/>
      <c r="X233" s="20"/>
      <c r="Y233" s="20"/>
      <c r="Z233" s="20"/>
      <c r="AA233" s="20" t="s">
        <v>1961</v>
      </c>
      <c r="AB233" s="20" t="s">
        <v>1815</v>
      </c>
      <c r="AC233" s="24">
        <v>1</v>
      </c>
      <c r="AD233" s="24"/>
      <c r="AE233" s="24"/>
      <c r="AF233" s="24"/>
      <c r="AG233" s="24"/>
      <c r="AH233" s="20"/>
      <c r="AI233" s="42"/>
    </row>
    <row r="234" spans="1:35">
      <c r="A234" s="14"/>
      <c r="B234" s="20"/>
      <c r="C234" s="20"/>
      <c r="D234" s="20"/>
      <c r="E234" s="20"/>
      <c r="F234" s="20"/>
      <c r="G234" s="20"/>
      <c r="H234" s="20"/>
      <c r="I234" s="211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0"/>
      <c r="V234" s="20"/>
      <c r="W234" s="20"/>
      <c r="X234" s="20"/>
      <c r="Y234" s="20"/>
      <c r="Z234" s="20"/>
      <c r="AA234" s="20" t="s">
        <v>2055</v>
      </c>
      <c r="AB234" s="20" t="s">
        <v>526</v>
      </c>
      <c r="AC234" s="24">
        <v>200</v>
      </c>
      <c r="AD234" s="24"/>
      <c r="AE234" s="24"/>
      <c r="AF234" s="24"/>
      <c r="AG234" s="24"/>
      <c r="AH234" s="20"/>
      <c r="AI234" s="42"/>
    </row>
    <row r="235" spans="1:35">
      <c r="A235" s="14"/>
      <c r="B235" s="20"/>
      <c r="C235" s="20" t="s">
        <v>1866</v>
      </c>
      <c r="D235" s="20" t="s">
        <v>79</v>
      </c>
      <c r="E235" s="20" t="s">
        <v>80</v>
      </c>
      <c r="F235" s="20" t="s">
        <v>2049</v>
      </c>
      <c r="G235" s="20" t="s">
        <v>2050</v>
      </c>
      <c r="H235" s="20"/>
      <c r="I235" s="211">
        <v>27158</v>
      </c>
      <c r="J235" s="24"/>
      <c r="K235" s="24">
        <v>1</v>
      </c>
      <c r="L235" s="24">
        <v>1</v>
      </c>
      <c r="M235" s="24"/>
      <c r="N235" s="24"/>
      <c r="O235" s="24"/>
      <c r="P235" s="24"/>
      <c r="Q235" s="24"/>
      <c r="R235" s="24"/>
      <c r="S235" s="24"/>
      <c r="T235" s="24"/>
      <c r="U235" s="20" t="s">
        <v>862</v>
      </c>
      <c r="V235" s="20" t="s">
        <v>293</v>
      </c>
      <c r="W235" s="20" t="s">
        <v>298</v>
      </c>
      <c r="X235" s="20" t="s">
        <v>227</v>
      </c>
      <c r="Y235" s="20"/>
      <c r="Z235" s="20"/>
      <c r="AA235" s="20" t="s">
        <v>2040</v>
      </c>
      <c r="AB235" s="20" t="s">
        <v>1793</v>
      </c>
      <c r="AC235" s="24">
        <v>2</v>
      </c>
      <c r="AD235" s="24"/>
      <c r="AE235" s="24"/>
      <c r="AF235" s="24"/>
      <c r="AG235" s="24"/>
      <c r="AH235" s="20"/>
      <c r="AI235" s="42"/>
    </row>
    <row r="236" spans="1:35">
      <c r="A236" s="14"/>
      <c r="B236" s="20"/>
      <c r="C236" s="20"/>
      <c r="D236" s="20"/>
      <c r="E236" s="20"/>
      <c r="F236" s="20"/>
      <c r="G236" s="20"/>
      <c r="H236" s="20"/>
      <c r="I236" s="211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0"/>
      <c r="V236" s="20"/>
      <c r="W236" s="20"/>
      <c r="X236" s="20"/>
      <c r="Y236" s="20"/>
      <c r="Z236" s="20"/>
      <c r="AA236" s="20" t="s">
        <v>1961</v>
      </c>
      <c r="AB236" s="20" t="s">
        <v>1815</v>
      </c>
      <c r="AC236" s="24">
        <v>1</v>
      </c>
      <c r="AD236" s="24"/>
      <c r="AE236" s="24"/>
      <c r="AF236" s="24"/>
      <c r="AG236" s="24"/>
      <c r="AH236" s="20"/>
      <c r="AI236" s="42"/>
    </row>
    <row r="237" spans="1:35">
      <c r="A237" s="14"/>
      <c r="B237" s="20"/>
      <c r="C237" s="20"/>
      <c r="D237" s="20"/>
      <c r="E237" s="20"/>
      <c r="F237" s="20"/>
      <c r="G237" s="20"/>
      <c r="H237" s="20"/>
      <c r="I237" s="211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0"/>
      <c r="V237" s="20"/>
      <c r="W237" s="20"/>
      <c r="X237" s="20"/>
      <c r="Y237" s="20"/>
      <c r="Z237" s="20"/>
      <c r="AA237" s="20" t="s">
        <v>2055</v>
      </c>
      <c r="AB237" s="20" t="s">
        <v>526</v>
      </c>
      <c r="AC237" s="24">
        <v>200</v>
      </c>
      <c r="AD237" s="24"/>
      <c r="AE237" s="24"/>
      <c r="AF237" s="24"/>
      <c r="AG237" s="24"/>
      <c r="AH237" s="20"/>
      <c r="AI237" s="42"/>
    </row>
    <row r="238" spans="1:35">
      <c r="A238" s="14"/>
      <c r="B238" s="20"/>
      <c r="C238" s="20" t="s">
        <v>1866</v>
      </c>
      <c r="D238" s="20" t="s">
        <v>79</v>
      </c>
      <c r="E238" s="20" t="s">
        <v>80</v>
      </c>
      <c r="F238" s="20" t="s">
        <v>1839</v>
      </c>
      <c r="G238" s="20" t="s">
        <v>192</v>
      </c>
      <c r="H238" s="20" t="s">
        <v>117</v>
      </c>
      <c r="I238" s="211">
        <v>34926</v>
      </c>
      <c r="J238" s="24">
        <v>1</v>
      </c>
      <c r="K238" s="24"/>
      <c r="L238" s="24">
        <v>1</v>
      </c>
      <c r="M238" s="24"/>
      <c r="N238" s="24"/>
      <c r="O238" s="24"/>
      <c r="P238" s="24"/>
      <c r="Q238" s="24"/>
      <c r="R238" s="24"/>
      <c r="S238" s="24"/>
      <c r="T238" s="24"/>
      <c r="U238" s="20" t="s">
        <v>862</v>
      </c>
      <c r="V238" s="20" t="s">
        <v>293</v>
      </c>
      <c r="W238" s="20" t="s">
        <v>298</v>
      </c>
      <c r="X238" s="20" t="s">
        <v>227</v>
      </c>
      <c r="Y238" s="20"/>
      <c r="Z238" s="20"/>
      <c r="AA238" s="20" t="s">
        <v>2040</v>
      </c>
      <c r="AB238" s="20" t="s">
        <v>1793</v>
      </c>
      <c r="AC238" s="24">
        <v>2</v>
      </c>
      <c r="AD238" s="24"/>
      <c r="AE238" s="24"/>
      <c r="AF238" s="24"/>
      <c r="AG238" s="24"/>
      <c r="AH238" s="20"/>
      <c r="AI238" s="42"/>
    </row>
    <row r="239" spans="1:35">
      <c r="A239" s="14"/>
      <c r="B239" s="20"/>
      <c r="C239" s="20"/>
      <c r="D239" s="20"/>
      <c r="E239" s="20"/>
      <c r="F239" s="20"/>
      <c r="G239" s="20"/>
      <c r="H239" s="20"/>
      <c r="I239" s="211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0"/>
      <c r="V239" s="20"/>
      <c r="W239" s="20"/>
      <c r="X239" s="20"/>
      <c r="Y239" s="20"/>
      <c r="Z239" s="20"/>
      <c r="AA239" s="20" t="s">
        <v>1961</v>
      </c>
      <c r="AB239" s="20" t="s">
        <v>1815</v>
      </c>
      <c r="AC239" s="24">
        <v>1</v>
      </c>
      <c r="AD239" s="24"/>
      <c r="AE239" s="24"/>
      <c r="AF239" s="24"/>
      <c r="AG239" s="24"/>
      <c r="AH239" s="20"/>
      <c r="AI239" s="42"/>
    </row>
    <row r="240" spans="1:35">
      <c r="A240" s="14"/>
      <c r="B240" s="20"/>
      <c r="C240" s="20"/>
      <c r="D240" s="20"/>
      <c r="E240" s="20"/>
      <c r="F240" s="20"/>
      <c r="G240" s="20"/>
      <c r="H240" s="20"/>
      <c r="I240" s="211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0"/>
      <c r="V240" s="20"/>
      <c r="W240" s="20"/>
      <c r="X240" s="20"/>
      <c r="Y240" s="20"/>
      <c r="Z240" s="20"/>
      <c r="AA240" s="20" t="s">
        <v>2055</v>
      </c>
      <c r="AB240" s="20" t="s">
        <v>526</v>
      </c>
      <c r="AC240" s="24">
        <v>200</v>
      </c>
      <c r="AD240" s="24"/>
      <c r="AE240" s="24"/>
      <c r="AF240" s="24"/>
      <c r="AG240" s="24"/>
      <c r="AH240" s="20"/>
      <c r="AI240" s="42"/>
    </row>
    <row r="241" spans="1:35">
      <c r="A241" s="14"/>
      <c r="B241" s="20"/>
      <c r="C241" s="20" t="s">
        <v>1866</v>
      </c>
      <c r="D241" s="20" t="s">
        <v>79</v>
      </c>
      <c r="E241" s="20" t="s">
        <v>80</v>
      </c>
      <c r="F241" s="20" t="s">
        <v>2051</v>
      </c>
      <c r="G241" s="20" t="s">
        <v>976</v>
      </c>
      <c r="H241" s="20" t="s">
        <v>113</v>
      </c>
      <c r="I241" s="211">
        <v>24146</v>
      </c>
      <c r="J241" s="24">
        <v>1</v>
      </c>
      <c r="K241" s="24"/>
      <c r="L241" s="24">
        <v>1</v>
      </c>
      <c r="M241" s="24"/>
      <c r="N241" s="24"/>
      <c r="O241" s="24"/>
      <c r="P241" s="24"/>
      <c r="Q241" s="24"/>
      <c r="R241" s="24"/>
      <c r="S241" s="24"/>
      <c r="T241" s="24"/>
      <c r="U241" s="20" t="s">
        <v>862</v>
      </c>
      <c r="V241" s="20" t="s">
        <v>293</v>
      </c>
      <c r="W241" s="20" t="s">
        <v>298</v>
      </c>
      <c r="X241" s="20" t="s">
        <v>227</v>
      </c>
      <c r="Y241" s="20"/>
      <c r="Z241" s="20"/>
      <c r="AA241" s="20" t="s">
        <v>2040</v>
      </c>
      <c r="AB241" s="20" t="s">
        <v>1793</v>
      </c>
      <c r="AC241" s="24">
        <v>2</v>
      </c>
      <c r="AD241" s="24"/>
      <c r="AE241" s="24"/>
      <c r="AF241" s="24"/>
      <c r="AG241" s="24"/>
      <c r="AH241" s="20"/>
      <c r="AI241" s="42"/>
    </row>
    <row r="242" spans="1:35">
      <c r="A242" s="14"/>
      <c r="B242" s="20"/>
      <c r="C242" s="20"/>
      <c r="D242" s="20"/>
      <c r="E242" s="20"/>
      <c r="F242" s="20"/>
      <c r="G242" s="20"/>
      <c r="H242" s="20"/>
      <c r="I242" s="211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0"/>
      <c r="V242" s="20"/>
      <c r="W242" s="20"/>
      <c r="X242" s="20"/>
      <c r="Y242" s="20"/>
      <c r="Z242" s="20"/>
      <c r="AA242" s="20" t="s">
        <v>1961</v>
      </c>
      <c r="AB242" s="20" t="s">
        <v>1815</v>
      </c>
      <c r="AC242" s="24">
        <v>1</v>
      </c>
      <c r="AD242" s="24"/>
      <c r="AE242" s="24"/>
      <c r="AF242" s="24"/>
      <c r="AG242" s="24"/>
      <c r="AH242" s="20"/>
      <c r="AI242" s="42"/>
    </row>
    <row r="243" spans="1:35">
      <c r="A243" s="14"/>
      <c r="B243" s="20"/>
      <c r="C243" s="20"/>
      <c r="D243" s="20"/>
      <c r="E243" s="20"/>
      <c r="F243" s="20"/>
      <c r="G243" s="20"/>
      <c r="H243" s="20"/>
      <c r="I243" s="211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0"/>
      <c r="V243" s="20"/>
      <c r="W243" s="20"/>
      <c r="X243" s="20"/>
      <c r="Y243" s="20"/>
      <c r="Z243" s="20"/>
      <c r="AA243" s="20" t="s">
        <v>2055</v>
      </c>
      <c r="AB243" s="20" t="s">
        <v>526</v>
      </c>
      <c r="AC243" s="24">
        <v>200</v>
      </c>
      <c r="AD243" s="24"/>
      <c r="AE243" s="24"/>
      <c r="AF243" s="24"/>
      <c r="AG243" s="24"/>
      <c r="AH243" s="20"/>
      <c r="AI243" s="42"/>
    </row>
    <row r="244" spans="1:35">
      <c r="A244" s="14"/>
      <c r="B244" s="20"/>
      <c r="C244" s="20" t="s">
        <v>1866</v>
      </c>
      <c r="D244" s="20" t="s">
        <v>79</v>
      </c>
      <c r="E244" s="20" t="s">
        <v>80</v>
      </c>
      <c r="F244" s="20" t="s">
        <v>2052</v>
      </c>
      <c r="G244" s="20" t="s">
        <v>644</v>
      </c>
      <c r="H244" s="20" t="s">
        <v>283</v>
      </c>
      <c r="I244" s="211">
        <v>26318</v>
      </c>
      <c r="J244" s="24"/>
      <c r="K244" s="24">
        <v>1</v>
      </c>
      <c r="L244" s="24">
        <v>1</v>
      </c>
      <c r="M244" s="24"/>
      <c r="N244" s="24"/>
      <c r="O244" s="24"/>
      <c r="P244" s="24"/>
      <c r="Q244" s="24"/>
      <c r="R244" s="24"/>
      <c r="S244" s="24"/>
      <c r="T244" s="24"/>
      <c r="U244" s="20" t="s">
        <v>862</v>
      </c>
      <c r="V244" s="20" t="s">
        <v>293</v>
      </c>
      <c r="W244" s="20" t="s">
        <v>298</v>
      </c>
      <c r="X244" s="20" t="s">
        <v>227</v>
      </c>
      <c r="Y244" s="20">
        <v>9755604741</v>
      </c>
      <c r="Z244" s="20"/>
      <c r="AA244" s="20" t="s">
        <v>2040</v>
      </c>
      <c r="AB244" s="20" t="s">
        <v>1793</v>
      </c>
      <c r="AC244" s="24">
        <v>2</v>
      </c>
      <c r="AD244" s="24"/>
      <c r="AE244" s="24"/>
      <c r="AF244" s="24"/>
      <c r="AG244" s="24"/>
      <c r="AH244" s="20"/>
      <c r="AI244" s="42"/>
    </row>
    <row r="245" spans="1:35">
      <c r="A245" s="14"/>
      <c r="B245" s="20"/>
      <c r="C245" s="20"/>
      <c r="D245" s="20"/>
      <c r="E245" s="20"/>
      <c r="F245" s="20"/>
      <c r="G245" s="20"/>
      <c r="H245" s="20"/>
      <c r="I245" s="211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0"/>
      <c r="V245" s="20"/>
      <c r="W245" s="20"/>
      <c r="X245" s="20"/>
      <c r="Y245" s="20"/>
      <c r="Z245" s="20"/>
      <c r="AA245" s="20" t="s">
        <v>1961</v>
      </c>
      <c r="AB245" s="20" t="s">
        <v>1815</v>
      </c>
      <c r="AC245" s="24">
        <v>1</v>
      </c>
      <c r="AD245" s="24"/>
      <c r="AE245" s="24"/>
      <c r="AF245" s="24"/>
      <c r="AG245" s="24"/>
      <c r="AH245" s="20"/>
      <c r="AI245" s="42"/>
    </row>
    <row r="246" spans="1:35">
      <c r="A246" s="14"/>
      <c r="B246" s="20"/>
      <c r="C246" s="20"/>
      <c r="D246" s="20"/>
      <c r="E246" s="20"/>
      <c r="F246" s="20"/>
      <c r="G246" s="20"/>
      <c r="H246" s="20"/>
      <c r="I246" s="211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0"/>
      <c r="V246" s="20"/>
      <c r="W246" s="20"/>
      <c r="X246" s="20"/>
      <c r="Y246" s="20"/>
      <c r="Z246" s="20"/>
      <c r="AA246" s="20" t="s">
        <v>2055</v>
      </c>
      <c r="AB246" s="20" t="s">
        <v>526</v>
      </c>
      <c r="AC246" s="24">
        <v>200</v>
      </c>
      <c r="AD246" s="24"/>
      <c r="AE246" s="24"/>
      <c r="AF246" s="24"/>
      <c r="AG246" s="24"/>
      <c r="AH246" s="20"/>
      <c r="AI246" s="42"/>
    </row>
    <row r="247" spans="1:35">
      <c r="A247" s="14"/>
      <c r="B247" s="20"/>
      <c r="C247" s="20" t="s">
        <v>1866</v>
      </c>
      <c r="D247" s="20" t="s">
        <v>79</v>
      </c>
      <c r="E247" s="20" t="s">
        <v>80</v>
      </c>
      <c r="F247" s="20" t="s">
        <v>2053</v>
      </c>
      <c r="G247" s="20" t="s">
        <v>1237</v>
      </c>
      <c r="H247" s="20" t="s">
        <v>144</v>
      </c>
      <c r="I247" s="211">
        <v>34732</v>
      </c>
      <c r="J247" s="24">
        <v>1</v>
      </c>
      <c r="K247" s="24"/>
      <c r="L247" s="24">
        <v>1</v>
      </c>
      <c r="M247" s="24"/>
      <c r="N247" s="24"/>
      <c r="O247" s="24"/>
      <c r="P247" s="24"/>
      <c r="Q247" s="24"/>
      <c r="R247" s="24"/>
      <c r="S247" s="24"/>
      <c r="T247" s="24"/>
      <c r="U247" s="20" t="s">
        <v>862</v>
      </c>
      <c r="V247" s="20" t="s">
        <v>293</v>
      </c>
      <c r="W247" s="20" t="s">
        <v>298</v>
      </c>
      <c r="X247" s="20" t="s">
        <v>227</v>
      </c>
      <c r="Y247" s="20"/>
      <c r="Z247" s="20"/>
      <c r="AA247" s="20" t="s">
        <v>2040</v>
      </c>
      <c r="AB247" s="20" t="s">
        <v>1793</v>
      </c>
      <c r="AC247" s="24">
        <v>2</v>
      </c>
      <c r="AD247" s="24"/>
      <c r="AE247" s="24"/>
      <c r="AF247" s="24"/>
      <c r="AG247" s="24"/>
      <c r="AH247" s="20"/>
      <c r="AI247" s="42"/>
    </row>
    <row r="248" spans="1:35">
      <c r="A248" s="14"/>
      <c r="B248" s="20"/>
      <c r="C248" s="20"/>
      <c r="D248" s="20"/>
      <c r="E248" s="20"/>
      <c r="F248" s="20"/>
      <c r="G248" s="20"/>
      <c r="H248" s="20"/>
      <c r="I248" s="211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0"/>
      <c r="V248" s="20"/>
      <c r="W248" s="20"/>
      <c r="X248" s="20"/>
      <c r="Y248" s="20"/>
      <c r="Z248" s="20"/>
      <c r="AA248" s="20" t="s">
        <v>1961</v>
      </c>
      <c r="AB248" s="20" t="s">
        <v>1815</v>
      </c>
      <c r="AC248" s="24">
        <v>1</v>
      </c>
      <c r="AD248" s="24"/>
      <c r="AE248" s="24"/>
      <c r="AF248" s="24"/>
      <c r="AG248" s="24"/>
      <c r="AH248" s="20"/>
      <c r="AI248" s="42"/>
    </row>
    <row r="249" spans="1:35">
      <c r="A249" s="14"/>
      <c r="B249" s="20"/>
      <c r="C249" s="20"/>
      <c r="D249" s="20"/>
      <c r="E249" s="20"/>
      <c r="F249" s="20"/>
      <c r="G249" s="20"/>
      <c r="H249" s="20"/>
      <c r="I249" s="211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0"/>
      <c r="V249" s="20"/>
      <c r="W249" s="20"/>
      <c r="X249" s="20"/>
      <c r="Y249" s="20"/>
      <c r="Z249" s="20"/>
      <c r="AA249" s="20" t="s">
        <v>2055</v>
      </c>
      <c r="AB249" s="20" t="s">
        <v>526</v>
      </c>
      <c r="AC249" s="24">
        <v>200</v>
      </c>
      <c r="AD249" s="24"/>
      <c r="AE249" s="24"/>
      <c r="AF249" s="24"/>
      <c r="AG249" s="24"/>
      <c r="AH249" s="20"/>
      <c r="AI249" s="42"/>
    </row>
    <row r="250" spans="1:35">
      <c r="A250" s="14"/>
      <c r="B250" s="20"/>
      <c r="C250" s="20" t="s">
        <v>1866</v>
      </c>
      <c r="D250" s="20" t="s">
        <v>79</v>
      </c>
      <c r="E250" s="20" t="s">
        <v>80</v>
      </c>
      <c r="F250" s="20" t="s">
        <v>2051</v>
      </c>
      <c r="G250" s="20" t="s">
        <v>1212</v>
      </c>
      <c r="H250" s="20" t="s">
        <v>126</v>
      </c>
      <c r="I250" s="211">
        <v>34217</v>
      </c>
      <c r="J250" s="24">
        <v>1</v>
      </c>
      <c r="K250" s="24"/>
      <c r="L250" s="24">
        <v>1</v>
      </c>
      <c r="M250" s="24"/>
      <c r="N250" s="24"/>
      <c r="O250" s="24"/>
      <c r="P250" s="24"/>
      <c r="Q250" s="24"/>
      <c r="R250" s="24"/>
      <c r="S250" s="24"/>
      <c r="T250" s="24"/>
      <c r="U250" s="20" t="s">
        <v>862</v>
      </c>
      <c r="V250" s="20" t="s">
        <v>293</v>
      </c>
      <c r="W250" s="20" t="s">
        <v>298</v>
      </c>
      <c r="X250" s="20" t="s">
        <v>227</v>
      </c>
      <c r="Y250" s="20">
        <v>9659158863</v>
      </c>
      <c r="Z250" s="20"/>
      <c r="AA250" s="20" t="s">
        <v>2040</v>
      </c>
      <c r="AB250" s="20" t="s">
        <v>1793</v>
      </c>
      <c r="AC250" s="24">
        <v>2</v>
      </c>
      <c r="AD250" s="24"/>
      <c r="AE250" s="24"/>
      <c r="AF250" s="24"/>
      <c r="AG250" s="24"/>
      <c r="AH250" s="20"/>
      <c r="AI250" s="42"/>
    </row>
    <row r="251" spans="1:35">
      <c r="A251" s="14"/>
      <c r="B251" s="20"/>
      <c r="C251" s="20"/>
      <c r="D251" s="20"/>
      <c r="E251" s="20"/>
      <c r="F251" s="20"/>
      <c r="G251" s="20"/>
      <c r="H251" s="20"/>
      <c r="I251" s="211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0"/>
      <c r="V251" s="20"/>
      <c r="W251" s="20"/>
      <c r="X251" s="20"/>
      <c r="Y251" s="20"/>
      <c r="Z251" s="20"/>
      <c r="AA251" s="20" t="s">
        <v>1961</v>
      </c>
      <c r="AB251" s="20" t="s">
        <v>1815</v>
      </c>
      <c r="AC251" s="24">
        <v>1</v>
      </c>
      <c r="AD251" s="24"/>
      <c r="AE251" s="24"/>
      <c r="AF251" s="24"/>
      <c r="AG251" s="24"/>
      <c r="AH251" s="20"/>
      <c r="AI251" s="42"/>
    </row>
    <row r="252" spans="1:35">
      <c r="A252" s="14"/>
      <c r="B252" s="20"/>
      <c r="C252" s="20"/>
      <c r="D252" s="20"/>
      <c r="E252" s="20"/>
      <c r="F252" s="20"/>
      <c r="G252" s="20"/>
      <c r="H252" s="20"/>
      <c r="I252" s="211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0"/>
      <c r="V252" s="20"/>
      <c r="W252" s="20"/>
      <c r="X252" s="20"/>
      <c r="Y252" s="20"/>
      <c r="Z252" s="20"/>
      <c r="AA252" s="20" t="s">
        <v>2055</v>
      </c>
      <c r="AB252" s="20" t="s">
        <v>526</v>
      </c>
      <c r="AC252" s="24">
        <v>200</v>
      </c>
      <c r="AD252" s="24"/>
      <c r="AE252" s="24"/>
      <c r="AF252" s="24"/>
      <c r="AG252" s="24"/>
      <c r="AH252" s="20"/>
      <c r="AI252" s="42"/>
    </row>
    <row r="253" spans="1:35">
      <c r="A253" s="14"/>
      <c r="B253" s="20"/>
      <c r="C253" s="20" t="s">
        <v>1866</v>
      </c>
      <c r="D253" s="20" t="s">
        <v>79</v>
      </c>
      <c r="E253" s="20" t="s">
        <v>80</v>
      </c>
      <c r="F253" s="20" t="s">
        <v>908</v>
      </c>
      <c r="G253" s="20" t="s">
        <v>2054</v>
      </c>
      <c r="H253" s="20" t="s">
        <v>136</v>
      </c>
      <c r="I253" s="211">
        <v>24198</v>
      </c>
      <c r="J253" s="24">
        <v>1</v>
      </c>
      <c r="K253" s="24"/>
      <c r="L253" s="24">
        <v>1</v>
      </c>
      <c r="M253" s="24"/>
      <c r="N253" s="24"/>
      <c r="O253" s="24"/>
      <c r="P253" s="24"/>
      <c r="Q253" s="24"/>
      <c r="R253" s="24"/>
      <c r="S253" s="24"/>
      <c r="T253" s="24"/>
      <c r="U253" s="20" t="s">
        <v>862</v>
      </c>
      <c r="V253" s="20" t="s">
        <v>293</v>
      </c>
      <c r="W253" s="20" t="s">
        <v>298</v>
      </c>
      <c r="X253" s="20" t="s">
        <v>227</v>
      </c>
      <c r="Y253" s="20">
        <v>9164865908</v>
      </c>
      <c r="Z253" s="20"/>
      <c r="AA253" s="20" t="s">
        <v>2040</v>
      </c>
      <c r="AB253" s="20" t="s">
        <v>1793</v>
      </c>
      <c r="AC253" s="24">
        <v>2</v>
      </c>
      <c r="AD253" s="24"/>
      <c r="AE253" s="24"/>
      <c r="AF253" s="24"/>
      <c r="AG253" s="24"/>
      <c r="AH253" s="20"/>
      <c r="AI253" s="42"/>
    </row>
    <row r="254" spans="1:35">
      <c r="A254" s="14"/>
      <c r="B254" s="20"/>
      <c r="C254" s="20"/>
      <c r="D254" s="20"/>
      <c r="E254" s="20"/>
      <c r="F254" s="20"/>
      <c r="G254" s="20"/>
      <c r="H254" s="20"/>
      <c r="I254" s="211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0"/>
      <c r="V254" s="20"/>
      <c r="W254" s="20"/>
      <c r="X254" s="20"/>
      <c r="Y254" s="20"/>
      <c r="Z254" s="20"/>
      <c r="AA254" s="20" t="s">
        <v>1961</v>
      </c>
      <c r="AB254" s="20" t="s">
        <v>1815</v>
      </c>
      <c r="AC254" s="24">
        <v>1</v>
      </c>
      <c r="AD254" s="24"/>
      <c r="AE254" s="24"/>
      <c r="AF254" s="24"/>
      <c r="AG254" s="24"/>
      <c r="AH254" s="20"/>
      <c r="AI254" s="42"/>
    </row>
    <row r="255" spans="1:35">
      <c r="A255" s="14"/>
      <c r="B255" s="20"/>
      <c r="C255" s="20"/>
      <c r="D255" s="20"/>
      <c r="E255" s="20"/>
      <c r="F255" s="20"/>
      <c r="G255" s="20"/>
      <c r="H255" s="20"/>
      <c r="I255" s="211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0"/>
      <c r="V255" s="20"/>
      <c r="W255" s="20"/>
      <c r="X255" s="20"/>
      <c r="Y255" s="20"/>
      <c r="Z255" s="20"/>
      <c r="AA255" s="20" t="s">
        <v>2055</v>
      </c>
      <c r="AB255" s="20" t="s">
        <v>526</v>
      </c>
      <c r="AC255" s="24">
        <v>200</v>
      </c>
      <c r="AD255" s="24"/>
      <c r="AE255" s="24"/>
      <c r="AF255" s="24"/>
      <c r="AG255" s="24"/>
      <c r="AH255" s="20"/>
      <c r="AI255" s="42"/>
    </row>
    <row r="256" spans="1:35">
      <c r="A256" s="14"/>
      <c r="B256" s="20"/>
      <c r="C256" s="20" t="s">
        <v>1866</v>
      </c>
      <c r="D256" s="20" t="s">
        <v>79</v>
      </c>
      <c r="E256" s="20" t="s">
        <v>80</v>
      </c>
      <c r="F256" s="20" t="s">
        <v>674</v>
      </c>
      <c r="G256" s="20" t="s">
        <v>676</v>
      </c>
      <c r="H256" s="20" t="s">
        <v>160</v>
      </c>
      <c r="I256" s="211">
        <v>34469</v>
      </c>
      <c r="J256" s="24"/>
      <c r="K256" s="24">
        <v>1</v>
      </c>
      <c r="L256" s="24">
        <v>1</v>
      </c>
      <c r="M256" s="24"/>
      <c r="N256" s="24"/>
      <c r="O256" s="24"/>
      <c r="P256" s="24"/>
      <c r="Q256" s="24"/>
      <c r="R256" s="24"/>
      <c r="S256" s="24"/>
      <c r="T256" s="24"/>
      <c r="U256" s="20" t="s">
        <v>862</v>
      </c>
      <c r="V256" s="20" t="s">
        <v>293</v>
      </c>
      <c r="W256" s="20" t="s">
        <v>298</v>
      </c>
      <c r="X256" s="20" t="s">
        <v>227</v>
      </c>
      <c r="Y256" s="20">
        <v>9279787553</v>
      </c>
      <c r="Z256" s="20"/>
      <c r="AA256" s="20" t="s">
        <v>2040</v>
      </c>
      <c r="AB256" s="20" t="s">
        <v>1793</v>
      </c>
      <c r="AC256" s="24">
        <v>2</v>
      </c>
      <c r="AD256" s="24"/>
      <c r="AE256" s="24"/>
      <c r="AF256" s="24"/>
      <c r="AG256" s="24"/>
      <c r="AH256" s="20"/>
      <c r="AI256" s="42"/>
    </row>
    <row r="257" spans="1:35">
      <c r="A257" s="14"/>
      <c r="B257" s="20"/>
      <c r="C257" s="20"/>
      <c r="D257" s="20"/>
      <c r="E257" s="20"/>
      <c r="F257" s="20"/>
      <c r="G257" s="20"/>
      <c r="H257" s="20"/>
      <c r="I257" s="211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0"/>
      <c r="V257" s="20"/>
      <c r="W257" s="20"/>
      <c r="X257" s="20"/>
      <c r="Y257" s="20"/>
      <c r="Z257" s="20"/>
      <c r="AA257" s="20" t="s">
        <v>1961</v>
      </c>
      <c r="AB257" s="20" t="s">
        <v>1815</v>
      </c>
      <c r="AC257" s="24">
        <v>1</v>
      </c>
      <c r="AD257" s="24"/>
      <c r="AE257" s="24"/>
      <c r="AF257" s="24"/>
      <c r="AG257" s="24"/>
      <c r="AH257" s="20"/>
      <c r="AI257" s="42"/>
    </row>
    <row r="258" spans="1:35">
      <c r="A258" s="14"/>
      <c r="B258" s="20"/>
      <c r="C258" s="20"/>
      <c r="D258" s="20"/>
      <c r="E258" s="20"/>
      <c r="F258" s="20"/>
      <c r="G258" s="20"/>
      <c r="H258" s="20"/>
      <c r="I258" s="211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0"/>
      <c r="V258" s="20"/>
      <c r="W258" s="20"/>
      <c r="X258" s="20"/>
      <c r="Y258" s="20"/>
      <c r="Z258" s="20"/>
      <c r="AA258" s="20" t="s">
        <v>2055</v>
      </c>
      <c r="AB258" s="20" t="s">
        <v>526</v>
      </c>
      <c r="AC258" s="24">
        <v>200</v>
      </c>
      <c r="AD258" s="24"/>
      <c r="AE258" s="24"/>
      <c r="AF258" s="24"/>
      <c r="AG258" s="24"/>
      <c r="AH258" s="20"/>
      <c r="AI258" s="42"/>
    </row>
    <row r="259" spans="1:35">
      <c r="A259" s="14"/>
      <c r="B259" s="20"/>
      <c r="C259" s="20" t="s">
        <v>1866</v>
      </c>
      <c r="D259" s="20" t="s">
        <v>79</v>
      </c>
      <c r="E259" s="20" t="s">
        <v>80</v>
      </c>
      <c r="F259" s="20" t="s">
        <v>2127</v>
      </c>
      <c r="G259" s="20" t="s">
        <v>2128</v>
      </c>
      <c r="H259" s="20" t="s">
        <v>202</v>
      </c>
      <c r="I259" s="211">
        <v>22686</v>
      </c>
      <c r="J259" s="24">
        <v>1</v>
      </c>
      <c r="K259" s="24"/>
      <c r="L259" s="24">
        <v>1</v>
      </c>
      <c r="M259" s="24"/>
      <c r="N259" s="24"/>
      <c r="O259" s="24"/>
      <c r="P259" s="24"/>
      <c r="Q259" s="24"/>
      <c r="R259" s="24"/>
      <c r="S259" s="24"/>
      <c r="T259" s="24"/>
      <c r="U259" s="20" t="s">
        <v>1437</v>
      </c>
      <c r="V259" s="20" t="s">
        <v>949</v>
      </c>
      <c r="W259" s="20" t="s">
        <v>280</v>
      </c>
      <c r="X259" s="20" t="s">
        <v>227</v>
      </c>
      <c r="Y259" s="20">
        <v>9359130452</v>
      </c>
      <c r="Z259" s="20"/>
      <c r="AA259" s="20" t="s">
        <v>2040</v>
      </c>
      <c r="AB259" s="20" t="s">
        <v>1793</v>
      </c>
      <c r="AC259" s="24">
        <v>2</v>
      </c>
      <c r="AD259" s="24"/>
      <c r="AE259" s="24"/>
      <c r="AF259" s="24"/>
      <c r="AG259" s="24"/>
      <c r="AH259" s="20"/>
      <c r="AI259" s="42"/>
    </row>
    <row r="260" spans="1:35">
      <c r="A260" s="14"/>
      <c r="B260" s="20"/>
      <c r="C260" s="20"/>
      <c r="D260" s="20"/>
      <c r="E260" s="20"/>
      <c r="F260" s="20"/>
      <c r="G260" s="20"/>
      <c r="H260" s="20"/>
      <c r="I260" s="211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0"/>
      <c r="V260" s="20"/>
      <c r="W260" s="20"/>
      <c r="X260" s="20"/>
      <c r="Y260" s="20"/>
      <c r="Z260" s="20"/>
      <c r="AA260" s="20" t="s">
        <v>2132</v>
      </c>
      <c r="AB260" s="20" t="s">
        <v>1815</v>
      </c>
      <c r="AC260" s="24">
        <v>1</v>
      </c>
      <c r="AD260" s="24"/>
      <c r="AE260" s="24"/>
      <c r="AF260" s="24"/>
      <c r="AG260" s="24"/>
      <c r="AH260" s="20"/>
      <c r="AI260" s="42"/>
    </row>
    <row r="261" spans="1:35">
      <c r="A261" s="14"/>
      <c r="B261" s="20"/>
      <c r="C261" s="20" t="s">
        <v>1866</v>
      </c>
      <c r="D261" s="20" t="s">
        <v>79</v>
      </c>
      <c r="E261" s="20" t="s">
        <v>80</v>
      </c>
      <c r="F261" s="20" t="s">
        <v>1376</v>
      </c>
      <c r="G261" s="20" t="s">
        <v>2133</v>
      </c>
      <c r="H261" s="20" t="s">
        <v>604</v>
      </c>
      <c r="I261" s="211">
        <v>28466</v>
      </c>
      <c r="J261" s="24">
        <v>1</v>
      </c>
      <c r="K261" s="24"/>
      <c r="L261" s="24">
        <v>1</v>
      </c>
      <c r="M261" s="24"/>
      <c r="N261" s="24"/>
      <c r="O261" s="24"/>
      <c r="P261" s="24"/>
      <c r="Q261" s="24"/>
      <c r="R261" s="24"/>
      <c r="S261" s="24"/>
      <c r="T261" s="24"/>
      <c r="U261" s="20" t="s">
        <v>1437</v>
      </c>
      <c r="V261" s="20" t="s">
        <v>949</v>
      </c>
      <c r="W261" s="20" t="s">
        <v>280</v>
      </c>
      <c r="X261" s="20" t="s">
        <v>227</v>
      </c>
      <c r="Y261" s="20">
        <v>9752029304</v>
      </c>
      <c r="Z261" s="20"/>
      <c r="AA261" s="20" t="s">
        <v>2040</v>
      </c>
      <c r="AB261" s="20" t="s">
        <v>1793</v>
      </c>
      <c r="AC261" s="24">
        <v>2</v>
      </c>
      <c r="AD261" s="24"/>
      <c r="AE261" s="24"/>
      <c r="AF261" s="24"/>
      <c r="AG261" s="24"/>
      <c r="AH261" s="20"/>
      <c r="AI261" s="42"/>
    </row>
    <row r="262" spans="1:35">
      <c r="A262" s="14"/>
      <c r="B262" s="20"/>
      <c r="C262" s="20"/>
      <c r="D262" s="20"/>
      <c r="E262" s="20"/>
      <c r="F262" s="20"/>
      <c r="G262" s="20"/>
      <c r="H262" s="20"/>
      <c r="I262" s="211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0"/>
      <c r="V262" s="20"/>
      <c r="W262" s="20"/>
      <c r="X262" s="20"/>
      <c r="Y262" s="20"/>
      <c r="Z262" s="20"/>
      <c r="AA262" s="20" t="s">
        <v>2132</v>
      </c>
      <c r="AB262" s="20" t="s">
        <v>1815</v>
      </c>
      <c r="AC262" s="24">
        <v>1</v>
      </c>
      <c r="AD262" s="24"/>
      <c r="AE262" s="24"/>
      <c r="AF262" s="24"/>
      <c r="AG262" s="24"/>
      <c r="AH262" s="20"/>
      <c r="AI262" s="42"/>
    </row>
    <row r="263" spans="1:35">
      <c r="A263" s="14"/>
      <c r="B263" s="20"/>
      <c r="C263" s="20" t="s">
        <v>1866</v>
      </c>
      <c r="D263" s="20" t="s">
        <v>79</v>
      </c>
      <c r="E263" s="20" t="s">
        <v>80</v>
      </c>
      <c r="F263" s="53" t="s">
        <v>2134</v>
      </c>
      <c r="G263" s="20" t="s">
        <v>689</v>
      </c>
      <c r="H263" s="20" t="s">
        <v>136</v>
      </c>
      <c r="I263" s="211">
        <v>34350</v>
      </c>
      <c r="J263" s="24">
        <v>1</v>
      </c>
      <c r="K263" s="24"/>
      <c r="L263" s="24">
        <v>1</v>
      </c>
      <c r="M263" s="24"/>
      <c r="N263" s="24"/>
      <c r="O263" s="24"/>
      <c r="P263" s="24"/>
      <c r="Q263" s="24"/>
      <c r="R263" s="24"/>
      <c r="S263" s="24"/>
      <c r="T263" s="24"/>
      <c r="U263" s="20" t="s">
        <v>1437</v>
      </c>
      <c r="V263" s="20" t="s">
        <v>949</v>
      </c>
      <c r="W263" s="20" t="s">
        <v>280</v>
      </c>
      <c r="X263" s="20" t="s">
        <v>227</v>
      </c>
      <c r="Y263" s="20"/>
      <c r="Z263" s="20"/>
      <c r="AA263" s="20" t="s">
        <v>2040</v>
      </c>
      <c r="AB263" s="20" t="s">
        <v>1793</v>
      </c>
      <c r="AC263" s="24">
        <v>2</v>
      </c>
      <c r="AD263" s="24"/>
      <c r="AE263" s="24"/>
      <c r="AF263" s="24"/>
      <c r="AG263" s="24"/>
      <c r="AH263" s="20"/>
      <c r="AI263" s="42"/>
    </row>
    <row r="264" spans="1:35">
      <c r="A264" s="14"/>
      <c r="B264" s="20"/>
      <c r="C264" s="20"/>
      <c r="D264" s="20"/>
      <c r="E264" s="20"/>
      <c r="F264" s="20"/>
      <c r="G264" s="20"/>
      <c r="H264" s="20"/>
      <c r="I264" s="211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0"/>
      <c r="V264" s="20"/>
      <c r="W264" s="20"/>
      <c r="X264" s="20"/>
      <c r="Y264" s="20"/>
      <c r="Z264" s="20"/>
      <c r="AA264" s="20" t="s">
        <v>2132</v>
      </c>
      <c r="AB264" s="20" t="s">
        <v>1815</v>
      </c>
      <c r="AC264" s="24">
        <v>0.8</v>
      </c>
      <c r="AD264" s="24"/>
      <c r="AE264" s="24"/>
      <c r="AF264" s="24"/>
      <c r="AG264" s="24"/>
      <c r="AH264" s="20"/>
      <c r="AI264" s="42"/>
    </row>
    <row r="265" spans="1:35">
      <c r="A265" s="14"/>
      <c r="B265" s="20"/>
      <c r="C265" s="20" t="s">
        <v>1866</v>
      </c>
      <c r="D265" s="20" t="s">
        <v>79</v>
      </c>
      <c r="E265" s="20" t="s">
        <v>80</v>
      </c>
      <c r="F265" s="20" t="s">
        <v>1376</v>
      </c>
      <c r="G265" s="20" t="s">
        <v>2135</v>
      </c>
      <c r="H265" s="20" t="s">
        <v>133</v>
      </c>
      <c r="I265" s="211">
        <v>37483</v>
      </c>
      <c r="J265" s="24">
        <v>1</v>
      </c>
      <c r="K265" s="24"/>
      <c r="L265" s="24">
        <v>1</v>
      </c>
      <c r="M265" s="24"/>
      <c r="N265" s="24"/>
      <c r="O265" s="24"/>
      <c r="P265" s="24"/>
      <c r="Q265" s="24"/>
      <c r="R265" s="24"/>
      <c r="S265" s="24"/>
      <c r="T265" s="24"/>
      <c r="U265" s="20" t="s">
        <v>1437</v>
      </c>
      <c r="V265" s="20" t="s">
        <v>949</v>
      </c>
      <c r="W265" s="20" t="s">
        <v>280</v>
      </c>
      <c r="X265" s="20" t="s">
        <v>227</v>
      </c>
      <c r="Y265" s="20">
        <v>9054614246</v>
      </c>
      <c r="Z265" s="20"/>
      <c r="AA265" s="20" t="s">
        <v>2040</v>
      </c>
      <c r="AB265" s="20" t="s">
        <v>1793</v>
      </c>
      <c r="AC265" s="24">
        <v>2</v>
      </c>
      <c r="AD265" s="24"/>
      <c r="AE265" s="24"/>
      <c r="AF265" s="24"/>
      <c r="AG265" s="24"/>
      <c r="AH265" s="20"/>
      <c r="AI265" s="42"/>
    </row>
    <row r="266" spans="1:35">
      <c r="A266" s="14"/>
      <c r="B266" s="20"/>
      <c r="C266" s="20"/>
      <c r="D266" s="20"/>
      <c r="E266" s="20"/>
      <c r="F266" s="20"/>
      <c r="G266" s="20"/>
      <c r="H266" s="20"/>
      <c r="I266" s="211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0"/>
      <c r="V266" s="20"/>
      <c r="W266" s="20"/>
      <c r="X266" s="20"/>
      <c r="Y266" s="20"/>
      <c r="Z266" s="20"/>
      <c r="AA266" s="20" t="s">
        <v>2132</v>
      </c>
      <c r="AB266" s="20" t="s">
        <v>1815</v>
      </c>
      <c r="AC266" s="24">
        <v>1</v>
      </c>
      <c r="AD266" s="24"/>
      <c r="AE266" s="24"/>
      <c r="AF266" s="24"/>
      <c r="AG266" s="24"/>
      <c r="AH266" s="20"/>
      <c r="AI266" s="42"/>
    </row>
    <row r="267" spans="1:35">
      <c r="A267" s="14"/>
      <c r="B267" s="20"/>
      <c r="C267" s="20" t="s">
        <v>1866</v>
      </c>
      <c r="D267" s="20" t="s">
        <v>79</v>
      </c>
      <c r="E267" s="20" t="s">
        <v>80</v>
      </c>
      <c r="F267" s="20" t="s">
        <v>2136</v>
      </c>
      <c r="G267" s="20" t="s">
        <v>1726</v>
      </c>
      <c r="H267" s="20" t="s">
        <v>115</v>
      </c>
      <c r="I267" s="211">
        <v>30028</v>
      </c>
      <c r="J267" s="24">
        <v>1</v>
      </c>
      <c r="K267" s="24"/>
      <c r="L267" s="24">
        <v>1</v>
      </c>
      <c r="M267" s="24"/>
      <c r="N267" s="24"/>
      <c r="O267" s="24"/>
      <c r="P267" s="24"/>
      <c r="Q267" s="24"/>
      <c r="R267" s="24"/>
      <c r="S267" s="24"/>
      <c r="T267" s="24"/>
      <c r="U267" s="20" t="s">
        <v>1437</v>
      </c>
      <c r="V267" s="20" t="s">
        <v>949</v>
      </c>
      <c r="W267" s="20" t="s">
        <v>280</v>
      </c>
      <c r="X267" s="20" t="s">
        <v>227</v>
      </c>
      <c r="Y267" s="20">
        <v>9679444888</v>
      </c>
      <c r="Z267" s="20"/>
      <c r="AA267" s="20" t="s">
        <v>2040</v>
      </c>
      <c r="AB267" s="20" t="s">
        <v>1793</v>
      </c>
      <c r="AC267" s="24">
        <v>2</v>
      </c>
      <c r="AD267" s="24"/>
      <c r="AE267" s="24"/>
      <c r="AF267" s="24"/>
      <c r="AG267" s="24"/>
      <c r="AH267" s="20"/>
      <c r="AI267" s="42"/>
    </row>
    <row r="268" spans="1:35">
      <c r="A268" s="14"/>
      <c r="B268" s="20"/>
      <c r="C268" s="20"/>
      <c r="D268" s="20"/>
      <c r="E268" s="20"/>
      <c r="F268" s="20"/>
      <c r="G268" s="20"/>
      <c r="H268" s="20"/>
      <c r="I268" s="211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0"/>
      <c r="V268" s="20"/>
      <c r="W268" s="20"/>
      <c r="X268" s="20"/>
      <c r="Y268" s="20"/>
      <c r="Z268" s="20"/>
      <c r="AA268" s="20" t="s">
        <v>2132</v>
      </c>
      <c r="AB268" s="20" t="s">
        <v>1815</v>
      </c>
      <c r="AC268" s="24">
        <v>1</v>
      </c>
      <c r="AD268" s="24"/>
      <c r="AE268" s="24"/>
      <c r="AF268" s="24"/>
      <c r="AG268" s="24"/>
      <c r="AH268" s="20"/>
      <c r="AI268" s="42"/>
    </row>
    <row r="269" spans="1:35">
      <c r="A269" s="14"/>
      <c r="B269" s="20"/>
      <c r="C269" s="20" t="s">
        <v>1866</v>
      </c>
      <c r="D269" s="20" t="s">
        <v>79</v>
      </c>
      <c r="E269" s="20" t="s">
        <v>80</v>
      </c>
      <c r="F269" s="20" t="s">
        <v>2134</v>
      </c>
      <c r="G269" s="20" t="s">
        <v>2137</v>
      </c>
      <c r="H269" s="20" t="s">
        <v>115</v>
      </c>
      <c r="I269" s="211">
        <v>33556</v>
      </c>
      <c r="J269" s="24">
        <v>1</v>
      </c>
      <c r="K269" s="24"/>
      <c r="L269" s="24">
        <v>1</v>
      </c>
      <c r="M269" s="24"/>
      <c r="N269" s="24"/>
      <c r="O269" s="24"/>
      <c r="P269" s="24"/>
      <c r="Q269" s="24"/>
      <c r="R269" s="24"/>
      <c r="S269" s="24"/>
      <c r="T269" s="24"/>
      <c r="U269" s="20" t="s">
        <v>1437</v>
      </c>
      <c r="V269" s="20" t="s">
        <v>949</v>
      </c>
      <c r="W269" s="20" t="s">
        <v>280</v>
      </c>
      <c r="X269" s="20" t="s">
        <v>227</v>
      </c>
      <c r="Y269" s="20"/>
      <c r="Z269" s="20"/>
      <c r="AA269" s="20" t="s">
        <v>2040</v>
      </c>
      <c r="AB269" s="20" t="s">
        <v>1793</v>
      </c>
      <c r="AC269" s="24">
        <v>2</v>
      </c>
      <c r="AD269" s="24"/>
      <c r="AE269" s="24"/>
      <c r="AF269" s="24"/>
      <c r="AG269" s="24"/>
      <c r="AH269" s="20"/>
      <c r="AI269" s="42"/>
    </row>
    <row r="270" spans="1:35">
      <c r="A270" s="14"/>
      <c r="B270" s="20"/>
      <c r="C270" s="20"/>
      <c r="D270" s="20"/>
      <c r="E270" s="20"/>
      <c r="F270" s="20"/>
      <c r="G270" s="20"/>
      <c r="H270" s="20"/>
      <c r="I270" s="211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0"/>
      <c r="V270" s="20"/>
      <c r="W270" s="20"/>
      <c r="X270" s="20"/>
      <c r="Y270" s="20"/>
      <c r="Z270" s="20"/>
      <c r="AA270" s="20" t="s">
        <v>2132</v>
      </c>
      <c r="AB270" s="20" t="s">
        <v>1815</v>
      </c>
      <c r="AC270" s="24">
        <v>1</v>
      </c>
      <c r="AD270" s="24"/>
      <c r="AE270" s="24"/>
      <c r="AF270" s="24"/>
      <c r="AG270" s="24"/>
      <c r="AH270" s="20"/>
      <c r="AI270" s="42"/>
    </row>
    <row r="271" spans="1:35">
      <c r="A271" s="14"/>
      <c r="B271" s="20"/>
      <c r="C271" s="20" t="s">
        <v>1866</v>
      </c>
      <c r="D271" s="20" t="s">
        <v>79</v>
      </c>
      <c r="E271" s="20" t="s">
        <v>80</v>
      </c>
      <c r="F271" s="20" t="s">
        <v>2134</v>
      </c>
      <c r="G271" s="20" t="s">
        <v>2138</v>
      </c>
      <c r="H271" s="20" t="s">
        <v>117</v>
      </c>
      <c r="I271" s="211">
        <v>25071</v>
      </c>
      <c r="J271" s="24">
        <v>1</v>
      </c>
      <c r="K271" s="24"/>
      <c r="L271" s="24">
        <v>1</v>
      </c>
      <c r="M271" s="24"/>
      <c r="N271" s="24"/>
      <c r="O271" s="24"/>
      <c r="P271" s="24"/>
      <c r="Q271" s="24"/>
      <c r="R271" s="24"/>
      <c r="S271" s="24"/>
      <c r="T271" s="24"/>
      <c r="U271" s="20" t="s">
        <v>1437</v>
      </c>
      <c r="V271" s="20" t="s">
        <v>949</v>
      </c>
      <c r="W271" s="20" t="s">
        <v>280</v>
      </c>
      <c r="X271" s="20" t="s">
        <v>227</v>
      </c>
      <c r="Y271" s="20"/>
      <c r="Z271" s="20"/>
      <c r="AA271" s="20" t="s">
        <v>2040</v>
      </c>
      <c r="AB271" s="20" t="s">
        <v>1793</v>
      </c>
      <c r="AC271" s="24">
        <v>2</v>
      </c>
      <c r="AD271" s="24"/>
      <c r="AE271" s="24"/>
      <c r="AF271" s="24"/>
      <c r="AG271" s="24"/>
      <c r="AH271" s="20"/>
      <c r="AI271" s="42"/>
    </row>
    <row r="272" spans="1:35">
      <c r="A272" s="14"/>
      <c r="B272" s="20"/>
      <c r="C272" s="20"/>
      <c r="D272" s="20"/>
      <c r="E272" s="20"/>
      <c r="F272" s="20"/>
      <c r="G272" s="20"/>
      <c r="H272" s="20"/>
      <c r="I272" s="211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0"/>
      <c r="V272" s="20"/>
      <c r="W272" s="20"/>
      <c r="X272" s="20"/>
      <c r="Y272" s="20"/>
      <c r="Z272" s="20"/>
      <c r="AA272" s="20" t="s">
        <v>2132</v>
      </c>
      <c r="AB272" s="20" t="s">
        <v>1815</v>
      </c>
      <c r="AC272" s="24">
        <v>1</v>
      </c>
      <c r="AD272" s="24"/>
      <c r="AE272" s="24"/>
      <c r="AF272" s="24"/>
      <c r="AG272" s="24"/>
      <c r="AH272" s="20"/>
      <c r="AI272" s="42"/>
    </row>
    <row r="273" spans="1:35">
      <c r="A273" s="14" t="s">
        <v>93</v>
      </c>
      <c r="B273" s="20"/>
      <c r="C273" s="20" t="s">
        <v>1866</v>
      </c>
      <c r="D273" s="20" t="s">
        <v>79</v>
      </c>
      <c r="E273" s="20" t="s">
        <v>80</v>
      </c>
      <c r="F273" s="20" t="s">
        <v>1376</v>
      </c>
      <c r="G273" s="20" t="s">
        <v>2139</v>
      </c>
      <c r="H273" s="20" t="s">
        <v>604</v>
      </c>
      <c r="I273" s="211">
        <v>31284</v>
      </c>
      <c r="J273" s="24">
        <v>1</v>
      </c>
      <c r="K273" s="24"/>
      <c r="L273" s="24">
        <v>1</v>
      </c>
      <c r="M273" s="24"/>
      <c r="N273" s="24"/>
      <c r="O273" s="24"/>
      <c r="P273" s="24"/>
      <c r="Q273" s="24"/>
      <c r="R273" s="24"/>
      <c r="S273" s="24"/>
      <c r="T273" s="24"/>
      <c r="U273" s="20" t="s">
        <v>1437</v>
      </c>
      <c r="V273" s="20" t="s">
        <v>949</v>
      </c>
      <c r="W273" s="20" t="s">
        <v>280</v>
      </c>
      <c r="X273" s="20" t="s">
        <v>227</v>
      </c>
      <c r="Y273" s="20"/>
      <c r="Z273" s="20"/>
      <c r="AA273" s="20" t="s">
        <v>2040</v>
      </c>
      <c r="AB273" s="20" t="s">
        <v>1793</v>
      </c>
      <c r="AC273" s="24">
        <v>2</v>
      </c>
      <c r="AD273" s="24"/>
      <c r="AE273" s="24"/>
      <c r="AF273" s="24"/>
      <c r="AG273" s="24"/>
      <c r="AH273" s="20"/>
      <c r="AI273" s="42"/>
    </row>
    <row r="274" spans="1:35">
      <c r="A274" s="14"/>
      <c r="B274" s="20"/>
      <c r="C274" s="20"/>
      <c r="D274" s="20"/>
      <c r="E274" s="20"/>
      <c r="F274" s="20"/>
      <c r="G274" s="20"/>
      <c r="H274" s="20"/>
      <c r="I274" s="211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0"/>
      <c r="V274" s="20"/>
      <c r="W274" s="20"/>
      <c r="X274" s="20"/>
      <c r="Y274" s="20"/>
      <c r="Z274" s="20"/>
      <c r="AA274" s="20" t="s">
        <v>2132</v>
      </c>
      <c r="AB274" s="20" t="s">
        <v>1815</v>
      </c>
      <c r="AC274" s="24">
        <v>1</v>
      </c>
      <c r="AD274" s="24"/>
      <c r="AE274" s="24"/>
      <c r="AF274" s="24"/>
      <c r="AG274" s="24"/>
      <c r="AH274" s="20"/>
      <c r="AI274" s="42"/>
    </row>
    <row r="275" spans="1:35">
      <c r="A275" s="14"/>
      <c r="B275" s="20"/>
      <c r="C275" s="20" t="s">
        <v>1866</v>
      </c>
      <c r="D275" s="20" t="s">
        <v>79</v>
      </c>
      <c r="E275" s="20" t="s">
        <v>80</v>
      </c>
      <c r="F275" s="20" t="s">
        <v>2134</v>
      </c>
      <c r="G275" s="20" t="s">
        <v>2140</v>
      </c>
      <c r="H275" s="20" t="s">
        <v>115</v>
      </c>
      <c r="I275" s="211"/>
      <c r="J275" s="24">
        <v>1</v>
      </c>
      <c r="K275" s="24"/>
      <c r="L275" s="24">
        <v>1</v>
      </c>
      <c r="M275" s="24"/>
      <c r="N275" s="24"/>
      <c r="O275" s="24"/>
      <c r="P275" s="24"/>
      <c r="Q275" s="24"/>
      <c r="R275" s="24"/>
      <c r="S275" s="24"/>
      <c r="T275" s="24"/>
      <c r="U275" s="20" t="s">
        <v>1437</v>
      </c>
      <c r="V275" s="20" t="s">
        <v>949</v>
      </c>
      <c r="W275" s="20" t="s">
        <v>280</v>
      </c>
      <c r="X275" s="20" t="s">
        <v>227</v>
      </c>
      <c r="Y275" s="20"/>
      <c r="Z275" s="20"/>
      <c r="AA275" s="20" t="s">
        <v>2040</v>
      </c>
      <c r="AB275" s="20" t="s">
        <v>1793</v>
      </c>
      <c r="AC275" s="24">
        <v>2</v>
      </c>
      <c r="AD275" s="24"/>
      <c r="AE275" s="24"/>
      <c r="AF275" s="24"/>
      <c r="AG275" s="24"/>
      <c r="AH275" s="20"/>
      <c r="AI275" s="42"/>
    </row>
    <row r="276" spans="1:35">
      <c r="A276" s="14"/>
      <c r="B276" s="20"/>
      <c r="C276" s="20"/>
      <c r="D276" s="20"/>
      <c r="E276" s="20"/>
      <c r="F276" s="20"/>
      <c r="G276" s="20"/>
      <c r="H276" s="20"/>
      <c r="I276" s="211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0"/>
      <c r="V276" s="20"/>
      <c r="W276" s="20"/>
      <c r="X276" s="20"/>
      <c r="Y276" s="20"/>
      <c r="Z276" s="20"/>
      <c r="AA276" s="20" t="s">
        <v>2132</v>
      </c>
      <c r="AB276" s="20" t="s">
        <v>1815</v>
      </c>
      <c r="AC276" s="24">
        <v>1</v>
      </c>
      <c r="AD276" s="24"/>
      <c r="AE276" s="24"/>
      <c r="AF276" s="24"/>
      <c r="AG276" s="24"/>
      <c r="AH276" s="20"/>
      <c r="AI276" s="42"/>
    </row>
    <row r="277" spans="1:35">
      <c r="A277" s="14"/>
      <c r="B277" s="20"/>
      <c r="C277" s="20" t="s">
        <v>1866</v>
      </c>
      <c r="D277" s="20" t="s">
        <v>79</v>
      </c>
      <c r="E277" s="20" t="s">
        <v>80</v>
      </c>
      <c r="F277" s="20" t="s">
        <v>2141</v>
      </c>
      <c r="G277" s="20" t="s">
        <v>2142</v>
      </c>
      <c r="H277" s="20" t="s">
        <v>133</v>
      </c>
      <c r="I277" s="211">
        <v>27520</v>
      </c>
      <c r="J277" s="24" t="s">
        <v>2013</v>
      </c>
      <c r="K277" s="24">
        <v>1</v>
      </c>
      <c r="L277" s="24">
        <v>1</v>
      </c>
      <c r="M277" s="24"/>
      <c r="N277" s="24"/>
      <c r="O277" s="24"/>
      <c r="P277" s="24"/>
      <c r="Q277" s="24"/>
      <c r="R277" s="24"/>
      <c r="S277" s="24"/>
      <c r="T277" s="24"/>
      <c r="U277" s="20" t="s">
        <v>1437</v>
      </c>
      <c r="V277" s="20" t="s">
        <v>949</v>
      </c>
      <c r="W277" s="20" t="s">
        <v>280</v>
      </c>
      <c r="X277" s="20" t="s">
        <v>227</v>
      </c>
      <c r="Y277" s="20">
        <v>9977122064</v>
      </c>
      <c r="Z277" s="20"/>
      <c r="AA277" s="20" t="s">
        <v>2040</v>
      </c>
      <c r="AB277" s="20" t="s">
        <v>1793</v>
      </c>
      <c r="AC277" s="24">
        <v>2</v>
      </c>
      <c r="AD277" s="24"/>
      <c r="AE277" s="24"/>
      <c r="AF277" s="24"/>
      <c r="AG277" s="24"/>
      <c r="AH277" s="20"/>
      <c r="AI277" s="42"/>
    </row>
    <row r="278" spans="1:35">
      <c r="A278" s="14"/>
      <c r="B278" s="20"/>
      <c r="C278" s="20"/>
      <c r="D278" s="20"/>
      <c r="E278" s="20"/>
      <c r="F278" s="20"/>
      <c r="G278" s="20"/>
      <c r="H278" s="20"/>
      <c r="I278" s="211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0"/>
      <c r="V278" s="20"/>
      <c r="W278" s="20"/>
      <c r="X278" s="20"/>
      <c r="Y278" s="20"/>
      <c r="Z278" s="20"/>
      <c r="AA278" s="20" t="s">
        <v>2132</v>
      </c>
      <c r="AB278" s="20" t="s">
        <v>1815</v>
      </c>
      <c r="AC278" s="24">
        <v>1</v>
      </c>
      <c r="AD278" s="24"/>
      <c r="AE278" s="24"/>
      <c r="AF278" s="24"/>
      <c r="AG278" s="24"/>
      <c r="AH278" s="20"/>
      <c r="AI278" s="42"/>
    </row>
    <row r="279" spans="1:35">
      <c r="A279" s="14"/>
      <c r="B279" s="20"/>
      <c r="C279" s="20" t="s">
        <v>1866</v>
      </c>
      <c r="D279" s="20" t="s">
        <v>79</v>
      </c>
      <c r="E279" s="20" t="s">
        <v>80</v>
      </c>
      <c r="F279" s="20" t="s">
        <v>2127</v>
      </c>
      <c r="G279" s="20" t="s">
        <v>2143</v>
      </c>
      <c r="H279" s="20"/>
      <c r="I279" s="211"/>
      <c r="J279" s="24">
        <v>1</v>
      </c>
      <c r="K279" s="24"/>
      <c r="L279" s="24">
        <v>1</v>
      </c>
      <c r="M279" s="24"/>
      <c r="N279" s="24"/>
      <c r="O279" s="24"/>
      <c r="P279" s="24"/>
      <c r="Q279" s="24"/>
      <c r="R279" s="24"/>
      <c r="S279" s="24"/>
      <c r="T279" s="24"/>
      <c r="U279" s="20" t="s">
        <v>1437</v>
      </c>
      <c r="V279" s="20" t="s">
        <v>949</v>
      </c>
      <c r="W279" s="20" t="s">
        <v>280</v>
      </c>
      <c r="X279" s="20" t="s">
        <v>227</v>
      </c>
      <c r="Y279" s="20"/>
      <c r="Z279" s="20"/>
      <c r="AA279" s="20" t="s">
        <v>2040</v>
      </c>
      <c r="AB279" s="20" t="s">
        <v>1793</v>
      </c>
      <c r="AC279" s="24">
        <v>2</v>
      </c>
      <c r="AD279" s="24"/>
      <c r="AE279" s="24"/>
      <c r="AF279" s="24"/>
      <c r="AG279" s="24"/>
      <c r="AH279" s="20"/>
      <c r="AI279" s="42"/>
    </row>
    <row r="280" spans="1:35">
      <c r="A280" s="14"/>
      <c r="B280" s="20"/>
      <c r="C280" s="20"/>
      <c r="D280" s="20"/>
      <c r="E280" s="20"/>
      <c r="F280" s="20"/>
      <c r="G280" s="20"/>
      <c r="H280" s="20"/>
      <c r="I280" s="211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0"/>
      <c r="V280" s="20"/>
      <c r="W280" s="20"/>
      <c r="X280" s="20"/>
      <c r="Y280" s="20"/>
      <c r="Z280" s="20"/>
      <c r="AA280" s="20" t="s">
        <v>2132</v>
      </c>
      <c r="AB280" s="20" t="s">
        <v>1815</v>
      </c>
      <c r="AC280" s="24">
        <v>1</v>
      </c>
      <c r="AD280" s="24"/>
      <c r="AE280" s="24"/>
      <c r="AF280" s="24"/>
      <c r="AG280" s="24"/>
      <c r="AH280" s="20"/>
      <c r="AI280" s="42"/>
    </row>
    <row r="281" spans="1:35">
      <c r="A281" s="14"/>
      <c r="B281" s="20"/>
      <c r="C281" s="20" t="s">
        <v>1866</v>
      </c>
      <c r="D281" s="20" t="s">
        <v>79</v>
      </c>
      <c r="E281" s="20" t="s">
        <v>80</v>
      </c>
      <c r="F281" s="20" t="s">
        <v>2144</v>
      </c>
      <c r="G281" s="20" t="s">
        <v>2145</v>
      </c>
      <c r="H281" s="20" t="s">
        <v>136</v>
      </c>
      <c r="I281" s="211">
        <v>37463</v>
      </c>
      <c r="J281" s="24">
        <v>1</v>
      </c>
      <c r="K281" s="24"/>
      <c r="L281" s="24">
        <v>1</v>
      </c>
      <c r="M281" s="24"/>
      <c r="N281" s="24"/>
      <c r="O281" s="24"/>
      <c r="P281" s="24"/>
      <c r="Q281" s="24"/>
      <c r="R281" s="24"/>
      <c r="S281" s="24"/>
      <c r="T281" s="24"/>
      <c r="U281" s="20" t="s">
        <v>1437</v>
      </c>
      <c r="V281" s="20" t="s">
        <v>949</v>
      </c>
      <c r="W281" s="20" t="s">
        <v>280</v>
      </c>
      <c r="X281" s="20" t="s">
        <v>227</v>
      </c>
      <c r="Y281" s="20"/>
      <c r="Z281" s="20"/>
      <c r="AA281" s="20" t="s">
        <v>2040</v>
      </c>
      <c r="AB281" s="20" t="s">
        <v>1793</v>
      </c>
      <c r="AC281" s="24">
        <v>2</v>
      </c>
      <c r="AD281" s="24"/>
      <c r="AE281" s="24"/>
      <c r="AF281" s="24"/>
      <c r="AG281" s="24"/>
      <c r="AH281" s="20"/>
      <c r="AI281" s="42"/>
    </row>
    <row r="282" spans="1:35">
      <c r="A282" s="14"/>
      <c r="B282" s="20"/>
      <c r="C282" s="20"/>
      <c r="D282" s="20"/>
      <c r="E282" s="20"/>
      <c r="F282" s="20"/>
      <c r="G282" s="20"/>
      <c r="H282" s="20"/>
      <c r="I282" s="211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0"/>
      <c r="V282" s="20"/>
      <c r="W282" s="20"/>
      <c r="X282" s="20"/>
      <c r="Y282" s="20"/>
      <c r="Z282" s="20"/>
      <c r="AA282" s="20" t="s">
        <v>2132</v>
      </c>
      <c r="AB282" s="20" t="s">
        <v>1815</v>
      </c>
      <c r="AC282" s="24">
        <v>1</v>
      </c>
      <c r="AD282" s="24"/>
      <c r="AE282" s="24"/>
      <c r="AF282" s="24"/>
      <c r="AG282" s="24"/>
      <c r="AH282" s="20"/>
      <c r="AI282" s="42"/>
    </row>
    <row r="283" spans="1:35">
      <c r="A283" s="14"/>
      <c r="B283" s="20"/>
      <c r="C283" s="20" t="s">
        <v>1866</v>
      </c>
      <c r="D283" s="20" t="s">
        <v>79</v>
      </c>
      <c r="E283" s="20" t="s">
        <v>80</v>
      </c>
      <c r="F283" s="20" t="s">
        <v>2146</v>
      </c>
      <c r="G283" s="20" t="s">
        <v>121</v>
      </c>
      <c r="H283" s="20" t="s">
        <v>120</v>
      </c>
      <c r="I283" s="211">
        <v>30713</v>
      </c>
      <c r="J283" s="24">
        <v>1</v>
      </c>
      <c r="K283" s="24"/>
      <c r="L283" s="24">
        <v>1</v>
      </c>
      <c r="M283" s="24"/>
      <c r="N283" s="24"/>
      <c r="O283" s="24"/>
      <c r="P283" s="24"/>
      <c r="Q283" s="24"/>
      <c r="R283" s="24"/>
      <c r="S283" s="24"/>
      <c r="T283" s="24"/>
      <c r="U283" s="20" t="s">
        <v>1437</v>
      </c>
      <c r="V283" s="20" t="s">
        <v>949</v>
      </c>
      <c r="W283" s="20" t="s">
        <v>280</v>
      </c>
      <c r="X283" s="20" t="s">
        <v>227</v>
      </c>
      <c r="Y283" s="20"/>
      <c r="Z283" s="20"/>
      <c r="AA283" s="20" t="s">
        <v>2040</v>
      </c>
      <c r="AB283" s="20" t="s">
        <v>1793</v>
      </c>
      <c r="AC283" s="24">
        <v>2</v>
      </c>
      <c r="AD283" s="24"/>
      <c r="AE283" s="24"/>
      <c r="AF283" s="24"/>
      <c r="AG283" s="24"/>
      <c r="AH283" s="20"/>
      <c r="AI283" s="42"/>
    </row>
    <row r="284" spans="1:35">
      <c r="A284" s="14"/>
      <c r="B284" s="20"/>
      <c r="C284" s="20"/>
      <c r="D284" s="20"/>
      <c r="E284" s="20"/>
      <c r="F284" s="20"/>
      <c r="G284" s="20"/>
      <c r="H284" s="20"/>
      <c r="I284" s="211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0"/>
      <c r="V284" s="20"/>
      <c r="W284" s="20"/>
      <c r="X284" s="20"/>
      <c r="Y284" s="20"/>
      <c r="Z284" s="20"/>
      <c r="AA284" s="20" t="s">
        <v>2132</v>
      </c>
      <c r="AB284" s="20" t="s">
        <v>1815</v>
      </c>
      <c r="AC284" s="24">
        <v>1</v>
      </c>
      <c r="AD284" s="24"/>
      <c r="AE284" s="24"/>
      <c r="AF284" s="24"/>
      <c r="AG284" s="24"/>
      <c r="AH284" s="20"/>
      <c r="AI284" s="42"/>
    </row>
    <row r="285" spans="1:35">
      <c r="A285" s="14"/>
      <c r="B285" s="20"/>
      <c r="C285" s="20" t="s">
        <v>1866</v>
      </c>
      <c r="D285" s="20" t="s">
        <v>79</v>
      </c>
      <c r="E285" s="20" t="s">
        <v>80</v>
      </c>
      <c r="F285" s="20" t="s">
        <v>2147</v>
      </c>
      <c r="G285" s="20" t="s">
        <v>2148</v>
      </c>
      <c r="H285" s="20" t="s">
        <v>160</v>
      </c>
      <c r="I285" s="211">
        <v>29433</v>
      </c>
      <c r="J285" s="24"/>
      <c r="K285" s="24">
        <v>1</v>
      </c>
      <c r="L285" s="24">
        <v>1</v>
      </c>
      <c r="M285" s="24"/>
      <c r="N285" s="24"/>
      <c r="O285" s="24"/>
      <c r="P285" s="24"/>
      <c r="Q285" s="24"/>
      <c r="R285" s="24"/>
      <c r="S285" s="24"/>
      <c r="T285" s="24"/>
      <c r="U285" s="20" t="s">
        <v>1437</v>
      </c>
      <c r="V285" s="20" t="s">
        <v>949</v>
      </c>
      <c r="W285" s="20" t="s">
        <v>280</v>
      </c>
      <c r="X285" s="20" t="s">
        <v>227</v>
      </c>
      <c r="Y285" s="20">
        <v>91230430483</v>
      </c>
      <c r="Z285" s="20"/>
      <c r="AA285" s="20" t="s">
        <v>2040</v>
      </c>
      <c r="AB285" s="20" t="s">
        <v>1793</v>
      </c>
      <c r="AC285" s="24">
        <v>2</v>
      </c>
      <c r="AD285" s="24"/>
      <c r="AE285" s="24"/>
      <c r="AF285" s="24"/>
      <c r="AG285" s="24"/>
      <c r="AH285" s="20"/>
      <c r="AI285" s="42"/>
    </row>
    <row r="286" spans="1:35">
      <c r="A286" s="14"/>
      <c r="B286" s="20"/>
      <c r="C286" s="20"/>
      <c r="D286" s="20"/>
      <c r="E286" s="20"/>
      <c r="F286" s="20"/>
      <c r="G286" s="20"/>
      <c r="H286" s="20"/>
      <c r="I286" s="211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0"/>
      <c r="V286" s="20"/>
      <c r="W286" s="20"/>
      <c r="X286" s="20"/>
      <c r="Y286" s="20"/>
      <c r="Z286" s="20"/>
      <c r="AA286" s="20" t="s">
        <v>2132</v>
      </c>
      <c r="AB286" s="20" t="s">
        <v>1815</v>
      </c>
      <c r="AC286" s="24">
        <v>1</v>
      </c>
      <c r="AD286" s="24"/>
      <c r="AE286" s="24"/>
      <c r="AF286" s="24"/>
      <c r="AG286" s="24"/>
      <c r="AH286" s="20"/>
      <c r="AI286" s="42"/>
    </row>
    <row r="287" spans="1:35">
      <c r="A287" s="14"/>
      <c r="B287" s="20"/>
      <c r="C287" s="20" t="s">
        <v>1866</v>
      </c>
      <c r="D287" s="20" t="s">
        <v>79</v>
      </c>
      <c r="E287" s="20" t="s">
        <v>80</v>
      </c>
      <c r="F287" s="20" t="s">
        <v>2144</v>
      </c>
      <c r="G287" s="20" t="s">
        <v>2172</v>
      </c>
      <c r="H287" s="20" t="s">
        <v>136</v>
      </c>
      <c r="I287" s="211">
        <v>27487</v>
      </c>
      <c r="J287" s="24" t="s">
        <v>93</v>
      </c>
      <c r="K287" s="24">
        <v>1</v>
      </c>
      <c r="L287" s="24">
        <v>1</v>
      </c>
      <c r="M287" s="24"/>
      <c r="N287" s="24"/>
      <c r="O287" s="24"/>
      <c r="P287" s="24"/>
      <c r="Q287" s="24"/>
      <c r="R287" s="24"/>
      <c r="S287" s="24"/>
      <c r="T287" s="24"/>
      <c r="U287" s="20" t="s">
        <v>1437</v>
      </c>
      <c r="V287" s="20" t="s">
        <v>949</v>
      </c>
      <c r="W287" s="20" t="s">
        <v>280</v>
      </c>
      <c r="X287" s="20" t="s">
        <v>227</v>
      </c>
      <c r="Y287" s="20">
        <v>9360880947</v>
      </c>
      <c r="Z287" s="20"/>
      <c r="AA287" s="20" t="s">
        <v>2040</v>
      </c>
      <c r="AB287" s="20" t="s">
        <v>1793</v>
      </c>
      <c r="AC287" s="24">
        <v>2</v>
      </c>
      <c r="AD287" s="24"/>
      <c r="AE287" s="24"/>
      <c r="AF287" s="24"/>
      <c r="AG287" s="24"/>
      <c r="AH287" s="20"/>
      <c r="AI287" s="42"/>
    </row>
    <row r="288" spans="1:35">
      <c r="A288" s="14"/>
      <c r="B288" s="20"/>
      <c r="C288" s="20"/>
      <c r="D288" s="20"/>
      <c r="E288" s="20"/>
      <c r="F288" s="20"/>
      <c r="G288" s="20"/>
      <c r="H288" s="20"/>
      <c r="I288" s="211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0"/>
      <c r="V288" s="20"/>
      <c r="W288" s="20"/>
      <c r="X288" s="20"/>
      <c r="Y288" s="20"/>
      <c r="Z288" s="20"/>
      <c r="AA288" s="20" t="s">
        <v>2132</v>
      </c>
      <c r="AB288" s="20" t="s">
        <v>1815</v>
      </c>
      <c r="AC288" s="24">
        <v>1</v>
      </c>
      <c r="AD288" s="24"/>
      <c r="AE288" s="24"/>
      <c r="AF288" s="24"/>
      <c r="AG288" s="24"/>
      <c r="AH288" s="20"/>
      <c r="AI288" s="42"/>
    </row>
    <row r="289" spans="1:35">
      <c r="A289" s="14"/>
      <c r="B289" s="20"/>
      <c r="C289" s="20" t="s">
        <v>1866</v>
      </c>
      <c r="D289" s="20" t="s">
        <v>79</v>
      </c>
      <c r="E289" s="20" t="s">
        <v>80</v>
      </c>
      <c r="F289" s="20" t="s">
        <v>2173</v>
      </c>
      <c r="G289" s="20" t="s">
        <v>2174</v>
      </c>
      <c r="H289" s="20" t="s">
        <v>136</v>
      </c>
      <c r="I289" s="211">
        <v>28565</v>
      </c>
      <c r="J289" s="24"/>
      <c r="K289" s="24">
        <v>1</v>
      </c>
      <c r="L289" s="24">
        <v>1</v>
      </c>
      <c r="M289" s="24"/>
      <c r="N289" s="24"/>
      <c r="O289" s="24"/>
      <c r="P289" s="24"/>
      <c r="Q289" s="24"/>
      <c r="R289" s="24"/>
      <c r="S289" s="24"/>
      <c r="T289" s="24"/>
      <c r="U289" s="20" t="s">
        <v>1437</v>
      </c>
      <c r="V289" s="20" t="s">
        <v>949</v>
      </c>
      <c r="W289" s="20" t="s">
        <v>280</v>
      </c>
      <c r="X289" s="20" t="s">
        <v>227</v>
      </c>
      <c r="Y289" s="20">
        <v>9655318089</v>
      </c>
      <c r="Z289" s="20"/>
      <c r="AA289" s="20" t="s">
        <v>2040</v>
      </c>
      <c r="AB289" s="20" t="s">
        <v>1793</v>
      </c>
      <c r="AC289" s="24">
        <v>2</v>
      </c>
      <c r="AD289" s="24"/>
      <c r="AE289" s="24"/>
      <c r="AF289" s="24"/>
      <c r="AG289" s="24"/>
      <c r="AH289" s="20"/>
      <c r="AI289" s="42"/>
    </row>
    <row r="290" spans="1:35">
      <c r="A290" s="14"/>
      <c r="B290" s="20"/>
      <c r="C290" s="20"/>
      <c r="D290" s="20"/>
      <c r="E290" s="20"/>
      <c r="F290" s="20"/>
      <c r="G290" s="20"/>
      <c r="H290" s="20"/>
      <c r="I290" s="211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0"/>
      <c r="V290" s="20"/>
      <c r="W290" s="20"/>
      <c r="X290" s="20"/>
      <c r="Y290" s="20"/>
      <c r="Z290" s="20"/>
      <c r="AA290" s="20" t="s">
        <v>2132</v>
      </c>
      <c r="AB290" s="20" t="s">
        <v>1815</v>
      </c>
      <c r="AC290" s="24">
        <v>1</v>
      </c>
      <c r="AD290" s="24"/>
      <c r="AE290" s="24"/>
      <c r="AF290" s="24"/>
      <c r="AG290" s="24"/>
      <c r="AH290" s="20"/>
      <c r="AI290" s="42"/>
    </row>
    <row r="291" spans="1:35">
      <c r="A291" s="14"/>
      <c r="B291" s="20"/>
      <c r="C291" s="20" t="s">
        <v>1866</v>
      </c>
      <c r="D291" s="20" t="s">
        <v>79</v>
      </c>
      <c r="E291" s="20" t="s">
        <v>80</v>
      </c>
      <c r="F291" s="20" t="s">
        <v>2127</v>
      </c>
      <c r="G291" s="20" t="s">
        <v>2175</v>
      </c>
      <c r="H291" s="20" t="s">
        <v>1957</v>
      </c>
      <c r="I291" s="211">
        <v>29453</v>
      </c>
      <c r="J291" s="24">
        <v>1</v>
      </c>
      <c r="K291" s="24"/>
      <c r="L291" s="24">
        <v>1</v>
      </c>
      <c r="M291" s="24"/>
      <c r="N291" s="24"/>
      <c r="O291" s="24"/>
      <c r="P291" s="24"/>
      <c r="Q291" s="24"/>
      <c r="R291" s="24"/>
      <c r="S291" s="24"/>
      <c r="T291" s="24"/>
      <c r="U291" s="20" t="s">
        <v>1437</v>
      </c>
      <c r="V291" s="20" t="s">
        <v>949</v>
      </c>
      <c r="W291" s="20" t="s">
        <v>280</v>
      </c>
      <c r="X291" s="20" t="s">
        <v>227</v>
      </c>
      <c r="Y291" s="20">
        <v>9651974715</v>
      </c>
      <c r="Z291" s="20"/>
      <c r="AA291" s="20" t="s">
        <v>2040</v>
      </c>
      <c r="AB291" s="20" t="s">
        <v>1793</v>
      </c>
      <c r="AC291" s="24">
        <v>2</v>
      </c>
      <c r="AD291" s="24"/>
      <c r="AE291" s="24"/>
      <c r="AF291" s="24"/>
      <c r="AG291" s="24"/>
      <c r="AH291" s="20"/>
      <c r="AI291" s="42"/>
    </row>
    <row r="292" spans="1:35">
      <c r="A292" s="14"/>
      <c r="B292" s="20"/>
      <c r="C292" s="20"/>
      <c r="D292" s="20"/>
      <c r="E292" s="20"/>
      <c r="F292" s="20"/>
      <c r="G292" s="20"/>
      <c r="H292" s="20"/>
      <c r="I292" s="211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0"/>
      <c r="V292" s="20"/>
      <c r="W292" s="20"/>
      <c r="X292" s="20"/>
      <c r="Y292" s="20"/>
      <c r="Z292" s="20"/>
      <c r="AA292" s="20" t="s">
        <v>2132</v>
      </c>
      <c r="AB292" s="20" t="s">
        <v>1815</v>
      </c>
      <c r="AC292" s="24">
        <v>1</v>
      </c>
      <c r="AD292" s="24"/>
      <c r="AE292" s="24"/>
      <c r="AF292" s="24"/>
      <c r="AG292" s="24"/>
      <c r="AH292" s="20"/>
      <c r="AI292" s="42"/>
    </row>
    <row r="293" spans="1:35">
      <c r="A293" s="14"/>
      <c r="B293" s="20"/>
      <c r="C293" s="20" t="s">
        <v>1866</v>
      </c>
      <c r="D293" s="20" t="s">
        <v>79</v>
      </c>
      <c r="E293" s="20" t="s">
        <v>80</v>
      </c>
      <c r="F293" s="20" t="s">
        <v>2176</v>
      </c>
      <c r="G293" s="20" t="s">
        <v>2177</v>
      </c>
      <c r="H293" s="20" t="s">
        <v>136</v>
      </c>
      <c r="I293" s="211">
        <v>32756</v>
      </c>
      <c r="J293" s="24">
        <v>1</v>
      </c>
      <c r="K293" s="24"/>
      <c r="L293" s="24">
        <v>1</v>
      </c>
      <c r="M293" s="24"/>
      <c r="N293" s="24"/>
      <c r="O293" s="24"/>
      <c r="P293" s="24"/>
      <c r="Q293" s="24"/>
      <c r="R293" s="24"/>
      <c r="S293" s="24"/>
      <c r="T293" s="24"/>
      <c r="U293" s="20" t="s">
        <v>1437</v>
      </c>
      <c r="V293" s="20" t="s">
        <v>949</v>
      </c>
      <c r="W293" s="20" t="s">
        <v>280</v>
      </c>
      <c r="X293" s="20" t="s">
        <v>227</v>
      </c>
      <c r="Y293" s="20"/>
      <c r="Z293" s="20"/>
      <c r="AA293" s="20" t="s">
        <v>2040</v>
      </c>
      <c r="AB293" s="20" t="s">
        <v>1793</v>
      </c>
      <c r="AC293" s="24">
        <v>2</v>
      </c>
      <c r="AD293" s="24"/>
      <c r="AE293" s="24"/>
      <c r="AF293" s="24"/>
      <c r="AG293" s="24"/>
      <c r="AH293" s="20"/>
      <c r="AI293" s="42"/>
    </row>
    <row r="294" spans="1:35">
      <c r="A294" s="14"/>
      <c r="B294" s="20"/>
      <c r="C294" s="20"/>
      <c r="D294" s="20"/>
      <c r="E294" s="20"/>
      <c r="F294" s="20"/>
      <c r="G294" s="20"/>
      <c r="H294" s="20"/>
      <c r="I294" s="211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0"/>
      <c r="V294" s="20"/>
      <c r="W294" s="20"/>
      <c r="X294" s="20"/>
      <c r="Y294" s="20"/>
      <c r="Z294" s="20"/>
      <c r="AA294" s="20" t="s">
        <v>2132</v>
      </c>
      <c r="AB294" s="20" t="s">
        <v>1815</v>
      </c>
      <c r="AC294" s="24">
        <v>1</v>
      </c>
      <c r="AD294" s="24"/>
      <c r="AE294" s="24"/>
      <c r="AF294" s="24"/>
      <c r="AG294" s="24"/>
      <c r="AH294" s="20"/>
      <c r="AI294" s="42"/>
    </row>
    <row r="295" spans="1:35">
      <c r="A295" s="14"/>
      <c r="B295" s="20"/>
      <c r="C295" s="20" t="s">
        <v>1866</v>
      </c>
      <c r="D295" s="20" t="s">
        <v>79</v>
      </c>
      <c r="E295" s="20" t="s">
        <v>80</v>
      </c>
      <c r="F295" s="20" t="s">
        <v>2178</v>
      </c>
      <c r="G295" s="20" t="s">
        <v>2179</v>
      </c>
      <c r="H295" s="20" t="s">
        <v>588</v>
      </c>
      <c r="I295" s="211">
        <v>27958</v>
      </c>
      <c r="J295" s="24"/>
      <c r="K295" s="24">
        <v>1</v>
      </c>
      <c r="L295" s="24">
        <v>1</v>
      </c>
      <c r="M295" s="24"/>
      <c r="N295" s="24"/>
      <c r="O295" s="24"/>
      <c r="P295" s="24"/>
      <c r="Q295" s="24"/>
      <c r="R295" s="24"/>
      <c r="S295" s="24"/>
      <c r="T295" s="24"/>
      <c r="U295" s="20" t="s">
        <v>1437</v>
      </c>
      <c r="V295" s="20" t="s">
        <v>949</v>
      </c>
      <c r="W295" s="20" t="s">
        <v>280</v>
      </c>
      <c r="X295" s="20" t="s">
        <v>227</v>
      </c>
      <c r="Y295" s="20">
        <v>9282313200</v>
      </c>
      <c r="Z295" s="20"/>
      <c r="AA295" s="20" t="s">
        <v>2040</v>
      </c>
      <c r="AB295" s="20" t="s">
        <v>1793</v>
      </c>
      <c r="AC295" s="24">
        <v>2</v>
      </c>
      <c r="AD295" s="24"/>
      <c r="AE295" s="24"/>
      <c r="AF295" s="24"/>
      <c r="AG295" s="24"/>
      <c r="AH295" s="20"/>
      <c r="AI295" s="42"/>
    </row>
    <row r="296" spans="1:35">
      <c r="A296" s="14"/>
      <c r="B296" s="20"/>
      <c r="C296" s="20"/>
      <c r="D296" s="20"/>
      <c r="E296" s="20"/>
      <c r="F296" s="20"/>
      <c r="G296" s="20"/>
      <c r="H296" s="20"/>
      <c r="I296" s="211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0"/>
      <c r="V296" s="20"/>
      <c r="W296" s="20"/>
      <c r="X296" s="20"/>
      <c r="Y296" s="20"/>
      <c r="Z296" s="20"/>
      <c r="AA296" s="20" t="s">
        <v>2132</v>
      </c>
      <c r="AB296" s="20" t="s">
        <v>1815</v>
      </c>
      <c r="AC296" s="24">
        <v>1</v>
      </c>
      <c r="AD296" s="24"/>
      <c r="AE296" s="24"/>
      <c r="AF296" s="24"/>
      <c r="AG296" s="24"/>
      <c r="AH296" s="20"/>
      <c r="AI296" s="42"/>
    </row>
    <row r="297" spans="1:35">
      <c r="A297" s="14"/>
      <c r="B297" s="20"/>
      <c r="C297" s="20" t="s">
        <v>1866</v>
      </c>
      <c r="D297" s="20" t="s">
        <v>79</v>
      </c>
      <c r="E297" s="20" t="s">
        <v>80</v>
      </c>
      <c r="F297" s="20" t="s">
        <v>2176</v>
      </c>
      <c r="G297" s="20" t="s">
        <v>2180</v>
      </c>
      <c r="H297" s="20" t="s">
        <v>136</v>
      </c>
      <c r="I297" s="211">
        <v>29649</v>
      </c>
      <c r="J297" s="24">
        <v>1</v>
      </c>
      <c r="K297" s="24"/>
      <c r="L297" s="24">
        <v>1</v>
      </c>
      <c r="M297" s="24"/>
      <c r="N297" s="24"/>
      <c r="O297" s="24"/>
      <c r="P297" s="24"/>
      <c r="Q297" s="24"/>
      <c r="R297" s="24"/>
      <c r="S297" s="24"/>
      <c r="T297" s="24"/>
      <c r="U297" s="20" t="s">
        <v>1437</v>
      </c>
      <c r="V297" s="20" t="s">
        <v>949</v>
      </c>
      <c r="W297" s="20" t="s">
        <v>280</v>
      </c>
      <c r="X297" s="20" t="s">
        <v>227</v>
      </c>
      <c r="Y297" s="20">
        <v>9357512045</v>
      </c>
      <c r="Z297" s="20"/>
      <c r="AA297" s="20" t="s">
        <v>2040</v>
      </c>
      <c r="AB297" s="20" t="s">
        <v>1793</v>
      </c>
      <c r="AC297" s="24">
        <v>2</v>
      </c>
      <c r="AD297" s="24"/>
      <c r="AE297" s="24"/>
      <c r="AF297" s="24"/>
      <c r="AG297" s="24"/>
      <c r="AH297" s="20"/>
      <c r="AI297" s="42"/>
    </row>
    <row r="298" spans="1:35">
      <c r="A298" s="14"/>
      <c r="B298" s="20"/>
      <c r="C298" s="20"/>
      <c r="D298" s="20"/>
      <c r="E298" s="20"/>
      <c r="F298" s="20"/>
      <c r="G298" s="20"/>
      <c r="H298" s="20"/>
      <c r="I298" s="211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0"/>
      <c r="V298" s="20"/>
      <c r="W298" s="20"/>
      <c r="X298" s="20"/>
      <c r="Y298" s="20"/>
      <c r="Z298" s="20"/>
      <c r="AA298" s="20" t="s">
        <v>2132</v>
      </c>
      <c r="AB298" s="20" t="s">
        <v>1815</v>
      </c>
      <c r="AC298" s="24">
        <v>1</v>
      </c>
      <c r="AD298" s="24"/>
      <c r="AE298" s="24"/>
      <c r="AF298" s="24"/>
      <c r="AG298" s="24"/>
      <c r="AH298" s="20"/>
      <c r="AI298" s="42"/>
    </row>
    <row r="299" spans="1:35">
      <c r="A299" s="14"/>
      <c r="B299" s="20"/>
      <c r="C299" s="20" t="s">
        <v>1866</v>
      </c>
      <c r="D299" s="20" t="s">
        <v>79</v>
      </c>
      <c r="E299" s="20" t="s">
        <v>80</v>
      </c>
      <c r="F299" s="20" t="s">
        <v>881</v>
      </c>
      <c r="G299" s="20" t="s">
        <v>1182</v>
      </c>
      <c r="H299" s="20" t="s">
        <v>136</v>
      </c>
      <c r="I299" s="211">
        <v>27770</v>
      </c>
      <c r="J299" s="24">
        <v>1</v>
      </c>
      <c r="K299" s="24"/>
      <c r="L299" s="24">
        <v>1</v>
      </c>
      <c r="M299" s="24"/>
      <c r="N299" s="24"/>
      <c r="O299" s="24"/>
      <c r="P299" s="24"/>
      <c r="Q299" s="24"/>
      <c r="R299" s="24"/>
      <c r="S299" s="24"/>
      <c r="T299" s="24"/>
      <c r="U299" s="20" t="s">
        <v>1437</v>
      </c>
      <c r="V299" s="20" t="s">
        <v>949</v>
      </c>
      <c r="W299" s="20" t="s">
        <v>280</v>
      </c>
      <c r="X299" s="20" t="s">
        <v>227</v>
      </c>
      <c r="Y299" s="20">
        <v>9972039340</v>
      </c>
      <c r="Z299" s="20"/>
      <c r="AA299" s="20" t="s">
        <v>2040</v>
      </c>
      <c r="AB299" s="20" t="s">
        <v>1793</v>
      </c>
      <c r="AC299" s="24">
        <v>2</v>
      </c>
      <c r="AD299" s="24"/>
      <c r="AE299" s="24"/>
      <c r="AF299" s="24"/>
      <c r="AG299" s="24"/>
      <c r="AH299" s="20"/>
      <c r="AI299" s="42"/>
    </row>
    <row r="300" spans="1:35">
      <c r="A300" s="14"/>
      <c r="B300" s="20"/>
      <c r="C300" s="20"/>
      <c r="D300" s="20"/>
      <c r="E300" s="20"/>
      <c r="F300" s="20"/>
      <c r="G300" s="20"/>
      <c r="H300" s="20"/>
      <c r="I300" s="211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0"/>
      <c r="V300" s="20"/>
      <c r="W300" s="20"/>
      <c r="X300" s="20"/>
      <c r="Y300" s="20"/>
      <c r="Z300" s="20"/>
      <c r="AA300" s="20" t="s">
        <v>2132</v>
      </c>
      <c r="AB300" s="20" t="s">
        <v>1815</v>
      </c>
      <c r="AC300" s="24">
        <v>1</v>
      </c>
      <c r="AD300" s="24"/>
      <c r="AE300" s="24"/>
      <c r="AF300" s="24"/>
      <c r="AG300" s="24"/>
      <c r="AH300" s="20"/>
      <c r="AI300" s="42"/>
    </row>
    <row r="301" spans="1:35">
      <c r="A301" s="14"/>
      <c r="B301" s="20"/>
      <c r="C301" s="20" t="s">
        <v>1866</v>
      </c>
      <c r="D301" s="20" t="s">
        <v>79</v>
      </c>
      <c r="E301" s="20" t="s">
        <v>80</v>
      </c>
      <c r="F301" s="20" t="s">
        <v>220</v>
      </c>
      <c r="G301" s="20" t="s">
        <v>2181</v>
      </c>
      <c r="H301" s="20" t="s">
        <v>126</v>
      </c>
      <c r="I301" s="211">
        <v>31257</v>
      </c>
      <c r="J301" s="24">
        <v>1</v>
      </c>
      <c r="K301" s="24"/>
      <c r="L301" s="24">
        <v>1</v>
      </c>
      <c r="M301" s="24"/>
      <c r="N301" s="24"/>
      <c r="O301" s="24"/>
      <c r="P301" s="24"/>
      <c r="Q301" s="24"/>
      <c r="R301" s="24"/>
      <c r="S301" s="24"/>
      <c r="T301" s="24"/>
      <c r="U301" s="20" t="s">
        <v>1437</v>
      </c>
      <c r="V301" s="20" t="s">
        <v>949</v>
      </c>
      <c r="W301" s="20" t="s">
        <v>280</v>
      </c>
      <c r="X301" s="20" t="s">
        <v>227</v>
      </c>
      <c r="Y301" s="20">
        <v>9759462080</v>
      </c>
      <c r="Z301" s="20"/>
      <c r="AA301" s="20" t="s">
        <v>2040</v>
      </c>
      <c r="AB301" s="20" t="s">
        <v>1793</v>
      </c>
      <c r="AC301" s="24">
        <v>2</v>
      </c>
      <c r="AD301" s="24"/>
      <c r="AE301" s="24"/>
      <c r="AF301" s="24"/>
      <c r="AG301" s="24"/>
      <c r="AH301" s="20"/>
      <c r="AI301" s="42"/>
    </row>
    <row r="302" spans="1:35">
      <c r="A302" s="14"/>
      <c r="B302" s="20" t="s">
        <v>93</v>
      </c>
      <c r="C302" s="20"/>
      <c r="D302" s="20"/>
      <c r="E302" s="20"/>
      <c r="F302" s="20"/>
      <c r="G302" s="20"/>
      <c r="H302" s="20"/>
      <c r="I302" s="211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0"/>
      <c r="V302" s="20"/>
      <c r="W302" s="20"/>
      <c r="X302" s="20"/>
      <c r="Y302" s="20"/>
      <c r="Z302" s="20"/>
      <c r="AA302" s="20" t="s">
        <v>2132</v>
      </c>
      <c r="AB302" s="20" t="s">
        <v>1815</v>
      </c>
      <c r="AC302" s="24">
        <v>1</v>
      </c>
      <c r="AD302" s="24"/>
      <c r="AE302" s="24"/>
      <c r="AF302" s="24"/>
      <c r="AG302" s="24"/>
      <c r="AH302" s="20"/>
      <c r="AI302" s="42"/>
    </row>
    <row r="303" spans="1:35">
      <c r="A303" s="14"/>
      <c r="B303" s="20"/>
      <c r="C303" s="20" t="s">
        <v>1866</v>
      </c>
      <c r="D303" s="20" t="s">
        <v>79</v>
      </c>
      <c r="E303" s="20" t="s">
        <v>80</v>
      </c>
      <c r="F303" s="20" t="s">
        <v>2012</v>
      </c>
      <c r="G303" s="20" t="s">
        <v>2182</v>
      </c>
      <c r="H303" s="20" t="s">
        <v>136</v>
      </c>
      <c r="I303" s="211">
        <v>26043</v>
      </c>
      <c r="J303" s="24">
        <v>1</v>
      </c>
      <c r="K303" s="24"/>
      <c r="L303" s="24">
        <v>1</v>
      </c>
      <c r="M303" s="24"/>
      <c r="N303" s="24"/>
      <c r="O303" s="24"/>
      <c r="P303" s="24"/>
      <c r="Q303" s="24"/>
      <c r="R303" s="24"/>
      <c r="S303" s="24"/>
      <c r="T303" s="24"/>
      <c r="U303" s="20" t="s">
        <v>1437</v>
      </c>
      <c r="V303" s="20" t="s">
        <v>949</v>
      </c>
      <c r="W303" s="20" t="s">
        <v>280</v>
      </c>
      <c r="X303" s="20" t="s">
        <v>227</v>
      </c>
      <c r="Y303" s="20">
        <v>9574374370</v>
      </c>
      <c r="Z303" s="20"/>
      <c r="AA303" s="20" t="s">
        <v>2040</v>
      </c>
      <c r="AB303" s="20" t="s">
        <v>1793</v>
      </c>
      <c r="AC303" s="24">
        <v>2</v>
      </c>
      <c r="AD303" s="24"/>
      <c r="AE303" s="24"/>
      <c r="AF303" s="24"/>
      <c r="AG303" s="24"/>
      <c r="AH303" s="20"/>
      <c r="AI303" s="42"/>
    </row>
    <row r="304" spans="1:35">
      <c r="A304" s="14"/>
      <c r="B304" s="20"/>
      <c r="C304" s="20"/>
      <c r="D304" s="20"/>
      <c r="E304" s="20"/>
      <c r="F304" s="20"/>
      <c r="G304" s="20"/>
      <c r="H304" s="20"/>
      <c r="I304" s="211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0"/>
      <c r="V304" s="20"/>
      <c r="W304" s="20"/>
      <c r="X304" s="20"/>
      <c r="Y304" s="20"/>
      <c r="Z304" s="20"/>
      <c r="AA304" s="20" t="s">
        <v>2132</v>
      </c>
      <c r="AB304" s="20" t="s">
        <v>1815</v>
      </c>
      <c r="AC304" s="24">
        <v>1</v>
      </c>
      <c r="AD304" s="24"/>
      <c r="AE304" s="24"/>
      <c r="AF304" s="24"/>
      <c r="AG304" s="24"/>
      <c r="AH304" s="20"/>
      <c r="AI304" s="42"/>
    </row>
    <row r="305" spans="1:35">
      <c r="A305" s="14"/>
      <c r="B305" s="20"/>
      <c r="C305" s="20" t="s">
        <v>1866</v>
      </c>
      <c r="D305" s="20" t="s">
        <v>79</v>
      </c>
      <c r="E305" s="20" t="s">
        <v>80</v>
      </c>
      <c r="F305" s="20" t="s">
        <v>2183</v>
      </c>
      <c r="G305" s="20" t="s">
        <v>2184</v>
      </c>
      <c r="H305" s="20" t="s">
        <v>588</v>
      </c>
      <c r="I305" s="211">
        <v>31003</v>
      </c>
      <c r="J305" s="24" t="s">
        <v>93</v>
      </c>
      <c r="K305" s="24">
        <v>1</v>
      </c>
      <c r="L305" s="24">
        <v>1</v>
      </c>
      <c r="M305" s="24"/>
      <c r="N305" s="24"/>
      <c r="O305" s="24"/>
      <c r="P305" s="24"/>
      <c r="Q305" s="24"/>
      <c r="R305" s="24"/>
      <c r="S305" s="24"/>
      <c r="T305" s="24"/>
      <c r="U305" s="20" t="s">
        <v>1437</v>
      </c>
      <c r="V305" s="20" t="s">
        <v>949</v>
      </c>
      <c r="W305" s="20" t="s">
        <v>280</v>
      </c>
      <c r="X305" s="20" t="s">
        <v>227</v>
      </c>
      <c r="Y305" s="20">
        <v>99778812413</v>
      </c>
      <c r="Z305" s="20"/>
      <c r="AA305" s="20" t="s">
        <v>2040</v>
      </c>
      <c r="AB305" s="20" t="s">
        <v>1793</v>
      </c>
      <c r="AC305" s="24">
        <v>2</v>
      </c>
      <c r="AD305" s="24"/>
      <c r="AE305" s="24"/>
      <c r="AF305" s="24"/>
      <c r="AG305" s="24"/>
      <c r="AH305" s="20"/>
      <c r="AI305" s="42"/>
    </row>
    <row r="306" spans="1:35">
      <c r="A306" s="14"/>
      <c r="B306" s="20"/>
      <c r="C306" s="20"/>
      <c r="D306" s="20"/>
      <c r="E306" s="20"/>
      <c r="F306" s="20"/>
      <c r="G306" s="20"/>
      <c r="H306" s="20"/>
      <c r="I306" s="211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0"/>
      <c r="V306" s="20"/>
      <c r="W306" s="20"/>
      <c r="X306" s="20"/>
      <c r="Y306" s="20"/>
      <c r="Z306" s="20"/>
      <c r="AA306" s="20" t="s">
        <v>2132</v>
      </c>
      <c r="AB306" s="20" t="s">
        <v>1815</v>
      </c>
      <c r="AC306" s="24">
        <v>1</v>
      </c>
      <c r="AD306" s="24"/>
      <c r="AE306" s="24"/>
      <c r="AF306" s="24"/>
      <c r="AG306" s="24"/>
      <c r="AH306" s="20"/>
      <c r="AI306" s="42"/>
    </row>
    <row r="307" spans="1:35">
      <c r="A307" s="14"/>
      <c r="B307" s="20"/>
      <c r="C307" s="20" t="s">
        <v>1866</v>
      </c>
      <c r="D307" s="20" t="s">
        <v>79</v>
      </c>
      <c r="E307" s="20" t="s">
        <v>80</v>
      </c>
      <c r="F307" s="20" t="s">
        <v>2127</v>
      </c>
      <c r="G307" s="20" t="s">
        <v>2185</v>
      </c>
      <c r="H307" s="20" t="s">
        <v>1957</v>
      </c>
      <c r="I307" s="211">
        <v>27487</v>
      </c>
      <c r="J307" s="24">
        <v>1</v>
      </c>
      <c r="K307" s="24"/>
      <c r="L307" s="24">
        <v>1</v>
      </c>
      <c r="M307" s="24"/>
      <c r="N307" s="24"/>
      <c r="O307" s="24"/>
      <c r="P307" s="24"/>
      <c r="Q307" s="24"/>
      <c r="R307" s="24"/>
      <c r="S307" s="24"/>
      <c r="T307" s="24"/>
      <c r="U307" s="20" t="s">
        <v>1437</v>
      </c>
      <c r="V307" s="20" t="s">
        <v>949</v>
      </c>
      <c r="W307" s="20" t="s">
        <v>280</v>
      </c>
      <c r="X307" s="20" t="s">
        <v>227</v>
      </c>
      <c r="Y307" s="20">
        <v>9300473545</v>
      </c>
      <c r="Z307" s="20"/>
      <c r="AA307" s="20" t="s">
        <v>2040</v>
      </c>
      <c r="AB307" s="20" t="s">
        <v>1793</v>
      </c>
      <c r="AC307" s="24">
        <v>2</v>
      </c>
      <c r="AD307" s="24"/>
      <c r="AE307" s="24"/>
      <c r="AF307" s="24"/>
      <c r="AG307" s="24"/>
      <c r="AH307" s="20"/>
      <c r="AI307" s="42"/>
    </row>
    <row r="308" spans="1:35">
      <c r="A308" s="14"/>
      <c r="B308" s="20"/>
      <c r="C308" s="20"/>
      <c r="D308" s="20"/>
      <c r="E308" s="20"/>
      <c r="F308" s="20"/>
      <c r="G308" s="20"/>
      <c r="H308" s="20"/>
      <c r="I308" s="211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0"/>
      <c r="V308" s="20"/>
      <c r="W308" s="20"/>
      <c r="X308" s="20"/>
      <c r="Y308" s="20"/>
      <c r="Z308" s="20"/>
      <c r="AA308" s="20" t="s">
        <v>2132</v>
      </c>
      <c r="AB308" s="20" t="s">
        <v>1815</v>
      </c>
      <c r="AC308" s="24">
        <v>1</v>
      </c>
      <c r="AD308" s="24"/>
      <c r="AE308" s="24"/>
      <c r="AF308" s="24"/>
      <c r="AG308" s="24"/>
      <c r="AH308" s="20"/>
      <c r="AI308" s="42"/>
    </row>
    <row r="309" spans="1:35">
      <c r="A309" s="14"/>
      <c r="B309" s="20"/>
      <c r="C309" s="20" t="s">
        <v>1866</v>
      </c>
      <c r="D309" s="20" t="s">
        <v>79</v>
      </c>
      <c r="E309" s="20" t="s">
        <v>80</v>
      </c>
      <c r="F309" s="20" t="s">
        <v>2190</v>
      </c>
      <c r="G309" s="20" t="s">
        <v>2191</v>
      </c>
      <c r="H309" s="20" t="s">
        <v>409</v>
      </c>
      <c r="I309" s="211">
        <v>24807</v>
      </c>
      <c r="J309" s="24" t="s">
        <v>93</v>
      </c>
      <c r="K309" s="24">
        <v>1</v>
      </c>
      <c r="L309" s="24">
        <v>1</v>
      </c>
      <c r="M309" s="24"/>
      <c r="N309" s="24"/>
      <c r="O309" s="24"/>
      <c r="P309" s="24"/>
      <c r="Q309" s="24"/>
      <c r="R309" s="24"/>
      <c r="S309" s="24"/>
      <c r="T309" s="24"/>
      <c r="U309" s="20" t="s">
        <v>1437</v>
      </c>
      <c r="V309" s="20" t="s">
        <v>949</v>
      </c>
      <c r="W309" s="20" t="s">
        <v>280</v>
      </c>
      <c r="X309" s="20" t="s">
        <v>227</v>
      </c>
      <c r="Y309" s="20">
        <v>9675178762</v>
      </c>
      <c r="Z309" s="20"/>
      <c r="AA309" s="20" t="s">
        <v>2040</v>
      </c>
      <c r="AB309" s="20" t="s">
        <v>1793</v>
      </c>
      <c r="AC309" s="24">
        <v>2</v>
      </c>
      <c r="AD309" s="24"/>
      <c r="AE309" s="24"/>
      <c r="AF309" s="24"/>
      <c r="AG309" s="24"/>
      <c r="AH309" s="20"/>
      <c r="AI309" s="42"/>
    </row>
    <row r="310" spans="1:35">
      <c r="A310" s="14"/>
      <c r="B310" s="20"/>
      <c r="C310" s="20"/>
      <c r="D310" s="20"/>
      <c r="E310" s="20"/>
      <c r="F310" s="20"/>
      <c r="G310" s="20"/>
      <c r="H310" s="20"/>
      <c r="I310" s="211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0"/>
      <c r="V310" s="20"/>
      <c r="W310" s="20"/>
      <c r="X310" s="20"/>
      <c r="Y310" s="20"/>
      <c r="Z310" s="20"/>
      <c r="AA310" s="20" t="s">
        <v>2132</v>
      </c>
      <c r="AB310" s="20" t="s">
        <v>1815</v>
      </c>
      <c r="AC310" s="24">
        <v>1</v>
      </c>
      <c r="AD310" s="24"/>
      <c r="AE310" s="24"/>
      <c r="AF310" s="24"/>
      <c r="AG310" s="24"/>
      <c r="AH310" s="20"/>
      <c r="AI310" s="42"/>
    </row>
    <row r="311" spans="1:35">
      <c r="A311" s="14"/>
      <c r="B311" s="20"/>
      <c r="C311" s="20" t="s">
        <v>1866</v>
      </c>
      <c r="D311" s="20" t="s">
        <v>79</v>
      </c>
      <c r="E311" s="20" t="s">
        <v>80</v>
      </c>
      <c r="F311" s="20" t="s">
        <v>2127</v>
      </c>
      <c r="G311" s="20" t="s">
        <v>2192</v>
      </c>
      <c r="H311" s="20" t="s">
        <v>1957</v>
      </c>
      <c r="I311" s="211">
        <v>19585</v>
      </c>
      <c r="J311" s="24"/>
      <c r="K311" s="24">
        <v>1</v>
      </c>
      <c r="L311" s="24">
        <v>1</v>
      </c>
      <c r="M311" s="24">
        <v>1</v>
      </c>
      <c r="N311" s="24"/>
      <c r="O311" s="24"/>
      <c r="P311" s="24"/>
      <c r="Q311" s="24"/>
      <c r="R311" s="24"/>
      <c r="S311" s="24"/>
      <c r="T311" s="24"/>
      <c r="U311" s="20" t="s">
        <v>1437</v>
      </c>
      <c r="V311" s="20" t="s">
        <v>949</v>
      </c>
      <c r="W311" s="20" t="s">
        <v>280</v>
      </c>
      <c r="X311" s="20" t="s">
        <v>227</v>
      </c>
      <c r="Y311" s="20">
        <v>9050842525</v>
      </c>
      <c r="Z311" s="20"/>
      <c r="AA311" s="20" t="s">
        <v>2040</v>
      </c>
      <c r="AB311" s="20" t="s">
        <v>1793</v>
      </c>
      <c r="AC311" s="24">
        <v>2</v>
      </c>
      <c r="AD311" s="24"/>
      <c r="AE311" s="24"/>
      <c r="AF311" s="24"/>
      <c r="AG311" s="24"/>
      <c r="AH311" s="20"/>
      <c r="AI311" s="42"/>
    </row>
    <row r="312" spans="1:35">
      <c r="A312" s="14"/>
      <c r="B312" s="20"/>
      <c r="C312" s="20"/>
      <c r="D312" s="20"/>
      <c r="E312" s="20"/>
      <c r="F312" s="20"/>
      <c r="G312" s="20"/>
      <c r="H312" s="20"/>
      <c r="I312" s="211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0"/>
      <c r="V312" s="20"/>
      <c r="W312" s="20"/>
      <c r="X312" s="20"/>
      <c r="Y312" s="20"/>
      <c r="Z312" s="20"/>
      <c r="AA312" s="20" t="s">
        <v>2132</v>
      </c>
      <c r="AB312" s="20" t="s">
        <v>1815</v>
      </c>
      <c r="AC312" s="24">
        <v>1</v>
      </c>
      <c r="AD312" s="24"/>
      <c r="AE312" s="24"/>
      <c r="AF312" s="24"/>
      <c r="AG312" s="24"/>
      <c r="AH312" s="20"/>
      <c r="AI312" s="42"/>
    </row>
    <row r="313" spans="1:35">
      <c r="A313" s="14"/>
      <c r="B313" s="20"/>
      <c r="C313" s="20" t="s">
        <v>1866</v>
      </c>
      <c r="D313" s="20" t="s">
        <v>79</v>
      </c>
      <c r="E313" s="20" t="s">
        <v>80</v>
      </c>
      <c r="F313" s="20" t="s">
        <v>2186</v>
      </c>
      <c r="G313" s="20" t="s">
        <v>2187</v>
      </c>
      <c r="H313" s="20" t="s">
        <v>113</v>
      </c>
      <c r="I313" s="211">
        <v>27774</v>
      </c>
      <c r="J313" s="24">
        <v>1</v>
      </c>
      <c r="K313" s="24"/>
      <c r="L313" s="24">
        <v>1</v>
      </c>
      <c r="M313" s="24"/>
      <c r="N313" s="24"/>
      <c r="O313" s="24"/>
      <c r="P313" s="24"/>
      <c r="Q313" s="24"/>
      <c r="R313" s="24"/>
      <c r="S313" s="24"/>
      <c r="T313" s="24"/>
      <c r="U313" s="20" t="s">
        <v>1437</v>
      </c>
      <c r="V313" s="20" t="s">
        <v>949</v>
      </c>
      <c r="W313" s="20" t="s">
        <v>280</v>
      </c>
      <c r="X313" s="20" t="s">
        <v>227</v>
      </c>
      <c r="Y313" s="20">
        <v>9552507577</v>
      </c>
      <c r="Z313" s="20"/>
      <c r="AA313" s="20" t="s">
        <v>2040</v>
      </c>
      <c r="AB313" s="20" t="s">
        <v>1793</v>
      </c>
      <c r="AC313" s="24">
        <v>2</v>
      </c>
      <c r="AD313" s="24"/>
      <c r="AE313" s="24"/>
      <c r="AF313" s="24"/>
      <c r="AG313" s="24"/>
      <c r="AH313" s="20"/>
      <c r="AI313" s="42"/>
    </row>
    <row r="314" spans="1:35">
      <c r="A314" s="14"/>
      <c r="B314" s="20"/>
      <c r="C314" s="20"/>
      <c r="D314" s="20"/>
      <c r="E314" s="20"/>
      <c r="F314" s="20"/>
      <c r="G314" s="20"/>
      <c r="H314" s="20"/>
      <c r="I314" s="211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0"/>
      <c r="V314" s="20"/>
      <c r="W314" s="20"/>
      <c r="X314" s="20"/>
      <c r="Y314" s="20"/>
      <c r="Z314" s="20"/>
      <c r="AA314" s="20" t="s">
        <v>2132</v>
      </c>
      <c r="AB314" s="20" t="s">
        <v>1815</v>
      </c>
      <c r="AC314" s="24">
        <v>1</v>
      </c>
      <c r="AD314" s="24"/>
      <c r="AE314" s="24"/>
      <c r="AF314" s="24"/>
      <c r="AG314" s="24"/>
      <c r="AH314" s="20"/>
      <c r="AI314" s="42"/>
    </row>
    <row r="315" spans="1:35">
      <c r="A315" s="14"/>
      <c r="B315" s="20"/>
      <c r="C315" s="84" t="s">
        <v>2126</v>
      </c>
      <c r="D315" s="20" t="s">
        <v>79</v>
      </c>
      <c r="E315" s="20" t="s">
        <v>80</v>
      </c>
      <c r="F315" s="20" t="s">
        <v>2188</v>
      </c>
      <c r="G315" s="20" t="s">
        <v>2189</v>
      </c>
      <c r="H315" s="20" t="s">
        <v>133</v>
      </c>
      <c r="I315" s="211" t="s">
        <v>2193</v>
      </c>
      <c r="J315" s="24">
        <v>1</v>
      </c>
      <c r="K315" s="24"/>
      <c r="L315" s="24">
        <v>1</v>
      </c>
      <c r="M315" s="24"/>
      <c r="N315" s="24"/>
      <c r="O315" s="24"/>
      <c r="P315" s="24"/>
      <c r="Q315" s="24"/>
      <c r="R315" s="24"/>
      <c r="S315" s="24"/>
      <c r="T315" s="24"/>
      <c r="U315" s="203" t="s">
        <v>1437</v>
      </c>
      <c r="V315" s="20" t="s">
        <v>949</v>
      </c>
      <c r="W315" s="20" t="s">
        <v>280</v>
      </c>
      <c r="X315" s="20" t="s">
        <v>227</v>
      </c>
      <c r="Y315" s="20">
        <v>9636080174</v>
      </c>
      <c r="Z315" s="20"/>
      <c r="AA315" s="20" t="s">
        <v>2040</v>
      </c>
      <c r="AB315" s="20" t="s">
        <v>1793</v>
      </c>
      <c r="AC315" s="24">
        <v>2</v>
      </c>
      <c r="AD315" s="24"/>
      <c r="AE315" s="24"/>
      <c r="AF315" s="24"/>
      <c r="AG315" s="24"/>
      <c r="AH315" s="20"/>
      <c r="AI315" s="42"/>
    </row>
    <row r="316" spans="1:35">
      <c r="A316" s="14"/>
      <c r="B316" s="20"/>
      <c r="C316" s="20"/>
      <c r="D316" s="20"/>
      <c r="E316" s="20"/>
      <c r="F316" s="20"/>
      <c r="G316" s="20"/>
      <c r="H316" s="20"/>
      <c r="I316" s="211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0"/>
      <c r="V316" s="20"/>
      <c r="W316" s="20"/>
      <c r="X316" s="20"/>
      <c r="Y316" s="20"/>
      <c r="Z316" s="20"/>
      <c r="AA316" s="20" t="s">
        <v>2132</v>
      </c>
      <c r="AB316" s="20" t="s">
        <v>1793</v>
      </c>
      <c r="AC316" s="24">
        <v>1</v>
      </c>
      <c r="AD316" s="24"/>
      <c r="AE316" s="24"/>
      <c r="AF316" s="24"/>
      <c r="AG316" s="24"/>
      <c r="AH316" s="20"/>
      <c r="AI316" s="42"/>
    </row>
    <row r="317" spans="1:35" s="207" customFormat="1">
      <c r="A317" s="204"/>
      <c r="B317" s="203"/>
      <c r="C317" s="84" t="s">
        <v>2126</v>
      </c>
      <c r="D317" s="20" t="s">
        <v>79</v>
      </c>
      <c r="E317" s="20" t="s">
        <v>80</v>
      </c>
      <c r="F317" s="20" t="s">
        <v>2127</v>
      </c>
      <c r="G317" s="20" t="s">
        <v>2128</v>
      </c>
      <c r="H317" s="20" t="s">
        <v>202</v>
      </c>
      <c r="I317" s="211">
        <v>22891</v>
      </c>
      <c r="J317" s="24">
        <v>1</v>
      </c>
      <c r="K317" s="24"/>
      <c r="L317" s="24">
        <v>1</v>
      </c>
      <c r="M317" s="24"/>
      <c r="N317" s="24"/>
      <c r="O317" s="24"/>
      <c r="P317" s="24"/>
      <c r="Q317" s="24"/>
      <c r="R317" s="24"/>
      <c r="S317" s="24"/>
      <c r="T317" s="24"/>
      <c r="U317" s="20" t="s">
        <v>1437</v>
      </c>
      <c r="V317" s="20" t="s">
        <v>949</v>
      </c>
      <c r="W317" s="20" t="s">
        <v>280</v>
      </c>
      <c r="X317" s="20" t="s">
        <v>227</v>
      </c>
      <c r="Y317" s="20"/>
      <c r="Z317" s="20"/>
      <c r="AA317" s="20" t="s">
        <v>2040</v>
      </c>
      <c r="AB317" s="20" t="s">
        <v>1793</v>
      </c>
      <c r="AC317" s="24">
        <v>2</v>
      </c>
      <c r="AD317" s="205"/>
      <c r="AE317" s="205"/>
      <c r="AF317" s="205"/>
      <c r="AG317" s="205"/>
      <c r="AH317" s="203"/>
      <c r="AI317" s="206"/>
    </row>
    <row r="318" spans="1:35">
      <c r="A318" s="14"/>
      <c r="B318" s="20"/>
      <c r="C318" s="20"/>
      <c r="D318" s="20"/>
      <c r="E318" s="20"/>
      <c r="F318" s="20"/>
      <c r="G318" s="20"/>
      <c r="H318" s="20"/>
      <c r="I318" s="211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0"/>
      <c r="V318" s="20"/>
      <c r="W318" s="20"/>
      <c r="X318" s="20"/>
      <c r="Y318" s="20"/>
      <c r="Z318" s="20"/>
      <c r="AA318" s="20" t="s">
        <v>2132</v>
      </c>
      <c r="AB318" s="20" t="s">
        <v>1793</v>
      </c>
      <c r="AC318" s="24">
        <v>1</v>
      </c>
      <c r="AD318" s="24"/>
      <c r="AE318" s="24"/>
      <c r="AF318" s="24"/>
      <c r="AG318" s="24"/>
      <c r="AH318" s="20"/>
      <c r="AI318" s="42"/>
    </row>
    <row r="319" spans="1:35">
      <c r="A319" s="14"/>
      <c r="B319" s="20"/>
      <c r="C319" s="84" t="s">
        <v>2126</v>
      </c>
      <c r="D319" s="20" t="s">
        <v>79</v>
      </c>
      <c r="E319" s="20" t="s">
        <v>80</v>
      </c>
      <c r="F319" s="20" t="s">
        <v>1376</v>
      </c>
      <c r="G319" s="20" t="s">
        <v>2133</v>
      </c>
      <c r="H319" s="20" t="s">
        <v>604</v>
      </c>
      <c r="I319" s="211">
        <v>28318</v>
      </c>
      <c r="J319" s="24">
        <v>1</v>
      </c>
      <c r="K319" s="24"/>
      <c r="L319" s="24">
        <v>1</v>
      </c>
      <c r="M319" s="24"/>
      <c r="N319" s="24"/>
      <c r="O319" s="24"/>
      <c r="P319" s="24"/>
      <c r="Q319" s="24"/>
      <c r="R319" s="24"/>
      <c r="S319" s="24"/>
      <c r="T319" s="24"/>
      <c r="U319" s="203" t="s">
        <v>1437</v>
      </c>
      <c r="V319" s="20" t="s">
        <v>949</v>
      </c>
      <c r="W319" s="20" t="s">
        <v>280</v>
      </c>
      <c r="X319" s="20" t="s">
        <v>227</v>
      </c>
      <c r="Y319" s="20"/>
      <c r="Z319" s="20"/>
      <c r="AA319" s="20" t="s">
        <v>2040</v>
      </c>
      <c r="AB319" s="20" t="s">
        <v>1793</v>
      </c>
      <c r="AC319" s="24">
        <v>2</v>
      </c>
      <c r="AD319" s="24"/>
      <c r="AE319" s="24"/>
      <c r="AF319" s="24"/>
      <c r="AG319" s="24"/>
      <c r="AH319" s="20"/>
      <c r="AI319" s="42"/>
    </row>
    <row r="320" spans="1:35">
      <c r="A320" s="14"/>
      <c r="B320" s="20"/>
      <c r="C320" s="20"/>
      <c r="D320" s="20"/>
      <c r="E320" s="20"/>
      <c r="F320" s="20"/>
      <c r="G320" s="20"/>
      <c r="H320" s="20"/>
      <c r="I320" s="211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0"/>
      <c r="V320" s="20"/>
      <c r="W320" s="20"/>
      <c r="X320" s="20"/>
      <c r="Y320" s="20"/>
      <c r="Z320" s="20"/>
      <c r="AA320" s="20" t="s">
        <v>2132</v>
      </c>
      <c r="AB320" s="20" t="s">
        <v>1793</v>
      </c>
      <c r="AC320" s="24">
        <v>1</v>
      </c>
      <c r="AD320" s="24"/>
      <c r="AE320" s="24"/>
      <c r="AF320" s="24"/>
      <c r="AG320" s="24"/>
      <c r="AH320" s="20"/>
      <c r="AI320" s="42"/>
    </row>
    <row r="321" spans="1:35">
      <c r="A321" s="14"/>
      <c r="B321" s="20"/>
      <c r="C321" s="84" t="s">
        <v>2126</v>
      </c>
      <c r="D321" s="20" t="s">
        <v>79</v>
      </c>
      <c r="E321" s="20" t="s">
        <v>80</v>
      </c>
      <c r="F321" s="20" t="s">
        <v>2194</v>
      </c>
      <c r="G321" s="20" t="s">
        <v>2195</v>
      </c>
      <c r="H321" s="20" t="s">
        <v>136</v>
      </c>
      <c r="I321" s="211" t="s">
        <v>2196</v>
      </c>
      <c r="J321" s="24">
        <v>1</v>
      </c>
      <c r="K321" s="24"/>
      <c r="L321" s="24">
        <v>1</v>
      </c>
      <c r="M321" s="24"/>
      <c r="N321" s="24"/>
      <c r="O321" s="24"/>
      <c r="P321" s="24"/>
      <c r="Q321" s="24"/>
      <c r="R321" s="24"/>
      <c r="S321" s="24"/>
      <c r="T321" s="24"/>
      <c r="U321" s="20" t="s">
        <v>1437</v>
      </c>
      <c r="V321" s="20" t="s">
        <v>949</v>
      </c>
      <c r="W321" s="20" t="s">
        <v>280</v>
      </c>
      <c r="X321" s="20" t="s">
        <v>227</v>
      </c>
      <c r="Y321" s="20"/>
      <c r="Z321" s="20"/>
      <c r="AA321" s="20" t="s">
        <v>2040</v>
      </c>
      <c r="AB321" s="20" t="s">
        <v>1793</v>
      </c>
      <c r="AC321" s="24">
        <v>2</v>
      </c>
      <c r="AD321" s="24"/>
      <c r="AE321" s="24"/>
      <c r="AF321" s="24"/>
      <c r="AG321" s="24"/>
      <c r="AH321" s="20"/>
      <c r="AI321" s="42"/>
    </row>
    <row r="322" spans="1:35">
      <c r="A322" s="14"/>
      <c r="B322" s="20"/>
      <c r="C322" s="20"/>
      <c r="D322" s="20"/>
      <c r="E322" s="20"/>
      <c r="F322" s="20"/>
      <c r="G322" s="20"/>
      <c r="H322" s="20"/>
      <c r="I322" s="211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0"/>
      <c r="V322" s="20"/>
      <c r="W322" s="20"/>
      <c r="X322" s="20"/>
      <c r="Y322" s="20"/>
      <c r="Z322" s="20"/>
      <c r="AA322" s="20" t="s">
        <v>2132</v>
      </c>
      <c r="AB322" s="20" t="s">
        <v>1793</v>
      </c>
      <c r="AC322" s="24">
        <v>1</v>
      </c>
      <c r="AD322" s="24"/>
      <c r="AE322" s="24"/>
      <c r="AF322" s="24"/>
      <c r="AG322" s="24"/>
      <c r="AH322" s="20"/>
      <c r="AI322" s="42"/>
    </row>
    <row r="323" spans="1:35">
      <c r="A323" s="14"/>
      <c r="B323" s="20"/>
      <c r="C323" s="84" t="s">
        <v>2126</v>
      </c>
      <c r="D323" s="20" t="s">
        <v>79</v>
      </c>
      <c r="E323" s="20" t="s">
        <v>80</v>
      </c>
      <c r="F323" s="20" t="s">
        <v>1376</v>
      </c>
      <c r="G323" s="20" t="s">
        <v>2135</v>
      </c>
      <c r="H323" s="20" t="s">
        <v>133</v>
      </c>
      <c r="I323" s="211" t="s">
        <v>2197</v>
      </c>
      <c r="J323" s="24">
        <v>1</v>
      </c>
      <c r="K323" s="24"/>
      <c r="L323" s="24">
        <v>1</v>
      </c>
      <c r="M323" s="24"/>
      <c r="N323" s="24"/>
      <c r="O323" s="24"/>
      <c r="P323" s="24"/>
      <c r="Q323" s="24"/>
      <c r="R323" s="24"/>
      <c r="S323" s="24"/>
      <c r="T323" s="24"/>
      <c r="U323" s="203" t="s">
        <v>1437</v>
      </c>
      <c r="V323" s="20" t="s">
        <v>949</v>
      </c>
      <c r="W323" s="20" t="s">
        <v>280</v>
      </c>
      <c r="X323" s="20" t="s">
        <v>227</v>
      </c>
      <c r="Y323" s="20"/>
      <c r="Z323" s="20"/>
      <c r="AA323" s="20" t="s">
        <v>2040</v>
      </c>
      <c r="AB323" s="20" t="s">
        <v>1793</v>
      </c>
      <c r="AC323" s="24">
        <v>2</v>
      </c>
      <c r="AD323" s="24"/>
      <c r="AE323" s="24"/>
      <c r="AF323" s="24"/>
      <c r="AG323" s="24"/>
      <c r="AH323" s="20"/>
      <c r="AI323" s="42"/>
    </row>
    <row r="324" spans="1:35">
      <c r="A324" s="14"/>
      <c r="B324" s="20"/>
      <c r="C324" s="20"/>
      <c r="D324" s="20"/>
      <c r="E324" s="20"/>
      <c r="F324" s="20"/>
      <c r="G324" s="20"/>
      <c r="H324" s="20"/>
      <c r="I324" s="211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0"/>
      <c r="V324" s="20"/>
      <c r="W324" s="20"/>
      <c r="X324" s="20"/>
      <c r="Y324" s="20"/>
      <c r="Z324" s="20"/>
      <c r="AA324" s="20" t="s">
        <v>2132</v>
      </c>
      <c r="AB324" s="20" t="s">
        <v>1793</v>
      </c>
      <c r="AC324" s="24">
        <v>1</v>
      </c>
      <c r="AD324" s="24"/>
      <c r="AE324" s="24"/>
      <c r="AF324" s="24"/>
      <c r="AG324" s="24"/>
      <c r="AH324" s="20"/>
      <c r="AI324" s="42"/>
    </row>
    <row r="325" spans="1:35">
      <c r="A325" s="14"/>
      <c r="B325" s="20"/>
      <c r="C325" s="84" t="s">
        <v>2126</v>
      </c>
      <c r="D325" s="20" t="s">
        <v>79</v>
      </c>
      <c r="E325" s="20" t="s">
        <v>80</v>
      </c>
      <c r="F325" s="20" t="s">
        <v>2136</v>
      </c>
      <c r="G325" s="20" t="s">
        <v>1726</v>
      </c>
      <c r="H325" s="20" t="s">
        <v>115</v>
      </c>
      <c r="I325" s="211" t="s">
        <v>2198</v>
      </c>
      <c r="J325" s="24">
        <v>1</v>
      </c>
      <c r="K325" s="24"/>
      <c r="L325" s="24">
        <v>1</v>
      </c>
      <c r="M325" s="24"/>
      <c r="N325" s="24"/>
      <c r="O325" s="24"/>
      <c r="P325" s="24"/>
      <c r="Q325" s="24"/>
      <c r="R325" s="24"/>
      <c r="S325" s="24"/>
      <c r="T325" s="24"/>
      <c r="U325" s="20" t="s">
        <v>1437</v>
      </c>
      <c r="V325" s="20" t="s">
        <v>949</v>
      </c>
      <c r="W325" s="20" t="s">
        <v>280</v>
      </c>
      <c r="X325" s="20" t="s">
        <v>227</v>
      </c>
      <c r="Y325" s="20"/>
      <c r="Z325" s="20"/>
      <c r="AA325" s="20" t="s">
        <v>2040</v>
      </c>
      <c r="AB325" s="20" t="s">
        <v>1793</v>
      </c>
      <c r="AC325" s="24">
        <v>2</v>
      </c>
      <c r="AD325" s="24"/>
      <c r="AE325" s="24"/>
      <c r="AF325" s="24"/>
      <c r="AG325" s="24"/>
      <c r="AH325" s="20"/>
      <c r="AI325" s="42"/>
    </row>
    <row r="326" spans="1:35">
      <c r="A326" s="14"/>
      <c r="B326" s="20"/>
      <c r="C326" s="20"/>
      <c r="D326" s="20"/>
      <c r="E326" s="20"/>
      <c r="F326" s="20"/>
      <c r="G326" s="20"/>
      <c r="H326" s="20"/>
      <c r="I326" s="211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0"/>
      <c r="V326" s="20"/>
      <c r="W326" s="20"/>
      <c r="X326" s="20"/>
      <c r="Y326" s="20"/>
      <c r="Z326" s="20"/>
      <c r="AA326" s="20" t="s">
        <v>2132</v>
      </c>
      <c r="AB326" s="20" t="s">
        <v>1793</v>
      </c>
      <c r="AC326" s="24">
        <v>1</v>
      </c>
      <c r="AD326" s="24"/>
      <c r="AE326" s="24"/>
      <c r="AF326" s="24"/>
      <c r="AG326" s="24"/>
      <c r="AH326" s="20"/>
      <c r="AI326" s="42"/>
    </row>
    <row r="327" spans="1:35">
      <c r="A327" s="14"/>
      <c r="B327" s="20"/>
      <c r="C327" s="84" t="s">
        <v>2126</v>
      </c>
      <c r="D327" s="20" t="s">
        <v>79</v>
      </c>
      <c r="E327" s="20" t="s">
        <v>80</v>
      </c>
      <c r="F327" s="20" t="s">
        <v>2194</v>
      </c>
      <c r="G327" s="20" t="s">
        <v>2199</v>
      </c>
      <c r="H327" s="20" t="s">
        <v>115</v>
      </c>
      <c r="I327" s="211" t="s">
        <v>2200</v>
      </c>
      <c r="J327" s="24">
        <v>1</v>
      </c>
      <c r="K327" s="24"/>
      <c r="L327" s="24">
        <v>1</v>
      </c>
      <c r="M327" s="24"/>
      <c r="N327" s="24"/>
      <c r="O327" s="24"/>
      <c r="P327" s="24"/>
      <c r="Q327" s="24"/>
      <c r="R327" s="24"/>
      <c r="S327" s="24"/>
      <c r="T327" s="24"/>
      <c r="U327" s="203" t="s">
        <v>1437</v>
      </c>
      <c r="V327" s="20" t="s">
        <v>949</v>
      </c>
      <c r="W327" s="20" t="s">
        <v>280</v>
      </c>
      <c r="X327" s="20" t="s">
        <v>227</v>
      </c>
      <c r="Y327" s="20"/>
      <c r="Z327" s="20"/>
      <c r="AA327" s="20" t="s">
        <v>2040</v>
      </c>
      <c r="AB327" s="20" t="s">
        <v>1793</v>
      </c>
      <c r="AC327" s="24">
        <v>2</v>
      </c>
      <c r="AD327" s="24"/>
      <c r="AE327" s="24"/>
      <c r="AF327" s="24"/>
      <c r="AG327" s="24"/>
      <c r="AH327" s="20"/>
      <c r="AI327" s="42"/>
    </row>
    <row r="328" spans="1:35">
      <c r="A328" s="14"/>
      <c r="B328" s="20"/>
      <c r="C328" s="20"/>
      <c r="D328" s="20"/>
      <c r="E328" s="20"/>
      <c r="F328" s="20"/>
      <c r="G328" s="20"/>
      <c r="H328" s="20"/>
      <c r="I328" s="211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0"/>
      <c r="V328" s="20"/>
      <c r="W328" s="20"/>
      <c r="X328" s="20"/>
      <c r="Y328" s="20"/>
      <c r="Z328" s="20"/>
      <c r="AA328" s="20" t="s">
        <v>2209</v>
      </c>
      <c r="AB328" s="20" t="s">
        <v>1793</v>
      </c>
      <c r="AC328" s="24">
        <v>1</v>
      </c>
      <c r="AD328" s="24"/>
      <c r="AE328" s="24"/>
      <c r="AF328" s="24"/>
      <c r="AG328" s="24"/>
      <c r="AH328" s="20"/>
      <c r="AI328" s="42"/>
    </row>
    <row r="329" spans="1:35">
      <c r="A329" s="14"/>
      <c r="B329" s="20"/>
      <c r="C329" s="84" t="s">
        <v>2126</v>
      </c>
      <c r="D329" s="20" t="s">
        <v>79</v>
      </c>
      <c r="E329" s="20" t="s">
        <v>80</v>
      </c>
      <c r="F329" s="20" t="s">
        <v>2194</v>
      </c>
      <c r="G329" s="20" t="s">
        <v>2138</v>
      </c>
      <c r="H329" s="20" t="s">
        <v>117</v>
      </c>
      <c r="I329" s="211" t="s">
        <v>2201</v>
      </c>
      <c r="J329" s="24">
        <v>1</v>
      </c>
      <c r="K329" s="24"/>
      <c r="L329" s="24">
        <v>1</v>
      </c>
      <c r="M329" s="24"/>
      <c r="N329" s="24"/>
      <c r="O329" s="24"/>
      <c r="P329" s="24"/>
      <c r="Q329" s="24"/>
      <c r="R329" s="24"/>
      <c r="S329" s="24"/>
      <c r="T329" s="24"/>
      <c r="U329" s="20" t="s">
        <v>1437</v>
      </c>
      <c r="V329" s="20" t="s">
        <v>949</v>
      </c>
      <c r="W329" s="20" t="s">
        <v>280</v>
      </c>
      <c r="X329" s="20" t="s">
        <v>227</v>
      </c>
      <c r="Y329" s="20"/>
      <c r="Z329" s="20"/>
      <c r="AA329" s="20" t="s">
        <v>2040</v>
      </c>
      <c r="AB329" s="20" t="s">
        <v>1793</v>
      </c>
      <c r="AC329" s="24">
        <v>2</v>
      </c>
      <c r="AD329" s="24"/>
      <c r="AE329" s="24"/>
      <c r="AF329" s="24"/>
      <c r="AG329" s="24"/>
      <c r="AH329" s="20"/>
      <c r="AI329" s="42"/>
    </row>
    <row r="330" spans="1:35">
      <c r="A330" s="14"/>
      <c r="B330" s="20"/>
      <c r="C330" s="20"/>
      <c r="D330" s="20"/>
      <c r="E330" s="20"/>
      <c r="F330" s="20"/>
      <c r="G330" s="20"/>
      <c r="H330" s="20"/>
      <c r="I330" s="211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0"/>
      <c r="V330" s="20"/>
      <c r="W330" s="20"/>
      <c r="X330" s="20"/>
      <c r="Y330" s="20"/>
      <c r="Z330" s="20"/>
      <c r="AA330" s="20" t="s">
        <v>2132</v>
      </c>
      <c r="AB330" s="20" t="s">
        <v>1793</v>
      </c>
      <c r="AC330" s="24">
        <v>1</v>
      </c>
      <c r="AD330" s="24"/>
      <c r="AE330" s="24"/>
      <c r="AF330" s="24"/>
      <c r="AG330" s="24"/>
      <c r="AH330" s="20"/>
      <c r="AI330" s="42"/>
    </row>
    <row r="331" spans="1:35">
      <c r="A331" s="14"/>
      <c r="B331" s="20"/>
      <c r="C331" s="84" t="s">
        <v>2126</v>
      </c>
      <c r="D331" s="20" t="s">
        <v>79</v>
      </c>
      <c r="E331" s="20" t="s">
        <v>80</v>
      </c>
      <c r="F331" s="20" t="s">
        <v>1376</v>
      </c>
      <c r="G331" s="20" t="s">
        <v>2139</v>
      </c>
      <c r="H331" s="20" t="s">
        <v>604</v>
      </c>
      <c r="I331" s="211" t="s">
        <v>2202</v>
      </c>
      <c r="J331" s="24">
        <v>1</v>
      </c>
      <c r="K331" s="24"/>
      <c r="L331" s="24">
        <v>1</v>
      </c>
      <c r="M331" s="24"/>
      <c r="N331" s="24"/>
      <c r="O331" s="24"/>
      <c r="P331" s="24"/>
      <c r="Q331" s="24"/>
      <c r="R331" s="24"/>
      <c r="S331" s="24"/>
      <c r="T331" s="24"/>
      <c r="U331" s="203" t="s">
        <v>1437</v>
      </c>
      <c r="V331" s="20" t="s">
        <v>949</v>
      </c>
      <c r="W331" s="20" t="s">
        <v>280</v>
      </c>
      <c r="X331" s="20" t="s">
        <v>227</v>
      </c>
      <c r="Y331" s="20"/>
      <c r="Z331" s="20"/>
      <c r="AA331" s="20" t="s">
        <v>2040</v>
      </c>
      <c r="AB331" s="20" t="s">
        <v>1793</v>
      </c>
      <c r="AC331" s="24">
        <v>2</v>
      </c>
      <c r="AD331" s="24"/>
      <c r="AE331" s="24"/>
      <c r="AF331" s="24"/>
      <c r="AG331" s="24"/>
      <c r="AH331" s="20"/>
      <c r="AI331" s="42"/>
    </row>
    <row r="332" spans="1:35">
      <c r="A332" s="14"/>
      <c r="B332" s="20"/>
      <c r="C332" s="20"/>
      <c r="D332" s="20"/>
      <c r="E332" s="20"/>
      <c r="F332" s="20"/>
      <c r="G332" s="20"/>
      <c r="H332" s="20"/>
      <c r="I332" s="211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0"/>
      <c r="V332" s="20"/>
      <c r="W332" s="20"/>
      <c r="X332" s="20"/>
      <c r="Y332" s="20"/>
      <c r="Z332" s="20"/>
      <c r="AA332" s="20" t="s">
        <v>2132</v>
      </c>
      <c r="AB332" s="20" t="s">
        <v>1793</v>
      </c>
      <c r="AC332" s="24">
        <v>1</v>
      </c>
      <c r="AD332" s="24"/>
      <c r="AE332" s="24"/>
      <c r="AF332" s="24"/>
      <c r="AG332" s="24"/>
      <c r="AH332" s="20"/>
      <c r="AI332" s="42"/>
    </row>
    <row r="333" spans="1:35">
      <c r="A333" s="14"/>
      <c r="B333" s="20"/>
      <c r="C333" s="84" t="s">
        <v>2126</v>
      </c>
      <c r="D333" s="20" t="s">
        <v>79</v>
      </c>
      <c r="E333" s="20" t="s">
        <v>80</v>
      </c>
      <c r="F333" s="20" t="s">
        <v>2194</v>
      </c>
      <c r="G333" s="20" t="s">
        <v>2140</v>
      </c>
      <c r="H333" s="20" t="s">
        <v>115</v>
      </c>
      <c r="I333" s="211"/>
      <c r="J333" s="24">
        <v>1</v>
      </c>
      <c r="K333" s="24"/>
      <c r="L333" s="24">
        <v>1</v>
      </c>
      <c r="M333" s="24"/>
      <c r="N333" s="24"/>
      <c r="O333" s="24"/>
      <c r="P333" s="24"/>
      <c r="Q333" s="24"/>
      <c r="R333" s="24"/>
      <c r="S333" s="24"/>
      <c r="T333" s="24"/>
      <c r="U333" s="20" t="s">
        <v>1437</v>
      </c>
      <c r="V333" s="20" t="s">
        <v>949</v>
      </c>
      <c r="W333" s="20" t="s">
        <v>280</v>
      </c>
      <c r="X333" s="20" t="s">
        <v>227</v>
      </c>
      <c r="Y333" s="20"/>
      <c r="Z333" s="20"/>
      <c r="AA333" s="20" t="s">
        <v>2040</v>
      </c>
      <c r="AB333" s="20" t="s">
        <v>1793</v>
      </c>
      <c r="AC333" s="24">
        <v>2</v>
      </c>
      <c r="AD333" s="24"/>
      <c r="AE333" s="24"/>
      <c r="AF333" s="24"/>
      <c r="AG333" s="24"/>
      <c r="AH333" s="20"/>
      <c r="AI333" s="42"/>
    </row>
    <row r="334" spans="1:35">
      <c r="A334" s="14"/>
      <c r="B334" s="20"/>
      <c r="C334" s="20"/>
      <c r="D334" s="20"/>
      <c r="E334" s="20"/>
      <c r="F334" s="20"/>
      <c r="G334" s="20"/>
      <c r="H334" s="20"/>
      <c r="I334" s="211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0"/>
      <c r="V334" s="20"/>
      <c r="W334" s="20"/>
      <c r="X334" s="20"/>
      <c r="Y334" s="20"/>
      <c r="Z334" s="20"/>
      <c r="AA334" s="20" t="s">
        <v>2132</v>
      </c>
      <c r="AB334" s="20" t="s">
        <v>1793</v>
      </c>
      <c r="AC334" s="24">
        <v>1</v>
      </c>
      <c r="AD334" s="24"/>
      <c r="AE334" s="24"/>
      <c r="AF334" s="24"/>
      <c r="AG334" s="24"/>
      <c r="AH334" s="20"/>
      <c r="AI334" s="42"/>
    </row>
    <row r="335" spans="1:35">
      <c r="A335" s="14"/>
      <c r="B335" s="20"/>
      <c r="C335" s="84" t="s">
        <v>2126</v>
      </c>
      <c r="D335" s="20" t="s">
        <v>79</v>
      </c>
      <c r="E335" s="20" t="s">
        <v>80</v>
      </c>
      <c r="F335" s="20" t="s">
        <v>2141</v>
      </c>
      <c r="G335" s="20" t="s">
        <v>2142</v>
      </c>
      <c r="H335" s="20" t="s">
        <v>133</v>
      </c>
      <c r="I335" s="211">
        <v>27550</v>
      </c>
      <c r="J335" s="24" t="s">
        <v>93</v>
      </c>
      <c r="K335" s="24">
        <v>1</v>
      </c>
      <c r="L335" s="24">
        <v>1</v>
      </c>
      <c r="M335" s="24"/>
      <c r="N335" s="24"/>
      <c r="O335" s="24"/>
      <c r="P335" s="24"/>
      <c r="Q335" s="24"/>
      <c r="R335" s="24"/>
      <c r="S335" s="24"/>
      <c r="T335" s="24"/>
      <c r="U335" s="203" t="s">
        <v>1437</v>
      </c>
      <c r="V335" s="20" t="s">
        <v>949</v>
      </c>
      <c r="W335" s="20" t="s">
        <v>280</v>
      </c>
      <c r="X335" s="20" t="s">
        <v>227</v>
      </c>
      <c r="Y335" s="20"/>
      <c r="Z335" s="20"/>
      <c r="AA335" s="20" t="s">
        <v>2040</v>
      </c>
      <c r="AB335" s="20" t="s">
        <v>1793</v>
      </c>
      <c r="AC335" s="24">
        <v>2</v>
      </c>
      <c r="AD335" s="24"/>
      <c r="AE335" s="24"/>
      <c r="AF335" s="24"/>
      <c r="AG335" s="24"/>
      <c r="AH335" s="20"/>
      <c r="AI335" s="42"/>
    </row>
    <row r="336" spans="1:35">
      <c r="A336" s="14"/>
      <c r="B336" s="20"/>
      <c r="C336" s="20"/>
      <c r="D336" s="20"/>
      <c r="E336" s="20"/>
      <c r="F336" s="20"/>
      <c r="G336" s="20"/>
      <c r="H336" s="20"/>
      <c r="I336" s="211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0"/>
      <c r="V336" s="20"/>
      <c r="W336" s="20"/>
      <c r="X336" s="20"/>
      <c r="Y336" s="20"/>
      <c r="Z336" s="20"/>
      <c r="AA336" s="20" t="s">
        <v>2132</v>
      </c>
      <c r="AB336" s="20" t="s">
        <v>1793</v>
      </c>
      <c r="AC336" s="24">
        <v>1</v>
      </c>
      <c r="AD336" s="24"/>
      <c r="AE336" s="24"/>
      <c r="AF336" s="24"/>
      <c r="AG336" s="24"/>
      <c r="AH336" s="20"/>
      <c r="AI336" s="42"/>
    </row>
    <row r="337" spans="1:35">
      <c r="A337" s="14"/>
      <c r="B337" s="20"/>
      <c r="C337" s="84" t="s">
        <v>2420</v>
      </c>
      <c r="D337" s="20" t="s">
        <v>79</v>
      </c>
      <c r="E337" s="20" t="s">
        <v>80</v>
      </c>
      <c r="F337" s="20" t="s">
        <v>2203</v>
      </c>
      <c r="G337" s="20" t="s">
        <v>1174</v>
      </c>
      <c r="H337" s="20" t="s">
        <v>283</v>
      </c>
      <c r="I337" s="211" t="s">
        <v>2204</v>
      </c>
      <c r="J337" s="24">
        <v>1</v>
      </c>
      <c r="K337" s="24"/>
      <c r="L337" s="24">
        <v>1</v>
      </c>
      <c r="M337" s="24"/>
      <c r="N337" s="24"/>
      <c r="O337" s="24"/>
      <c r="P337" s="24"/>
      <c r="Q337" s="24"/>
      <c r="R337" s="24"/>
      <c r="S337" s="24"/>
      <c r="T337" s="24"/>
      <c r="U337" s="203" t="s">
        <v>1437</v>
      </c>
      <c r="V337" s="20" t="s">
        <v>949</v>
      </c>
      <c r="W337" s="20" t="s">
        <v>280</v>
      </c>
      <c r="X337" s="20" t="s">
        <v>227</v>
      </c>
      <c r="Y337" s="20"/>
      <c r="Z337" s="20"/>
      <c r="AA337" s="20" t="s">
        <v>2040</v>
      </c>
      <c r="AB337" s="20" t="s">
        <v>1793</v>
      </c>
      <c r="AC337" s="24">
        <v>2</v>
      </c>
      <c r="AD337" s="24"/>
      <c r="AE337" s="24"/>
      <c r="AF337" s="24"/>
      <c r="AG337" s="24"/>
      <c r="AH337" s="20"/>
      <c r="AI337" s="42"/>
    </row>
    <row r="338" spans="1:35">
      <c r="A338" s="14"/>
      <c r="B338" s="20"/>
      <c r="C338" s="84" t="s">
        <v>2420</v>
      </c>
      <c r="D338" s="20" t="s">
        <v>79</v>
      </c>
      <c r="E338" s="20" t="s">
        <v>80</v>
      </c>
      <c r="F338" s="20" t="s">
        <v>2127</v>
      </c>
      <c r="G338" s="20" t="s">
        <v>2205</v>
      </c>
      <c r="H338" s="20"/>
      <c r="I338" s="211"/>
      <c r="J338" s="24">
        <v>1</v>
      </c>
      <c r="K338" s="24"/>
      <c r="L338" s="24">
        <v>1</v>
      </c>
      <c r="M338" s="24" t="s">
        <v>93</v>
      </c>
      <c r="N338" s="24"/>
      <c r="O338" s="24"/>
      <c r="P338" s="24"/>
      <c r="Q338" s="24"/>
      <c r="R338" s="24"/>
      <c r="S338" s="24"/>
      <c r="T338" s="24"/>
      <c r="U338" s="203" t="s">
        <v>1437</v>
      </c>
      <c r="V338" s="20" t="s">
        <v>949</v>
      </c>
      <c r="W338" s="20" t="s">
        <v>280</v>
      </c>
      <c r="X338" s="20" t="s">
        <v>227</v>
      </c>
      <c r="Y338" s="20"/>
      <c r="Z338" s="20"/>
      <c r="AA338" s="20" t="s">
        <v>2040</v>
      </c>
      <c r="AB338" s="20" t="s">
        <v>1793</v>
      </c>
      <c r="AC338" s="24">
        <v>2</v>
      </c>
      <c r="AD338" s="24"/>
      <c r="AE338" s="24"/>
      <c r="AF338" s="24"/>
      <c r="AG338" s="24"/>
      <c r="AH338" s="20"/>
      <c r="AI338" s="42"/>
    </row>
    <row r="339" spans="1:35">
      <c r="A339" s="14"/>
      <c r="B339" s="20"/>
      <c r="C339" s="84" t="s">
        <v>2420</v>
      </c>
      <c r="D339" s="20" t="s">
        <v>79</v>
      </c>
      <c r="E339" s="20" t="s">
        <v>80</v>
      </c>
      <c r="F339" s="20" t="s">
        <v>2144</v>
      </c>
      <c r="G339" s="20" t="s">
        <v>2145</v>
      </c>
      <c r="H339" s="20" t="s">
        <v>136</v>
      </c>
      <c r="I339" s="211" t="s">
        <v>2206</v>
      </c>
      <c r="J339" s="24">
        <v>1</v>
      </c>
      <c r="K339" s="24"/>
      <c r="L339" s="24">
        <v>1</v>
      </c>
      <c r="M339" s="24"/>
      <c r="N339" s="24"/>
      <c r="O339" s="24"/>
      <c r="P339" s="24"/>
      <c r="Q339" s="24"/>
      <c r="R339" s="24"/>
      <c r="S339" s="24"/>
      <c r="T339" s="24"/>
      <c r="U339" s="203" t="s">
        <v>1437</v>
      </c>
      <c r="V339" s="20" t="s">
        <v>949</v>
      </c>
      <c r="W339" s="20" t="s">
        <v>280</v>
      </c>
      <c r="X339" s="20" t="s">
        <v>227</v>
      </c>
      <c r="Y339" s="20"/>
      <c r="Z339" s="20"/>
      <c r="AA339" s="20" t="s">
        <v>2040</v>
      </c>
      <c r="AB339" s="20" t="s">
        <v>1793</v>
      </c>
      <c r="AC339" s="24">
        <v>2</v>
      </c>
      <c r="AD339" s="24"/>
      <c r="AE339" s="24"/>
      <c r="AF339" s="24"/>
      <c r="AG339" s="24"/>
      <c r="AH339" s="20"/>
      <c r="AI339" s="42"/>
    </row>
    <row r="340" spans="1:35">
      <c r="A340" s="14"/>
      <c r="B340" s="20"/>
      <c r="C340" s="84" t="s">
        <v>2420</v>
      </c>
      <c r="D340" s="20" t="s">
        <v>79</v>
      </c>
      <c r="E340" s="20" t="s">
        <v>80</v>
      </c>
      <c r="F340" s="20" t="s">
        <v>2146</v>
      </c>
      <c r="G340" s="20" t="s">
        <v>1338</v>
      </c>
      <c r="H340" s="20" t="s">
        <v>120</v>
      </c>
      <c r="I340" s="211">
        <v>30683</v>
      </c>
      <c r="J340" s="24">
        <v>1</v>
      </c>
      <c r="K340" s="24"/>
      <c r="L340" s="24">
        <v>1</v>
      </c>
      <c r="M340" s="24"/>
      <c r="N340" s="24"/>
      <c r="O340" s="24"/>
      <c r="P340" s="24"/>
      <c r="Q340" s="24"/>
      <c r="R340" s="24"/>
      <c r="S340" s="24"/>
      <c r="T340" s="24"/>
      <c r="U340" s="203" t="s">
        <v>1437</v>
      </c>
      <c r="V340" s="20" t="s">
        <v>949</v>
      </c>
      <c r="W340" s="20" t="s">
        <v>280</v>
      </c>
      <c r="X340" s="20" t="s">
        <v>227</v>
      </c>
      <c r="Y340" s="20"/>
      <c r="Z340" s="20"/>
      <c r="AA340" s="20" t="s">
        <v>2040</v>
      </c>
      <c r="AB340" s="20" t="s">
        <v>1793</v>
      </c>
      <c r="AC340" s="24">
        <v>2</v>
      </c>
      <c r="AD340" s="24"/>
      <c r="AE340" s="24"/>
      <c r="AF340" s="24"/>
      <c r="AG340" s="24"/>
      <c r="AH340" s="20"/>
      <c r="AI340" s="42"/>
    </row>
    <row r="341" spans="1:35">
      <c r="A341" s="14"/>
      <c r="B341" s="20"/>
      <c r="C341" s="84" t="s">
        <v>2420</v>
      </c>
      <c r="D341" s="20" t="s">
        <v>79</v>
      </c>
      <c r="E341" s="20" t="s">
        <v>80</v>
      </c>
      <c r="F341" s="20" t="s">
        <v>2207</v>
      </c>
      <c r="G341" s="20" t="s">
        <v>2148</v>
      </c>
      <c r="H341" s="20" t="s">
        <v>160</v>
      </c>
      <c r="I341" s="211" t="s">
        <v>2208</v>
      </c>
      <c r="J341" s="24"/>
      <c r="K341" s="24">
        <v>1</v>
      </c>
      <c r="L341" s="24">
        <v>1</v>
      </c>
      <c r="M341" s="24"/>
      <c r="N341" s="24"/>
      <c r="O341" s="24"/>
      <c r="P341" s="24"/>
      <c r="Q341" s="24"/>
      <c r="R341" s="24"/>
      <c r="S341" s="24"/>
      <c r="T341" s="24"/>
      <c r="U341" s="203" t="s">
        <v>1437</v>
      </c>
      <c r="V341" s="20" t="s">
        <v>949</v>
      </c>
      <c r="W341" s="20" t="s">
        <v>280</v>
      </c>
      <c r="X341" s="20" t="s">
        <v>227</v>
      </c>
      <c r="Y341" s="20"/>
      <c r="Z341" s="20"/>
      <c r="AA341" s="20" t="s">
        <v>2040</v>
      </c>
      <c r="AB341" s="20" t="s">
        <v>1793</v>
      </c>
      <c r="AC341" s="24">
        <v>2</v>
      </c>
      <c r="AD341" s="24"/>
      <c r="AE341" s="24"/>
      <c r="AF341" s="24"/>
      <c r="AG341" s="24"/>
      <c r="AH341" s="20"/>
      <c r="AI341" s="42"/>
    </row>
    <row r="342" spans="1:35">
      <c r="A342" s="14"/>
      <c r="B342" s="20"/>
      <c r="C342" s="84" t="s">
        <v>2420</v>
      </c>
      <c r="D342" s="20" t="s">
        <v>79</v>
      </c>
      <c r="E342" s="20" t="s">
        <v>80</v>
      </c>
      <c r="F342" s="20" t="s">
        <v>306</v>
      </c>
      <c r="G342" s="20" t="s">
        <v>2210</v>
      </c>
      <c r="H342" s="20" t="s">
        <v>421</v>
      </c>
      <c r="I342" s="211" t="s">
        <v>2211</v>
      </c>
      <c r="J342" s="24">
        <v>1</v>
      </c>
      <c r="K342" s="24"/>
      <c r="L342" s="24">
        <v>1</v>
      </c>
      <c r="M342" s="24"/>
      <c r="N342" s="24"/>
      <c r="O342" s="24"/>
      <c r="P342" s="24"/>
      <c r="Q342" s="24"/>
      <c r="R342" s="24"/>
      <c r="S342" s="24"/>
      <c r="T342" s="24"/>
      <c r="U342" s="20" t="s">
        <v>2214</v>
      </c>
      <c r="V342" s="20" t="s">
        <v>949</v>
      </c>
      <c r="W342" s="20" t="s">
        <v>280</v>
      </c>
      <c r="X342" s="20" t="s">
        <v>227</v>
      </c>
      <c r="Y342" s="20"/>
      <c r="Z342" s="20"/>
      <c r="AA342" s="20" t="s">
        <v>2215</v>
      </c>
      <c r="AB342" s="20" t="s">
        <v>2240</v>
      </c>
      <c r="AC342" s="24">
        <v>1</v>
      </c>
      <c r="AD342" s="24"/>
      <c r="AE342" s="24"/>
      <c r="AF342" s="24"/>
      <c r="AG342" s="24"/>
      <c r="AH342" s="20"/>
      <c r="AI342" s="42"/>
    </row>
    <row r="343" spans="1:35">
      <c r="A343" s="14"/>
      <c r="B343" s="20"/>
      <c r="C343" s="20"/>
      <c r="D343" s="20"/>
      <c r="E343" s="20"/>
      <c r="F343" s="20"/>
      <c r="G343" s="20"/>
      <c r="H343" s="20"/>
      <c r="I343" s="211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0"/>
      <c r="V343" s="20"/>
      <c r="W343" s="20"/>
      <c r="X343" s="20"/>
      <c r="Y343" s="20"/>
      <c r="Z343" s="20"/>
      <c r="AA343" s="20" t="s">
        <v>2216</v>
      </c>
      <c r="AB343" s="20" t="s">
        <v>2240</v>
      </c>
      <c r="AC343" s="24">
        <v>1</v>
      </c>
      <c r="AD343" s="24"/>
      <c r="AE343" s="24"/>
      <c r="AF343" s="24"/>
      <c r="AG343" s="24"/>
      <c r="AH343" s="20"/>
      <c r="AI343" s="42"/>
    </row>
    <row r="344" spans="1:35">
      <c r="A344" s="14"/>
      <c r="B344" s="20"/>
      <c r="C344" s="84" t="s">
        <v>2420</v>
      </c>
      <c r="D344" s="20" t="s">
        <v>79</v>
      </c>
      <c r="E344" s="20" t="s">
        <v>80</v>
      </c>
      <c r="F344" s="20" t="s">
        <v>306</v>
      </c>
      <c r="G344" s="20" t="s">
        <v>2212</v>
      </c>
      <c r="H344" s="20" t="s">
        <v>742</v>
      </c>
      <c r="I344" s="211" t="s">
        <v>2213</v>
      </c>
      <c r="J344" s="24">
        <v>1</v>
      </c>
      <c r="K344" s="24"/>
      <c r="L344" s="24">
        <v>1</v>
      </c>
      <c r="M344" s="24">
        <v>1</v>
      </c>
      <c r="N344" s="24"/>
      <c r="O344" s="24"/>
      <c r="P344" s="24"/>
      <c r="Q344" s="24"/>
      <c r="R344" s="24"/>
      <c r="S344" s="24"/>
      <c r="T344" s="24"/>
      <c r="U344" s="20" t="s">
        <v>2214</v>
      </c>
      <c r="V344" s="20" t="s">
        <v>949</v>
      </c>
      <c r="W344" s="20" t="s">
        <v>280</v>
      </c>
      <c r="X344" s="20" t="s">
        <v>227</v>
      </c>
      <c r="Y344" s="20"/>
      <c r="Z344" s="20"/>
      <c r="AA344" s="20" t="s">
        <v>2215</v>
      </c>
      <c r="AB344" s="20" t="s">
        <v>2240</v>
      </c>
      <c r="AC344" s="24">
        <v>1</v>
      </c>
      <c r="AD344" s="24"/>
      <c r="AE344" s="24"/>
      <c r="AF344" s="24"/>
      <c r="AG344" s="24"/>
      <c r="AH344" s="20"/>
      <c r="AI344" s="42"/>
    </row>
    <row r="345" spans="1:35">
      <c r="A345" s="14"/>
      <c r="B345" s="20"/>
      <c r="C345" s="20"/>
      <c r="D345" s="20"/>
      <c r="E345" s="20"/>
      <c r="F345" s="20"/>
      <c r="G345" s="20"/>
      <c r="H345" s="20"/>
      <c r="I345" s="211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0"/>
      <c r="V345" s="20"/>
      <c r="W345" s="20"/>
      <c r="X345" s="20"/>
      <c r="Y345" s="20"/>
      <c r="Z345" s="20"/>
      <c r="AA345" s="20" t="s">
        <v>2216</v>
      </c>
      <c r="AB345" s="20" t="s">
        <v>2240</v>
      </c>
      <c r="AC345" s="24">
        <v>1</v>
      </c>
      <c r="AD345" s="24"/>
      <c r="AE345" s="24"/>
      <c r="AF345" s="24"/>
      <c r="AG345" s="24"/>
      <c r="AH345" s="20"/>
      <c r="AI345" s="42"/>
    </row>
    <row r="346" spans="1:35">
      <c r="A346" s="14"/>
      <c r="B346" s="20"/>
      <c r="C346" s="84" t="s">
        <v>2420</v>
      </c>
      <c r="D346" s="20" t="s">
        <v>79</v>
      </c>
      <c r="E346" s="20" t="s">
        <v>80</v>
      </c>
      <c r="F346" s="20" t="s">
        <v>2217</v>
      </c>
      <c r="G346" s="20" t="s">
        <v>2218</v>
      </c>
      <c r="H346" s="20" t="s">
        <v>117</v>
      </c>
      <c r="I346" s="211" t="s">
        <v>2219</v>
      </c>
      <c r="J346" s="24">
        <v>1</v>
      </c>
      <c r="K346" s="24"/>
      <c r="L346" s="24">
        <v>1</v>
      </c>
      <c r="M346" s="24"/>
      <c r="N346" s="24"/>
      <c r="O346" s="24"/>
      <c r="P346" s="24"/>
      <c r="Q346" s="24"/>
      <c r="R346" s="24"/>
      <c r="S346" s="24"/>
      <c r="T346" s="24"/>
      <c r="U346" s="20" t="s">
        <v>2214</v>
      </c>
      <c r="V346" s="20" t="s">
        <v>949</v>
      </c>
      <c r="W346" s="20" t="s">
        <v>280</v>
      </c>
      <c r="X346" s="20" t="s">
        <v>227</v>
      </c>
      <c r="Y346" s="20"/>
      <c r="Z346" s="20"/>
      <c r="AA346" s="20" t="s">
        <v>2215</v>
      </c>
      <c r="AB346" s="20" t="s">
        <v>2240</v>
      </c>
      <c r="AC346" s="24">
        <v>1</v>
      </c>
      <c r="AD346" s="24"/>
      <c r="AE346" s="24"/>
      <c r="AF346" s="24"/>
      <c r="AG346" s="24"/>
      <c r="AH346" s="20"/>
      <c r="AI346" s="42"/>
    </row>
    <row r="347" spans="1:35">
      <c r="A347" s="14"/>
      <c r="B347" s="20"/>
      <c r="C347" s="20"/>
      <c r="D347" s="20"/>
      <c r="E347" s="20"/>
      <c r="F347" s="20"/>
      <c r="G347" s="20"/>
      <c r="H347" s="20"/>
      <c r="I347" s="211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0"/>
      <c r="V347" s="20"/>
      <c r="W347" s="20"/>
      <c r="X347" s="20"/>
      <c r="Y347" s="20"/>
      <c r="Z347" s="20"/>
      <c r="AA347" s="20" t="s">
        <v>2216</v>
      </c>
      <c r="AB347" s="20" t="s">
        <v>2240</v>
      </c>
      <c r="AC347" s="24">
        <v>1</v>
      </c>
      <c r="AD347" s="24"/>
      <c r="AE347" s="24"/>
      <c r="AF347" s="24"/>
      <c r="AG347" s="24"/>
      <c r="AH347" s="20"/>
      <c r="AI347" s="42"/>
    </row>
    <row r="348" spans="1:35">
      <c r="A348" s="14"/>
      <c r="B348" s="20"/>
      <c r="C348" s="84" t="s">
        <v>2420</v>
      </c>
      <c r="D348" s="20" t="s">
        <v>79</v>
      </c>
      <c r="E348" s="20" t="s">
        <v>80</v>
      </c>
      <c r="F348" s="20" t="s">
        <v>329</v>
      </c>
      <c r="G348" s="20" t="s">
        <v>1655</v>
      </c>
      <c r="H348" s="20" t="s">
        <v>115</v>
      </c>
      <c r="I348" s="211">
        <v>34071</v>
      </c>
      <c r="J348" s="24">
        <v>1</v>
      </c>
      <c r="K348" s="24"/>
      <c r="L348" s="24">
        <v>1</v>
      </c>
      <c r="M348" s="24"/>
      <c r="N348" s="24"/>
      <c r="O348" s="24"/>
      <c r="P348" s="24"/>
      <c r="Q348" s="24"/>
      <c r="R348" s="24"/>
      <c r="S348" s="24"/>
      <c r="T348" s="24"/>
      <c r="U348" s="20" t="s">
        <v>2214</v>
      </c>
      <c r="V348" s="20" t="s">
        <v>949</v>
      </c>
      <c r="W348" s="20" t="s">
        <v>280</v>
      </c>
      <c r="X348" s="20" t="s">
        <v>227</v>
      </c>
      <c r="Y348" s="20"/>
      <c r="Z348" s="20"/>
      <c r="AA348" s="20" t="s">
        <v>2215</v>
      </c>
      <c r="AB348" s="20" t="s">
        <v>2240</v>
      </c>
      <c r="AC348" s="24">
        <v>1</v>
      </c>
      <c r="AD348" s="24"/>
      <c r="AE348" s="24"/>
      <c r="AF348" s="24"/>
      <c r="AG348" s="24"/>
      <c r="AH348" s="20"/>
      <c r="AI348" s="42"/>
    </row>
    <row r="349" spans="1:35">
      <c r="A349" s="14"/>
      <c r="B349" s="20"/>
      <c r="C349" s="20"/>
      <c r="D349" s="20"/>
      <c r="E349" s="20"/>
      <c r="F349" s="20"/>
      <c r="G349" s="20"/>
      <c r="H349" s="20"/>
      <c r="I349" s="211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0"/>
      <c r="V349" s="20"/>
      <c r="W349" s="20"/>
      <c r="X349" s="20"/>
      <c r="Y349" s="20"/>
      <c r="Z349" s="20"/>
      <c r="AA349" s="20" t="s">
        <v>2216</v>
      </c>
      <c r="AB349" s="20" t="s">
        <v>2240</v>
      </c>
      <c r="AC349" s="24">
        <v>1</v>
      </c>
      <c r="AD349" s="24"/>
      <c r="AE349" s="24"/>
      <c r="AF349" s="24"/>
      <c r="AG349" s="24"/>
      <c r="AH349" s="20"/>
      <c r="AI349" s="42"/>
    </row>
    <row r="350" spans="1:35">
      <c r="A350" s="14"/>
      <c r="B350" s="20"/>
      <c r="C350" s="84" t="s">
        <v>2420</v>
      </c>
      <c r="D350" s="20" t="s">
        <v>79</v>
      </c>
      <c r="E350" s="20" t="s">
        <v>80</v>
      </c>
      <c r="F350" s="20" t="s">
        <v>329</v>
      </c>
      <c r="G350" s="20" t="s">
        <v>1158</v>
      </c>
      <c r="H350" s="20" t="s">
        <v>133</v>
      </c>
      <c r="I350" s="211">
        <v>25332</v>
      </c>
      <c r="J350" s="24">
        <v>1</v>
      </c>
      <c r="K350" s="24"/>
      <c r="L350" s="24">
        <v>1</v>
      </c>
      <c r="M350" s="24"/>
      <c r="N350" s="24"/>
      <c r="O350" s="24"/>
      <c r="P350" s="24"/>
      <c r="Q350" s="24"/>
      <c r="R350" s="24"/>
      <c r="S350" s="24"/>
      <c r="T350" s="24"/>
      <c r="U350" s="20" t="s">
        <v>2214</v>
      </c>
      <c r="V350" s="20" t="s">
        <v>949</v>
      </c>
      <c r="W350" s="20" t="s">
        <v>280</v>
      </c>
      <c r="X350" s="20" t="s">
        <v>227</v>
      </c>
      <c r="Y350" s="20"/>
      <c r="Z350" s="20"/>
      <c r="AA350" s="20" t="s">
        <v>2215</v>
      </c>
      <c r="AB350" s="20" t="s">
        <v>2240</v>
      </c>
      <c r="AC350" s="24">
        <v>1</v>
      </c>
      <c r="AD350" s="24"/>
      <c r="AE350" s="24"/>
      <c r="AF350" s="24"/>
      <c r="AG350" s="24"/>
      <c r="AH350" s="20"/>
      <c r="AI350" s="42"/>
    </row>
    <row r="351" spans="1:35">
      <c r="A351" s="14"/>
      <c r="B351" s="20"/>
      <c r="C351" s="20"/>
      <c r="D351" s="20"/>
      <c r="E351" s="20"/>
      <c r="F351" s="20"/>
      <c r="G351" s="20"/>
      <c r="H351" s="20"/>
      <c r="I351" s="211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0"/>
      <c r="V351" s="20"/>
      <c r="W351" s="20"/>
      <c r="X351" s="20"/>
      <c r="Y351" s="20"/>
      <c r="Z351" s="20"/>
      <c r="AA351" s="20" t="s">
        <v>2216</v>
      </c>
      <c r="AB351" s="20" t="s">
        <v>2240</v>
      </c>
      <c r="AC351" s="24">
        <v>1</v>
      </c>
      <c r="AD351" s="24"/>
      <c r="AE351" s="24"/>
      <c r="AF351" s="24"/>
      <c r="AG351" s="24"/>
      <c r="AH351" s="20"/>
      <c r="AI351" s="42"/>
    </row>
    <row r="352" spans="1:35">
      <c r="A352" s="14"/>
      <c r="B352" s="20"/>
      <c r="C352" s="84" t="s">
        <v>2420</v>
      </c>
      <c r="D352" s="20" t="s">
        <v>79</v>
      </c>
      <c r="E352" s="20" t="s">
        <v>80</v>
      </c>
      <c r="F352" s="20" t="s">
        <v>306</v>
      </c>
      <c r="G352" s="20" t="s">
        <v>2220</v>
      </c>
      <c r="H352" s="20" t="s">
        <v>115</v>
      </c>
      <c r="I352" s="211">
        <v>25031</v>
      </c>
      <c r="J352" s="24">
        <v>1</v>
      </c>
      <c r="K352" s="24"/>
      <c r="L352" s="24">
        <v>1</v>
      </c>
      <c r="M352" s="24"/>
      <c r="N352" s="24"/>
      <c r="O352" s="24"/>
      <c r="P352" s="24"/>
      <c r="Q352" s="24"/>
      <c r="R352" s="24"/>
      <c r="S352" s="24"/>
      <c r="T352" s="24"/>
      <c r="U352" s="20" t="s">
        <v>2214</v>
      </c>
      <c r="V352" s="20" t="s">
        <v>949</v>
      </c>
      <c r="W352" s="20" t="s">
        <v>280</v>
      </c>
      <c r="X352" s="20" t="s">
        <v>227</v>
      </c>
      <c r="Y352" s="20"/>
      <c r="Z352" s="20"/>
      <c r="AA352" s="20" t="s">
        <v>2215</v>
      </c>
      <c r="AB352" s="20" t="s">
        <v>2240</v>
      </c>
      <c r="AC352" s="24">
        <v>1</v>
      </c>
      <c r="AD352" s="24"/>
      <c r="AE352" s="24"/>
      <c r="AF352" s="24"/>
      <c r="AG352" s="24"/>
      <c r="AH352" s="20"/>
      <c r="AI352" s="42"/>
    </row>
    <row r="353" spans="1:35">
      <c r="A353" s="14"/>
      <c r="B353" s="20"/>
      <c r="C353" s="20"/>
      <c r="D353" s="20"/>
      <c r="E353" s="20"/>
      <c r="F353" s="20"/>
      <c r="G353" s="20"/>
      <c r="H353" s="20"/>
      <c r="I353" s="211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0"/>
      <c r="V353" s="20"/>
      <c r="W353" s="20"/>
      <c r="X353" s="20"/>
      <c r="Y353" s="20"/>
      <c r="Z353" s="20"/>
      <c r="AA353" s="20" t="s">
        <v>2216</v>
      </c>
      <c r="AB353" s="20" t="s">
        <v>2240</v>
      </c>
      <c r="AC353" s="24">
        <v>1</v>
      </c>
      <c r="AD353" s="24"/>
      <c r="AE353" s="24"/>
      <c r="AF353" s="24"/>
      <c r="AG353" s="24"/>
      <c r="AH353" s="20"/>
      <c r="AI353" s="42"/>
    </row>
    <row r="354" spans="1:35">
      <c r="A354" s="14"/>
      <c r="B354" s="20"/>
      <c r="C354" s="84" t="s">
        <v>2420</v>
      </c>
      <c r="D354" s="20" t="s">
        <v>79</v>
      </c>
      <c r="E354" s="20" t="s">
        <v>80</v>
      </c>
      <c r="F354" s="20" t="s">
        <v>2221</v>
      </c>
      <c r="G354" s="20" t="s">
        <v>2222</v>
      </c>
      <c r="H354" s="20" t="s">
        <v>421</v>
      </c>
      <c r="I354" s="211">
        <v>31140</v>
      </c>
      <c r="J354" s="24">
        <v>1</v>
      </c>
      <c r="K354" s="24"/>
      <c r="L354" s="24">
        <v>1</v>
      </c>
      <c r="M354" s="24"/>
      <c r="N354" s="24"/>
      <c r="O354" s="24"/>
      <c r="P354" s="24"/>
      <c r="Q354" s="24"/>
      <c r="R354" s="24"/>
      <c r="S354" s="24"/>
      <c r="T354" s="24"/>
      <c r="U354" s="20" t="s">
        <v>2214</v>
      </c>
      <c r="V354" s="20" t="s">
        <v>949</v>
      </c>
      <c r="W354" s="20" t="s">
        <v>280</v>
      </c>
      <c r="X354" s="20" t="s">
        <v>227</v>
      </c>
      <c r="Y354" s="20"/>
      <c r="Z354" s="20"/>
      <c r="AA354" s="20" t="s">
        <v>2215</v>
      </c>
      <c r="AB354" s="20" t="s">
        <v>2240</v>
      </c>
      <c r="AC354" s="24">
        <v>1</v>
      </c>
      <c r="AD354" s="24"/>
      <c r="AE354" s="24"/>
      <c r="AF354" s="24"/>
      <c r="AG354" s="24"/>
      <c r="AH354" s="20"/>
      <c r="AI354" s="42"/>
    </row>
    <row r="355" spans="1:35">
      <c r="A355" s="14"/>
      <c r="B355" s="20"/>
      <c r="C355" s="20"/>
      <c r="D355" s="20"/>
      <c r="E355" s="20"/>
      <c r="F355" s="20"/>
      <c r="G355" s="20"/>
      <c r="H355" s="20"/>
      <c r="I355" s="211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0"/>
      <c r="V355" s="20"/>
      <c r="W355" s="20"/>
      <c r="X355" s="20"/>
      <c r="Y355" s="20"/>
      <c r="Z355" s="20"/>
      <c r="AA355" s="20" t="s">
        <v>2216</v>
      </c>
      <c r="AB355" s="20" t="s">
        <v>2240</v>
      </c>
      <c r="AC355" s="24">
        <v>1</v>
      </c>
      <c r="AD355" s="24"/>
      <c r="AE355" s="24"/>
      <c r="AF355" s="24"/>
      <c r="AG355" s="24"/>
      <c r="AH355" s="20"/>
      <c r="AI355" s="42"/>
    </row>
    <row r="356" spans="1:35">
      <c r="A356" s="14"/>
      <c r="B356" s="20"/>
      <c r="C356" s="84" t="s">
        <v>2420</v>
      </c>
      <c r="D356" s="20" t="s">
        <v>79</v>
      </c>
      <c r="E356" s="20" t="s">
        <v>80</v>
      </c>
      <c r="F356" s="20" t="s">
        <v>220</v>
      </c>
      <c r="G356" s="20" t="s">
        <v>1994</v>
      </c>
      <c r="H356" s="20" t="s">
        <v>202</v>
      </c>
      <c r="I356" s="211">
        <v>22929</v>
      </c>
      <c r="J356" s="24">
        <v>1</v>
      </c>
      <c r="K356" s="24"/>
      <c r="L356" s="24">
        <v>1</v>
      </c>
      <c r="M356" s="24"/>
      <c r="N356" s="24"/>
      <c r="O356" s="24"/>
      <c r="P356" s="24"/>
      <c r="Q356" s="24"/>
      <c r="R356" s="24"/>
      <c r="S356" s="24"/>
      <c r="T356" s="24"/>
      <c r="U356" s="20" t="s">
        <v>2214</v>
      </c>
      <c r="V356" s="20" t="s">
        <v>949</v>
      </c>
      <c r="W356" s="20" t="s">
        <v>280</v>
      </c>
      <c r="X356" s="20" t="s">
        <v>227</v>
      </c>
      <c r="Y356" s="20"/>
      <c r="Z356" s="20"/>
      <c r="AA356" s="20" t="s">
        <v>2215</v>
      </c>
      <c r="AB356" s="20" t="s">
        <v>2240</v>
      </c>
      <c r="AC356" s="24">
        <v>1</v>
      </c>
      <c r="AD356" s="24"/>
      <c r="AE356" s="24"/>
      <c r="AF356" s="24"/>
      <c r="AG356" s="24"/>
      <c r="AH356" s="20"/>
      <c r="AI356" s="42"/>
    </row>
    <row r="357" spans="1:35">
      <c r="A357" s="14"/>
      <c r="B357" s="20"/>
      <c r="C357" s="20"/>
      <c r="D357" s="20"/>
      <c r="E357" s="20"/>
      <c r="F357" s="20"/>
      <c r="G357" s="20"/>
      <c r="H357" s="20"/>
      <c r="I357" s="211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0"/>
      <c r="V357" s="20"/>
      <c r="W357" s="20"/>
      <c r="X357" s="20"/>
      <c r="Y357" s="20"/>
      <c r="Z357" s="20"/>
      <c r="AA357" s="20" t="s">
        <v>2216</v>
      </c>
      <c r="AB357" s="20" t="s">
        <v>2240</v>
      </c>
      <c r="AC357" s="24">
        <v>1</v>
      </c>
      <c r="AD357" s="24"/>
      <c r="AE357" s="24"/>
      <c r="AF357" s="24"/>
      <c r="AG357" s="24"/>
      <c r="AH357" s="20"/>
      <c r="AI357" s="42"/>
    </row>
    <row r="358" spans="1:35">
      <c r="A358" s="14"/>
      <c r="B358" s="20"/>
      <c r="C358" s="84" t="s">
        <v>2420</v>
      </c>
      <c r="D358" s="20" t="s">
        <v>79</v>
      </c>
      <c r="E358" s="20" t="s">
        <v>80</v>
      </c>
      <c r="F358" s="20" t="s">
        <v>2223</v>
      </c>
      <c r="G358" s="20" t="s">
        <v>2224</v>
      </c>
      <c r="H358" s="20"/>
      <c r="I358" s="211" t="s">
        <v>2225</v>
      </c>
      <c r="J358" s="24">
        <v>1</v>
      </c>
      <c r="K358" s="24"/>
      <c r="L358" s="24">
        <v>1</v>
      </c>
      <c r="M358" s="24"/>
      <c r="N358" s="24"/>
      <c r="O358" s="24"/>
      <c r="P358" s="24"/>
      <c r="Q358" s="24"/>
      <c r="R358" s="24"/>
      <c r="S358" s="24"/>
      <c r="T358" s="24"/>
      <c r="U358" s="20" t="s">
        <v>2214</v>
      </c>
      <c r="V358" s="20" t="s">
        <v>949</v>
      </c>
      <c r="W358" s="20" t="s">
        <v>280</v>
      </c>
      <c r="X358" s="20" t="s">
        <v>227</v>
      </c>
      <c r="Y358" s="20"/>
      <c r="Z358" s="20"/>
      <c r="AA358" s="20" t="s">
        <v>2215</v>
      </c>
      <c r="AB358" s="20" t="s">
        <v>2240</v>
      </c>
      <c r="AC358" s="24">
        <v>1</v>
      </c>
      <c r="AD358" s="24"/>
      <c r="AE358" s="24"/>
      <c r="AF358" s="24"/>
      <c r="AG358" s="24"/>
      <c r="AH358" s="20"/>
      <c r="AI358" s="42"/>
    </row>
    <row r="359" spans="1:35">
      <c r="A359" s="14"/>
      <c r="B359" s="20"/>
      <c r="C359" s="20"/>
      <c r="D359" s="20"/>
      <c r="E359" s="20"/>
      <c r="F359" s="20"/>
      <c r="G359" s="20"/>
      <c r="H359" s="20"/>
      <c r="I359" s="211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0"/>
      <c r="V359" s="20"/>
      <c r="W359" s="20"/>
      <c r="X359" s="20"/>
      <c r="Y359" s="20"/>
      <c r="Z359" s="20"/>
      <c r="AA359" s="20" t="s">
        <v>2216</v>
      </c>
      <c r="AB359" s="20" t="s">
        <v>2240</v>
      </c>
      <c r="AC359" s="24">
        <v>1</v>
      </c>
      <c r="AD359" s="24"/>
      <c r="AE359" s="24"/>
      <c r="AF359" s="24"/>
      <c r="AG359" s="24"/>
      <c r="AH359" s="20"/>
      <c r="AI359" s="42"/>
    </row>
    <row r="360" spans="1:35">
      <c r="A360" s="14"/>
      <c r="B360" s="20"/>
      <c r="C360" s="84" t="s">
        <v>2420</v>
      </c>
      <c r="D360" s="20" t="s">
        <v>79</v>
      </c>
      <c r="E360" s="20" t="s">
        <v>80</v>
      </c>
      <c r="F360" s="20" t="s">
        <v>2226</v>
      </c>
      <c r="G360" s="20" t="s">
        <v>1237</v>
      </c>
      <c r="H360" s="20" t="s">
        <v>283</v>
      </c>
      <c r="I360" s="211" t="s">
        <v>2227</v>
      </c>
      <c r="J360" s="24">
        <v>1</v>
      </c>
      <c r="K360" s="24"/>
      <c r="L360" s="24">
        <v>1</v>
      </c>
      <c r="M360" s="24">
        <v>1</v>
      </c>
      <c r="N360" s="24"/>
      <c r="O360" s="24"/>
      <c r="P360" s="24"/>
      <c r="Q360" s="24"/>
      <c r="R360" s="24"/>
      <c r="S360" s="24"/>
      <c r="T360" s="24"/>
      <c r="U360" s="20" t="s">
        <v>2214</v>
      </c>
      <c r="V360" s="20" t="s">
        <v>949</v>
      </c>
      <c r="W360" s="20" t="s">
        <v>280</v>
      </c>
      <c r="X360" s="20" t="s">
        <v>227</v>
      </c>
      <c r="Y360" s="20"/>
      <c r="Z360" s="20"/>
      <c r="AA360" s="20" t="s">
        <v>2215</v>
      </c>
      <c r="AB360" s="20" t="s">
        <v>2240</v>
      </c>
      <c r="AC360" s="24">
        <v>1</v>
      </c>
      <c r="AD360" s="24"/>
      <c r="AE360" s="24"/>
      <c r="AF360" s="24"/>
      <c r="AG360" s="24"/>
      <c r="AH360" s="20"/>
      <c r="AI360" s="42"/>
    </row>
    <row r="361" spans="1:35">
      <c r="A361" s="14"/>
      <c r="B361" s="20"/>
      <c r="C361" s="20"/>
      <c r="D361" s="20"/>
      <c r="E361" s="20"/>
      <c r="F361" s="20"/>
      <c r="G361" s="20"/>
      <c r="H361" s="20"/>
      <c r="I361" s="211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0"/>
      <c r="V361" s="20"/>
      <c r="W361" s="20"/>
      <c r="X361" s="20"/>
      <c r="Y361" s="20"/>
      <c r="Z361" s="20"/>
      <c r="AA361" s="20" t="s">
        <v>2216</v>
      </c>
      <c r="AB361" s="20" t="s">
        <v>2240</v>
      </c>
      <c r="AC361" s="24">
        <v>1</v>
      </c>
      <c r="AD361" s="24"/>
      <c r="AE361" s="24"/>
      <c r="AF361" s="24"/>
      <c r="AG361" s="24"/>
      <c r="AH361" s="20"/>
      <c r="AI361" s="42"/>
    </row>
    <row r="362" spans="1:35">
      <c r="A362" s="14"/>
      <c r="B362" s="20"/>
      <c r="C362" s="84" t="s">
        <v>2420</v>
      </c>
      <c r="D362" s="20" t="s">
        <v>79</v>
      </c>
      <c r="E362" s="20" t="s">
        <v>80</v>
      </c>
      <c r="F362" s="20" t="s">
        <v>2228</v>
      </c>
      <c r="G362" s="20" t="s">
        <v>2229</v>
      </c>
      <c r="H362" s="20" t="s">
        <v>133</v>
      </c>
      <c r="I362" s="211">
        <v>29138</v>
      </c>
      <c r="J362" s="24">
        <v>1</v>
      </c>
      <c r="K362" s="24"/>
      <c r="L362" s="24">
        <v>1</v>
      </c>
      <c r="M362" s="24"/>
      <c r="N362" s="24"/>
      <c r="O362" s="24"/>
      <c r="P362" s="24"/>
      <c r="Q362" s="24"/>
      <c r="R362" s="24"/>
      <c r="S362" s="24"/>
      <c r="T362" s="24"/>
      <c r="U362" s="20" t="s">
        <v>2214</v>
      </c>
      <c r="V362" s="20" t="s">
        <v>949</v>
      </c>
      <c r="W362" s="20" t="s">
        <v>280</v>
      </c>
      <c r="X362" s="20" t="s">
        <v>227</v>
      </c>
      <c r="Y362" s="20"/>
      <c r="Z362" s="20"/>
      <c r="AA362" s="20" t="s">
        <v>2215</v>
      </c>
      <c r="AB362" s="20" t="s">
        <v>2240</v>
      </c>
      <c r="AC362" s="24">
        <v>1</v>
      </c>
      <c r="AD362" s="24"/>
      <c r="AE362" s="24"/>
      <c r="AF362" s="24"/>
      <c r="AG362" s="24"/>
      <c r="AH362" s="20"/>
      <c r="AI362" s="42"/>
    </row>
    <row r="363" spans="1:35">
      <c r="A363" s="14"/>
      <c r="B363" s="20"/>
      <c r="C363" s="20"/>
      <c r="D363" s="20"/>
      <c r="E363" s="20"/>
      <c r="F363" s="20"/>
      <c r="G363" s="20"/>
      <c r="H363" s="20"/>
      <c r="I363" s="211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0"/>
      <c r="V363" s="20"/>
      <c r="W363" s="20"/>
      <c r="X363" s="20"/>
      <c r="Y363" s="20"/>
      <c r="Z363" s="20"/>
      <c r="AA363" s="20" t="s">
        <v>2216</v>
      </c>
      <c r="AB363" s="20" t="s">
        <v>2240</v>
      </c>
      <c r="AC363" s="24">
        <v>1</v>
      </c>
      <c r="AD363" s="24"/>
      <c r="AE363" s="24"/>
      <c r="AF363" s="24"/>
      <c r="AG363" s="24"/>
      <c r="AH363" s="20"/>
      <c r="AI363" s="42"/>
    </row>
    <row r="364" spans="1:35">
      <c r="A364" s="14"/>
      <c r="B364" s="20"/>
      <c r="C364" s="84" t="s">
        <v>2420</v>
      </c>
      <c r="D364" s="20" t="s">
        <v>79</v>
      </c>
      <c r="E364" s="20" t="s">
        <v>80</v>
      </c>
      <c r="F364" s="20" t="s">
        <v>2230</v>
      </c>
      <c r="G364" s="20" t="s">
        <v>833</v>
      </c>
      <c r="H364" s="20" t="s">
        <v>136</v>
      </c>
      <c r="I364" s="211" t="s">
        <v>2234</v>
      </c>
      <c r="J364" s="24">
        <v>1</v>
      </c>
      <c r="K364" s="24"/>
      <c r="L364" s="24">
        <v>1</v>
      </c>
      <c r="M364" s="24"/>
      <c r="N364" s="24"/>
      <c r="O364" s="24"/>
      <c r="P364" s="24"/>
      <c r="Q364" s="24"/>
      <c r="R364" s="24"/>
      <c r="S364" s="24"/>
      <c r="T364" s="24"/>
      <c r="U364" s="20" t="s">
        <v>2214</v>
      </c>
      <c r="V364" s="20" t="s">
        <v>949</v>
      </c>
      <c r="W364" s="20" t="s">
        <v>280</v>
      </c>
      <c r="X364" s="20" t="s">
        <v>227</v>
      </c>
      <c r="Y364" s="20"/>
      <c r="Z364" s="20"/>
      <c r="AA364" s="20" t="s">
        <v>2215</v>
      </c>
      <c r="AB364" s="20" t="s">
        <v>2240</v>
      </c>
      <c r="AC364" s="24">
        <v>1</v>
      </c>
      <c r="AD364" s="24"/>
      <c r="AE364" s="24"/>
      <c r="AF364" s="24"/>
      <c r="AG364" s="24"/>
      <c r="AH364" s="20"/>
      <c r="AI364" s="42"/>
    </row>
    <row r="365" spans="1:35">
      <c r="A365" s="14"/>
      <c r="B365" s="20"/>
      <c r="C365" s="20"/>
      <c r="D365" s="20"/>
      <c r="E365" s="20"/>
      <c r="F365" s="20"/>
      <c r="G365" s="20"/>
      <c r="H365" s="20"/>
      <c r="I365" s="211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0"/>
      <c r="V365" s="20"/>
      <c r="W365" s="20"/>
      <c r="X365" s="20"/>
      <c r="Y365" s="20"/>
      <c r="Z365" s="20"/>
      <c r="AA365" s="20" t="s">
        <v>2216</v>
      </c>
      <c r="AB365" s="20" t="s">
        <v>2240</v>
      </c>
      <c r="AC365" s="24">
        <v>1</v>
      </c>
      <c r="AD365" s="24"/>
      <c r="AE365" s="24"/>
      <c r="AF365" s="24"/>
      <c r="AG365" s="24"/>
      <c r="AH365" s="20"/>
      <c r="AI365" s="42"/>
    </row>
    <row r="366" spans="1:35">
      <c r="A366" s="14"/>
      <c r="B366" s="20"/>
      <c r="C366" s="84" t="s">
        <v>2420</v>
      </c>
      <c r="D366" s="20" t="s">
        <v>79</v>
      </c>
      <c r="E366" s="20" t="s">
        <v>80</v>
      </c>
      <c r="F366" s="20" t="s">
        <v>2232</v>
      </c>
      <c r="G366" s="20" t="s">
        <v>2233</v>
      </c>
      <c r="H366" s="20" t="s">
        <v>120</v>
      </c>
      <c r="I366" s="211" t="s">
        <v>2231</v>
      </c>
      <c r="J366" s="24">
        <v>1</v>
      </c>
      <c r="K366" s="24"/>
      <c r="L366" s="24">
        <v>1</v>
      </c>
      <c r="M366" s="24"/>
      <c r="N366" s="24"/>
      <c r="O366" s="24"/>
      <c r="P366" s="24"/>
      <c r="Q366" s="24"/>
      <c r="R366" s="24"/>
      <c r="S366" s="24"/>
      <c r="T366" s="24"/>
      <c r="U366" s="20" t="s">
        <v>2214</v>
      </c>
      <c r="V366" s="20" t="s">
        <v>949</v>
      </c>
      <c r="W366" s="20" t="s">
        <v>280</v>
      </c>
      <c r="X366" s="20" t="s">
        <v>227</v>
      </c>
      <c r="Y366" s="20"/>
      <c r="Z366" s="20"/>
      <c r="AA366" s="20" t="s">
        <v>2215</v>
      </c>
      <c r="AB366" s="20" t="s">
        <v>2240</v>
      </c>
      <c r="AC366" s="24">
        <v>1</v>
      </c>
      <c r="AD366" s="24"/>
      <c r="AE366" s="24"/>
      <c r="AF366" s="24"/>
      <c r="AG366" s="24"/>
      <c r="AH366" s="20"/>
      <c r="AI366" s="42"/>
    </row>
    <row r="367" spans="1:35">
      <c r="A367" s="14"/>
      <c r="B367" s="20"/>
      <c r="C367" s="20"/>
      <c r="D367" s="20"/>
      <c r="E367" s="20"/>
      <c r="F367" s="20"/>
      <c r="G367" s="20"/>
      <c r="H367" s="20"/>
      <c r="I367" s="211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0"/>
      <c r="V367" s="20"/>
      <c r="W367" s="20"/>
      <c r="X367" s="20"/>
      <c r="Y367" s="20"/>
      <c r="Z367" s="20"/>
      <c r="AA367" s="20" t="s">
        <v>2216</v>
      </c>
      <c r="AB367" s="20" t="s">
        <v>2240</v>
      </c>
      <c r="AC367" s="24">
        <v>1</v>
      </c>
      <c r="AD367" s="24"/>
      <c r="AE367" s="24"/>
      <c r="AF367" s="24"/>
      <c r="AG367" s="24"/>
      <c r="AH367" s="20"/>
      <c r="AI367" s="42"/>
    </row>
    <row r="368" spans="1:35">
      <c r="A368" s="14"/>
      <c r="B368" s="20"/>
      <c r="C368" s="84" t="s">
        <v>2420</v>
      </c>
      <c r="D368" s="20" t="s">
        <v>79</v>
      </c>
      <c r="E368" s="20" t="s">
        <v>80</v>
      </c>
      <c r="F368" s="20" t="s">
        <v>2235</v>
      </c>
      <c r="G368" s="20" t="s">
        <v>2236</v>
      </c>
      <c r="H368" s="20" t="s">
        <v>588</v>
      </c>
      <c r="I368" s="211" t="s">
        <v>2237</v>
      </c>
      <c r="J368" s="24">
        <v>1</v>
      </c>
      <c r="K368" s="24"/>
      <c r="L368" s="24">
        <v>1</v>
      </c>
      <c r="M368" s="24"/>
      <c r="N368" s="24"/>
      <c r="O368" s="24"/>
      <c r="P368" s="24"/>
      <c r="Q368" s="24"/>
      <c r="R368" s="24"/>
      <c r="S368" s="24"/>
      <c r="T368" s="24"/>
      <c r="U368" s="20" t="s">
        <v>2214</v>
      </c>
      <c r="V368" s="20" t="s">
        <v>949</v>
      </c>
      <c r="W368" s="20" t="s">
        <v>280</v>
      </c>
      <c r="X368" s="20" t="s">
        <v>227</v>
      </c>
      <c r="Y368" s="20"/>
      <c r="Z368" s="20"/>
      <c r="AA368" s="20" t="s">
        <v>2215</v>
      </c>
      <c r="AB368" s="20" t="s">
        <v>2240</v>
      </c>
      <c r="AC368" s="24">
        <v>1</v>
      </c>
      <c r="AD368" s="24"/>
      <c r="AE368" s="24"/>
      <c r="AF368" s="24"/>
      <c r="AG368" s="24"/>
      <c r="AH368" s="20"/>
      <c r="AI368" s="42"/>
    </row>
    <row r="369" spans="1:35">
      <c r="A369" s="14"/>
      <c r="B369" s="20"/>
      <c r="C369" s="20"/>
      <c r="D369" s="20"/>
      <c r="E369" s="20"/>
      <c r="F369" s="20"/>
      <c r="G369" s="20"/>
      <c r="H369" s="20"/>
      <c r="I369" s="211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0"/>
      <c r="V369" s="20"/>
      <c r="W369" s="20"/>
      <c r="X369" s="20"/>
      <c r="Y369" s="20"/>
      <c r="Z369" s="20"/>
      <c r="AA369" s="20" t="s">
        <v>2216</v>
      </c>
      <c r="AB369" s="20" t="s">
        <v>2240</v>
      </c>
      <c r="AC369" s="24">
        <v>1</v>
      </c>
      <c r="AD369" s="24"/>
      <c r="AE369" s="24"/>
      <c r="AF369" s="24"/>
      <c r="AG369" s="24"/>
      <c r="AH369" s="20"/>
      <c r="AI369" s="42"/>
    </row>
    <row r="370" spans="1:35">
      <c r="A370" s="14"/>
      <c r="B370" s="20"/>
      <c r="C370" s="84" t="s">
        <v>2420</v>
      </c>
      <c r="D370" s="20" t="s">
        <v>79</v>
      </c>
      <c r="E370" s="20" t="s">
        <v>80</v>
      </c>
      <c r="F370" s="20" t="s">
        <v>2238</v>
      </c>
      <c r="G370" s="20" t="s">
        <v>2239</v>
      </c>
      <c r="H370" s="20" t="s">
        <v>115</v>
      </c>
      <c r="I370" s="211">
        <v>28858</v>
      </c>
      <c r="J370" s="24">
        <v>1</v>
      </c>
      <c r="K370" s="24"/>
      <c r="L370" s="24">
        <v>1</v>
      </c>
      <c r="M370" s="24"/>
      <c r="N370" s="24"/>
      <c r="O370" s="24"/>
      <c r="P370" s="24"/>
      <c r="Q370" s="24"/>
      <c r="R370" s="24"/>
      <c r="S370" s="24"/>
      <c r="T370" s="24"/>
      <c r="U370" s="20" t="s">
        <v>2214</v>
      </c>
      <c r="V370" s="20" t="s">
        <v>949</v>
      </c>
      <c r="W370" s="20" t="s">
        <v>280</v>
      </c>
      <c r="X370" s="20" t="s">
        <v>227</v>
      </c>
      <c r="Y370" s="20"/>
      <c r="Z370" s="20"/>
      <c r="AA370" s="20" t="s">
        <v>2215</v>
      </c>
      <c r="AB370" s="20" t="s">
        <v>2240</v>
      </c>
      <c r="AC370" s="24">
        <v>1</v>
      </c>
      <c r="AD370" s="24"/>
      <c r="AE370" s="24"/>
      <c r="AF370" s="24"/>
      <c r="AG370" s="24"/>
      <c r="AH370" s="20"/>
      <c r="AI370" s="42"/>
    </row>
    <row r="371" spans="1:35">
      <c r="A371" s="14"/>
      <c r="B371" s="20"/>
      <c r="C371" s="20"/>
      <c r="D371" s="20"/>
      <c r="E371" s="20"/>
      <c r="F371" s="20"/>
      <c r="G371" s="20"/>
      <c r="H371" s="20"/>
      <c r="I371" s="211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0"/>
      <c r="V371" s="20"/>
      <c r="W371" s="20"/>
      <c r="X371" s="20"/>
      <c r="Y371" s="20"/>
      <c r="Z371" s="20"/>
      <c r="AA371" s="20" t="s">
        <v>2216</v>
      </c>
      <c r="AB371" s="20" t="s">
        <v>2240</v>
      </c>
      <c r="AC371" s="24">
        <v>1</v>
      </c>
      <c r="AD371" s="24"/>
      <c r="AE371" s="24"/>
      <c r="AF371" s="24"/>
      <c r="AG371" s="24"/>
      <c r="AH371" s="20"/>
      <c r="AI371" s="42"/>
    </row>
    <row r="372" spans="1:35">
      <c r="A372" s="14"/>
      <c r="B372" s="20"/>
      <c r="C372" s="84" t="s">
        <v>2420</v>
      </c>
      <c r="D372" s="20" t="s">
        <v>79</v>
      </c>
      <c r="E372" s="20" t="s">
        <v>80</v>
      </c>
      <c r="F372" s="20" t="s">
        <v>1514</v>
      </c>
      <c r="G372" s="20" t="s">
        <v>1492</v>
      </c>
      <c r="H372" s="20" t="s">
        <v>136</v>
      </c>
      <c r="I372" s="211">
        <v>22292</v>
      </c>
      <c r="J372" s="24">
        <v>1</v>
      </c>
      <c r="K372" s="24"/>
      <c r="L372" s="24">
        <v>1</v>
      </c>
      <c r="M372" s="24"/>
      <c r="N372" s="24"/>
      <c r="O372" s="24"/>
      <c r="P372" s="24"/>
      <c r="Q372" s="24"/>
      <c r="R372" s="24"/>
      <c r="S372" s="24"/>
      <c r="T372" s="24"/>
      <c r="U372" s="20" t="s">
        <v>2214</v>
      </c>
      <c r="V372" s="20" t="s">
        <v>949</v>
      </c>
      <c r="W372" s="20" t="s">
        <v>280</v>
      </c>
      <c r="X372" s="20" t="s">
        <v>227</v>
      </c>
      <c r="Y372" s="20"/>
      <c r="Z372" s="20"/>
      <c r="AA372" s="20" t="s">
        <v>2241</v>
      </c>
      <c r="AB372" s="20" t="s">
        <v>2240</v>
      </c>
      <c r="AC372" s="24">
        <v>1</v>
      </c>
      <c r="AD372" s="24"/>
      <c r="AE372" s="24"/>
      <c r="AF372" s="24"/>
      <c r="AG372" s="24"/>
      <c r="AH372" s="20"/>
      <c r="AI372" s="42"/>
    </row>
    <row r="373" spans="1:35">
      <c r="A373" s="14"/>
      <c r="B373" s="20"/>
      <c r="C373" s="20"/>
      <c r="D373" s="20"/>
      <c r="E373" s="20"/>
      <c r="F373" s="20"/>
      <c r="G373" s="20"/>
      <c r="H373" s="20"/>
      <c r="I373" s="211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0"/>
      <c r="V373" s="20"/>
      <c r="W373" s="20"/>
      <c r="X373" s="20"/>
      <c r="Y373" s="20"/>
      <c r="Z373" s="20"/>
      <c r="AA373" s="20" t="s">
        <v>2216</v>
      </c>
      <c r="AB373" s="20" t="s">
        <v>2240</v>
      </c>
      <c r="AC373" s="24">
        <v>1</v>
      </c>
      <c r="AD373" s="24"/>
      <c r="AE373" s="24"/>
      <c r="AF373" s="24"/>
      <c r="AG373" s="24"/>
      <c r="AH373" s="20"/>
      <c r="AI373" s="42"/>
    </row>
    <row r="374" spans="1:35">
      <c r="A374" s="14"/>
      <c r="B374" s="20"/>
      <c r="C374" s="84" t="s">
        <v>2420</v>
      </c>
      <c r="D374" s="20" t="s">
        <v>79</v>
      </c>
      <c r="E374" s="20" t="s">
        <v>80</v>
      </c>
      <c r="F374" s="20" t="s">
        <v>2242</v>
      </c>
      <c r="G374" s="20" t="s">
        <v>2243</v>
      </c>
      <c r="H374" s="20" t="s">
        <v>588</v>
      </c>
      <c r="I374" s="211" t="s">
        <v>2244</v>
      </c>
      <c r="J374" s="24" t="s">
        <v>93</v>
      </c>
      <c r="K374" s="24">
        <v>1</v>
      </c>
      <c r="L374" s="24">
        <v>1</v>
      </c>
      <c r="M374" s="24"/>
      <c r="N374" s="24"/>
      <c r="O374" s="24"/>
      <c r="P374" s="24"/>
      <c r="Q374" s="24"/>
      <c r="R374" s="24"/>
      <c r="S374" s="24"/>
      <c r="T374" s="24"/>
      <c r="U374" s="20" t="s">
        <v>2214</v>
      </c>
      <c r="V374" s="20" t="s">
        <v>949</v>
      </c>
      <c r="W374" s="20" t="s">
        <v>280</v>
      </c>
      <c r="X374" s="20" t="s">
        <v>227</v>
      </c>
      <c r="Y374" s="20"/>
      <c r="Z374" s="20"/>
      <c r="AA374" s="20" t="s">
        <v>2241</v>
      </c>
      <c r="AB374" s="20" t="s">
        <v>2240</v>
      </c>
      <c r="AC374" s="24">
        <v>1</v>
      </c>
      <c r="AD374" s="24"/>
      <c r="AE374" s="24"/>
      <c r="AF374" s="24"/>
      <c r="AG374" s="24"/>
      <c r="AH374" s="20"/>
      <c r="AI374" s="42"/>
    </row>
    <row r="375" spans="1:35">
      <c r="A375" s="14"/>
      <c r="B375" s="20"/>
      <c r="C375" s="20"/>
      <c r="D375" s="20"/>
      <c r="E375" s="20"/>
      <c r="F375" s="20"/>
      <c r="G375" s="20"/>
      <c r="H375" s="20"/>
      <c r="I375" s="211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0"/>
      <c r="V375" s="20"/>
      <c r="W375" s="20"/>
      <c r="X375" s="20"/>
      <c r="Y375" s="20"/>
      <c r="Z375" s="20"/>
      <c r="AA375" s="20" t="s">
        <v>2216</v>
      </c>
      <c r="AB375" s="20" t="s">
        <v>2240</v>
      </c>
      <c r="AC375" s="24">
        <v>1</v>
      </c>
      <c r="AD375" s="24"/>
      <c r="AE375" s="24"/>
      <c r="AF375" s="24"/>
      <c r="AG375" s="24"/>
      <c r="AH375" s="20"/>
      <c r="AI375" s="42"/>
    </row>
    <row r="376" spans="1:35">
      <c r="A376" s="14"/>
      <c r="B376" s="20"/>
      <c r="C376" s="84" t="s">
        <v>2420</v>
      </c>
      <c r="D376" s="20" t="s">
        <v>79</v>
      </c>
      <c r="E376" s="20" t="s">
        <v>80</v>
      </c>
      <c r="F376" s="20" t="s">
        <v>2245</v>
      </c>
      <c r="G376" s="20" t="s">
        <v>2246</v>
      </c>
      <c r="H376" s="20" t="s">
        <v>113</v>
      </c>
      <c r="I376" s="211" t="s">
        <v>2247</v>
      </c>
      <c r="J376" s="24"/>
      <c r="K376" s="24">
        <v>1</v>
      </c>
      <c r="L376" s="24">
        <v>1</v>
      </c>
      <c r="M376" s="24"/>
      <c r="N376" s="24"/>
      <c r="O376" s="24"/>
      <c r="P376" s="24"/>
      <c r="Q376" s="24"/>
      <c r="R376" s="24"/>
      <c r="S376" s="24"/>
      <c r="T376" s="24"/>
      <c r="U376" s="20" t="s">
        <v>2214</v>
      </c>
      <c r="V376" s="20" t="s">
        <v>949</v>
      </c>
      <c r="W376" s="20" t="s">
        <v>280</v>
      </c>
      <c r="X376" s="20" t="s">
        <v>227</v>
      </c>
      <c r="Y376" s="20"/>
      <c r="Z376" s="20"/>
      <c r="AA376" s="20" t="s">
        <v>2241</v>
      </c>
      <c r="AB376" s="20" t="s">
        <v>2240</v>
      </c>
      <c r="AC376" s="24">
        <v>1</v>
      </c>
      <c r="AD376" s="24"/>
      <c r="AE376" s="24"/>
      <c r="AF376" s="24"/>
      <c r="AG376" s="24"/>
      <c r="AH376" s="20"/>
      <c r="AI376" s="42"/>
    </row>
    <row r="377" spans="1:35">
      <c r="A377" s="14"/>
      <c r="B377" s="20"/>
      <c r="C377" s="20"/>
      <c r="D377" s="20"/>
      <c r="E377" s="20"/>
      <c r="F377" s="20"/>
      <c r="G377" s="20"/>
      <c r="H377" s="20"/>
      <c r="I377" s="211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0"/>
      <c r="V377" s="20"/>
      <c r="W377" s="20"/>
      <c r="X377" s="20"/>
      <c r="Y377" s="20"/>
      <c r="Z377" s="20"/>
      <c r="AA377" s="20" t="s">
        <v>2216</v>
      </c>
      <c r="AB377" s="20" t="s">
        <v>2240</v>
      </c>
      <c r="AC377" s="24">
        <v>1</v>
      </c>
      <c r="AD377" s="24"/>
      <c r="AE377" s="24"/>
      <c r="AF377" s="24"/>
      <c r="AG377" s="24"/>
      <c r="AH377" s="20"/>
      <c r="AI377" s="42"/>
    </row>
    <row r="378" spans="1:35">
      <c r="A378" s="14"/>
      <c r="B378" s="20"/>
      <c r="C378" s="84" t="s">
        <v>2420</v>
      </c>
      <c r="D378" s="20" t="s">
        <v>79</v>
      </c>
      <c r="E378" s="20" t="s">
        <v>80</v>
      </c>
      <c r="F378" s="20" t="s">
        <v>2248</v>
      </c>
      <c r="G378" s="20" t="s">
        <v>2249</v>
      </c>
      <c r="H378" s="20" t="s">
        <v>120</v>
      </c>
      <c r="I378" s="211" t="s">
        <v>2250</v>
      </c>
      <c r="J378" s="24">
        <v>1</v>
      </c>
      <c r="K378" s="24"/>
      <c r="L378" s="24">
        <v>1</v>
      </c>
      <c r="M378" s="24"/>
      <c r="N378" s="24"/>
      <c r="O378" s="24"/>
      <c r="P378" s="24"/>
      <c r="Q378" s="24"/>
      <c r="R378" s="24"/>
      <c r="S378" s="24"/>
      <c r="T378" s="24"/>
      <c r="U378" s="20" t="s">
        <v>2214</v>
      </c>
      <c r="V378" s="20" t="s">
        <v>949</v>
      </c>
      <c r="W378" s="20" t="s">
        <v>280</v>
      </c>
      <c r="X378" s="20" t="s">
        <v>227</v>
      </c>
      <c r="Y378" s="20"/>
      <c r="Z378" s="20"/>
      <c r="AA378" s="20" t="s">
        <v>2241</v>
      </c>
      <c r="AB378" s="20" t="s">
        <v>2240</v>
      </c>
      <c r="AC378" s="24">
        <v>1</v>
      </c>
      <c r="AD378" s="24"/>
      <c r="AE378" s="24"/>
      <c r="AF378" s="24"/>
      <c r="AG378" s="24"/>
      <c r="AH378" s="20"/>
      <c r="AI378" s="42"/>
    </row>
    <row r="379" spans="1:35">
      <c r="A379" s="14"/>
      <c r="B379" s="20"/>
      <c r="C379" s="20"/>
      <c r="D379" s="20"/>
      <c r="E379" s="20"/>
      <c r="F379" s="20"/>
      <c r="G379" s="20"/>
      <c r="H379" s="20"/>
      <c r="I379" s="211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0"/>
      <c r="V379" s="20"/>
      <c r="W379" s="20"/>
      <c r="X379" s="20"/>
      <c r="Y379" s="20"/>
      <c r="Z379" s="20"/>
      <c r="AA379" s="20" t="s">
        <v>2216</v>
      </c>
      <c r="AB379" s="20" t="s">
        <v>2240</v>
      </c>
      <c r="AC379" s="24">
        <v>1</v>
      </c>
      <c r="AD379" s="24"/>
      <c r="AE379" s="24"/>
      <c r="AF379" s="24"/>
      <c r="AG379" s="24"/>
      <c r="AH379" s="20"/>
      <c r="AI379" s="42"/>
    </row>
    <row r="380" spans="1:35">
      <c r="A380" s="14"/>
      <c r="B380" s="20"/>
      <c r="C380" s="84" t="s">
        <v>2420</v>
      </c>
      <c r="D380" s="20" t="s">
        <v>79</v>
      </c>
      <c r="E380" s="20" t="s">
        <v>80</v>
      </c>
      <c r="F380" s="20" t="s">
        <v>2251</v>
      </c>
      <c r="G380" s="20" t="s">
        <v>2252</v>
      </c>
      <c r="H380" s="20" t="s">
        <v>144</v>
      </c>
      <c r="I380" s="211" t="s">
        <v>2253</v>
      </c>
      <c r="J380" s="24">
        <v>1</v>
      </c>
      <c r="K380" s="24"/>
      <c r="L380" s="24">
        <v>1</v>
      </c>
      <c r="M380" s="24"/>
      <c r="N380" s="24"/>
      <c r="O380" s="24"/>
      <c r="P380" s="24"/>
      <c r="Q380" s="24"/>
      <c r="R380" s="24"/>
      <c r="S380" s="24"/>
      <c r="T380" s="24"/>
      <c r="U380" s="20" t="s">
        <v>2214</v>
      </c>
      <c r="V380" s="20" t="s">
        <v>949</v>
      </c>
      <c r="W380" s="20" t="s">
        <v>280</v>
      </c>
      <c r="X380" s="20" t="s">
        <v>227</v>
      </c>
      <c r="Y380" s="20"/>
      <c r="Z380" s="20"/>
      <c r="AA380" s="20" t="s">
        <v>2241</v>
      </c>
      <c r="AB380" s="20" t="s">
        <v>2240</v>
      </c>
      <c r="AC380" s="24">
        <v>1</v>
      </c>
      <c r="AD380" s="24"/>
      <c r="AE380" s="24"/>
      <c r="AF380" s="24"/>
      <c r="AG380" s="24"/>
      <c r="AH380" s="20"/>
      <c r="AI380" s="42"/>
    </row>
    <row r="381" spans="1:35">
      <c r="A381" s="14"/>
      <c r="B381" s="20"/>
      <c r="C381" s="20"/>
      <c r="D381" s="20"/>
      <c r="E381" s="20"/>
      <c r="F381" s="20"/>
      <c r="G381" s="20"/>
      <c r="H381" s="20"/>
      <c r="I381" s="211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0"/>
      <c r="V381" s="20"/>
      <c r="W381" s="20"/>
      <c r="X381" s="20"/>
      <c r="Y381" s="20"/>
      <c r="Z381" s="20"/>
      <c r="AA381" s="20" t="s">
        <v>2216</v>
      </c>
      <c r="AB381" s="20" t="s">
        <v>2240</v>
      </c>
      <c r="AC381" s="24">
        <v>1</v>
      </c>
      <c r="AD381" s="24"/>
      <c r="AE381" s="24"/>
      <c r="AF381" s="24"/>
      <c r="AG381" s="24"/>
      <c r="AH381" s="20"/>
      <c r="AI381" s="42"/>
    </row>
    <row r="382" spans="1:35">
      <c r="A382" s="14"/>
      <c r="B382" s="20"/>
      <c r="C382" s="84" t="s">
        <v>2420</v>
      </c>
      <c r="D382" s="20" t="s">
        <v>79</v>
      </c>
      <c r="E382" s="20" t="s">
        <v>80</v>
      </c>
      <c r="F382" s="20" t="s">
        <v>2248</v>
      </c>
      <c r="G382" s="20" t="s">
        <v>745</v>
      </c>
      <c r="H382" s="20" t="s">
        <v>283</v>
      </c>
      <c r="I382" s="211">
        <v>23503</v>
      </c>
      <c r="J382" s="24">
        <v>1</v>
      </c>
      <c r="K382" s="24"/>
      <c r="L382" s="24">
        <v>1</v>
      </c>
      <c r="M382" s="24"/>
      <c r="N382" s="24"/>
      <c r="O382" s="24"/>
      <c r="P382" s="24"/>
      <c r="Q382" s="24"/>
      <c r="R382" s="24"/>
      <c r="S382" s="24"/>
      <c r="T382" s="24"/>
      <c r="U382" s="20" t="s">
        <v>2214</v>
      </c>
      <c r="V382" s="20" t="s">
        <v>949</v>
      </c>
      <c r="W382" s="20" t="s">
        <v>280</v>
      </c>
      <c r="X382" s="20" t="s">
        <v>227</v>
      </c>
      <c r="Y382" s="20"/>
      <c r="Z382" s="20"/>
      <c r="AA382" s="20" t="s">
        <v>2241</v>
      </c>
      <c r="AB382" s="20" t="s">
        <v>2240</v>
      </c>
      <c r="AC382" s="24">
        <v>1</v>
      </c>
      <c r="AD382" s="24"/>
      <c r="AE382" s="24"/>
      <c r="AF382" s="24"/>
      <c r="AG382" s="24"/>
      <c r="AH382" s="20"/>
      <c r="AI382" s="42"/>
    </row>
    <row r="383" spans="1:35">
      <c r="A383" s="14"/>
      <c r="B383" s="20"/>
      <c r="C383" s="20"/>
      <c r="D383" s="20"/>
      <c r="E383" s="20"/>
      <c r="F383" s="20"/>
      <c r="G383" s="20"/>
      <c r="H383" s="20"/>
      <c r="I383" s="211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0"/>
      <c r="V383" s="20"/>
      <c r="W383" s="20"/>
      <c r="X383" s="20"/>
      <c r="Y383" s="20"/>
      <c r="Z383" s="20"/>
      <c r="AA383" s="20" t="s">
        <v>2216</v>
      </c>
      <c r="AB383" s="20" t="s">
        <v>2240</v>
      </c>
      <c r="AC383" s="24">
        <v>1</v>
      </c>
      <c r="AD383" s="24"/>
      <c r="AE383" s="24"/>
      <c r="AF383" s="24"/>
      <c r="AG383" s="24"/>
      <c r="AH383" s="20"/>
      <c r="AI383" s="42"/>
    </row>
    <row r="384" spans="1:35">
      <c r="A384" s="14"/>
      <c r="B384" s="20"/>
      <c r="C384" s="84" t="s">
        <v>2420</v>
      </c>
      <c r="D384" s="20" t="s">
        <v>79</v>
      </c>
      <c r="E384" s="20" t="s">
        <v>80</v>
      </c>
      <c r="F384" s="20" t="s">
        <v>2254</v>
      </c>
      <c r="G384" s="20" t="s">
        <v>2255</v>
      </c>
      <c r="H384" s="20" t="s">
        <v>120</v>
      </c>
      <c r="I384" s="211" t="s">
        <v>2256</v>
      </c>
      <c r="J384" s="24">
        <v>1</v>
      </c>
      <c r="K384" s="24"/>
      <c r="L384" s="24">
        <v>1</v>
      </c>
      <c r="M384" s="24"/>
      <c r="N384" s="24"/>
      <c r="O384" s="24"/>
      <c r="P384" s="24"/>
      <c r="Q384" s="24"/>
      <c r="R384" s="24"/>
      <c r="S384" s="24"/>
      <c r="T384" s="24"/>
      <c r="U384" s="20" t="s">
        <v>2214</v>
      </c>
      <c r="V384" s="20" t="s">
        <v>949</v>
      </c>
      <c r="W384" s="20" t="s">
        <v>280</v>
      </c>
      <c r="X384" s="20" t="s">
        <v>227</v>
      </c>
      <c r="Y384" s="20"/>
      <c r="Z384" s="20"/>
      <c r="AA384" s="20" t="s">
        <v>2241</v>
      </c>
      <c r="AB384" s="20" t="s">
        <v>2240</v>
      </c>
      <c r="AC384" s="24">
        <v>1</v>
      </c>
      <c r="AD384" s="24"/>
      <c r="AE384" s="24"/>
      <c r="AF384" s="24"/>
      <c r="AG384" s="24"/>
      <c r="AH384" s="20"/>
      <c r="AI384" s="42"/>
    </row>
    <row r="385" spans="1:35">
      <c r="A385" s="14"/>
      <c r="B385" s="20"/>
      <c r="C385" s="20"/>
      <c r="D385" s="20"/>
      <c r="E385" s="20"/>
      <c r="F385" s="20"/>
      <c r="G385" s="20"/>
      <c r="H385" s="20"/>
      <c r="I385" s="211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0"/>
      <c r="V385" s="20"/>
      <c r="W385" s="20"/>
      <c r="X385" s="20"/>
      <c r="Y385" s="20"/>
      <c r="Z385" s="20"/>
      <c r="AA385" s="20" t="s">
        <v>2216</v>
      </c>
      <c r="AB385" s="20" t="s">
        <v>2240</v>
      </c>
      <c r="AC385" s="24">
        <v>1</v>
      </c>
      <c r="AD385" s="24"/>
      <c r="AE385" s="24"/>
      <c r="AF385" s="24"/>
      <c r="AG385" s="24"/>
      <c r="AH385" s="20"/>
      <c r="AI385" s="42"/>
    </row>
    <row r="386" spans="1:35">
      <c r="A386" s="14"/>
      <c r="B386" s="20"/>
      <c r="C386" s="84" t="s">
        <v>2420</v>
      </c>
      <c r="D386" s="20" t="s">
        <v>79</v>
      </c>
      <c r="E386" s="20" t="s">
        <v>80</v>
      </c>
      <c r="F386" s="20" t="s">
        <v>2257</v>
      </c>
      <c r="G386" s="20" t="s">
        <v>2258</v>
      </c>
      <c r="H386" s="20" t="s">
        <v>120</v>
      </c>
      <c r="I386" s="211" t="s">
        <v>2259</v>
      </c>
      <c r="J386" s="24">
        <v>1</v>
      </c>
      <c r="K386" s="24"/>
      <c r="L386" s="24">
        <v>1</v>
      </c>
      <c r="M386" s="24"/>
      <c r="N386" s="24"/>
      <c r="O386" s="24"/>
      <c r="P386" s="24"/>
      <c r="Q386" s="24"/>
      <c r="R386" s="24"/>
      <c r="S386" s="24"/>
      <c r="T386" s="24"/>
      <c r="U386" s="20" t="s">
        <v>2214</v>
      </c>
      <c r="V386" s="20" t="s">
        <v>949</v>
      </c>
      <c r="W386" s="20" t="s">
        <v>280</v>
      </c>
      <c r="X386" s="20" t="s">
        <v>227</v>
      </c>
      <c r="Y386" s="20"/>
      <c r="Z386" s="20"/>
      <c r="AA386" s="20" t="s">
        <v>2241</v>
      </c>
      <c r="AB386" s="20" t="s">
        <v>2240</v>
      </c>
      <c r="AC386" s="24">
        <v>1</v>
      </c>
      <c r="AD386" s="24"/>
      <c r="AE386" s="24"/>
      <c r="AF386" s="24"/>
      <c r="AG386" s="24"/>
      <c r="AH386" s="20"/>
      <c r="AI386" s="42"/>
    </row>
    <row r="387" spans="1:35">
      <c r="A387" s="14"/>
      <c r="B387" s="20"/>
      <c r="C387" s="20"/>
      <c r="D387" s="20"/>
      <c r="E387" s="20"/>
      <c r="F387" s="20"/>
      <c r="G387" s="20"/>
      <c r="H387" s="20"/>
      <c r="I387" s="211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0"/>
      <c r="V387" s="20"/>
      <c r="W387" s="20"/>
      <c r="X387" s="20"/>
      <c r="Y387" s="20"/>
      <c r="Z387" s="20"/>
      <c r="AA387" s="20" t="s">
        <v>2216</v>
      </c>
      <c r="AB387" s="20" t="s">
        <v>2240</v>
      </c>
      <c r="AC387" s="24">
        <v>1</v>
      </c>
      <c r="AD387" s="24"/>
      <c r="AE387" s="24"/>
      <c r="AF387" s="24"/>
      <c r="AG387" s="24"/>
      <c r="AH387" s="20"/>
      <c r="AI387" s="42"/>
    </row>
    <row r="388" spans="1:35">
      <c r="A388" s="14"/>
      <c r="B388" s="20"/>
      <c r="C388" s="84" t="s">
        <v>2420</v>
      </c>
      <c r="D388" s="20" t="s">
        <v>79</v>
      </c>
      <c r="E388" s="20" t="s">
        <v>80</v>
      </c>
      <c r="F388" s="20" t="s">
        <v>1463</v>
      </c>
      <c r="G388" s="20" t="s">
        <v>1420</v>
      </c>
      <c r="H388" s="20" t="s">
        <v>120</v>
      </c>
      <c r="I388" s="211" t="s">
        <v>2260</v>
      </c>
      <c r="J388" s="24">
        <v>1</v>
      </c>
      <c r="K388" s="24"/>
      <c r="L388" s="24">
        <v>1</v>
      </c>
      <c r="M388" s="24"/>
      <c r="N388" s="24"/>
      <c r="O388" s="24"/>
      <c r="P388" s="24"/>
      <c r="Q388" s="24"/>
      <c r="R388" s="24"/>
      <c r="S388" s="24"/>
      <c r="T388" s="24"/>
      <c r="U388" s="20" t="s">
        <v>2214</v>
      </c>
      <c r="V388" s="20" t="s">
        <v>949</v>
      </c>
      <c r="W388" s="20" t="s">
        <v>280</v>
      </c>
      <c r="X388" s="20" t="s">
        <v>227</v>
      </c>
      <c r="Y388" s="20"/>
      <c r="Z388" s="20"/>
      <c r="AA388" s="20" t="s">
        <v>2241</v>
      </c>
      <c r="AB388" s="20" t="s">
        <v>2240</v>
      </c>
      <c r="AC388" s="24">
        <v>1</v>
      </c>
      <c r="AD388" s="24"/>
      <c r="AE388" s="24"/>
      <c r="AF388" s="24"/>
      <c r="AG388" s="24"/>
      <c r="AH388" s="20"/>
      <c r="AI388" s="42"/>
    </row>
    <row r="389" spans="1:35">
      <c r="A389" s="14"/>
      <c r="B389" s="20"/>
      <c r="C389" s="20"/>
      <c r="D389" s="20"/>
      <c r="E389" s="20"/>
      <c r="F389" s="20"/>
      <c r="G389" s="20"/>
      <c r="H389" s="20"/>
      <c r="I389" s="211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0"/>
      <c r="V389" s="20"/>
      <c r="W389" s="20"/>
      <c r="X389" s="20"/>
      <c r="Y389" s="20"/>
      <c r="Z389" s="20"/>
      <c r="AA389" s="20" t="s">
        <v>2216</v>
      </c>
      <c r="AB389" s="20" t="s">
        <v>2240</v>
      </c>
      <c r="AC389" s="24">
        <v>1</v>
      </c>
      <c r="AD389" s="24"/>
      <c r="AE389" s="24"/>
      <c r="AF389" s="24"/>
      <c r="AG389" s="24"/>
      <c r="AH389" s="20"/>
      <c r="AI389" s="42"/>
    </row>
    <row r="390" spans="1:35">
      <c r="A390" s="14"/>
      <c r="B390" s="20"/>
      <c r="C390" s="84" t="s">
        <v>2420</v>
      </c>
      <c r="D390" s="20" t="s">
        <v>79</v>
      </c>
      <c r="E390" s="20" t="s">
        <v>80</v>
      </c>
      <c r="F390" s="20" t="s">
        <v>2257</v>
      </c>
      <c r="G390" s="20" t="s">
        <v>2261</v>
      </c>
      <c r="H390" s="20" t="s">
        <v>120</v>
      </c>
      <c r="I390" s="211" t="s">
        <v>2262</v>
      </c>
      <c r="J390" s="24">
        <v>1</v>
      </c>
      <c r="K390" s="24"/>
      <c r="L390" s="24">
        <v>1</v>
      </c>
      <c r="M390" s="24"/>
      <c r="N390" s="24"/>
      <c r="O390" s="24"/>
      <c r="P390" s="24"/>
      <c r="Q390" s="24"/>
      <c r="R390" s="24"/>
      <c r="S390" s="24"/>
      <c r="T390" s="24"/>
      <c r="U390" s="20" t="s">
        <v>2214</v>
      </c>
      <c r="V390" s="20" t="s">
        <v>949</v>
      </c>
      <c r="W390" s="20" t="s">
        <v>280</v>
      </c>
      <c r="X390" s="20" t="s">
        <v>227</v>
      </c>
      <c r="Y390" s="20"/>
      <c r="Z390" s="20"/>
      <c r="AA390" s="20" t="s">
        <v>2241</v>
      </c>
      <c r="AB390" s="20" t="s">
        <v>2240</v>
      </c>
      <c r="AC390" s="24">
        <v>1</v>
      </c>
      <c r="AD390" s="24"/>
      <c r="AE390" s="24"/>
      <c r="AF390" s="24"/>
      <c r="AG390" s="24"/>
      <c r="AH390" s="20"/>
      <c r="AI390" s="42"/>
    </row>
    <row r="391" spans="1:35">
      <c r="A391" s="14"/>
      <c r="B391" s="20"/>
      <c r="C391" s="20"/>
      <c r="D391" s="20"/>
      <c r="E391" s="20"/>
      <c r="F391" s="20"/>
      <c r="G391" s="20"/>
      <c r="H391" s="20"/>
      <c r="I391" s="211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0"/>
      <c r="V391" s="20"/>
      <c r="W391" s="20"/>
      <c r="X391" s="20"/>
      <c r="Y391" s="20"/>
      <c r="Z391" s="20"/>
      <c r="AA391" s="20" t="s">
        <v>2216</v>
      </c>
      <c r="AB391" s="20" t="s">
        <v>2240</v>
      </c>
      <c r="AC391" s="24">
        <v>1</v>
      </c>
      <c r="AD391" s="24"/>
      <c r="AE391" s="24"/>
      <c r="AF391" s="24"/>
      <c r="AG391" s="24"/>
      <c r="AH391" s="20"/>
      <c r="AI391" s="42"/>
    </row>
    <row r="392" spans="1:35">
      <c r="A392" s="14"/>
      <c r="B392" s="20"/>
      <c r="C392" s="84" t="s">
        <v>2420</v>
      </c>
      <c r="D392" s="20" t="s">
        <v>79</v>
      </c>
      <c r="E392" s="20" t="s">
        <v>80</v>
      </c>
      <c r="F392" s="20" t="s">
        <v>2263</v>
      </c>
      <c r="G392" s="20" t="s">
        <v>2264</v>
      </c>
      <c r="H392" s="20" t="s">
        <v>120</v>
      </c>
      <c r="I392" s="211" t="s">
        <v>2265</v>
      </c>
      <c r="J392" s="24">
        <v>1</v>
      </c>
      <c r="K392" s="24"/>
      <c r="L392" s="24">
        <v>1</v>
      </c>
      <c r="M392" s="24"/>
      <c r="N392" s="24"/>
      <c r="O392" s="24"/>
      <c r="P392" s="24"/>
      <c r="Q392" s="24"/>
      <c r="R392" s="24"/>
      <c r="S392" s="24"/>
      <c r="T392" s="24"/>
      <c r="U392" s="20" t="s">
        <v>2214</v>
      </c>
      <c r="V392" s="20" t="s">
        <v>949</v>
      </c>
      <c r="W392" s="20" t="s">
        <v>280</v>
      </c>
      <c r="X392" s="20" t="s">
        <v>227</v>
      </c>
      <c r="Y392" s="20"/>
      <c r="Z392" s="20"/>
      <c r="AA392" s="20" t="s">
        <v>2241</v>
      </c>
      <c r="AB392" s="20" t="s">
        <v>2240</v>
      </c>
      <c r="AC392" s="24">
        <v>1</v>
      </c>
      <c r="AD392" s="24"/>
      <c r="AE392" s="24"/>
      <c r="AF392" s="24"/>
      <c r="AG392" s="24"/>
      <c r="AH392" s="20"/>
      <c r="AI392" s="42"/>
    </row>
    <row r="393" spans="1:35">
      <c r="A393" s="14"/>
      <c r="B393" s="20"/>
      <c r="C393" s="20"/>
      <c r="D393" s="20"/>
      <c r="E393" s="20"/>
      <c r="F393" s="20"/>
      <c r="G393" s="20"/>
      <c r="H393" s="20"/>
      <c r="I393" s="211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0"/>
      <c r="V393" s="20"/>
      <c r="W393" s="20"/>
      <c r="X393" s="20"/>
      <c r="Y393" s="20"/>
      <c r="Z393" s="20"/>
      <c r="AA393" s="20" t="s">
        <v>2216</v>
      </c>
      <c r="AB393" s="20" t="s">
        <v>2240</v>
      </c>
      <c r="AC393" s="24">
        <v>1</v>
      </c>
      <c r="AD393" s="24"/>
      <c r="AE393" s="24"/>
      <c r="AF393" s="24"/>
      <c r="AG393" s="24"/>
      <c r="AH393" s="20"/>
      <c r="AI393" s="42"/>
    </row>
    <row r="394" spans="1:35">
      <c r="A394" s="14"/>
      <c r="B394" s="20"/>
      <c r="C394" s="84" t="s">
        <v>2420</v>
      </c>
      <c r="D394" s="20" t="s">
        <v>79</v>
      </c>
      <c r="E394" s="20" t="s">
        <v>80</v>
      </c>
      <c r="F394" s="20" t="s">
        <v>2266</v>
      </c>
      <c r="G394" s="20" t="s">
        <v>2267</v>
      </c>
      <c r="H394" s="20" t="s">
        <v>120</v>
      </c>
      <c r="I394" s="211">
        <v>25087</v>
      </c>
      <c r="J394" s="24">
        <v>1</v>
      </c>
      <c r="K394" s="24"/>
      <c r="L394" s="24">
        <v>1</v>
      </c>
      <c r="M394" s="24"/>
      <c r="N394" s="24"/>
      <c r="O394" s="24"/>
      <c r="P394" s="24"/>
      <c r="Q394" s="24"/>
      <c r="R394" s="24"/>
      <c r="S394" s="24"/>
      <c r="T394" s="24"/>
      <c r="U394" s="20" t="s">
        <v>2214</v>
      </c>
      <c r="V394" s="20" t="s">
        <v>949</v>
      </c>
      <c r="W394" s="20" t="s">
        <v>280</v>
      </c>
      <c r="X394" s="20" t="s">
        <v>227</v>
      </c>
      <c r="Y394" s="20"/>
      <c r="Z394" s="20"/>
      <c r="AA394" s="20" t="s">
        <v>2241</v>
      </c>
      <c r="AB394" s="20" t="s">
        <v>2240</v>
      </c>
      <c r="AC394" s="24">
        <v>1</v>
      </c>
      <c r="AD394" s="24"/>
      <c r="AE394" s="24"/>
      <c r="AF394" s="24"/>
      <c r="AG394" s="24"/>
      <c r="AH394" s="20"/>
      <c r="AI394" s="42"/>
    </row>
    <row r="395" spans="1:35">
      <c r="A395" s="14"/>
      <c r="B395" s="20"/>
      <c r="C395" s="20"/>
      <c r="D395" s="20"/>
      <c r="E395" s="20"/>
      <c r="F395" s="20"/>
      <c r="G395" s="20"/>
      <c r="H395" s="20"/>
      <c r="I395" s="211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0"/>
      <c r="V395" s="20"/>
      <c r="W395" s="20"/>
      <c r="X395" s="20"/>
      <c r="Y395" s="20"/>
      <c r="Z395" s="20"/>
      <c r="AA395" s="20" t="s">
        <v>2216</v>
      </c>
      <c r="AB395" s="20" t="s">
        <v>2240</v>
      </c>
      <c r="AC395" s="24">
        <v>1</v>
      </c>
      <c r="AD395" s="24"/>
      <c r="AE395" s="24"/>
      <c r="AF395" s="24"/>
      <c r="AG395" s="24"/>
      <c r="AH395" s="20"/>
      <c r="AI395" s="42"/>
    </row>
    <row r="396" spans="1:35">
      <c r="A396" s="14"/>
      <c r="B396" s="20"/>
      <c r="C396" s="84" t="s">
        <v>2420</v>
      </c>
      <c r="D396" s="20" t="s">
        <v>79</v>
      </c>
      <c r="E396" s="20" t="s">
        <v>80</v>
      </c>
      <c r="F396" s="20" t="s">
        <v>2266</v>
      </c>
      <c r="G396" s="20" t="s">
        <v>2189</v>
      </c>
      <c r="H396" s="20" t="s">
        <v>160</v>
      </c>
      <c r="I396" s="211" t="s">
        <v>2268</v>
      </c>
      <c r="J396" s="24">
        <v>1</v>
      </c>
      <c r="K396" s="24"/>
      <c r="L396" s="24">
        <v>1</v>
      </c>
      <c r="M396" s="24"/>
      <c r="N396" s="24"/>
      <c r="O396" s="24"/>
      <c r="P396" s="24"/>
      <c r="Q396" s="24"/>
      <c r="R396" s="24"/>
      <c r="S396" s="24"/>
      <c r="T396" s="24"/>
      <c r="U396" s="20" t="s">
        <v>2214</v>
      </c>
      <c r="V396" s="20" t="s">
        <v>949</v>
      </c>
      <c r="W396" s="20" t="s">
        <v>280</v>
      </c>
      <c r="X396" s="20" t="s">
        <v>227</v>
      </c>
      <c r="Y396" s="20"/>
      <c r="Z396" s="20"/>
      <c r="AA396" s="20" t="s">
        <v>2241</v>
      </c>
      <c r="AB396" s="20" t="s">
        <v>2240</v>
      </c>
      <c r="AC396" s="24">
        <v>1</v>
      </c>
      <c r="AD396" s="24"/>
      <c r="AE396" s="24"/>
      <c r="AF396" s="24"/>
      <c r="AG396" s="24"/>
      <c r="AH396" s="20"/>
      <c r="AI396" s="42"/>
    </row>
    <row r="397" spans="1:35">
      <c r="A397" s="14"/>
      <c r="B397" s="20"/>
      <c r="C397" s="20"/>
      <c r="D397" s="20"/>
      <c r="E397" s="20"/>
      <c r="F397" s="20"/>
      <c r="G397" s="20"/>
      <c r="H397" s="20"/>
      <c r="I397" s="211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0"/>
      <c r="V397" s="20"/>
      <c r="W397" s="20"/>
      <c r="X397" s="20"/>
      <c r="Y397" s="20"/>
      <c r="Z397" s="20"/>
      <c r="AA397" s="20" t="s">
        <v>2216</v>
      </c>
      <c r="AB397" s="20" t="s">
        <v>2240</v>
      </c>
      <c r="AC397" s="24">
        <v>1</v>
      </c>
      <c r="AD397" s="24"/>
      <c r="AE397" s="24"/>
      <c r="AF397" s="24"/>
      <c r="AG397" s="24"/>
      <c r="AH397" s="20"/>
      <c r="AI397" s="42"/>
    </row>
    <row r="398" spans="1:35">
      <c r="A398" s="14"/>
      <c r="B398" s="20"/>
      <c r="C398" s="84" t="s">
        <v>2420</v>
      </c>
      <c r="D398" s="20" t="s">
        <v>79</v>
      </c>
      <c r="E398" s="20" t="s">
        <v>80</v>
      </c>
      <c r="F398" s="20" t="s">
        <v>1463</v>
      </c>
      <c r="G398" s="20" t="s">
        <v>2269</v>
      </c>
      <c r="H398" s="20" t="s">
        <v>120</v>
      </c>
      <c r="I398" s="211">
        <v>35255</v>
      </c>
      <c r="J398" s="24">
        <v>1</v>
      </c>
      <c r="K398" s="24"/>
      <c r="L398" s="24">
        <v>1</v>
      </c>
      <c r="M398" s="24"/>
      <c r="N398" s="24"/>
      <c r="O398" s="24"/>
      <c r="P398" s="24"/>
      <c r="Q398" s="24"/>
      <c r="R398" s="24"/>
      <c r="S398" s="24"/>
      <c r="T398" s="24"/>
      <c r="U398" s="20" t="s">
        <v>2214</v>
      </c>
      <c r="V398" s="20" t="s">
        <v>949</v>
      </c>
      <c r="W398" s="20" t="s">
        <v>280</v>
      </c>
      <c r="X398" s="20" t="s">
        <v>227</v>
      </c>
      <c r="Y398" s="20"/>
      <c r="Z398" s="20"/>
      <c r="AA398" s="20" t="s">
        <v>2241</v>
      </c>
      <c r="AB398" s="20" t="s">
        <v>2240</v>
      </c>
      <c r="AC398" s="24">
        <v>1</v>
      </c>
      <c r="AD398" s="24"/>
      <c r="AE398" s="24"/>
      <c r="AF398" s="24"/>
      <c r="AG398" s="24"/>
      <c r="AH398" s="20"/>
      <c r="AI398" s="42"/>
    </row>
    <row r="399" spans="1:35">
      <c r="A399" s="14"/>
      <c r="B399" s="20"/>
      <c r="C399" s="20"/>
      <c r="D399" s="20"/>
      <c r="E399" s="20"/>
      <c r="F399" s="20"/>
      <c r="G399" s="20"/>
      <c r="H399" s="20"/>
      <c r="I399" s="211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0"/>
      <c r="V399" s="20"/>
      <c r="W399" s="20"/>
      <c r="X399" s="20"/>
      <c r="Y399" s="20"/>
      <c r="Z399" s="20"/>
      <c r="AA399" s="20" t="s">
        <v>2216</v>
      </c>
      <c r="AB399" s="20" t="s">
        <v>2240</v>
      </c>
      <c r="AC399" s="24">
        <v>1</v>
      </c>
      <c r="AD399" s="24"/>
      <c r="AE399" s="24"/>
      <c r="AF399" s="24"/>
      <c r="AG399" s="24"/>
      <c r="AH399" s="20"/>
      <c r="AI399" s="42"/>
    </row>
    <row r="400" spans="1:35">
      <c r="A400" s="14"/>
      <c r="B400" s="20"/>
      <c r="C400" s="84" t="s">
        <v>2420</v>
      </c>
      <c r="D400" s="20" t="s">
        <v>79</v>
      </c>
      <c r="E400" s="20" t="s">
        <v>80</v>
      </c>
      <c r="F400" s="20" t="s">
        <v>2270</v>
      </c>
      <c r="G400" s="20" t="s">
        <v>2271</v>
      </c>
      <c r="H400" s="20" t="s">
        <v>113</v>
      </c>
      <c r="I400" s="211">
        <v>27030</v>
      </c>
      <c r="J400" s="24">
        <v>1</v>
      </c>
      <c r="K400" s="24"/>
      <c r="L400" s="24">
        <v>1</v>
      </c>
      <c r="M400" s="24"/>
      <c r="N400" s="24"/>
      <c r="O400" s="24"/>
      <c r="P400" s="24"/>
      <c r="Q400" s="24"/>
      <c r="R400" s="24"/>
      <c r="S400" s="24"/>
      <c r="T400" s="24"/>
      <c r="U400" s="20" t="s">
        <v>2214</v>
      </c>
      <c r="V400" s="20" t="s">
        <v>949</v>
      </c>
      <c r="W400" s="20" t="s">
        <v>280</v>
      </c>
      <c r="X400" s="20" t="s">
        <v>227</v>
      </c>
      <c r="Y400" s="20"/>
      <c r="Z400" s="20"/>
      <c r="AA400" s="20" t="s">
        <v>2241</v>
      </c>
      <c r="AB400" s="20" t="s">
        <v>2240</v>
      </c>
      <c r="AC400" s="24">
        <v>1</v>
      </c>
      <c r="AD400" s="24"/>
      <c r="AE400" s="24"/>
      <c r="AF400" s="24"/>
      <c r="AG400" s="24"/>
      <c r="AH400" s="20"/>
      <c r="AI400" s="42"/>
    </row>
    <row r="401" spans="1:35">
      <c r="A401" s="14"/>
      <c r="B401" s="20"/>
      <c r="C401" s="20"/>
      <c r="D401" s="20"/>
      <c r="E401" s="20"/>
      <c r="F401" s="20"/>
      <c r="G401" s="20"/>
      <c r="H401" s="20"/>
      <c r="I401" s="211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0"/>
      <c r="V401" s="20"/>
      <c r="W401" s="20"/>
      <c r="X401" s="20"/>
      <c r="Y401" s="20"/>
      <c r="Z401" s="20"/>
      <c r="AA401" s="20" t="s">
        <v>2216</v>
      </c>
      <c r="AB401" s="20" t="s">
        <v>2240</v>
      </c>
      <c r="AC401" s="24">
        <v>1</v>
      </c>
      <c r="AD401" s="24"/>
      <c r="AE401" s="24"/>
      <c r="AF401" s="24"/>
      <c r="AG401" s="24"/>
      <c r="AH401" s="20"/>
      <c r="AI401" s="42"/>
    </row>
    <row r="402" spans="1:35">
      <c r="A402" s="14"/>
      <c r="B402" s="20"/>
      <c r="C402" s="84" t="s">
        <v>2420</v>
      </c>
      <c r="D402" s="20" t="s">
        <v>79</v>
      </c>
      <c r="E402" s="20" t="s">
        <v>80</v>
      </c>
      <c r="F402" s="20" t="s">
        <v>2149</v>
      </c>
      <c r="G402" s="20" t="s">
        <v>1158</v>
      </c>
      <c r="H402" s="20"/>
      <c r="I402" s="211" t="s">
        <v>2272</v>
      </c>
      <c r="J402" s="24">
        <v>1</v>
      </c>
      <c r="K402" s="24"/>
      <c r="L402" s="24">
        <v>1</v>
      </c>
      <c r="M402" s="24"/>
      <c r="N402" s="24"/>
      <c r="O402" s="24"/>
      <c r="P402" s="24"/>
      <c r="Q402" s="24"/>
      <c r="R402" s="24"/>
      <c r="S402" s="24"/>
      <c r="T402" s="24"/>
      <c r="U402" s="20" t="s">
        <v>2214</v>
      </c>
      <c r="V402" s="20" t="s">
        <v>949</v>
      </c>
      <c r="W402" s="20" t="s">
        <v>280</v>
      </c>
      <c r="X402" s="20" t="s">
        <v>227</v>
      </c>
      <c r="Y402" s="20"/>
      <c r="Z402" s="20"/>
      <c r="AA402" s="20" t="s">
        <v>2241</v>
      </c>
      <c r="AB402" s="20" t="s">
        <v>2240</v>
      </c>
      <c r="AC402" s="24">
        <v>1</v>
      </c>
      <c r="AD402" s="24"/>
      <c r="AE402" s="24"/>
      <c r="AF402" s="24"/>
      <c r="AG402" s="24"/>
      <c r="AH402" s="20"/>
      <c r="AI402" s="42"/>
    </row>
    <row r="403" spans="1:35">
      <c r="A403" s="14"/>
      <c r="B403" s="20"/>
      <c r="C403" s="20"/>
      <c r="D403" s="20"/>
      <c r="E403" s="20"/>
      <c r="F403" s="20"/>
      <c r="G403" s="20"/>
      <c r="H403" s="20"/>
      <c r="I403" s="211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0"/>
      <c r="V403" s="20"/>
      <c r="W403" s="20"/>
      <c r="X403" s="20"/>
      <c r="Y403" s="20"/>
      <c r="Z403" s="20"/>
      <c r="AA403" s="20" t="s">
        <v>2216</v>
      </c>
      <c r="AB403" s="20" t="s">
        <v>2240</v>
      </c>
      <c r="AC403" s="24">
        <v>1</v>
      </c>
      <c r="AD403" s="24"/>
      <c r="AE403" s="24"/>
      <c r="AF403" s="24"/>
      <c r="AG403" s="24"/>
      <c r="AH403" s="20"/>
      <c r="AI403" s="42"/>
    </row>
    <row r="404" spans="1:35">
      <c r="A404" s="14"/>
      <c r="B404" s="20"/>
      <c r="C404" s="84" t="s">
        <v>2420</v>
      </c>
      <c r="D404" s="20" t="s">
        <v>79</v>
      </c>
      <c r="E404" s="20" t="s">
        <v>80</v>
      </c>
      <c r="F404" s="20" t="s">
        <v>2150</v>
      </c>
      <c r="G404" s="20" t="s">
        <v>1047</v>
      </c>
      <c r="H404" s="20"/>
      <c r="I404" s="211">
        <v>32297</v>
      </c>
      <c r="J404" s="24">
        <v>1</v>
      </c>
      <c r="K404" s="24"/>
      <c r="L404" s="24">
        <v>1</v>
      </c>
      <c r="M404" s="24"/>
      <c r="N404" s="24"/>
      <c r="O404" s="24"/>
      <c r="P404" s="24"/>
      <c r="Q404" s="24"/>
      <c r="R404" s="24"/>
      <c r="S404" s="24"/>
      <c r="T404" s="24"/>
      <c r="U404" s="20" t="s">
        <v>2214</v>
      </c>
      <c r="V404" s="20" t="s">
        <v>949</v>
      </c>
      <c r="W404" s="20" t="s">
        <v>280</v>
      </c>
      <c r="X404" s="20" t="s">
        <v>227</v>
      </c>
      <c r="Y404" s="20"/>
      <c r="Z404" s="20"/>
      <c r="AA404" s="20" t="s">
        <v>2241</v>
      </c>
      <c r="AB404" s="20" t="s">
        <v>2240</v>
      </c>
      <c r="AC404" s="24">
        <v>1</v>
      </c>
      <c r="AD404" s="24"/>
      <c r="AE404" s="24"/>
      <c r="AF404" s="24"/>
      <c r="AG404" s="24"/>
      <c r="AH404" s="20"/>
      <c r="AI404" s="42"/>
    </row>
    <row r="405" spans="1:35">
      <c r="A405" s="14"/>
      <c r="B405" s="20"/>
      <c r="C405" s="20"/>
      <c r="D405" s="20"/>
      <c r="E405" s="20"/>
      <c r="F405" s="20"/>
      <c r="G405" s="20"/>
      <c r="H405" s="20"/>
      <c r="I405" s="211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0"/>
      <c r="V405" s="20"/>
      <c r="W405" s="20"/>
      <c r="X405" s="20"/>
      <c r="Y405" s="20"/>
      <c r="Z405" s="20"/>
      <c r="AA405" s="20" t="s">
        <v>2216</v>
      </c>
      <c r="AB405" s="20" t="s">
        <v>2240</v>
      </c>
      <c r="AC405" s="24">
        <v>1</v>
      </c>
      <c r="AD405" s="24"/>
      <c r="AE405" s="24"/>
      <c r="AF405" s="24"/>
      <c r="AG405" s="24"/>
      <c r="AH405" s="20"/>
      <c r="AI405" s="42"/>
    </row>
    <row r="406" spans="1:35">
      <c r="A406" s="14"/>
      <c r="B406" s="20"/>
      <c r="C406" s="84" t="s">
        <v>2420</v>
      </c>
      <c r="D406" s="20" t="s">
        <v>79</v>
      </c>
      <c r="E406" s="20" t="s">
        <v>80</v>
      </c>
      <c r="F406" s="20" t="s">
        <v>2151</v>
      </c>
      <c r="G406" s="20" t="s">
        <v>177</v>
      </c>
      <c r="H406" s="20"/>
      <c r="I406" s="211" t="s">
        <v>2273</v>
      </c>
      <c r="J406" s="24">
        <v>1</v>
      </c>
      <c r="K406" s="24"/>
      <c r="L406" s="24">
        <v>1</v>
      </c>
      <c r="M406" s="24"/>
      <c r="N406" s="24"/>
      <c r="O406" s="24"/>
      <c r="P406" s="24"/>
      <c r="Q406" s="24"/>
      <c r="R406" s="24"/>
      <c r="S406" s="24"/>
      <c r="T406" s="24"/>
      <c r="U406" s="20" t="s">
        <v>2214</v>
      </c>
      <c r="V406" s="20" t="s">
        <v>949</v>
      </c>
      <c r="W406" s="20" t="s">
        <v>280</v>
      </c>
      <c r="X406" s="20" t="s">
        <v>227</v>
      </c>
      <c r="Y406" s="20"/>
      <c r="Z406" s="20"/>
      <c r="AA406" s="20" t="s">
        <v>2241</v>
      </c>
      <c r="AB406" s="20" t="s">
        <v>2240</v>
      </c>
      <c r="AC406" s="24">
        <v>1</v>
      </c>
      <c r="AD406" s="24"/>
      <c r="AE406" s="24"/>
      <c r="AF406" s="24"/>
      <c r="AG406" s="24"/>
      <c r="AH406" s="20"/>
      <c r="AI406" s="42"/>
    </row>
    <row r="407" spans="1:35">
      <c r="A407" s="14"/>
      <c r="B407" s="20"/>
      <c r="C407" s="20"/>
      <c r="D407" s="20"/>
      <c r="E407" s="20"/>
      <c r="F407" s="20"/>
      <c r="G407" s="20"/>
      <c r="H407" s="20"/>
      <c r="I407" s="211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0"/>
      <c r="V407" s="20"/>
      <c r="W407" s="20"/>
      <c r="X407" s="20"/>
      <c r="Y407" s="20"/>
      <c r="Z407" s="20"/>
      <c r="AA407" s="20" t="s">
        <v>2216</v>
      </c>
      <c r="AB407" s="20" t="s">
        <v>2240</v>
      </c>
      <c r="AC407" s="24">
        <v>1</v>
      </c>
      <c r="AD407" s="24"/>
      <c r="AE407" s="24"/>
      <c r="AF407" s="24"/>
      <c r="AG407" s="24"/>
      <c r="AH407" s="20"/>
      <c r="AI407" s="42"/>
    </row>
    <row r="408" spans="1:35">
      <c r="A408" s="14"/>
      <c r="B408" s="20"/>
      <c r="C408" s="84" t="s">
        <v>2420</v>
      </c>
      <c r="D408" s="20" t="s">
        <v>79</v>
      </c>
      <c r="E408" s="20" t="s">
        <v>80</v>
      </c>
      <c r="F408" s="20" t="s">
        <v>2154</v>
      </c>
      <c r="G408" s="20" t="s">
        <v>2155</v>
      </c>
      <c r="H408" s="20"/>
      <c r="I408" s="211" t="s">
        <v>2274</v>
      </c>
      <c r="J408" s="24">
        <v>1</v>
      </c>
      <c r="K408" s="24"/>
      <c r="L408" s="24">
        <v>1</v>
      </c>
      <c r="M408" s="24"/>
      <c r="N408" s="24"/>
      <c r="O408" s="24"/>
      <c r="P408" s="24"/>
      <c r="Q408" s="24"/>
      <c r="R408" s="24"/>
      <c r="S408" s="24"/>
      <c r="T408" s="24"/>
      <c r="U408" s="20" t="s">
        <v>2214</v>
      </c>
      <c r="V408" s="20" t="s">
        <v>949</v>
      </c>
      <c r="W408" s="20" t="s">
        <v>280</v>
      </c>
      <c r="X408" s="20" t="s">
        <v>227</v>
      </c>
      <c r="Y408" s="20"/>
      <c r="Z408" s="20"/>
      <c r="AA408" s="20" t="s">
        <v>2241</v>
      </c>
      <c r="AB408" s="20" t="s">
        <v>2240</v>
      </c>
      <c r="AC408" s="24">
        <v>1</v>
      </c>
      <c r="AD408" s="24"/>
      <c r="AE408" s="24"/>
      <c r="AF408" s="24"/>
      <c r="AG408" s="24"/>
      <c r="AH408" s="20"/>
      <c r="AI408" s="42"/>
    </row>
    <row r="409" spans="1:35">
      <c r="A409" s="14"/>
      <c r="B409" s="20"/>
      <c r="C409" s="20"/>
      <c r="D409" s="20"/>
      <c r="E409" s="20"/>
      <c r="F409" s="20"/>
      <c r="G409" s="20"/>
      <c r="H409" s="20"/>
      <c r="I409" s="211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0"/>
      <c r="V409" s="20"/>
      <c r="W409" s="20"/>
      <c r="X409" s="20"/>
      <c r="Y409" s="20"/>
      <c r="Z409" s="20"/>
      <c r="AA409" s="20" t="s">
        <v>2216</v>
      </c>
      <c r="AB409" s="20" t="s">
        <v>2240</v>
      </c>
      <c r="AC409" s="24">
        <v>1</v>
      </c>
      <c r="AD409" s="24"/>
      <c r="AE409" s="24"/>
      <c r="AF409" s="24"/>
      <c r="AG409" s="24"/>
      <c r="AH409" s="20"/>
      <c r="AI409" s="42"/>
    </row>
    <row r="410" spans="1:35">
      <c r="A410" s="14"/>
      <c r="B410" s="20"/>
      <c r="C410" s="84" t="s">
        <v>2420</v>
      </c>
      <c r="D410" s="20" t="s">
        <v>79</v>
      </c>
      <c r="E410" s="20" t="s">
        <v>80</v>
      </c>
      <c r="F410" s="20" t="s">
        <v>2275</v>
      </c>
      <c r="G410" s="20" t="s">
        <v>1047</v>
      </c>
      <c r="H410" s="20"/>
      <c r="I410" s="211" t="s">
        <v>2276</v>
      </c>
      <c r="J410" s="24">
        <v>1</v>
      </c>
      <c r="K410" s="24"/>
      <c r="L410" s="24">
        <v>1</v>
      </c>
      <c r="M410" s="24"/>
      <c r="N410" s="24"/>
      <c r="O410" s="24"/>
      <c r="P410" s="24"/>
      <c r="Q410" s="24"/>
      <c r="R410" s="24"/>
      <c r="S410" s="24"/>
      <c r="T410" s="24"/>
      <c r="U410" s="20" t="s">
        <v>2214</v>
      </c>
      <c r="V410" s="20" t="s">
        <v>949</v>
      </c>
      <c r="W410" s="20" t="s">
        <v>280</v>
      </c>
      <c r="X410" s="20" t="s">
        <v>227</v>
      </c>
      <c r="Y410" s="20"/>
      <c r="Z410" s="20"/>
      <c r="AA410" s="20" t="s">
        <v>2241</v>
      </c>
      <c r="AB410" s="20" t="s">
        <v>2240</v>
      </c>
      <c r="AC410" s="24">
        <v>1</v>
      </c>
      <c r="AD410" s="24"/>
      <c r="AE410" s="24"/>
      <c r="AF410" s="24"/>
      <c r="AG410" s="24"/>
      <c r="AH410" s="20"/>
      <c r="AI410" s="42"/>
    </row>
    <row r="411" spans="1:35">
      <c r="A411" s="14"/>
      <c r="B411" s="20"/>
      <c r="C411" s="20"/>
      <c r="D411" s="20"/>
      <c r="E411" s="20"/>
      <c r="F411" s="20"/>
      <c r="G411" s="20"/>
      <c r="H411" s="20"/>
      <c r="I411" s="211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0"/>
      <c r="V411" s="20"/>
      <c r="W411" s="20"/>
      <c r="X411" s="20"/>
      <c r="Y411" s="20"/>
      <c r="Z411" s="20"/>
      <c r="AA411" s="20" t="s">
        <v>2216</v>
      </c>
      <c r="AB411" s="20" t="s">
        <v>2240</v>
      </c>
      <c r="AC411" s="24">
        <v>1</v>
      </c>
      <c r="AD411" s="24"/>
      <c r="AE411" s="24"/>
      <c r="AF411" s="24"/>
      <c r="AG411" s="24"/>
      <c r="AH411" s="20"/>
      <c r="AI411" s="42"/>
    </row>
    <row r="412" spans="1:35">
      <c r="A412" s="14"/>
      <c r="B412" s="20"/>
      <c r="C412" s="84" t="s">
        <v>2420</v>
      </c>
      <c r="D412" s="20" t="s">
        <v>79</v>
      </c>
      <c r="E412" s="20" t="s">
        <v>80</v>
      </c>
      <c r="F412" s="20" t="s">
        <v>2277</v>
      </c>
      <c r="G412" s="20" t="s">
        <v>285</v>
      </c>
      <c r="H412" s="20"/>
      <c r="I412" s="211" t="s">
        <v>2278</v>
      </c>
      <c r="J412" s="24">
        <v>1</v>
      </c>
      <c r="K412" s="24"/>
      <c r="L412" s="24">
        <v>1</v>
      </c>
      <c r="M412" s="24"/>
      <c r="N412" s="24"/>
      <c r="O412" s="24"/>
      <c r="P412" s="24"/>
      <c r="Q412" s="24"/>
      <c r="R412" s="24"/>
      <c r="S412" s="24"/>
      <c r="T412" s="24"/>
      <c r="U412" s="20" t="s">
        <v>2214</v>
      </c>
      <c r="V412" s="20" t="s">
        <v>949</v>
      </c>
      <c r="W412" s="20" t="s">
        <v>280</v>
      </c>
      <c r="X412" s="20" t="s">
        <v>227</v>
      </c>
      <c r="Y412" s="20"/>
      <c r="Z412" s="20"/>
      <c r="AA412" s="20" t="s">
        <v>2241</v>
      </c>
      <c r="AB412" s="20" t="s">
        <v>2240</v>
      </c>
      <c r="AC412" s="24">
        <v>1</v>
      </c>
      <c r="AD412" s="24"/>
      <c r="AE412" s="24"/>
      <c r="AF412" s="24"/>
      <c r="AG412" s="24"/>
      <c r="AH412" s="20"/>
      <c r="AI412" s="42"/>
    </row>
    <row r="413" spans="1:35">
      <c r="A413" s="14"/>
      <c r="B413" s="20"/>
      <c r="C413" s="20"/>
      <c r="D413" s="20"/>
      <c r="E413" s="20"/>
      <c r="F413" s="20"/>
      <c r="G413" s="20"/>
      <c r="H413" s="20"/>
      <c r="I413" s="211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0"/>
      <c r="V413" s="20"/>
      <c r="W413" s="20"/>
      <c r="X413" s="20"/>
      <c r="Y413" s="20"/>
      <c r="Z413" s="20"/>
      <c r="AA413" s="20" t="s">
        <v>2216</v>
      </c>
      <c r="AB413" s="20" t="s">
        <v>2240</v>
      </c>
      <c r="AC413" s="24">
        <v>1</v>
      </c>
      <c r="AD413" s="24"/>
      <c r="AE413" s="24"/>
      <c r="AF413" s="24"/>
      <c r="AG413" s="24"/>
      <c r="AH413" s="20"/>
      <c r="AI413" s="42"/>
    </row>
    <row r="414" spans="1:35">
      <c r="A414" s="14"/>
      <c r="B414" s="20"/>
      <c r="C414" s="84" t="s">
        <v>2420</v>
      </c>
      <c r="D414" s="20" t="s">
        <v>79</v>
      </c>
      <c r="E414" s="20" t="s">
        <v>80</v>
      </c>
      <c r="F414" s="20" t="s">
        <v>2158</v>
      </c>
      <c r="G414" s="20" t="s">
        <v>2159</v>
      </c>
      <c r="H414" s="20"/>
      <c r="I414" s="211">
        <v>23865</v>
      </c>
      <c r="J414" s="24">
        <v>1</v>
      </c>
      <c r="K414" s="24"/>
      <c r="L414" s="24">
        <v>1</v>
      </c>
      <c r="M414" s="24"/>
      <c r="N414" s="24"/>
      <c r="O414" s="24"/>
      <c r="P414" s="24"/>
      <c r="Q414" s="24"/>
      <c r="R414" s="24"/>
      <c r="S414" s="24"/>
      <c r="T414" s="24"/>
      <c r="U414" s="20" t="s">
        <v>2214</v>
      </c>
      <c r="V414" s="20" t="s">
        <v>949</v>
      </c>
      <c r="W414" s="20" t="s">
        <v>280</v>
      </c>
      <c r="X414" s="20" t="s">
        <v>227</v>
      </c>
      <c r="Y414" s="20"/>
      <c r="Z414" s="20"/>
      <c r="AA414" s="20" t="s">
        <v>2241</v>
      </c>
      <c r="AB414" s="20" t="s">
        <v>2240</v>
      </c>
      <c r="AC414" s="24">
        <v>1</v>
      </c>
      <c r="AD414" s="24"/>
      <c r="AE414" s="24"/>
      <c r="AF414" s="24"/>
      <c r="AG414" s="24"/>
      <c r="AH414" s="20"/>
      <c r="AI414" s="42"/>
    </row>
    <row r="415" spans="1:35">
      <c r="A415" s="14"/>
      <c r="B415" s="20"/>
      <c r="C415" s="20"/>
      <c r="D415" s="20"/>
      <c r="E415" s="20"/>
      <c r="F415" s="20"/>
      <c r="G415" s="20"/>
      <c r="H415" s="20"/>
      <c r="I415" s="211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0"/>
      <c r="V415" s="20"/>
      <c r="W415" s="20"/>
      <c r="X415" s="20"/>
      <c r="Y415" s="20"/>
      <c r="Z415" s="20"/>
      <c r="AA415" s="20" t="s">
        <v>2216</v>
      </c>
      <c r="AB415" s="20" t="s">
        <v>2240</v>
      </c>
      <c r="AC415" s="24">
        <v>1</v>
      </c>
      <c r="AD415" s="24"/>
      <c r="AE415" s="24"/>
      <c r="AF415" s="24"/>
      <c r="AG415" s="24"/>
      <c r="AH415" s="20"/>
      <c r="AI415" s="42"/>
    </row>
    <row r="416" spans="1:35">
      <c r="A416" s="14"/>
      <c r="B416" s="20"/>
      <c r="C416" s="84" t="s">
        <v>2420</v>
      </c>
      <c r="D416" s="20" t="s">
        <v>79</v>
      </c>
      <c r="E416" s="20" t="s">
        <v>80</v>
      </c>
      <c r="F416" s="20" t="s">
        <v>2160</v>
      </c>
      <c r="G416" s="20" t="s">
        <v>138</v>
      </c>
      <c r="H416" s="20"/>
      <c r="I416" s="211" t="s">
        <v>2279</v>
      </c>
      <c r="J416" s="24">
        <v>1</v>
      </c>
      <c r="K416" s="24"/>
      <c r="L416" s="24">
        <v>1</v>
      </c>
      <c r="M416" s="24"/>
      <c r="N416" s="24"/>
      <c r="O416" s="24"/>
      <c r="P416" s="24"/>
      <c r="Q416" s="24"/>
      <c r="R416" s="24"/>
      <c r="S416" s="24"/>
      <c r="T416" s="24"/>
      <c r="U416" s="20" t="s">
        <v>2214</v>
      </c>
      <c r="V416" s="20" t="s">
        <v>949</v>
      </c>
      <c r="W416" s="20" t="s">
        <v>280</v>
      </c>
      <c r="X416" s="20" t="s">
        <v>227</v>
      </c>
      <c r="Y416" s="20"/>
      <c r="Z416" s="20"/>
      <c r="AA416" s="20" t="s">
        <v>2241</v>
      </c>
      <c r="AB416" s="20" t="s">
        <v>2240</v>
      </c>
      <c r="AC416" s="24">
        <v>1</v>
      </c>
      <c r="AD416" s="24"/>
      <c r="AE416" s="24"/>
      <c r="AF416" s="24"/>
      <c r="AG416" s="24"/>
      <c r="AH416" s="20"/>
      <c r="AI416" s="42"/>
    </row>
    <row r="417" spans="1:35">
      <c r="A417" s="14"/>
      <c r="B417" s="20"/>
      <c r="C417" s="20"/>
      <c r="D417" s="20"/>
      <c r="E417" s="20"/>
      <c r="F417" s="20"/>
      <c r="G417" s="20"/>
      <c r="H417" s="20"/>
      <c r="I417" s="211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0"/>
      <c r="V417" s="20"/>
      <c r="W417" s="20"/>
      <c r="X417" s="20"/>
      <c r="Y417" s="20"/>
      <c r="Z417" s="20"/>
      <c r="AA417" s="20" t="s">
        <v>2216</v>
      </c>
      <c r="AB417" s="20" t="s">
        <v>2240</v>
      </c>
      <c r="AC417" s="24">
        <v>1</v>
      </c>
      <c r="AD417" s="24"/>
      <c r="AE417" s="24"/>
      <c r="AF417" s="24"/>
      <c r="AG417" s="24"/>
      <c r="AH417" s="20"/>
      <c r="AI417" s="42"/>
    </row>
    <row r="418" spans="1:35">
      <c r="A418" s="14"/>
      <c r="B418" s="20"/>
      <c r="C418" s="84" t="s">
        <v>2420</v>
      </c>
      <c r="D418" s="20" t="s">
        <v>79</v>
      </c>
      <c r="E418" s="20" t="s">
        <v>80</v>
      </c>
      <c r="F418" s="20" t="s">
        <v>2160</v>
      </c>
      <c r="G418" s="20" t="s">
        <v>2280</v>
      </c>
      <c r="H418" s="32" t="s">
        <v>93</v>
      </c>
      <c r="I418" s="219">
        <v>28287</v>
      </c>
      <c r="J418" s="24">
        <v>1</v>
      </c>
      <c r="K418" s="24"/>
      <c r="L418" s="24">
        <v>1</v>
      </c>
      <c r="M418" s="24"/>
      <c r="N418" s="24"/>
      <c r="O418" s="24"/>
      <c r="P418" s="24"/>
      <c r="Q418" s="24"/>
      <c r="R418" s="24"/>
      <c r="S418" s="24"/>
      <c r="T418" s="24"/>
      <c r="U418" s="20" t="s">
        <v>2214</v>
      </c>
      <c r="V418" s="20" t="s">
        <v>949</v>
      </c>
      <c r="W418" s="20" t="s">
        <v>280</v>
      </c>
      <c r="X418" s="20" t="s">
        <v>227</v>
      </c>
      <c r="Y418" s="20"/>
      <c r="Z418" s="20"/>
      <c r="AA418" s="20" t="s">
        <v>2241</v>
      </c>
      <c r="AB418" s="20" t="s">
        <v>2240</v>
      </c>
      <c r="AC418" s="24">
        <v>1</v>
      </c>
      <c r="AD418" s="24"/>
      <c r="AE418" s="24"/>
      <c r="AF418" s="24"/>
      <c r="AG418" s="24"/>
      <c r="AH418" s="20"/>
      <c r="AI418" s="42"/>
    </row>
    <row r="419" spans="1:35">
      <c r="A419" s="14"/>
      <c r="B419" s="20"/>
      <c r="C419" s="20"/>
      <c r="D419" s="20"/>
      <c r="E419" s="20"/>
      <c r="F419" s="20"/>
      <c r="G419" s="20"/>
      <c r="H419" s="20"/>
      <c r="I419" s="211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0"/>
      <c r="V419" s="20"/>
      <c r="W419" s="20"/>
      <c r="X419" s="20"/>
      <c r="Y419" s="20"/>
      <c r="Z419" s="20"/>
      <c r="AA419" s="20" t="s">
        <v>2216</v>
      </c>
      <c r="AB419" s="20" t="s">
        <v>2240</v>
      </c>
      <c r="AC419" s="24">
        <v>1</v>
      </c>
      <c r="AD419" s="24"/>
      <c r="AE419" s="24"/>
      <c r="AF419" s="24"/>
      <c r="AG419" s="24"/>
      <c r="AH419" s="20"/>
      <c r="AI419" s="42"/>
    </row>
    <row r="420" spans="1:35">
      <c r="A420" s="14"/>
      <c r="B420" s="20"/>
      <c r="C420" s="84" t="s">
        <v>2420</v>
      </c>
      <c r="D420" s="20" t="s">
        <v>79</v>
      </c>
      <c r="E420" s="20" t="s">
        <v>80</v>
      </c>
      <c r="F420" s="20" t="s">
        <v>2168</v>
      </c>
      <c r="G420" s="20" t="s">
        <v>2281</v>
      </c>
      <c r="H420" s="20"/>
      <c r="I420" s="211" t="s">
        <v>2282</v>
      </c>
      <c r="J420" s="24">
        <v>1</v>
      </c>
      <c r="K420" s="24"/>
      <c r="L420" s="24">
        <v>1</v>
      </c>
      <c r="M420" s="24"/>
      <c r="N420" s="24"/>
      <c r="O420" s="24"/>
      <c r="P420" s="24"/>
      <c r="Q420" s="24"/>
      <c r="R420" s="24"/>
      <c r="S420" s="24"/>
      <c r="T420" s="24"/>
      <c r="U420" s="20" t="s">
        <v>2214</v>
      </c>
      <c r="V420" s="20" t="s">
        <v>949</v>
      </c>
      <c r="W420" s="20" t="s">
        <v>280</v>
      </c>
      <c r="X420" s="20" t="s">
        <v>227</v>
      </c>
      <c r="Y420" s="20"/>
      <c r="Z420" s="20"/>
      <c r="AA420" s="20" t="s">
        <v>2241</v>
      </c>
      <c r="AB420" s="20" t="s">
        <v>2240</v>
      </c>
      <c r="AC420" s="24">
        <v>1</v>
      </c>
      <c r="AD420" s="24"/>
      <c r="AE420" s="24"/>
      <c r="AF420" s="24"/>
      <c r="AG420" s="24"/>
      <c r="AH420" s="20"/>
      <c r="AI420" s="42"/>
    </row>
    <row r="421" spans="1:35">
      <c r="A421" s="14"/>
      <c r="B421" s="20"/>
      <c r="C421" s="20"/>
      <c r="D421" s="20"/>
      <c r="E421" s="20"/>
      <c r="F421" s="20"/>
      <c r="G421" s="20"/>
      <c r="H421" s="20"/>
      <c r="I421" s="211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0"/>
      <c r="V421" s="20"/>
      <c r="W421" s="20"/>
      <c r="X421" s="20"/>
      <c r="Y421" s="20"/>
      <c r="Z421" s="20"/>
      <c r="AA421" s="20" t="s">
        <v>2216</v>
      </c>
      <c r="AB421" s="20" t="s">
        <v>2240</v>
      </c>
      <c r="AC421" s="24">
        <v>1</v>
      </c>
      <c r="AD421" s="24"/>
      <c r="AE421" s="24"/>
      <c r="AF421" s="24"/>
      <c r="AG421" s="24"/>
      <c r="AH421" s="20"/>
      <c r="AI421" s="42"/>
    </row>
    <row r="422" spans="1:35">
      <c r="A422" s="14"/>
      <c r="B422" s="20"/>
      <c r="C422" s="84" t="s">
        <v>2420</v>
      </c>
      <c r="D422" s="20" t="s">
        <v>79</v>
      </c>
      <c r="E422" s="20" t="s">
        <v>80</v>
      </c>
      <c r="F422" s="20" t="s">
        <v>1461</v>
      </c>
      <c r="G422" s="20" t="s">
        <v>2162</v>
      </c>
      <c r="H422" s="20"/>
      <c r="I422" s="211" t="s">
        <v>2283</v>
      </c>
      <c r="J422" s="24">
        <v>1</v>
      </c>
      <c r="K422" s="24"/>
      <c r="L422" s="24">
        <v>1</v>
      </c>
      <c r="M422" s="24"/>
      <c r="N422" s="24"/>
      <c r="O422" s="24"/>
      <c r="P422" s="24"/>
      <c r="Q422" s="24"/>
      <c r="R422" s="24"/>
      <c r="S422" s="24"/>
      <c r="T422" s="24"/>
      <c r="U422" s="20" t="s">
        <v>2214</v>
      </c>
      <c r="V422" s="20" t="s">
        <v>949</v>
      </c>
      <c r="W422" s="20" t="s">
        <v>280</v>
      </c>
      <c r="X422" s="20" t="s">
        <v>227</v>
      </c>
      <c r="Y422" s="20"/>
      <c r="Z422" s="20"/>
      <c r="AA422" s="20" t="s">
        <v>2241</v>
      </c>
      <c r="AB422" s="20" t="s">
        <v>2240</v>
      </c>
      <c r="AC422" s="24">
        <v>1</v>
      </c>
      <c r="AD422" s="24"/>
      <c r="AE422" s="24"/>
      <c r="AF422" s="24"/>
      <c r="AG422" s="24"/>
      <c r="AH422" s="20"/>
      <c r="AI422" s="42"/>
    </row>
    <row r="423" spans="1:35">
      <c r="A423" s="14"/>
      <c r="B423" s="20"/>
      <c r="C423" s="20"/>
      <c r="D423" s="20"/>
      <c r="E423" s="20"/>
      <c r="F423" s="20"/>
      <c r="G423" s="20"/>
      <c r="H423" s="20"/>
      <c r="I423" s="211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0"/>
      <c r="V423" s="20"/>
      <c r="W423" s="20"/>
      <c r="X423" s="20"/>
      <c r="Y423" s="20"/>
      <c r="Z423" s="20"/>
      <c r="AA423" s="20" t="s">
        <v>2216</v>
      </c>
      <c r="AB423" s="20" t="s">
        <v>2240</v>
      </c>
      <c r="AC423" s="24">
        <v>1</v>
      </c>
      <c r="AD423" s="24"/>
      <c r="AE423" s="24"/>
      <c r="AF423" s="24"/>
      <c r="AG423" s="24"/>
      <c r="AH423" s="20"/>
      <c r="AI423" s="42"/>
    </row>
    <row r="424" spans="1:35">
      <c r="A424" s="14"/>
      <c r="B424" s="20"/>
      <c r="C424" s="84" t="s">
        <v>2420</v>
      </c>
      <c r="D424" s="20" t="s">
        <v>79</v>
      </c>
      <c r="E424" s="20" t="s">
        <v>80</v>
      </c>
      <c r="F424" s="20" t="s">
        <v>2163</v>
      </c>
      <c r="G424" s="20" t="s">
        <v>2164</v>
      </c>
      <c r="H424" s="20"/>
      <c r="I424" s="211" t="s">
        <v>2284</v>
      </c>
      <c r="J424" s="24">
        <v>1</v>
      </c>
      <c r="K424" s="24"/>
      <c r="L424" s="24">
        <v>1</v>
      </c>
      <c r="M424" s="24"/>
      <c r="N424" s="24"/>
      <c r="O424" s="24"/>
      <c r="P424" s="24"/>
      <c r="Q424" s="24"/>
      <c r="R424" s="24"/>
      <c r="S424" s="24"/>
      <c r="T424" s="24"/>
      <c r="U424" s="20" t="s">
        <v>2214</v>
      </c>
      <c r="V424" s="20" t="s">
        <v>949</v>
      </c>
      <c r="W424" s="20" t="s">
        <v>280</v>
      </c>
      <c r="X424" s="20" t="s">
        <v>227</v>
      </c>
      <c r="Y424" s="20"/>
      <c r="Z424" s="20"/>
      <c r="AA424" s="20" t="s">
        <v>2241</v>
      </c>
      <c r="AB424" s="20" t="s">
        <v>2240</v>
      </c>
      <c r="AC424" s="24">
        <v>1</v>
      </c>
      <c r="AD424" s="24"/>
      <c r="AE424" s="24"/>
      <c r="AF424" s="24"/>
      <c r="AG424" s="24"/>
      <c r="AH424" s="20"/>
      <c r="AI424" s="42"/>
    </row>
    <row r="425" spans="1:35">
      <c r="A425" s="14"/>
      <c r="B425" s="20"/>
      <c r="C425" s="20"/>
      <c r="D425" s="20"/>
      <c r="E425" s="20"/>
      <c r="F425" s="20"/>
      <c r="G425" s="20"/>
      <c r="H425" s="20"/>
      <c r="I425" s="211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0"/>
      <c r="V425" s="20"/>
      <c r="W425" s="20"/>
      <c r="X425" s="20"/>
      <c r="Y425" s="20"/>
      <c r="Z425" s="20"/>
      <c r="AA425" s="20" t="s">
        <v>2216</v>
      </c>
      <c r="AB425" s="20" t="s">
        <v>2240</v>
      </c>
      <c r="AC425" s="24">
        <v>1</v>
      </c>
      <c r="AD425" s="24"/>
      <c r="AE425" s="24"/>
      <c r="AF425" s="24"/>
      <c r="AG425" s="24"/>
      <c r="AH425" s="20"/>
      <c r="AI425" s="42"/>
    </row>
    <row r="426" spans="1:35">
      <c r="A426" s="14"/>
      <c r="B426" s="20"/>
      <c r="C426" s="84" t="s">
        <v>2420</v>
      </c>
      <c r="D426" s="20" t="s">
        <v>79</v>
      </c>
      <c r="E426" s="20" t="s">
        <v>80</v>
      </c>
      <c r="F426" s="20" t="s">
        <v>310</v>
      </c>
      <c r="G426" s="20" t="s">
        <v>998</v>
      </c>
      <c r="H426" s="20"/>
      <c r="I426" s="211" t="s">
        <v>2285</v>
      </c>
      <c r="J426" s="24">
        <v>1</v>
      </c>
      <c r="K426" s="24"/>
      <c r="L426" s="24">
        <v>1</v>
      </c>
      <c r="M426" s="24"/>
      <c r="N426" s="24"/>
      <c r="O426" s="24"/>
      <c r="P426" s="24"/>
      <c r="Q426" s="24"/>
      <c r="R426" s="24"/>
      <c r="S426" s="24"/>
      <c r="T426" s="24"/>
      <c r="U426" s="20" t="s">
        <v>2214</v>
      </c>
      <c r="V426" s="20" t="s">
        <v>949</v>
      </c>
      <c r="W426" s="20" t="s">
        <v>280</v>
      </c>
      <c r="X426" s="20" t="s">
        <v>227</v>
      </c>
      <c r="Y426" s="20"/>
      <c r="Z426" s="20"/>
      <c r="AA426" s="20" t="s">
        <v>2241</v>
      </c>
      <c r="AB426" s="20" t="s">
        <v>2240</v>
      </c>
      <c r="AC426" s="24">
        <v>1</v>
      </c>
      <c r="AD426" s="24"/>
      <c r="AE426" s="24"/>
      <c r="AF426" s="24"/>
      <c r="AG426" s="24"/>
      <c r="AH426" s="20"/>
      <c r="AI426" s="42"/>
    </row>
    <row r="427" spans="1:35">
      <c r="A427" s="14"/>
      <c r="B427" s="20"/>
      <c r="C427" s="20"/>
      <c r="D427" s="20"/>
      <c r="E427" s="20"/>
      <c r="F427" s="20"/>
      <c r="G427" s="20"/>
      <c r="H427" s="20"/>
      <c r="I427" s="211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0"/>
      <c r="V427" s="20"/>
      <c r="W427" s="20"/>
      <c r="X427" s="20"/>
      <c r="Y427" s="20"/>
      <c r="Z427" s="20"/>
      <c r="AA427" s="20" t="s">
        <v>2216</v>
      </c>
      <c r="AB427" s="20" t="s">
        <v>2240</v>
      </c>
      <c r="AC427" s="24">
        <v>1</v>
      </c>
      <c r="AD427" s="24"/>
      <c r="AE427" s="24"/>
      <c r="AF427" s="24"/>
      <c r="AG427" s="24"/>
      <c r="AH427" s="20"/>
      <c r="AI427" s="42"/>
    </row>
    <row r="428" spans="1:35">
      <c r="A428" s="14"/>
      <c r="B428" s="20"/>
      <c r="C428" s="84" t="s">
        <v>2420</v>
      </c>
      <c r="D428" s="20" t="s">
        <v>79</v>
      </c>
      <c r="E428" s="20" t="s">
        <v>80</v>
      </c>
      <c r="F428" s="20" t="s">
        <v>1461</v>
      </c>
      <c r="G428" s="20" t="s">
        <v>2165</v>
      </c>
      <c r="H428" s="20"/>
      <c r="I428" s="211">
        <v>37873</v>
      </c>
      <c r="J428" s="24">
        <v>1</v>
      </c>
      <c r="K428" s="24"/>
      <c r="L428" s="24">
        <v>1</v>
      </c>
      <c r="M428" s="24"/>
      <c r="N428" s="24"/>
      <c r="O428" s="24"/>
      <c r="P428" s="24"/>
      <c r="Q428" s="24"/>
      <c r="R428" s="24"/>
      <c r="S428" s="24"/>
      <c r="T428" s="24"/>
      <c r="U428" s="20" t="s">
        <v>2214</v>
      </c>
      <c r="V428" s="20" t="s">
        <v>949</v>
      </c>
      <c r="W428" s="20" t="s">
        <v>280</v>
      </c>
      <c r="X428" s="20" t="s">
        <v>227</v>
      </c>
      <c r="Y428" s="20"/>
      <c r="Z428" s="20"/>
      <c r="AA428" s="20" t="s">
        <v>2241</v>
      </c>
      <c r="AB428" s="20" t="s">
        <v>2240</v>
      </c>
      <c r="AC428" s="24">
        <v>1</v>
      </c>
      <c r="AD428" s="24"/>
      <c r="AE428" s="24"/>
      <c r="AF428" s="24"/>
      <c r="AG428" s="24"/>
      <c r="AH428" s="20"/>
      <c r="AI428" s="42"/>
    </row>
    <row r="429" spans="1:35">
      <c r="A429" s="14"/>
      <c r="B429" s="20"/>
      <c r="C429" s="20"/>
      <c r="D429" s="20"/>
      <c r="E429" s="20"/>
      <c r="F429" s="20"/>
      <c r="G429" s="20"/>
      <c r="H429" s="20"/>
      <c r="I429" s="211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0"/>
      <c r="V429" s="20"/>
      <c r="W429" s="20"/>
      <c r="X429" s="20"/>
      <c r="Y429" s="20"/>
      <c r="Z429" s="20"/>
      <c r="AA429" s="20" t="s">
        <v>2216</v>
      </c>
      <c r="AB429" s="20" t="s">
        <v>2240</v>
      </c>
      <c r="AC429" s="24">
        <v>1</v>
      </c>
      <c r="AD429" s="24"/>
      <c r="AE429" s="24"/>
      <c r="AF429" s="24"/>
      <c r="AG429" s="24"/>
      <c r="AH429" s="20"/>
      <c r="AI429" s="42"/>
    </row>
    <row r="430" spans="1:35">
      <c r="A430" s="14"/>
      <c r="B430" s="20"/>
      <c r="C430" s="84" t="s">
        <v>2420</v>
      </c>
      <c r="D430" s="20" t="s">
        <v>79</v>
      </c>
      <c r="E430" s="20" t="s">
        <v>80</v>
      </c>
      <c r="F430" s="20" t="s">
        <v>2151</v>
      </c>
      <c r="G430" s="20" t="s">
        <v>2166</v>
      </c>
      <c r="H430" s="20"/>
      <c r="I430" s="211" t="s">
        <v>2287</v>
      </c>
      <c r="J430" s="24">
        <v>1</v>
      </c>
      <c r="K430" s="24"/>
      <c r="L430" s="24">
        <v>1</v>
      </c>
      <c r="M430" s="24"/>
      <c r="N430" s="24"/>
      <c r="O430" s="24"/>
      <c r="P430" s="24"/>
      <c r="Q430" s="24"/>
      <c r="R430" s="24"/>
      <c r="S430" s="24"/>
      <c r="T430" s="24"/>
      <c r="U430" s="20" t="s">
        <v>2214</v>
      </c>
      <c r="V430" s="20" t="s">
        <v>949</v>
      </c>
      <c r="W430" s="20" t="s">
        <v>280</v>
      </c>
      <c r="X430" s="20" t="s">
        <v>227</v>
      </c>
      <c r="Y430" s="20"/>
      <c r="Z430" s="20"/>
      <c r="AA430" s="20" t="s">
        <v>2241</v>
      </c>
      <c r="AB430" s="20" t="s">
        <v>2240</v>
      </c>
      <c r="AC430" s="24">
        <v>1</v>
      </c>
      <c r="AD430" s="24"/>
      <c r="AE430" s="24"/>
      <c r="AF430" s="24"/>
      <c r="AG430" s="24"/>
      <c r="AH430" s="20"/>
      <c r="AI430" s="42"/>
    </row>
    <row r="431" spans="1:35">
      <c r="A431" s="14"/>
      <c r="B431" s="20"/>
      <c r="C431" s="20"/>
      <c r="D431" s="20"/>
      <c r="E431" s="20"/>
      <c r="F431" s="20"/>
      <c r="G431" s="20"/>
      <c r="H431" s="20"/>
      <c r="I431" s="211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0"/>
      <c r="V431" s="20"/>
      <c r="W431" s="20"/>
      <c r="X431" s="20"/>
      <c r="Y431" s="20"/>
      <c r="Z431" s="20"/>
      <c r="AA431" s="20" t="s">
        <v>2216</v>
      </c>
      <c r="AB431" s="20" t="s">
        <v>2240</v>
      </c>
      <c r="AC431" s="24">
        <v>1</v>
      </c>
      <c r="AD431" s="24"/>
      <c r="AE431" s="24"/>
      <c r="AF431" s="24"/>
      <c r="AG431" s="24"/>
      <c r="AH431" s="20"/>
      <c r="AI431" s="42"/>
    </row>
    <row r="432" spans="1:35">
      <c r="A432" s="14"/>
      <c r="B432" s="20"/>
      <c r="C432" s="84" t="s">
        <v>2420</v>
      </c>
      <c r="D432" s="20" t="s">
        <v>79</v>
      </c>
      <c r="E432" s="20" t="s">
        <v>80</v>
      </c>
      <c r="F432" s="20" t="s">
        <v>1461</v>
      </c>
      <c r="G432" s="20" t="s">
        <v>2167</v>
      </c>
      <c r="H432" s="20"/>
      <c r="I432" s="211">
        <v>23107</v>
      </c>
      <c r="J432" s="24">
        <v>1</v>
      </c>
      <c r="K432" s="24"/>
      <c r="L432" s="24">
        <v>1</v>
      </c>
      <c r="M432" s="24"/>
      <c r="N432" s="24"/>
      <c r="O432" s="24"/>
      <c r="P432" s="24"/>
      <c r="Q432" s="24"/>
      <c r="R432" s="24"/>
      <c r="S432" s="24"/>
      <c r="T432" s="24"/>
      <c r="U432" s="20" t="s">
        <v>2214</v>
      </c>
      <c r="V432" s="20" t="s">
        <v>949</v>
      </c>
      <c r="W432" s="20" t="s">
        <v>280</v>
      </c>
      <c r="X432" s="20" t="s">
        <v>227</v>
      </c>
      <c r="Y432" s="20"/>
      <c r="Z432" s="20"/>
      <c r="AA432" s="20" t="s">
        <v>2241</v>
      </c>
      <c r="AB432" s="20" t="s">
        <v>2240</v>
      </c>
      <c r="AC432" s="24">
        <v>1</v>
      </c>
      <c r="AD432" s="24"/>
      <c r="AE432" s="24"/>
      <c r="AF432" s="24"/>
      <c r="AG432" s="24"/>
      <c r="AH432" s="20"/>
      <c r="AI432" s="42"/>
    </row>
    <row r="433" spans="1:35">
      <c r="A433" s="14"/>
      <c r="B433" s="20"/>
      <c r="C433" s="20"/>
      <c r="D433" s="20"/>
      <c r="E433" s="20"/>
      <c r="F433" s="20"/>
      <c r="G433" s="20"/>
      <c r="H433" s="20"/>
      <c r="I433" s="211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0"/>
      <c r="V433" s="20"/>
      <c r="W433" s="20"/>
      <c r="X433" s="20"/>
      <c r="Y433" s="20"/>
      <c r="Z433" s="20"/>
      <c r="AA433" s="20" t="s">
        <v>2216</v>
      </c>
      <c r="AB433" s="20" t="s">
        <v>2240</v>
      </c>
      <c r="AC433" s="24">
        <v>1</v>
      </c>
      <c r="AD433" s="24"/>
      <c r="AE433" s="24"/>
      <c r="AF433" s="24"/>
      <c r="AG433" s="24"/>
      <c r="AH433" s="20"/>
      <c r="AI433" s="42"/>
    </row>
    <row r="434" spans="1:35">
      <c r="A434" s="14"/>
      <c r="B434" s="20"/>
      <c r="C434" s="84" t="s">
        <v>2420</v>
      </c>
      <c r="D434" s="20" t="s">
        <v>79</v>
      </c>
      <c r="E434" s="20" t="s">
        <v>80</v>
      </c>
      <c r="F434" s="20" t="s">
        <v>2168</v>
      </c>
      <c r="G434" s="20" t="s">
        <v>2169</v>
      </c>
      <c r="H434" s="20"/>
      <c r="I434" s="211">
        <v>33155</v>
      </c>
      <c r="J434" s="24">
        <v>1</v>
      </c>
      <c r="K434" s="24"/>
      <c r="L434" s="24">
        <v>1</v>
      </c>
      <c r="M434" s="24"/>
      <c r="N434" s="24"/>
      <c r="O434" s="24"/>
      <c r="P434" s="24"/>
      <c r="Q434" s="24"/>
      <c r="R434" s="24"/>
      <c r="S434" s="24"/>
      <c r="T434" s="24"/>
      <c r="U434" s="20" t="s">
        <v>2214</v>
      </c>
      <c r="V434" s="20" t="s">
        <v>949</v>
      </c>
      <c r="W434" s="20" t="s">
        <v>280</v>
      </c>
      <c r="X434" s="20" t="s">
        <v>227</v>
      </c>
      <c r="Y434" s="20"/>
      <c r="Z434" s="20"/>
      <c r="AA434" s="20" t="s">
        <v>2241</v>
      </c>
      <c r="AB434" s="20" t="s">
        <v>2240</v>
      </c>
      <c r="AC434" s="24">
        <v>1</v>
      </c>
      <c r="AD434" s="24"/>
      <c r="AE434" s="24"/>
      <c r="AF434" s="24"/>
      <c r="AG434" s="24"/>
      <c r="AH434" s="20"/>
      <c r="AI434" s="42"/>
    </row>
    <row r="435" spans="1:35">
      <c r="A435" s="14"/>
      <c r="B435" s="20"/>
      <c r="C435" s="20"/>
      <c r="D435" s="20"/>
      <c r="E435" s="20"/>
      <c r="F435" s="20"/>
      <c r="G435" s="20"/>
      <c r="H435" s="20"/>
      <c r="I435" s="211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0"/>
      <c r="V435" s="20"/>
      <c r="W435" s="20"/>
      <c r="X435" s="20"/>
      <c r="Y435" s="20"/>
      <c r="Z435" s="20"/>
      <c r="AA435" s="20" t="s">
        <v>2216</v>
      </c>
      <c r="AB435" s="20" t="s">
        <v>2240</v>
      </c>
      <c r="AC435" s="24">
        <v>1</v>
      </c>
      <c r="AD435" s="24"/>
      <c r="AE435" s="24"/>
      <c r="AF435" s="24"/>
      <c r="AG435" s="24"/>
      <c r="AH435" s="20"/>
      <c r="AI435" s="42"/>
    </row>
    <row r="436" spans="1:35">
      <c r="A436" s="14"/>
      <c r="B436" s="20"/>
      <c r="C436" s="84" t="s">
        <v>2420</v>
      </c>
      <c r="D436" s="20" t="s">
        <v>79</v>
      </c>
      <c r="E436" s="20" t="s">
        <v>80</v>
      </c>
      <c r="F436" s="20" t="s">
        <v>310</v>
      </c>
      <c r="G436" s="20" t="s">
        <v>2170</v>
      </c>
      <c r="H436" s="20"/>
      <c r="I436" s="211">
        <v>31482</v>
      </c>
      <c r="J436" s="24">
        <v>1</v>
      </c>
      <c r="K436" s="24"/>
      <c r="L436" s="24">
        <v>1</v>
      </c>
      <c r="M436" s="24"/>
      <c r="N436" s="24"/>
      <c r="O436" s="24"/>
      <c r="P436" s="24"/>
      <c r="Q436" s="24"/>
      <c r="R436" s="24"/>
      <c r="S436" s="24"/>
      <c r="T436" s="24"/>
      <c r="U436" s="20" t="s">
        <v>2214</v>
      </c>
      <c r="V436" s="20" t="s">
        <v>949</v>
      </c>
      <c r="W436" s="20" t="s">
        <v>280</v>
      </c>
      <c r="X436" s="20" t="s">
        <v>227</v>
      </c>
      <c r="Y436" s="20"/>
      <c r="Z436" s="20"/>
      <c r="AA436" s="20" t="s">
        <v>2241</v>
      </c>
      <c r="AB436" s="20" t="s">
        <v>2240</v>
      </c>
      <c r="AC436" s="24">
        <v>1</v>
      </c>
      <c r="AD436" s="24"/>
      <c r="AE436" s="24"/>
      <c r="AF436" s="24"/>
      <c r="AG436" s="24"/>
      <c r="AH436" s="20"/>
      <c r="AI436" s="42"/>
    </row>
    <row r="437" spans="1:35">
      <c r="A437" s="14"/>
      <c r="B437" s="20"/>
      <c r="C437" s="20"/>
      <c r="D437" s="20"/>
      <c r="E437" s="20"/>
      <c r="F437" s="20"/>
      <c r="G437" s="20"/>
      <c r="H437" s="20"/>
      <c r="I437" s="211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0"/>
      <c r="V437" s="20"/>
      <c r="W437" s="20"/>
      <c r="X437" s="20"/>
      <c r="Y437" s="20"/>
      <c r="Z437" s="20"/>
      <c r="AA437" s="20" t="s">
        <v>2216</v>
      </c>
      <c r="AB437" s="20" t="s">
        <v>2240</v>
      </c>
      <c r="AC437" s="24">
        <v>1</v>
      </c>
      <c r="AD437" s="24"/>
      <c r="AE437" s="24"/>
      <c r="AF437" s="24"/>
      <c r="AG437" s="24"/>
      <c r="AH437" s="20"/>
      <c r="AI437" s="42"/>
    </row>
    <row r="438" spans="1:35">
      <c r="A438" s="14"/>
      <c r="B438" s="20"/>
      <c r="C438" s="84" t="s">
        <v>2420</v>
      </c>
      <c r="D438" s="20" t="s">
        <v>79</v>
      </c>
      <c r="E438" s="20" t="s">
        <v>80</v>
      </c>
      <c r="F438" s="20" t="s">
        <v>2286</v>
      </c>
      <c r="G438" s="20" t="s">
        <v>188</v>
      </c>
      <c r="H438" s="20"/>
      <c r="I438" s="211">
        <v>31299</v>
      </c>
      <c r="J438" s="24">
        <v>1</v>
      </c>
      <c r="K438" s="24"/>
      <c r="L438" s="24">
        <v>1</v>
      </c>
      <c r="M438" s="24"/>
      <c r="N438" s="24"/>
      <c r="O438" s="24"/>
      <c r="P438" s="24"/>
      <c r="Q438" s="24"/>
      <c r="R438" s="24"/>
      <c r="S438" s="24"/>
      <c r="T438" s="24"/>
      <c r="U438" s="20" t="s">
        <v>2214</v>
      </c>
      <c r="V438" s="20" t="s">
        <v>949</v>
      </c>
      <c r="W438" s="20" t="s">
        <v>280</v>
      </c>
      <c r="X438" s="20" t="s">
        <v>227</v>
      </c>
      <c r="Y438" s="20"/>
      <c r="Z438" s="20"/>
      <c r="AA438" s="20" t="s">
        <v>2241</v>
      </c>
      <c r="AB438" s="20" t="s">
        <v>2240</v>
      </c>
      <c r="AC438" s="24">
        <v>1</v>
      </c>
      <c r="AD438" s="24"/>
      <c r="AE438" s="24"/>
      <c r="AF438" s="24"/>
      <c r="AG438" s="24"/>
      <c r="AH438" s="20"/>
      <c r="AI438" s="42"/>
    </row>
    <row r="439" spans="1:35">
      <c r="A439" s="14"/>
      <c r="B439" s="20"/>
      <c r="C439" s="20"/>
      <c r="D439" s="20"/>
      <c r="E439" s="20"/>
      <c r="F439" s="20"/>
      <c r="G439" s="20"/>
      <c r="H439" s="20"/>
      <c r="I439" s="211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0"/>
      <c r="V439" s="20"/>
      <c r="W439" s="20"/>
      <c r="X439" s="20"/>
      <c r="Y439" s="20"/>
      <c r="Z439" s="20"/>
      <c r="AA439" s="20" t="s">
        <v>2216</v>
      </c>
      <c r="AB439" s="20" t="s">
        <v>2240</v>
      </c>
      <c r="AC439" s="24">
        <v>1</v>
      </c>
      <c r="AD439" s="24"/>
      <c r="AE439" s="24"/>
      <c r="AF439" s="24"/>
      <c r="AG439" s="24"/>
      <c r="AH439" s="20"/>
      <c r="AI439" s="42"/>
    </row>
    <row r="440" spans="1:35">
      <c r="A440" s="14"/>
      <c r="B440" s="20"/>
      <c r="C440" s="84" t="s">
        <v>2420</v>
      </c>
      <c r="D440" s="20" t="s">
        <v>79</v>
      </c>
      <c r="E440" s="20" t="s">
        <v>80</v>
      </c>
      <c r="F440" s="20" t="s">
        <v>2288</v>
      </c>
      <c r="G440" s="20" t="s">
        <v>438</v>
      </c>
      <c r="H440" s="20" t="s">
        <v>133</v>
      </c>
      <c r="I440" s="211">
        <v>33364</v>
      </c>
      <c r="J440" s="24"/>
      <c r="K440" s="24">
        <v>1</v>
      </c>
      <c r="L440" s="24">
        <v>1</v>
      </c>
      <c r="M440" s="24"/>
      <c r="N440" s="24"/>
      <c r="O440" s="24"/>
      <c r="P440" s="24"/>
      <c r="Q440" s="24"/>
      <c r="R440" s="24"/>
      <c r="S440" s="24"/>
      <c r="T440" s="24"/>
      <c r="U440" s="20" t="s">
        <v>2289</v>
      </c>
      <c r="V440" s="20" t="s">
        <v>1280</v>
      </c>
      <c r="W440" s="20" t="s">
        <v>280</v>
      </c>
      <c r="X440" s="20" t="s">
        <v>227</v>
      </c>
      <c r="Y440" s="20">
        <v>9631514236</v>
      </c>
      <c r="Z440" s="20"/>
      <c r="AA440" s="20" t="s">
        <v>2290</v>
      </c>
      <c r="AB440" s="20" t="s">
        <v>2240</v>
      </c>
      <c r="AC440" s="24">
        <v>1</v>
      </c>
      <c r="AD440" s="24"/>
      <c r="AE440" s="24"/>
      <c r="AF440" s="24"/>
      <c r="AG440" s="24"/>
      <c r="AH440" s="20"/>
      <c r="AI440" s="42"/>
    </row>
    <row r="441" spans="1:35">
      <c r="A441" s="14"/>
      <c r="B441" s="20"/>
      <c r="C441" s="84" t="s">
        <v>2420</v>
      </c>
      <c r="D441" s="20" t="s">
        <v>79</v>
      </c>
      <c r="E441" s="20" t="s">
        <v>80</v>
      </c>
      <c r="F441" s="20" t="s">
        <v>2291</v>
      </c>
      <c r="G441" s="20" t="s">
        <v>2222</v>
      </c>
      <c r="H441" s="20" t="s">
        <v>115</v>
      </c>
      <c r="I441" s="211">
        <v>23601</v>
      </c>
      <c r="J441" s="24">
        <v>1</v>
      </c>
      <c r="K441" s="24"/>
      <c r="L441" s="24">
        <v>1</v>
      </c>
      <c r="M441" s="24"/>
      <c r="N441" s="24"/>
      <c r="O441" s="24"/>
      <c r="P441" s="24"/>
      <c r="Q441" s="24"/>
      <c r="R441" s="24"/>
      <c r="S441" s="24"/>
      <c r="T441" s="24"/>
      <c r="U441" s="20" t="s">
        <v>2289</v>
      </c>
      <c r="V441" s="20" t="s">
        <v>1280</v>
      </c>
      <c r="W441" s="20" t="s">
        <v>280</v>
      </c>
      <c r="X441" s="20" t="s">
        <v>227</v>
      </c>
      <c r="Y441" s="20"/>
      <c r="Z441" s="20"/>
      <c r="AA441" s="20" t="s">
        <v>2290</v>
      </c>
      <c r="AB441" s="20" t="s">
        <v>2240</v>
      </c>
      <c r="AC441" s="24">
        <v>1</v>
      </c>
      <c r="AD441" s="24"/>
      <c r="AE441" s="24"/>
      <c r="AF441" s="24"/>
      <c r="AG441" s="24"/>
      <c r="AH441" s="20"/>
      <c r="AI441" s="42"/>
    </row>
    <row r="442" spans="1:35">
      <c r="A442" s="14"/>
      <c r="B442" s="20"/>
      <c r="C442" s="84" t="s">
        <v>2420</v>
      </c>
      <c r="D442" s="20" t="s">
        <v>79</v>
      </c>
      <c r="E442" s="20" t="s">
        <v>80</v>
      </c>
      <c r="F442" s="20" t="s">
        <v>2301</v>
      </c>
      <c r="G442" s="20" t="s">
        <v>2302</v>
      </c>
      <c r="H442" s="20" t="s">
        <v>2303</v>
      </c>
      <c r="I442" s="211" t="s">
        <v>2304</v>
      </c>
      <c r="J442" s="24">
        <v>1</v>
      </c>
      <c r="K442" s="24"/>
      <c r="L442" s="24">
        <v>1</v>
      </c>
      <c r="M442" s="24"/>
      <c r="N442" s="24"/>
      <c r="O442" s="24"/>
      <c r="P442" s="24"/>
      <c r="Q442" s="24"/>
      <c r="R442" s="24"/>
      <c r="S442" s="24"/>
      <c r="T442" s="24"/>
      <c r="U442" s="20" t="s">
        <v>2305</v>
      </c>
      <c r="V442" s="20" t="s">
        <v>1280</v>
      </c>
      <c r="W442" s="20" t="s">
        <v>280</v>
      </c>
      <c r="X442" s="20" t="s">
        <v>227</v>
      </c>
      <c r="Y442" s="20"/>
      <c r="Z442" s="20"/>
      <c r="AA442" s="20" t="s">
        <v>2290</v>
      </c>
      <c r="AB442" s="20" t="s">
        <v>2240</v>
      </c>
      <c r="AC442" s="24">
        <v>1</v>
      </c>
      <c r="AD442" s="24"/>
      <c r="AE442" s="24"/>
      <c r="AF442" s="24"/>
      <c r="AG442" s="24"/>
      <c r="AH442" s="20"/>
      <c r="AI442" s="42"/>
    </row>
    <row r="443" spans="1:35">
      <c r="A443" s="14"/>
      <c r="B443" s="20"/>
      <c r="C443" s="84" t="s">
        <v>2420</v>
      </c>
      <c r="D443" s="20" t="s">
        <v>79</v>
      </c>
      <c r="E443" s="20" t="s">
        <v>80</v>
      </c>
      <c r="F443" s="20" t="s">
        <v>1724</v>
      </c>
      <c r="G443" s="20" t="s">
        <v>1174</v>
      </c>
      <c r="H443" s="20" t="s">
        <v>2306</v>
      </c>
      <c r="I443" s="211">
        <v>30597</v>
      </c>
      <c r="J443" s="24">
        <v>1</v>
      </c>
      <c r="K443" s="24"/>
      <c r="L443" s="24">
        <v>1</v>
      </c>
      <c r="M443" s="24"/>
      <c r="N443" s="24"/>
      <c r="O443" s="24"/>
      <c r="P443" s="24"/>
      <c r="Q443" s="24"/>
      <c r="R443" s="24"/>
      <c r="S443" s="24"/>
      <c r="T443" s="24"/>
      <c r="U443" s="20" t="s">
        <v>2307</v>
      </c>
      <c r="V443" s="20" t="s">
        <v>1280</v>
      </c>
      <c r="W443" s="20" t="s">
        <v>280</v>
      </c>
      <c r="X443" s="20" t="s">
        <v>227</v>
      </c>
      <c r="Y443" s="20"/>
      <c r="Z443" s="20"/>
      <c r="AA443" s="20" t="s">
        <v>2290</v>
      </c>
      <c r="AB443" s="20" t="s">
        <v>2240</v>
      </c>
      <c r="AC443" s="24">
        <v>1</v>
      </c>
      <c r="AD443" s="24"/>
      <c r="AE443" s="24"/>
      <c r="AF443" s="24"/>
      <c r="AG443" s="24"/>
      <c r="AH443" s="20"/>
      <c r="AI443" s="42"/>
    </row>
    <row r="444" spans="1:35">
      <c r="A444" s="14"/>
      <c r="B444" s="20"/>
      <c r="C444" s="84" t="s">
        <v>2420</v>
      </c>
      <c r="D444" s="20" t="s">
        <v>79</v>
      </c>
      <c r="E444" s="20" t="s">
        <v>80</v>
      </c>
      <c r="F444" s="20" t="s">
        <v>2308</v>
      </c>
      <c r="G444" s="20" t="s">
        <v>698</v>
      </c>
      <c r="H444" s="20" t="s">
        <v>2309</v>
      </c>
      <c r="I444" s="211">
        <v>26451</v>
      </c>
      <c r="J444" s="24">
        <v>1</v>
      </c>
      <c r="K444" s="24"/>
      <c r="L444" s="24">
        <v>1</v>
      </c>
      <c r="M444" s="24"/>
      <c r="N444" s="24"/>
      <c r="O444" s="24"/>
      <c r="P444" s="24"/>
      <c r="Q444" s="24"/>
      <c r="R444" s="24"/>
      <c r="S444" s="24"/>
      <c r="T444" s="24"/>
      <c r="U444" s="20" t="s">
        <v>2305</v>
      </c>
      <c r="V444" s="20" t="s">
        <v>1280</v>
      </c>
      <c r="W444" s="20" t="s">
        <v>280</v>
      </c>
      <c r="X444" s="20" t="s">
        <v>227</v>
      </c>
      <c r="Y444" s="20"/>
      <c r="Z444" s="20"/>
      <c r="AA444" s="20" t="s">
        <v>2290</v>
      </c>
      <c r="AB444" s="20" t="s">
        <v>2240</v>
      </c>
      <c r="AC444" s="24">
        <v>1</v>
      </c>
      <c r="AD444" s="24"/>
      <c r="AE444" s="24"/>
      <c r="AF444" s="24"/>
      <c r="AG444" s="24"/>
      <c r="AH444" s="20"/>
      <c r="AI444" s="42"/>
    </row>
    <row r="445" spans="1:35">
      <c r="A445" s="14"/>
      <c r="B445" s="20"/>
      <c r="C445" s="84" t="s">
        <v>2420</v>
      </c>
      <c r="D445" s="20" t="s">
        <v>79</v>
      </c>
      <c r="E445" s="20" t="s">
        <v>80</v>
      </c>
      <c r="F445" s="20" t="s">
        <v>2310</v>
      </c>
      <c r="G445" s="20" t="s">
        <v>2311</v>
      </c>
      <c r="H445" s="20"/>
      <c r="I445" s="211" t="s">
        <v>2312</v>
      </c>
      <c r="J445" s="24">
        <v>1</v>
      </c>
      <c r="K445" s="24"/>
      <c r="L445" s="24">
        <v>1</v>
      </c>
      <c r="M445" s="24"/>
      <c r="N445" s="24"/>
      <c r="O445" s="24"/>
      <c r="P445" s="24"/>
      <c r="Q445" s="24"/>
      <c r="R445" s="24"/>
      <c r="S445" s="24"/>
      <c r="T445" s="24"/>
      <c r="U445" s="20" t="s">
        <v>2307</v>
      </c>
      <c r="V445" s="20" t="s">
        <v>1280</v>
      </c>
      <c r="W445" s="20" t="s">
        <v>280</v>
      </c>
      <c r="X445" s="20" t="s">
        <v>227</v>
      </c>
      <c r="Y445" s="20"/>
      <c r="Z445" s="20"/>
      <c r="AA445" s="20" t="s">
        <v>2290</v>
      </c>
      <c r="AB445" s="20" t="s">
        <v>2240</v>
      </c>
      <c r="AC445" s="24">
        <v>1</v>
      </c>
      <c r="AD445" s="24"/>
      <c r="AE445" s="24"/>
      <c r="AF445" s="24"/>
      <c r="AG445" s="24"/>
      <c r="AH445" s="20"/>
      <c r="AI445" s="42"/>
    </row>
    <row r="446" spans="1:35">
      <c r="A446" s="14"/>
      <c r="B446" s="20"/>
      <c r="C446" s="84" t="s">
        <v>2420</v>
      </c>
      <c r="D446" s="20" t="s">
        <v>79</v>
      </c>
      <c r="E446" s="20" t="s">
        <v>80</v>
      </c>
      <c r="F446" s="20" t="s">
        <v>2313</v>
      </c>
      <c r="G446" s="20" t="s">
        <v>1237</v>
      </c>
      <c r="H446" s="20"/>
      <c r="I446" s="211">
        <v>31361</v>
      </c>
      <c r="J446" s="24">
        <v>1</v>
      </c>
      <c r="K446" s="24"/>
      <c r="L446" s="24">
        <v>1</v>
      </c>
      <c r="M446" s="24"/>
      <c r="N446" s="24"/>
      <c r="O446" s="24"/>
      <c r="P446" s="24"/>
      <c r="Q446" s="24"/>
      <c r="R446" s="24"/>
      <c r="S446" s="24"/>
      <c r="T446" s="24"/>
      <c r="U446" s="20" t="s">
        <v>2307</v>
      </c>
      <c r="V446" s="20" t="s">
        <v>1280</v>
      </c>
      <c r="W446" s="20" t="s">
        <v>280</v>
      </c>
      <c r="X446" s="20" t="s">
        <v>227</v>
      </c>
      <c r="Y446" s="20"/>
      <c r="Z446" s="20"/>
      <c r="AA446" s="20" t="s">
        <v>2290</v>
      </c>
      <c r="AB446" s="20" t="s">
        <v>2240</v>
      </c>
      <c r="AC446" s="24">
        <v>1</v>
      </c>
      <c r="AD446" s="24"/>
      <c r="AE446" s="24"/>
      <c r="AF446" s="24"/>
      <c r="AG446" s="24"/>
      <c r="AH446" s="20"/>
      <c r="AI446" s="42"/>
    </row>
    <row r="447" spans="1:35">
      <c r="A447" s="14"/>
      <c r="B447" s="20"/>
      <c r="C447" s="84" t="s">
        <v>2420</v>
      </c>
      <c r="D447" s="20" t="s">
        <v>79</v>
      </c>
      <c r="E447" s="20" t="s">
        <v>80</v>
      </c>
      <c r="F447" s="20" t="s">
        <v>2315</v>
      </c>
      <c r="G447" s="20" t="s">
        <v>2316</v>
      </c>
      <c r="H447" s="20"/>
      <c r="I447" s="211" t="s">
        <v>2319</v>
      </c>
      <c r="J447" s="24">
        <v>1</v>
      </c>
      <c r="K447" s="24"/>
      <c r="L447" s="24">
        <v>1</v>
      </c>
      <c r="M447" s="24"/>
      <c r="N447" s="24"/>
      <c r="O447" s="24"/>
      <c r="P447" s="24"/>
      <c r="Q447" s="24"/>
      <c r="R447" s="24"/>
      <c r="S447" s="24"/>
      <c r="T447" s="24"/>
      <c r="U447" s="20" t="s">
        <v>2314</v>
      </c>
      <c r="V447" s="20" t="s">
        <v>1280</v>
      </c>
      <c r="W447" s="20" t="s">
        <v>280</v>
      </c>
      <c r="X447" s="20" t="s">
        <v>227</v>
      </c>
      <c r="Y447" s="20"/>
      <c r="Z447" s="20"/>
      <c r="AA447" s="20" t="s">
        <v>2290</v>
      </c>
      <c r="AB447" s="20" t="s">
        <v>2240</v>
      </c>
      <c r="AC447" s="24">
        <v>1</v>
      </c>
      <c r="AD447" s="24"/>
      <c r="AE447" s="24"/>
      <c r="AF447" s="24"/>
      <c r="AG447" s="24"/>
      <c r="AH447" s="20"/>
      <c r="AI447" s="42"/>
    </row>
    <row r="448" spans="1:35">
      <c r="A448" s="14"/>
      <c r="B448" s="20"/>
      <c r="C448" s="84" t="s">
        <v>2420</v>
      </c>
      <c r="D448" s="20" t="s">
        <v>79</v>
      </c>
      <c r="E448" s="20" t="s">
        <v>80</v>
      </c>
      <c r="F448" s="20" t="s">
        <v>2317</v>
      </c>
      <c r="G448" s="20" t="s">
        <v>2318</v>
      </c>
      <c r="H448" s="20"/>
      <c r="I448" s="211" t="s">
        <v>2320</v>
      </c>
      <c r="J448" s="24">
        <v>1</v>
      </c>
      <c r="K448" s="24"/>
      <c r="L448" s="24">
        <v>1</v>
      </c>
      <c r="M448" s="24"/>
      <c r="N448" s="24"/>
      <c r="O448" s="24"/>
      <c r="P448" s="24"/>
      <c r="Q448" s="24"/>
      <c r="R448" s="24"/>
      <c r="S448" s="24"/>
      <c r="T448" s="24"/>
      <c r="U448" s="20" t="s">
        <v>2314</v>
      </c>
      <c r="V448" s="20" t="s">
        <v>1280</v>
      </c>
      <c r="W448" s="20" t="s">
        <v>280</v>
      </c>
      <c r="X448" s="20" t="s">
        <v>227</v>
      </c>
      <c r="Y448" s="20"/>
      <c r="Z448" s="20"/>
      <c r="AA448" s="20" t="s">
        <v>2290</v>
      </c>
      <c r="AB448" s="20" t="s">
        <v>2240</v>
      </c>
      <c r="AC448" s="24">
        <v>1</v>
      </c>
      <c r="AD448" s="24"/>
      <c r="AE448" s="24"/>
      <c r="AF448" s="24"/>
      <c r="AG448" s="24"/>
      <c r="AH448" s="20"/>
      <c r="AI448" s="42"/>
    </row>
    <row r="449" spans="1:35">
      <c r="A449" s="14"/>
      <c r="B449" s="20"/>
      <c r="C449" s="84" t="s">
        <v>2420</v>
      </c>
      <c r="D449" s="20" t="s">
        <v>79</v>
      </c>
      <c r="E449" s="20" t="s">
        <v>80</v>
      </c>
      <c r="F449" s="20" t="s">
        <v>2292</v>
      </c>
      <c r="G449" s="20" t="s">
        <v>2271</v>
      </c>
      <c r="H449" s="20" t="s">
        <v>93</v>
      </c>
      <c r="I449" s="211">
        <v>26674</v>
      </c>
      <c r="J449" s="24">
        <v>1</v>
      </c>
      <c r="K449" s="24"/>
      <c r="L449" s="24">
        <v>1</v>
      </c>
      <c r="M449" s="24"/>
      <c r="N449" s="24"/>
      <c r="O449" s="24"/>
      <c r="P449" s="24"/>
      <c r="Q449" s="24"/>
      <c r="R449" s="24"/>
      <c r="S449" s="24"/>
      <c r="T449" s="24"/>
      <c r="U449" s="20" t="s">
        <v>2294</v>
      </c>
      <c r="V449" s="20" t="s">
        <v>1280</v>
      </c>
      <c r="W449" s="20" t="s">
        <v>280</v>
      </c>
      <c r="X449" s="20" t="s">
        <v>227</v>
      </c>
      <c r="Y449" s="20"/>
      <c r="Z449" s="20"/>
      <c r="AA449" s="20" t="s">
        <v>2290</v>
      </c>
      <c r="AB449" s="20" t="s">
        <v>2240</v>
      </c>
      <c r="AC449" s="24">
        <v>1</v>
      </c>
      <c r="AD449" s="24"/>
      <c r="AE449" s="24"/>
      <c r="AF449" s="24"/>
      <c r="AG449" s="24"/>
      <c r="AH449" s="20"/>
      <c r="AI449" s="42"/>
    </row>
    <row r="450" spans="1:35">
      <c r="A450" s="14"/>
      <c r="B450" s="20"/>
      <c r="C450" s="84" t="s">
        <v>2420</v>
      </c>
      <c r="D450" s="20" t="s">
        <v>79</v>
      </c>
      <c r="E450" s="20" t="s">
        <v>80</v>
      </c>
      <c r="F450" s="20" t="s">
        <v>2297</v>
      </c>
      <c r="G450" s="20" t="s">
        <v>382</v>
      </c>
      <c r="H450" s="20"/>
      <c r="I450" s="211">
        <v>28980</v>
      </c>
      <c r="J450" s="24">
        <v>1</v>
      </c>
      <c r="K450" s="24"/>
      <c r="L450" s="24">
        <v>1</v>
      </c>
      <c r="M450" s="24"/>
      <c r="N450" s="24"/>
      <c r="O450" s="24"/>
      <c r="P450" s="24"/>
      <c r="Q450" s="24"/>
      <c r="R450" s="24"/>
      <c r="S450" s="24"/>
      <c r="T450" s="24"/>
      <c r="U450" s="20" t="s">
        <v>2294</v>
      </c>
      <c r="V450" s="20" t="s">
        <v>1280</v>
      </c>
      <c r="W450" s="20" t="s">
        <v>280</v>
      </c>
      <c r="X450" s="20" t="s">
        <v>227</v>
      </c>
      <c r="Y450" s="20"/>
      <c r="Z450" s="20"/>
      <c r="AA450" s="20" t="s">
        <v>2290</v>
      </c>
      <c r="AB450" s="20" t="s">
        <v>2240</v>
      </c>
      <c r="AC450" s="24">
        <v>1</v>
      </c>
      <c r="AD450" s="24"/>
      <c r="AE450" s="24"/>
      <c r="AF450" s="24"/>
      <c r="AG450" s="24"/>
      <c r="AH450" s="20"/>
      <c r="AI450" s="42"/>
    </row>
    <row r="451" spans="1:35">
      <c r="A451" s="14"/>
      <c r="B451" s="20"/>
      <c r="C451" s="84" t="s">
        <v>2420</v>
      </c>
      <c r="D451" s="20" t="s">
        <v>79</v>
      </c>
      <c r="E451" s="20" t="s">
        <v>80</v>
      </c>
      <c r="F451" s="20" t="s">
        <v>110</v>
      </c>
      <c r="G451" s="20" t="s">
        <v>315</v>
      </c>
      <c r="H451" s="20"/>
      <c r="I451" s="211">
        <v>23076</v>
      </c>
      <c r="J451" s="24">
        <v>1</v>
      </c>
      <c r="K451" s="24"/>
      <c r="L451" s="24">
        <v>1</v>
      </c>
      <c r="M451" s="24"/>
      <c r="N451" s="24"/>
      <c r="O451" s="24"/>
      <c r="P451" s="24"/>
      <c r="Q451" s="24"/>
      <c r="R451" s="24"/>
      <c r="S451" s="24"/>
      <c r="T451" s="24"/>
      <c r="U451" s="20" t="s">
        <v>2305</v>
      </c>
      <c r="V451" s="20" t="s">
        <v>1280</v>
      </c>
      <c r="W451" s="20" t="s">
        <v>280</v>
      </c>
      <c r="X451" s="20" t="s">
        <v>227</v>
      </c>
      <c r="Y451" s="20"/>
      <c r="Z451" s="20"/>
      <c r="AA451" s="20" t="s">
        <v>2290</v>
      </c>
      <c r="AB451" s="20" t="s">
        <v>2240</v>
      </c>
      <c r="AC451" s="24">
        <v>1</v>
      </c>
      <c r="AD451" s="24"/>
      <c r="AE451" s="24"/>
      <c r="AF451" s="24"/>
      <c r="AG451" s="24"/>
      <c r="AH451" s="20"/>
      <c r="AI451" s="42"/>
    </row>
    <row r="452" spans="1:35">
      <c r="A452" s="14"/>
      <c r="B452" s="20"/>
      <c r="C452" s="84" t="s">
        <v>2420</v>
      </c>
      <c r="D452" s="20" t="s">
        <v>79</v>
      </c>
      <c r="E452" s="20" t="s">
        <v>80</v>
      </c>
      <c r="F452" s="20" t="s">
        <v>2321</v>
      </c>
      <c r="G452" s="20" t="s">
        <v>2322</v>
      </c>
      <c r="H452" s="20"/>
      <c r="I452" s="211">
        <v>26787</v>
      </c>
      <c r="J452" s="24">
        <v>1</v>
      </c>
      <c r="K452" s="24"/>
      <c r="L452" s="24">
        <v>1</v>
      </c>
      <c r="M452" s="24"/>
      <c r="N452" s="24"/>
      <c r="O452" s="24"/>
      <c r="P452" s="24"/>
      <c r="Q452" s="24"/>
      <c r="R452" s="24"/>
      <c r="S452" s="24"/>
      <c r="T452" s="24"/>
      <c r="U452" s="20" t="s">
        <v>2294</v>
      </c>
      <c r="V452" s="20" t="s">
        <v>1280</v>
      </c>
      <c r="W452" s="20" t="s">
        <v>280</v>
      </c>
      <c r="X452" s="20" t="s">
        <v>227</v>
      </c>
      <c r="Y452" s="20"/>
      <c r="Z452" s="20"/>
      <c r="AA452" s="20" t="s">
        <v>2290</v>
      </c>
      <c r="AB452" s="20" t="s">
        <v>2240</v>
      </c>
      <c r="AC452" s="24">
        <v>1</v>
      </c>
      <c r="AD452" s="24"/>
      <c r="AE452" s="24"/>
      <c r="AF452" s="24"/>
      <c r="AG452" s="24"/>
      <c r="AH452" s="20"/>
      <c r="AI452" s="42"/>
    </row>
    <row r="453" spans="1:35">
      <c r="A453" s="14"/>
      <c r="B453" s="20"/>
      <c r="C453" s="84" t="s">
        <v>2420</v>
      </c>
      <c r="D453" s="20" t="s">
        <v>79</v>
      </c>
      <c r="E453" s="20" t="s">
        <v>80</v>
      </c>
      <c r="F453" s="20" t="s">
        <v>2323</v>
      </c>
      <c r="G453" s="20" t="s">
        <v>2324</v>
      </c>
      <c r="H453" s="20"/>
      <c r="I453" s="211">
        <v>29008</v>
      </c>
      <c r="J453" s="24">
        <v>1</v>
      </c>
      <c r="K453" s="24"/>
      <c r="L453" s="24">
        <v>1</v>
      </c>
      <c r="M453" s="24"/>
      <c r="N453" s="24"/>
      <c r="O453" s="24"/>
      <c r="P453" s="24"/>
      <c r="Q453" s="24"/>
      <c r="R453" s="24"/>
      <c r="S453" s="24"/>
      <c r="T453" s="24"/>
      <c r="U453" s="20" t="s">
        <v>2307</v>
      </c>
      <c r="V453" s="20" t="s">
        <v>1280</v>
      </c>
      <c r="W453" s="20" t="s">
        <v>280</v>
      </c>
      <c r="X453" s="20" t="s">
        <v>227</v>
      </c>
      <c r="Y453" s="20"/>
      <c r="Z453" s="20"/>
      <c r="AA453" s="20" t="s">
        <v>2290</v>
      </c>
      <c r="AB453" s="20" t="s">
        <v>2240</v>
      </c>
      <c r="AC453" s="24">
        <v>1</v>
      </c>
      <c r="AD453" s="24"/>
      <c r="AE453" s="24"/>
      <c r="AF453" s="24"/>
      <c r="AG453" s="24"/>
      <c r="AH453" s="20"/>
      <c r="AI453" s="42"/>
    </row>
    <row r="454" spans="1:35">
      <c r="A454" s="14"/>
      <c r="B454" s="20"/>
      <c r="C454" s="84" t="s">
        <v>2420</v>
      </c>
      <c r="D454" s="20" t="s">
        <v>79</v>
      </c>
      <c r="E454" s="20" t="s">
        <v>80</v>
      </c>
      <c r="F454" s="20" t="s">
        <v>2292</v>
      </c>
      <c r="G454" s="20" t="s">
        <v>2325</v>
      </c>
      <c r="H454" s="32" t="s">
        <v>93</v>
      </c>
      <c r="I454" s="211">
        <v>24844</v>
      </c>
      <c r="J454" s="24">
        <v>1</v>
      </c>
      <c r="K454" s="24"/>
      <c r="L454" s="24">
        <v>1</v>
      </c>
      <c r="M454" s="24"/>
      <c r="N454" s="24"/>
      <c r="O454" s="24"/>
      <c r="P454" s="24"/>
      <c r="Q454" s="24"/>
      <c r="R454" s="24"/>
      <c r="S454" s="24"/>
      <c r="T454" s="24"/>
      <c r="U454" s="20" t="s">
        <v>2294</v>
      </c>
      <c r="V454" s="20" t="s">
        <v>1280</v>
      </c>
      <c r="W454" s="20" t="s">
        <v>280</v>
      </c>
      <c r="X454" s="20" t="s">
        <v>227</v>
      </c>
      <c r="Y454" s="20"/>
      <c r="Z454" s="20"/>
      <c r="AA454" s="20" t="s">
        <v>2290</v>
      </c>
      <c r="AB454" s="20" t="s">
        <v>2240</v>
      </c>
      <c r="AC454" s="24">
        <v>1</v>
      </c>
      <c r="AD454" s="24"/>
      <c r="AE454" s="24"/>
      <c r="AF454" s="24"/>
      <c r="AG454" s="24"/>
      <c r="AH454" s="20"/>
      <c r="AI454" s="42"/>
    </row>
    <row r="455" spans="1:35">
      <c r="A455" s="14"/>
      <c r="B455" s="20"/>
      <c r="C455" s="84" t="s">
        <v>2420</v>
      </c>
      <c r="D455" s="20" t="s">
        <v>79</v>
      </c>
      <c r="E455" s="20" t="s">
        <v>80</v>
      </c>
      <c r="F455" s="20" t="s">
        <v>2326</v>
      </c>
      <c r="G455" s="20" t="s">
        <v>2271</v>
      </c>
      <c r="H455" s="20" t="s">
        <v>588</v>
      </c>
      <c r="I455" s="211" t="s">
        <v>2327</v>
      </c>
      <c r="J455" s="24">
        <v>1</v>
      </c>
      <c r="K455" s="24"/>
      <c r="L455" s="24">
        <v>1</v>
      </c>
      <c r="M455" s="24"/>
      <c r="N455" s="24"/>
      <c r="O455" s="24"/>
      <c r="P455" s="24"/>
      <c r="Q455" s="24"/>
      <c r="R455" s="24"/>
      <c r="S455" s="24"/>
      <c r="T455" s="24"/>
      <c r="U455" s="20" t="s">
        <v>2314</v>
      </c>
      <c r="V455" s="20" t="s">
        <v>1280</v>
      </c>
      <c r="W455" s="20" t="s">
        <v>280</v>
      </c>
      <c r="X455" s="20" t="s">
        <v>227</v>
      </c>
      <c r="Y455" s="20"/>
      <c r="Z455" s="20"/>
      <c r="AA455" s="20" t="s">
        <v>2290</v>
      </c>
      <c r="AB455" s="20" t="s">
        <v>2240</v>
      </c>
      <c r="AC455" s="24">
        <v>1</v>
      </c>
      <c r="AD455" s="24"/>
      <c r="AE455" s="24"/>
      <c r="AF455" s="24"/>
      <c r="AG455" s="24"/>
      <c r="AH455" s="20"/>
      <c r="AI455" s="42"/>
    </row>
    <row r="456" spans="1:35">
      <c r="A456" s="14"/>
      <c r="B456" s="20"/>
      <c r="C456" s="84" t="s">
        <v>2420</v>
      </c>
      <c r="D456" s="20" t="s">
        <v>79</v>
      </c>
      <c r="E456" s="20" t="s">
        <v>80</v>
      </c>
      <c r="F456" s="20" t="s">
        <v>1724</v>
      </c>
      <c r="G456" s="20" t="s">
        <v>2328</v>
      </c>
      <c r="H456" s="20" t="s">
        <v>409</v>
      </c>
      <c r="I456" s="211" t="s">
        <v>2329</v>
      </c>
      <c r="J456" s="24">
        <v>1</v>
      </c>
      <c r="K456" s="24"/>
      <c r="L456" s="24">
        <v>1</v>
      </c>
      <c r="M456" s="24">
        <v>1</v>
      </c>
      <c r="N456" s="24"/>
      <c r="O456" s="24"/>
      <c r="P456" s="24"/>
      <c r="Q456" s="24"/>
      <c r="R456" s="24"/>
      <c r="S456" s="24"/>
      <c r="T456" s="24"/>
      <c r="U456" s="20" t="s">
        <v>2307</v>
      </c>
      <c r="V456" s="20" t="s">
        <v>1280</v>
      </c>
      <c r="W456" s="20" t="s">
        <v>280</v>
      </c>
      <c r="X456" s="20" t="s">
        <v>227</v>
      </c>
      <c r="Y456" s="20"/>
      <c r="Z456" s="20"/>
      <c r="AA456" s="20" t="s">
        <v>2290</v>
      </c>
      <c r="AB456" s="20" t="s">
        <v>2240</v>
      </c>
      <c r="AC456" s="24">
        <v>1</v>
      </c>
      <c r="AD456" s="24"/>
      <c r="AE456" s="24"/>
      <c r="AF456" s="24"/>
      <c r="AG456" s="24"/>
      <c r="AH456" s="20"/>
      <c r="AI456" s="42"/>
    </row>
    <row r="457" spans="1:35">
      <c r="A457" s="14"/>
      <c r="B457" s="20"/>
      <c r="C457" s="84" t="s">
        <v>2420</v>
      </c>
      <c r="D457" s="20" t="s">
        <v>79</v>
      </c>
      <c r="E457" s="20" t="s">
        <v>80</v>
      </c>
      <c r="F457" s="20" t="s">
        <v>2516</v>
      </c>
      <c r="G457" s="20" t="s">
        <v>2517</v>
      </c>
      <c r="H457" s="20"/>
      <c r="I457" s="211">
        <v>36470</v>
      </c>
      <c r="J457" s="24">
        <v>1</v>
      </c>
      <c r="K457" s="24"/>
      <c r="L457" s="24">
        <v>1</v>
      </c>
      <c r="M457" s="24"/>
      <c r="N457" s="24"/>
      <c r="O457" s="24"/>
      <c r="P457" s="24"/>
      <c r="Q457" s="24"/>
      <c r="R457" s="24"/>
      <c r="S457" s="24"/>
      <c r="T457" s="24"/>
      <c r="U457" s="20" t="s">
        <v>221</v>
      </c>
      <c r="V457" s="20" t="s">
        <v>218</v>
      </c>
      <c r="W457" s="20" t="s">
        <v>279</v>
      </c>
      <c r="X457" s="20" t="s">
        <v>227</v>
      </c>
      <c r="Y457" s="20"/>
      <c r="Z457" s="20"/>
      <c r="AA457" s="20" t="s">
        <v>2527</v>
      </c>
      <c r="AB457" s="20" t="s">
        <v>1815</v>
      </c>
      <c r="AC457" s="24">
        <v>1</v>
      </c>
      <c r="AD457" s="24"/>
      <c r="AE457" s="24"/>
      <c r="AF457" s="24"/>
      <c r="AG457" s="24"/>
      <c r="AH457" s="20"/>
      <c r="AI457" s="42"/>
    </row>
    <row r="458" spans="1:35">
      <c r="A458" s="14"/>
      <c r="B458" s="20"/>
      <c r="C458" s="20"/>
      <c r="D458" s="20"/>
      <c r="E458" s="20"/>
      <c r="F458" s="20"/>
      <c r="G458" s="20"/>
      <c r="H458" s="20"/>
      <c r="I458" s="211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0"/>
      <c r="V458" s="20"/>
      <c r="W458" s="20"/>
      <c r="X458" s="20"/>
      <c r="Y458" s="20"/>
      <c r="Z458" s="20"/>
      <c r="AA458" s="20" t="s">
        <v>2528</v>
      </c>
      <c r="AB458" s="20" t="s">
        <v>2529</v>
      </c>
      <c r="AC458" s="24">
        <v>1</v>
      </c>
      <c r="AD458" s="24"/>
      <c r="AE458" s="24"/>
      <c r="AF458" s="24"/>
      <c r="AG458" s="24"/>
      <c r="AH458" s="20"/>
      <c r="AI458" s="42"/>
    </row>
    <row r="459" spans="1:35">
      <c r="A459" s="14"/>
      <c r="B459" s="20"/>
      <c r="C459" s="84" t="s">
        <v>2420</v>
      </c>
      <c r="D459" s="20" t="s">
        <v>79</v>
      </c>
      <c r="E459" s="20" t="s">
        <v>80</v>
      </c>
      <c r="F459" s="20" t="s">
        <v>2518</v>
      </c>
      <c r="G459" s="20" t="s">
        <v>2519</v>
      </c>
      <c r="H459" s="20"/>
      <c r="I459" s="211">
        <v>25388</v>
      </c>
      <c r="J459" s="24">
        <v>1</v>
      </c>
      <c r="K459" s="24"/>
      <c r="L459" s="24">
        <v>1</v>
      </c>
      <c r="M459" s="24"/>
      <c r="N459" s="24"/>
      <c r="O459" s="24"/>
      <c r="P459" s="24"/>
      <c r="Q459" s="24"/>
      <c r="R459" s="24"/>
      <c r="S459" s="24"/>
      <c r="T459" s="24"/>
      <c r="U459" s="20" t="s">
        <v>221</v>
      </c>
      <c r="V459" s="20" t="s">
        <v>218</v>
      </c>
      <c r="W459" s="20" t="s">
        <v>279</v>
      </c>
      <c r="X459" s="20" t="s">
        <v>227</v>
      </c>
      <c r="Y459" s="20"/>
      <c r="Z459" s="20"/>
      <c r="AA459" s="20" t="s">
        <v>2527</v>
      </c>
      <c r="AB459" s="20" t="s">
        <v>1815</v>
      </c>
      <c r="AC459" s="24">
        <v>1</v>
      </c>
      <c r="AD459" s="24"/>
      <c r="AE459" s="24"/>
      <c r="AF459" s="24"/>
      <c r="AG459" s="24"/>
      <c r="AH459" s="20"/>
      <c r="AI459" s="42"/>
    </row>
    <row r="460" spans="1:35">
      <c r="A460" s="14"/>
      <c r="B460" s="20"/>
      <c r="C460" s="20"/>
      <c r="D460" s="20"/>
      <c r="E460" s="20"/>
      <c r="F460" s="20"/>
      <c r="G460" s="20"/>
      <c r="H460" s="20"/>
      <c r="I460" s="211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0"/>
      <c r="V460" s="20"/>
      <c r="W460" s="20"/>
      <c r="X460" s="20"/>
      <c r="Y460" s="20"/>
      <c r="Z460" s="20"/>
      <c r="AA460" s="20" t="s">
        <v>2528</v>
      </c>
      <c r="AB460" s="20" t="s">
        <v>2529</v>
      </c>
      <c r="AC460" s="24">
        <v>1</v>
      </c>
      <c r="AD460" s="24"/>
      <c r="AE460" s="24"/>
      <c r="AF460" s="24"/>
      <c r="AG460" s="24"/>
      <c r="AH460" s="20"/>
      <c r="AI460" s="42"/>
    </row>
    <row r="461" spans="1:35">
      <c r="A461" s="14"/>
      <c r="B461" s="20"/>
      <c r="C461" s="84" t="s">
        <v>2420</v>
      </c>
      <c r="D461" s="20" t="s">
        <v>79</v>
      </c>
      <c r="E461" s="20" t="s">
        <v>80</v>
      </c>
      <c r="F461" s="20" t="s">
        <v>2520</v>
      </c>
      <c r="G461" s="20" t="s">
        <v>2521</v>
      </c>
      <c r="H461" s="20"/>
      <c r="I461" s="211" t="s">
        <v>2530</v>
      </c>
      <c r="J461" s="24">
        <v>1</v>
      </c>
      <c r="K461" s="24"/>
      <c r="L461" s="24">
        <v>1</v>
      </c>
      <c r="M461" s="24"/>
      <c r="N461" s="24"/>
      <c r="O461" s="24"/>
      <c r="P461" s="24"/>
      <c r="Q461" s="24"/>
      <c r="R461" s="24"/>
      <c r="S461" s="24"/>
      <c r="T461" s="24"/>
      <c r="U461" s="20" t="s">
        <v>221</v>
      </c>
      <c r="V461" s="20" t="s">
        <v>218</v>
      </c>
      <c r="W461" s="20" t="s">
        <v>279</v>
      </c>
      <c r="X461" s="20" t="s">
        <v>227</v>
      </c>
      <c r="Y461" s="20"/>
      <c r="Z461" s="20"/>
      <c r="AA461" s="20" t="s">
        <v>2527</v>
      </c>
      <c r="AB461" s="20" t="s">
        <v>1815</v>
      </c>
      <c r="AC461" s="24">
        <v>1</v>
      </c>
      <c r="AD461" s="24"/>
      <c r="AE461" s="24"/>
      <c r="AF461" s="24"/>
      <c r="AG461" s="24"/>
      <c r="AH461" s="20"/>
      <c r="AI461" s="42"/>
    </row>
    <row r="462" spans="1:35">
      <c r="A462" s="14"/>
      <c r="B462" s="20"/>
      <c r="C462" s="20"/>
      <c r="D462" s="20"/>
      <c r="E462" s="20"/>
      <c r="F462" s="20"/>
      <c r="G462" s="20"/>
      <c r="H462" s="20"/>
      <c r="I462" s="211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0"/>
      <c r="V462" s="20"/>
      <c r="W462" s="20"/>
      <c r="X462" s="20"/>
      <c r="Y462" s="20"/>
      <c r="Z462" s="20"/>
      <c r="AA462" s="20" t="s">
        <v>2528</v>
      </c>
      <c r="AB462" s="20" t="s">
        <v>2529</v>
      </c>
      <c r="AC462" s="24">
        <v>1</v>
      </c>
      <c r="AD462" s="24"/>
      <c r="AE462" s="24"/>
      <c r="AF462" s="24"/>
      <c r="AG462" s="24"/>
      <c r="AH462" s="20"/>
      <c r="AI462" s="42"/>
    </row>
    <row r="463" spans="1:35">
      <c r="A463" s="14"/>
      <c r="B463" s="20"/>
      <c r="C463" s="84" t="s">
        <v>2420</v>
      </c>
      <c r="D463" s="20" t="s">
        <v>79</v>
      </c>
      <c r="E463" s="20" t="s">
        <v>80</v>
      </c>
      <c r="F463" s="20" t="s">
        <v>174</v>
      </c>
      <c r="G463" s="20" t="s">
        <v>2522</v>
      </c>
      <c r="H463" s="20"/>
      <c r="I463" s="211">
        <v>34524</v>
      </c>
      <c r="J463" s="24">
        <v>1</v>
      </c>
      <c r="K463" s="24"/>
      <c r="L463" s="24">
        <v>1</v>
      </c>
      <c r="M463" s="24"/>
      <c r="N463" s="24"/>
      <c r="O463" s="24"/>
      <c r="P463" s="24"/>
      <c r="Q463" s="24"/>
      <c r="R463" s="24"/>
      <c r="S463" s="24"/>
      <c r="T463" s="24"/>
      <c r="U463" s="20" t="s">
        <v>221</v>
      </c>
      <c r="V463" s="20" t="s">
        <v>218</v>
      </c>
      <c r="W463" s="20" t="s">
        <v>279</v>
      </c>
      <c r="X463" s="20" t="s">
        <v>227</v>
      </c>
      <c r="Y463" s="20"/>
      <c r="Z463" s="20"/>
      <c r="AA463" s="20" t="s">
        <v>2527</v>
      </c>
      <c r="AB463" s="20" t="s">
        <v>1815</v>
      </c>
      <c r="AC463" s="24">
        <v>1</v>
      </c>
      <c r="AD463" s="24"/>
      <c r="AE463" s="24"/>
      <c r="AF463" s="24"/>
      <c r="AG463" s="24"/>
      <c r="AH463" s="20"/>
      <c r="AI463" s="42"/>
    </row>
    <row r="464" spans="1:35">
      <c r="A464" s="14"/>
      <c r="B464" s="20"/>
      <c r="C464" s="20"/>
      <c r="D464" s="20"/>
      <c r="E464" s="20"/>
      <c r="F464" s="20"/>
      <c r="G464" s="20"/>
      <c r="H464" s="20"/>
      <c r="I464" s="211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0"/>
      <c r="V464" s="20"/>
      <c r="W464" s="20"/>
      <c r="X464" s="20"/>
      <c r="Y464" s="20"/>
      <c r="Z464" s="20"/>
      <c r="AA464" s="20" t="s">
        <v>2528</v>
      </c>
      <c r="AB464" s="20" t="s">
        <v>2529</v>
      </c>
      <c r="AC464" s="24">
        <v>1</v>
      </c>
      <c r="AD464" s="24"/>
      <c r="AE464" s="24"/>
      <c r="AF464" s="24"/>
      <c r="AG464" s="24"/>
      <c r="AH464" s="20"/>
      <c r="AI464" s="42"/>
    </row>
    <row r="465" spans="1:35">
      <c r="A465" s="14"/>
      <c r="B465" s="20"/>
      <c r="C465" s="84" t="s">
        <v>2420</v>
      </c>
      <c r="D465" s="20" t="s">
        <v>79</v>
      </c>
      <c r="E465" s="20" t="s">
        <v>80</v>
      </c>
      <c r="F465" s="20" t="s">
        <v>2523</v>
      </c>
      <c r="G465" s="20" t="s">
        <v>2524</v>
      </c>
      <c r="H465" s="20"/>
      <c r="I465" s="211">
        <v>33482</v>
      </c>
      <c r="J465" s="24">
        <v>1</v>
      </c>
      <c r="K465" s="24"/>
      <c r="L465" s="24">
        <v>1</v>
      </c>
      <c r="M465" s="24"/>
      <c r="N465" s="24"/>
      <c r="O465" s="24"/>
      <c r="P465" s="24"/>
      <c r="Q465" s="24"/>
      <c r="R465" s="24"/>
      <c r="S465" s="24"/>
      <c r="T465" s="24"/>
      <c r="U465" s="20" t="s">
        <v>221</v>
      </c>
      <c r="V465" s="20" t="s">
        <v>218</v>
      </c>
      <c r="W465" s="20" t="s">
        <v>279</v>
      </c>
      <c r="X465" s="20" t="s">
        <v>227</v>
      </c>
      <c r="Y465" s="20"/>
      <c r="Z465" s="20"/>
      <c r="AA465" s="20" t="s">
        <v>2527</v>
      </c>
      <c r="AB465" s="20" t="s">
        <v>1815</v>
      </c>
      <c r="AC465" s="24">
        <v>1</v>
      </c>
      <c r="AD465" s="24"/>
      <c r="AE465" s="24"/>
      <c r="AF465" s="24"/>
      <c r="AG465" s="24"/>
      <c r="AH465" s="20"/>
      <c r="AI465" s="42"/>
    </row>
    <row r="466" spans="1:35">
      <c r="A466" s="14"/>
      <c r="B466" s="20"/>
      <c r="C466" s="20"/>
      <c r="D466" s="20"/>
      <c r="E466" s="20"/>
      <c r="F466" s="20"/>
      <c r="G466" s="20"/>
      <c r="H466" s="20"/>
      <c r="I466" s="211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0"/>
      <c r="V466" s="20"/>
      <c r="W466" s="20"/>
      <c r="X466" s="20"/>
      <c r="Y466" s="20"/>
      <c r="Z466" s="20"/>
      <c r="AA466" s="20" t="s">
        <v>2528</v>
      </c>
      <c r="AB466" s="20" t="s">
        <v>2529</v>
      </c>
      <c r="AC466" s="24">
        <v>1</v>
      </c>
      <c r="AD466" s="24"/>
      <c r="AE466" s="24"/>
      <c r="AF466" s="24"/>
      <c r="AG466" s="24"/>
      <c r="AH466" s="20"/>
      <c r="AI466" s="42"/>
    </row>
    <row r="467" spans="1:35">
      <c r="A467" s="14"/>
      <c r="B467" s="20"/>
      <c r="C467" s="84" t="s">
        <v>2420</v>
      </c>
      <c r="D467" s="20" t="s">
        <v>79</v>
      </c>
      <c r="E467" s="20" t="s">
        <v>80</v>
      </c>
      <c r="F467" s="20" t="s">
        <v>2525</v>
      </c>
      <c r="G467" s="20" t="s">
        <v>2526</v>
      </c>
      <c r="H467" s="20"/>
      <c r="I467" s="211" t="s">
        <v>2531</v>
      </c>
      <c r="J467" s="24">
        <v>1</v>
      </c>
      <c r="K467" s="24"/>
      <c r="L467" s="24">
        <v>1</v>
      </c>
      <c r="M467" s="24"/>
      <c r="N467" s="24"/>
      <c r="O467" s="24"/>
      <c r="P467" s="24"/>
      <c r="Q467" s="24"/>
      <c r="R467" s="24"/>
      <c r="S467" s="24"/>
      <c r="T467" s="24"/>
      <c r="U467" s="20" t="s">
        <v>221</v>
      </c>
      <c r="V467" s="20" t="s">
        <v>218</v>
      </c>
      <c r="W467" s="20" t="s">
        <v>279</v>
      </c>
      <c r="X467" s="20" t="s">
        <v>227</v>
      </c>
      <c r="Y467" s="20"/>
      <c r="Z467" s="20"/>
      <c r="AA467" s="20" t="s">
        <v>2527</v>
      </c>
      <c r="AB467" s="20" t="s">
        <v>1815</v>
      </c>
      <c r="AC467" s="24">
        <v>1</v>
      </c>
      <c r="AD467" s="24"/>
      <c r="AE467" s="24"/>
      <c r="AF467" s="24"/>
      <c r="AG467" s="24"/>
      <c r="AH467" s="20"/>
      <c r="AI467" s="42"/>
    </row>
    <row r="468" spans="1:35">
      <c r="A468" s="14"/>
      <c r="B468" s="20"/>
      <c r="C468" s="20"/>
      <c r="D468" s="20"/>
      <c r="E468" s="20"/>
      <c r="F468" s="20"/>
      <c r="G468" s="20"/>
      <c r="H468" s="20"/>
      <c r="I468" s="211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0"/>
      <c r="V468" s="20"/>
      <c r="W468" s="20"/>
      <c r="X468" s="20"/>
      <c r="Y468" s="20"/>
      <c r="Z468" s="20"/>
      <c r="AA468" s="20" t="s">
        <v>2528</v>
      </c>
      <c r="AB468" s="20" t="s">
        <v>2529</v>
      </c>
      <c r="AC468" s="24">
        <v>1</v>
      </c>
      <c r="AD468" s="24"/>
      <c r="AE468" s="24"/>
      <c r="AF468" s="24"/>
      <c r="AG468" s="24"/>
      <c r="AH468" s="20"/>
      <c r="AI468" s="42"/>
    </row>
    <row r="469" spans="1:35">
      <c r="A469" s="14"/>
      <c r="B469" s="20"/>
      <c r="C469" s="84" t="s">
        <v>2420</v>
      </c>
      <c r="D469" s="20" t="s">
        <v>79</v>
      </c>
      <c r="E469" s="20" t="s">
        <v>80</v>
      </c>
      <c r="F469" s="20" t="s">
        <v>161</v>
      </c>
      <c r="G469" s="20" t="s">
        <v>1330</v>
      </c>
      <c r="H469" s="20"/>
      <c r="I469" s="211" t="s">
        <v>2532</v>
      </c>
      <c r="J469" s="24">
        <v>1</v>
      </c>
      <c r="K469" s="24"/>
      <c r="L469" s="24">
        <v>1</v>
      </c>
      <c r="M469" s="24"/>
      <c r="N469" s="24"/>
      <c r="O469" s="24"/>
      <c r="P469" s="24"/>
      <c r="Q469" s="24"/>
      <c r="R469" s="24"/>
      <c r="S469" s="24"/>
      <c r="T469" s="24"/>
      <c r="U469" s="20" t="s">
        <v>221</v>
      </c>
      <c r="V469" s="20" t="s">
        <v>218</v>
      </c>
      <c r="W469" s="20" t="s">
        <v>279</v>
      </c>
      <c r="X469" s="20" t="s">
        <v>227</v>
      </c>
      <c r="Y469" s="20"/>
      <c r="Z469" s="20"/>
      <c r="AA469" s="20" t="s">
        <v>2527</v>
      </c>
      <c r="AB469" s="20" t="s">
        <v>1815</v>
      </c>
      <c r="AC469" s="24">
        <v>1</v>
      </c>
      <c r="AD469" s="24"/>
      <c r="AE469" s="24"/>
      <c r="AF469" s="24"/>
      <c r="AG469" s="24"/>
      <c r="AH469" s="20"/>
      <c r="AI469" s="42"/>
    </row>
    <row r="470" spans="1:35">
      <c r="A470" s="14"/>
      <c r="B470" s="20"/>
      <c r="C470" s="20"/>
      <c r="D470" s="20"/>
      <c r="E470" s="20"/>
      <c r="F470" s="20"/>
      <c r="G470" s="20"/>
      <c r="H470" s="20"/>
      <c r="I470" s="211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0"/>
      <c r="V470" s="20"/>
      <c r="W470" s="20"/>
      <c r="X470" s="20"/>
      <c r="Y470" s="20"/>
      <c r="Z470" s="20"/>
      <c r="AA470" s="20" t="s">
        <v>2528</v>
      </c>
      <c r="AB470" s="20" t="s">
        <v>2529</v>
      </c>
      <c r="AC470" s="24">
        <v>1</v>
      </c>
      <c r="AD470" s="24"/>
      <c r="AE470" s="24"/>
      <c r="AF470" s="24"/>
      <c r="AG470" s="24"/>
      <c r="AH470" s="20"/>
      <c r="AI470" s="42"/>
    </row>
    <row r="471" spans="1:35">
      <c r="A471" s="14"/>
      <c r="B471" s="20"/>
      <c r="C471" s="84" t="s">
        <v>2420</v>
      </c>
      <c r="D471" s="20" t="s">
        <v>79</v>
      </c>
      <c r="E471" s="20" t="s">
        <v>80</v>
      </c>
      <c r="F471" s="20" t="s">
        <v>1203</v>
      </c>
      <c r="G471" s="20" t="s">
        <v>389</v>
      </c>
      <c r="H471" s="20"/>
      <c r="I471" s="211" t="s">
        <v>2533</v>
      </c>
      <c r="J471" s="24">
        <v>1</v>
      </c>
      <c r="K471" s="24"/>
      <c r="L471" s="24">
        <v>1</v>
      </c>
      <c r="M471" s="24"/>
      <c r="N471" s="24"/>
      <c r="O471" s="24"/>
      <c r="P471" s="24"/>
      <c r="Q471" s="24"/>
      <c r="R471" s="24"/>
      <c r="S471" s="24"/>
      <c r="T471" s="24"/>
      <c r="U471" s="20" t="s">
        <v>221</v>
      </c>
      <c r="V471" s="20" t="s">
        <v>218</v>
      </c>
      <c r="W471" s="20" t="s">
        <v>279</v>
      </c>
      <c r="X471" s="20" t="s">
        <v>227</v>
      </c>
      <c r="Y471" s="20"/>
      <c r="Z471" s="20"/>
      <c r="AA471" s="20" t="s">
        <v>2527</v>
      </c>
      <c r="AB471" s="20" t="s">
        <v>1815</v>
      </c>
      <c r="AC471" s="24">
        <v>1</v>
      </c>
      <c r="AD471" s="24"/>
      <c r="AE471" s="24"/>
      <c r="AF471" s="24"/>
      <c r="AG471" s="24"/>
      <c r="AH471" s="20"/>
      <c r="AI471" s="42"/>
    </row>
    <row r="472" spans="1:35">
      <c r="A472" s="14"/>
      <c r="B472" s="20"/>
      <c r="C472" s="20"/>
      <c r="D472" s="20"/>
      <c r="E472" s="20"/>
      <c r="F472" s="20"/>
      <c r="G472" s="20"/>
      <c r="H472" s="20"/>
      <c r="I472" s="211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0"/>
      <c r="V472" s="20"/>
      <c r="W472" s="20"/>
      <c r="X472" s="20"/>
      <c r="Y472" s="20"/>
      <c r="Z472" s="20"/>
      <c r="AA472" s="20" t="s">
        <v>2528</v>
      </c>
      <c r="AB472" s="20" t="s">
        <v>2529</v>
      </c>
      <c r="AC472" s="24">
        <v>1</v>
      </c>
      <c r="AD472" s="24"/>
      <c r="AE472" s="24"/>
      <c r="AF472" s="24"/>
      <c r="AG472" s="24"/>
      <c r="AH472" s="20"/>
      <c r="AI472" s="42"/>
    </row>
    <row r="473" spans="1:35">
      <c r="A473" s="14"/>
      <c r="B473" s="20"/>
      <c r="C473" s="84" t="s">
        <v>2420</v>
      </c>
      <c r="D473" s="20" t="s">
        <v>79</v>
      </c>
      <c r="E473" s="20" t="s">
        <v>80</v>
      </c>
      <c r="F473" s="20" t="s">
        <v>161</v>
      </c>
      <c r="G473" s="20" t="s">
        <v>1324</v>
      </c>
      <c r="H473" s="20" t="s">
        <v>93</v>
      </c>
      <c r="I473" s="211" t="s">
        <v>2534</v>
      </c>
      <c r="J473" s="24">
        <v>1</v>
      </c>
      <c r="K473" s="24"/>
      <c r="L473" s="24">
        <v>1</v>
      </c>
      <c r="M473" s="24"/>
      <c r="N473" s="24"/>
      <c r="O473" s="24"/>
      <c r="P473" s="24"/>
      <c r="Q473" s="24"/>
      <c r="R473" s="24"/>
      <c r="S473" s="24"/>
      <c r="T473" s="24"/>
      <c r="U473" s="20" t="s">
        <v>221</v>
      </c>
      <c r="V473" s="20" t="s">
        <v>218</v>
      </c>
      <c r="W473" s="20" t="s">
        <v>279</v>
      </c>
      <c r="X473" s="20" t="s">
        <v>227</v>
      </c>
      <c r="Y473" s="20"/>
      <c r="Z473" s="20"/>
      <c r="AA473" s="20" t="s">
        <v>2527</v>
      </c>
      <c r="AB473" s="20" t="s">
        <v>1815</v>
      </c>
      <c r="AC473" s="24">
        <v>1</v>
      </c>
      <c r="AD473" s="24"/>
      <c r="AE473" s="24"/>
      <c r="AF473" s="24"/>
      <c r="AG473" s="24"/>
      <c r="AH473" s="20"/>
      <c r="AI473" s="42"/>
    </row>
    <row r="474" spans="1:35">
      <c r="A474" s="14"/>
      <c r="B474" s="20"/>
      <c r="C474" s="20"/>
      <c r="D474" s="20"/>
      <c r="E474" s="20"/>
      <c r="F474" s="20"/>
      <c r="G474" s="20"/>
      <c r="H474" s="20"/>
      <c r="I474" s="211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0"/>
      <c r="V474" s="20"/>
      <c r="W474" s="20"/>
      <c r="X474" s="20"/>
      <c r="Y474" s="20"/>
      <c r="Z474" s="20"/>
      <c r="AA474" s="20" t="s">
        <v>2528</v>
      </c>
      <c r="AB474" s="20" t="s">
        <v>2529</v>
      </c>
      <c r="AC474" s="24">
        <v>1</v>
      </c>
      <c r="AD474" s="24"/>
      <c r="AE474" s="24"/>
      <c r="AF474" s="24"/>
      <c r="AG474" s="24"/>
      <c r="AH474" s="20"/>
      <c r="AI474" s="42"/>
    </row>
    <row r="475" spans="1:35">
      <c r="A475" s="14"/>
      <c r="B475" s="20"/>
      <c r="C475" s="84" t="s">
        <v>2420</v>
      </c>
      <c r="D475" s="20" t="s">
        <v>79</v>
      </c>
      <c r="E475" s="20" t="s">
        <v>80</v>
      </c>
      <c r="F475" s="20" t="s">
        <v>191</v>
      </c>
      <c r="G475" s="20" t="s">
        <v>2535</v>
      </c>
      <c r="H475" s="20"/>
      <c r="I475" s="211" t="s">
        <v>2537</v>
      </c>
      <c r="J475" s="24">
        <v>1</v>
      </c>
      <c r="K475" s="24"/>
      <c r="L475" s="24">
        <v>1</v>
      </c>
      <c r="M475" s="24"/>
      <c r="N475" s="24"/>
      <c r="O475" s="24"/>
      <c r="P475" s="24"/>
      <c r="Q475" s="24"/>
      <c r="R475" s="24"/>
      <c r="S475" s="24"/>
      <c r="T475" s="24"/>
      <c r="U475" s="20" t="s">
        <v>221</v>
      </c>
      <c r="V475" s="20" t="s">
        <v>218</v>
      </c>
      <c r="W475" s="20" t="s">
        <v>279</v>
      </c>
      <c r="X475" s="20" t="s">
        <v>227</v>
      </c>
      <c r="Y475" s="20"/>
      <c r="Z475" s="20"/>
      <c r="AA475" s="20" t="s">
        <v>2527</v>
      </c>
      <c r="AB475" s="20" t="s">
        <v>1815</v>
      </c>
      <c r="AC475" s="24">
        <v>1</v>
      </c>
      <c r="AD475" s="24"/>
      <c r="AE475" s="24"/>
      <c r="AF475" s="24"/>
      <c r="AG475" s="24"/>
      <c r="AH475" s="20"/>
      <c r="AI475" s="42"/>
    </row>
    <row r="476" spans="1:35">
      <c r="A476" s="14"/>
      <c r="B476" s="20"/>
      <c r="C476" s="20"/>
      <c r="D476" s="20"/>
      <c r="E476" s="20"/>
      <c r="F476" s="20"/>
      <c r="G476" s="20"/>
      <c r="H476" s="20"/>
      <c r="I476" s="211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0"/>
      <c r="V476" s="20"/>
      <c r="W476" s="20"/>
      <c r="X476" s="20"/>
      <c r="Y476" s="20"/>
      <c r="Z476" s="20"/>
      <c r="AA476" s="20" t="s">
        <v>2528</v>
      </c>
      <c r="AB476" s="20" t="s">
        <v>2529</v>
      </c>
      <c r="AC476" s="24">
        <v>1</v>
      </c>
      <c r="AD476" s="24"/>
      <c r="AE476" s="24"/>
      <c r="AF476" s="24"/>
      <c r="AG476" s="24"/>
      <c r="AH476" s="20"/>
      <c r="AI476" s="42"/>
    </row>
    <row r="477" spans="1:35">
      <c r="A477" s="14"/>
      <c r="B477" s="20"/>
      <c r="C477" s="84" t="s">
        <v>2420</v>
      </c>
      <c r="D477" s="20" t="s">
        <v>79</v>
      </c>
      <c r="E477" s="20" t="s">
        <v>80</v>
      </c>
      <c r="F477" s="20" t="s">
        <v>161</v>
      </c>
      <c r="G477" s="20" t="s">
        <v>150</v>
      </c>
      <c r="H477" s="20"/>
      <c r="I477" s="211">
        <v>22347</v>
      </c>
      <c r="J477" s="24">
        <v>1</v>
      </c>
      <c r="K477" s="24"/>
      <c r="L477" s="24">
        <v>1</v>
      </c>
      <c r="M477" s="24"/>
      <c r="N477" s="24"/>
      <c r="O477" s="24"/>
      <c r="P477" s="24"/>
      <c r="Q477" s="24"/>
      <c r="R477" s="24"/>
      <c r="S477" s="24"/>
      <c r="T477" s="24"/>
      <c r="U477" s="20" t="s">
        <v>221</v>
      </c>
      <c r="V477" s="20" t="s">
        <v>218</v>
      </c>
      <c r="W477" s="20" t="s">
        <v>279</v>
      </c>
      <c r="X477" s="20" t="s">
        <v>227</v>
      </c>
      <c r="Y477" s="20"/>
      <c r="Z477" s="20"/>
      <c r="AA477" s="20" t="s">
        <v>2527</v>
      </c>
      <c r="AB477" s="20" t="s">
        <v>1815</v>
      </c>
      <c r="AC477" s="24">
        <v>1</v>
      </c>
      <c r="AD477" s="24"/>
      <c r="AE477" s="24"/>
      <c r="AF477" s="24"/>
      <c r="AG477" s="24"/>
      <c r="AH477" s="20"/>
      <c r="AI477" s="42"/>
    </row>
    <row r="478" spans="1:35">
      <c r="A478" s="14"/>
      <c r="B478" s="20"/>
      <c r="C478" s="20"/>
      <c r="D478" s="20"/>
      <c r="E478" s="20"/>
      <c r="F478" s="20"/>
      <c r="G478" s="20"/>
      <c r="H478" s="20"/>
      <c r="I478" s="211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0"/>
      <c r="V478" s="20"/>
      <c r="W478" s="20"/>
      <c r="X478" s="20"/>
      <c r="Y478" s="20"/>
      <c r="Z478" s="20"/>
      <c r="AA478" s="20" t="s">
        <v>2528</v>
      </c>
      <c r="AB478" s="20" t="s">
        <v>2529</v>
      </c>
      <c r="AC478" s="24">
        <v>1</v>
      </c>
      <c r="AD478" s="24"/>
      <c r="AE478" s="24"/>
      <c r="AF478" s="24"/>
      <c r="AG478" s="24"/>
      <c r="AH478" s="20"/>
      <c r="AI478" s="42"/>
    </row>
    <row r="479" spans="1:35">
      <c r="A479" s="14"/>
      <c r="B479" s="20"/>
      <c r="C479" s="84" t="s">
        <v>2420</v>
      </c>
      <c r="D479" s="20" t="s">
        <v>79</v>
      </c>
      <c r="E479" s="20" t="s">
        <v>80</v>
      </c>
      <c r="F479" s="20" t="s">
        <v>155</v>
      </c>
      <c r="G479" s="20" t="s">
        <v>156</v>
      </c>
      <c r="H479" s="20"/>
      <c r="I479" s="211" t="s">
        <v>2538</v>
      </c>
      <c r="J479" s="24">
        <v>1</v>
      </c>
      <c r="K479" s="24"/>
      <c r="L479" s="24">
        <v>1</v>
      </c>
      <c r="M479" s="24"/>
      <c r="N479" s="24"/>
      <c r="O479" s="24"/>
      <c r="P479" s="24"/>
      <c r="Q479" s="24"/>
      <c r="R479" s="24"/>
      <c r="S479" s="24"/>
      <c r="T479" s="24"/>
      <c r="U479" s="20" t="s">
        <v>221</v>
      </c>
      <c r="V479" s="20" t="s">
        <v>218</v>
      </c>
      <c r="W479" s="20" t="s">
        <v>279</v>
      </c>
      <c r="X479" s="20" t="s">
        <v>227</v>
      </c>
      <c r="Y479" s="20"/>
      <c r="Z479" s="20"/>
      <c r="AA479" s="20" t="s">
        <v>2527</v>
      </c>
      <c r="AB479" s="20" t="s">
        <v>1815</v>
      </c>
      <c r="AC479" s="24">
        <v>1</v>
      </c>
      <c r="AD479" s="24"/>
      <c r="AE479" s="24"/>
      <c r="AF479" s="24"/>
      <c r="AG479" s="24"/>
      <c r="AH479" s="20"/>
      <c r="AI479" s="42"/>
    </row>
    <row r="480" spans="1:35">
      <c r="A480" s="14"/>
      <c r="B480" s="20"/>
      <c r="C480" s="20"/>
      <c r="D480" s="20"/>
      <c r="E480" s="20"/>
      <c r="F480" s="20"/>
      <c r="G480" s="20"/>
      <c r="H480" s="20"/>
      <c r="I480" s="211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0"/>
      <c r="V480" s="20"/>
      <c r="W480" s="20"/>
      <c r="X480" s="20"/>
      <c r="Y480" s="20"/>
      <c r="Z480" s="20"/>
      <c r="AA480" s="20" t="s">
        <v>2528</v>
      </c>
      <c r="AB480" s="20" t="s">
        <v>2529</v>
      </c>
      <c r="AC480" s="24">
        <v>1</v>
      </c>
      <c r="AD480" s="24"/>
      <c r="AE480" s="24"/>
      <c r="AF480" s="24"/>
      <c r="AG480" s="24"/>
      <c r="AH480" s="20"/>
      <c r="AI480" s="42"/>
    </row>
    <row r="481" spans="1:35">
      <c r="A481" s="14"/>
      <c r="B481" s="20"/>
      <c r="C481" s="84" t="s">
        <v>2420</v>
      </c>
      <c r="D481" s="20" t="s">
        <v>79</v>
      </c>
      <c r="E481" s="20" t="s">
        <v>80</v>
      </c>
      <c r="F481" s="20" t="s">
        <v>2536</v>
      </c>
      <c r="G481" s="20" t="s">
        <v>169</v>
      </c>
      <c r="H481" s="20"/>
      <c r="I481" s="211">
        <v>24081</v>
      </c>
      <c r="J481" s="24">
        <v>1</v>
      </c>
      <c r="K481" s="24"/>
      <c r="L481" s="24">
        <v>1</v>
      </c>
      <c r="M481" s="24"/>
      <c r="N481" s="24"/>
      <c r="O481" s="24"/>
      <c r="P481" s="24"/>
      <c r="Q481" s="24"/>
      <c r="R481" s="24"/>
      <c r="S481" s="24"/>
      <c r="T481" s="24"/>
      <c r="U481" s="20" t="s">
        <v>221</v>
      </c>
      <c r="V481" s="20" t="s">
        <v>218</v>
      </c>
      <c r="W481" s="20" t="s">
        <v>279</v>
      </c>
      <c r="X481" s="20" t="s">
        <v>227</v>
      </c>
      <c r="Y481" s="20"/>
      <c r="Z481" s="20"/>
      <c r="AA481" s="20" t="s">
        <v>2527</v>
      </c>
      <c r="AB481" s="20" t="s">
        <v>1815</v>
      </c>
      <c r="AC481" s="24">
        <v>1</v>
      </c>
      <c r="AD481" s="24"/>
      <c r="AE481" s="24"/>
      <c r="AF481" s="24"/>
      <c r="AG481" s="24"/>
      <c r="AH481" s="20"/>
      <c r="AI481" s="42"/>
    </row>
    <row r="482" spans="1:35">
      <c r="A482" s="14"/>
      <c r="B482" s="20"/>
      <c r="C482" s="20"/>
      <c r="D482" s="20"/>
      <c r="E482" s="20"/>
      <c r="F482" s="20"/>
      <c r="G482" s="20"/>
      <c r="H482" s="20"/>
      <c r="I482" s="211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0"/>
      <c r="V482" s="20"/>
      <c r="W482" s="20"/>
      <c r="X482" s="20"/>
      <c r="Y482" s="20"/>
      <c r="Z482" s="20"/>
      <c r="AA482" s="20" t="s">
        <v>2528</v>
      </c>
      <c r="AB482" s="20" t="s">
        <v>2529</v>
      </c>
      <c r="AC482" s="24">
        <v>1</v>
      </c>
      <c r="AD482" s="24"/>
      <c r="AE482" s="24"/>
      <c r="AF482" s="24"/>
      <c r="AG482" s="24"/>
      <c r="AH482" s="20"/>
      <c r="AI482" s="42"/>
    </row>
    <row r="483" spans="1:35">
      <c r="A483" s="14"/>
      <c r="B483" s="20"/>
      <c r="C483" s="84" t="s">
        <v>2420</v>
      </c>
      <c r="D483" s="20" t="s">
        <v>79</v>
      </c>
      <c r="E483" s="20" t="s">
        <v>80</v>
      </c>
      <c r="F483" s="20" t="s">
        <v>614</v>
      </c>
      <c r="G483" s="20" t="s">
        <v>444</v>
      </c>
      <c r="H483" s="20" t="s">
        <v>742</v>
      </c>
      <c r="I483" s="211" t="s">
        <v>2539</v>
      </c>
      <c r="J483" s="24">
        <v>1</v>
      </c>
      <c r="K483" s="24"/>
      <c r="L483" s="24">
        <v>1</v>
      </c>
      <c r="M483" s="24"/>
      <c r="N483" s="24"/>
      <c r="O483" s="24"/>
      <c r="P483" s="24"/>
      <c r="Q483" s="24"/>
      <c r="R483" s="24"/>
      <c r="S483" s="24"/>
      <c r="T483" s="24"/>
      <c r="U483" s="20" t="s">
        <v>221</v>
      </c>
      <c r="V483" s="20" t="s">
        <v>218</v>
      </c>
      <c r="W483" s="20" t="s">
        <v>279</v>
      </c>
      <c r="X483" s="20" t="s">
        <v>227</v>
      </c>
      <c r="Y483" s="20"/>
      <c r="Z483" s="20"/>
      <c r="AA483" s="20" t="s">
        <v>2527</v>
      </c>
      <c r="AB483" s="20" t="s">
        <v>1815</v>
      </c>
      <c r="AC483" s="24">
        <v>1</v>
      </c>
      <c r="AD483" s="24"/>
      <c r="AE483" s="24"/>
      <c r="AF483" s="24"/>
      <c r="AG483" s="24"/>
      <c r="AH483" s="20"/>
      <c r="AI483" s="42"/>
    </row>
    <row r="484" spans="1:35">
      <c r="A484" s="14"/>
      <c r="B484" s="20"/>
      <c r="C484" s="20"/>
      <c r="D484" s="20"/>
      <c r="E484" s="20"/>
      <c r="F484" s="20"/>
      <c r="G484" s="20"/>
      <c r="H484" s="20"/>
      <c r="I484" s="211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0"/>
      <c r="V484" s="20"/>
      <c r="W484" s="20"/>
      <c r="X484" s="20"/>
      <c r="Y484" s="20"/>
      <c r="Z484" s="20"/>
      <c r="AA484" s="20" t="s">
        <v>2528</v>
      </c>
      <c r="AB484" s="20" t="s">
        <v>2529</v>
      </c>
      <c r="AC484" s="24">
        <v>1</v>
      </c>
      <c r="AD484" s="24"/>
      <c r="AE484" s="24"/>
      <c r="AF484" s="24"/>
      <c r="AG484" s="24"/>
      <c r="AH484" s="20"/>
      <c r="AI484" s="42"/>
    </row>
    <row r="485" spans="1:35">
      <c r="A485" s="14"/>
      <c r="B485" s="20"/>
      <c r="C485" s="84" t="s">
        <v>2420</v>
      </c>
      <c r="D485" s="20" t="s">
        <v>79</v>
      </c>
      <c r="E485" s="20" t="s">
        <v>80</v>
      </c>
      <c r="F485" s="20" t="s">
        <v>158</v>
      </c>
      <c r="G485" s="20" t="s">
        <v>159</v>
      </c>
      <c r="H485" s="20"/>
      <c r="I485" s="211" t="s">
        <v>2540</v>
      </c>
      <c r="J485" s="24">
        <v>1</v>
      </c>
      <c r="K485" s="24"/>
      <c r="L485" s="24">
        <v>1</v>
      </c>
      <c r="M485" s="24"/>
      <c r="N485" s="24"/>
      <c r="O485" s="24"/>
      <c r="P485" s="24"/>
      <c r="Q485" s="24"/>
      <c r="R485" s="24"/>
      <c r="S485" s="24"/>
      <c r="T485" s="24"/>
      <c r="U485" s="20" t="s">
        <v>221</v>
      </c>
      <c r="V485" s="20" t="s">
        <v>218</v>
      </c>
      <c r="W485" s="20" t="s">
        <v>279</v>
      </c>
      <c r="X485" s="20" t="s">
        <v>227</v>
      </c>
      <c r="Y485" s="20"/>
      <c r="Z485" s="20"/>
      <c r="AA485" s="20" t="s">
        <v>2527</v>
      </c>
      <c r="AB485" s="20" t="s">
        <v>1815</v>
      </c>
      <c r="AC485" s="24">
        <v>1</v>
      </c>
      <c r="AD485" s="24"/>
      <c r="AE485" s="24"/>
      <c r="AF485" s="24"/>
      <c r="AG485" s="24"/>
      <c r="AH485" s="20"/>
      <c r="AI485" s="42"/>
    </row>
    <row r="486" spans="1:35">
      <c r="A486" s="14"/>
      <c r="B486" s="20"/>
      <c r="C486" s="20"/>
      <c r="D486" s="20"/>
      <c r="E486" s="20"/>
      <c r="F486" s="20"/>
      <c r="G486" s="20"/>
      <c r="H486" s="20"/>
      <c r="I486" s="211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0"/>
      <c r="V486" s="20"/>
      <c r="W486" s="20"/>
      <c r="X486" s="20"/>
      <c r="Y486" s="20"/>
      <c r="Z486" s="20"/>
      <c r="AA486" s="20" t="s">
        <v>2528</v>
      </c>
      <c r="AB486" s="20" t="s">
        <v>2529</v>
      </c>
      <c r="AC486" s="24">
        <v>1</v>
      </c>
      <c r="AD486" s="24"/>
      <c r="AE486" s="24"/>
      <c r="AF486" s="24"/>
      <c r="AG486" s="24"/>
      <c r="AH486" s="20"/>
      <c r="AI486" s="42"/>
    </row>
    <row r="487" spans="1:35">
      <c r="A487" s="14"/>
      <c r="B487" s="20"/>
      <c r="C487" s="84" t="s">
        <v>2420</v>
      </c>
      <c r="D487" s="20" t="s">
        <v>79</v>
      </c>
      <c r="E487" s="20" t="s">
        <v>80</v>
      </c>
      <c r="F487" s="20" t="s">
        <v>1331</v>
      </c>
      <c r="G487" s="20" t="s">
        <v>1332</v>
      </c>
      <c r="H487" s="20"/>
      <c r="I487" s="211" t="s">
        <v>2541</v>
      </c>
      <c r="J487" s="24">
        <v>1</v>
      </c>
      <c r="K487" s="24"/>
      <c r="L487" s="24">
        <v>1</v>
      </c>
      <c r="M487" s="24"/>
      <c r="N487" s="24"/>
      <c r="O487" s="24"/>
      <c r="P487" s="24"/>
      <c r="Q487" s="24"/>
      <c r="R487" s="24"/>
      <c r="S487" s="24"/>
      <c r="T487" s="24"/>
      <c r="U487" s="20" t="s">
        <v>221</v>
      </c>
      <c r="V487" s="20" t="s">
        <v>218</v>
      </c>
      <c r="W487" s="20" t="s">
        <v>279</v>
      </c>
      <c r="X487" s="20" t="s">
        <v>227</v>
      </c>
      <c r="Y487" s="20"/>
      <c r="Z487" s="20"/>
      <c r="AA487" s="20" t="s">
        <v>2527</v>
      </c>
      <c r="AB487" s="20" t="s">
        <v>1815</v>
      </c>
      <c r="AC487" s="24">
        <v>1</v>
      </c>
      <c r="AD487" s="24"/>
      <c r="AE487" s="24"/>
      <c r="AF487" s="24"/>
      <c r="AG487" s="24"/>
      <c r="AH487" s="20"/>
      <c r="AI487" s="42"/>
    </row>
    <row r="488" spans="1:35">
      <c r="A488" s="14"/>
      <c r="B488" s="20"/>
      <c r="C488" s="20"/>
      <c r="D488" s="20"/>
      <c r="E488" s="20"/>
      <c r="F488" s="20"/>
      <c r="G488" s="20"/>
      <c r="H488" s="20"/>
      <c r="I488" s="211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0"/>
      <c r="V488" s="20"/>
      <c r="W488" s="20"/>
      <c r="X488" s="20"/>
      <c r="Y488" s="20"/>
      <c r="Z488" s="20"/>
      <c r="AA488" s="20" t="s">
        <v>2528</v>
      </c>
      <c r="AB488" s="20" t="s">
        <v>2529</v>
      </c>
      <c r="AC488" s="24">
        <v>1</v>
      </c>
      <c r="AD488" s="24"/>
      <c r="AE488" s="24"/>
      <c r="AF488" s="24"/>
      <c r="AG488" s="24"/>
      <c r="AH488" s="20"/>
      <c r="AI488" s="42"/>
    </row>
    <row r="489" spans="1:35">
      <c r="A489" s="14"/>
      <c r="B489" s="20"/>
      <c r="C489" s="84" t="s">
        <v>2420</v>
      </c>
      <c r="D489" s="20" t="s">
        <v>79</v>
      </c>
      <c r="E489" s="20" t="s">
        <v>80</v>
      </c>
      <c r="F489" s="20" t="s">
        <v>1641</v>
      </c>
      <c r="G489" s="20" t="s">
        <v>2542</v>
      </c>
      <c r="H489" s="20" t="s">
        <v>136</v>
      </c>
      <c r="I489" s="211">
        <v>21984</v>
      </c>
      <c r="J489" s="24">
        <v>1</v>
      </c>
      <c r="K489" s="24"/>
      <c r="L489" s="24">
        <v>1</v>
      </c>
      <c r="M489" s="24"/>
      <c r="N489" s="24"/>
      <c r="O489" s="24"/>
      <c r="P489" s="24"/>
      <c r="Q489" s="24"/>
      <c r="R489" s="24"/>
      <c r="S489" s="24"/>
      <c r="T489" s="24"/>
      <c r="U489" s="20" t="s">
        <v>221</v>
      </c>
      <c r="V489" s="20" t="s">
        <v>218</v>
      </c>
      <c r="W489" s="20" t="s">
        <v>279</v>
      </c>
      <c r="X489" s="20" t="s">
        <v>227</v>
      </c>
      <c r="Y489" s="20"/>
      <c r="Z489" s="20"/>
      <c r="AA489" s="20" t="s">
        <v>2527</v>
      </c>
      <c r="AB489" s="20" t="s">
        <v>1815</v>
      </c>
      <c r="AC489" s="24">
        <v>1</v>
      </c>
      <c r="AD489" s="24"/>
      <c r="AE489" s="24"/>
      <c r="AF489" s="24"/>
      <c r="AG489" s="24"/>
      <c r="AH489" s="20"/>
      <c r="AI489" s="42"/>
    </row>
    <row r="490" spans="1:35">
      <c r="A490" s="14"/>
      <c r="B490" s="20"/>
      <c r="C490" s="20"/>
      <c r="D490" s="20"/>
      <c r="E490" s="20"/>
      <c r="F490" s="20"/>
      <c r="G490" s="20"/>
      <c r="H490" s="20"/>
      <c r="I490" s="211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0"/>
      <c r="V490" s="20"/>
      <c r="W490" s="20"/>
      <c r="X490" s="20"/>
      <c r="Y490" s="20"/>
      <c r="Z490" s="20"/>
      <c r="AA490" s="20" t="s">
        <v>2528</v>
      </c>
      <c r="AB490" s="20" t="s">
        <v>2529</v>
      </c>
      <c r="AC490" s="24">
        <v>1</v>
      </c>
      <c r="AD490" s="24"/>
      <c r="AE490" s="24"/>
      <c r="AF490" s="24"/>
      <c r="AG490" s="24"/>
      <c r="AH490" s="20"/>
      <c r="AI490" s="42"/>
    </row>
    <row r="491" spans="1:35">
      <c r="A491" s="14"/>
      <c r="B491" s="20"/>
      <c r="C491" s="84" t="s">
        <v>2420</v>
      </c>
      <c r="D491" s="20" t="s">
        <v>79</v>
      </c>
      <c r="E491" s="20" t="s">
        <v>80</v>
      </c>
      <c r="F491" s="20" t="s">
        <v>2543</v>
      </c>
      <c r="G491" s="20" t="s">
        <v>1158</v>
      </c>
      <c r="H491" s="20" t="s">
        <v>742</v>
      </c>
      <c r="I491" s="211" t="s">
        <v>2545</v>
      </c>
      <c r="J491" s="24">
        <v>1</v>
      </c>
      <c r="K491" s="24"/>
      <c r="L491" s="24">
        <v>1</v>
      </c>
      <c r="M491" s="24"/>
      <c r="N491" s="24"/>
      <c r="O491" s="24"/>
      <c r="P491" s="24"/>
      <c r="Q491" s="24"/>
      <c r="R491" s="24"/>
      <c r="S491" s="24"/>
      <c r="T491" s="24"/>
      <c r="U491" s="20" t="s">
        <v>221</v>
      </c>
      <c r="V491" s="20" t="s">
        <v>218</v>
      </c>
      <c r="W491" s="20" t="s">
        <v>279</v>
      </c>
      <c r="X491" s="20" t="s">
        <v>227</v>
      </c>
      <c r="Y491" s="20"/>
      <c r="Z491" s="20"/>
      <c r="AA491" s="20" t="s">
        <v>2527</v>
      </c>
      <c r="AB491" s="20" t="s">
        <v>1815</v>
      </c>
      <c r="AC491" s="24">
        <v>1</v>
      </c>
      <c r="AD491" s="24"/>
      <c r="AE491" s="24"/>
      <c r="AF491" s="24"/>
      <c r="AG491" s="24"/>
      <c r="AH491" s="20"/>
      <c r="AI491" s="42"/>
    </row>
    <row r="492" spans="1:35">
      <c r="A492" s="14"/>
      <c r="B492" s="20"/>
      <c r="C492" s="20"/>
      <c r="D492" s="20"/>
      <c r="E492" s="20"/>
      <c r="F492" s="20"/>
      <c r="G492" s="20"/>
      <c r="H492" s="20"/>
      <c r="I492" s="211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0"/>
      <c r="V492" s="20"/>
      <c r="W492" s="20"/>
      <c r="X492" s="20"/>
      <c r="Y492" s="20"/>
      <c r="Z492" s="20"/>
      <c r="AA492" s="20" t="s">
        <v>2528</v>
      </c>
      <c r="AB492" s="20" t="s">
        <v>2529</v>
      </c>
      <c r="AC492" s="24">
        <v>1</v>
      </c>
      <c r="AD492" s="24"/>
      <c r="AE492" s="24"/>
      <c r="AF492" s="24"/>
      <c r="AG492" s="24"/>
      <c r="AH492" s="20"/>
      <c r="AI492" s="42"/>
    </row>
    <row r="493" spans="1:35">
      <c r="A493" s="14"/>
      <c r="B493" s="20"/>
      <c r="C493" s="84" t="s">
        <v>2420</v>
      </c>
      <c r="D493" s="20" t="s">
        <v>79</v>
      </c>
      <c r="E493" s="20" t="s">
        <v>80</v>
      </c>
      <c r="F493" s="20" t="s">
        <v>155</v>
      </c>
      <c r="G493" s="20" t="s">
        <v>456</v>
      </c>
      <c r="H493" s="20"/>
      <c r="I493" s="211">
        <v>26423</v>
      </c>
      <c r="J493" s="24">
        <v>1</v>
      </c>
      <c r="K493" s="24"/>
      <c r="L493" s="24">
        <v>1</v>
      </c>
      <c r="M493" s="24"/>
      <c r="N493" s="24"/>
      <c r="O493" s="24"/>
      <c r="P493" s="24"/>
      <c r="Q493" s="24"/>
      <c r="R493" s="24"/>
      <c r="S493" s="24"/>
      <c r="T493" s="24"/>
      <c r="U493" s="20" t="s">
        <v>221</v>
      </c>
      <c r="V493" s="20" t="s">
        <v>218</v>
      </c>
      <c r="W493" s="20" t="s">
        <v>279</v>
      </c>
      <c r="X493" s="20" t="s">
        <v>227</v>
      </c>
      <c r="Y493" s="20"/>
      <c r="Z493" s="20"/>
      <c r="AA493" s="20" t="s">
        <v>2527</v>
      </c>
      <c r="AB493" s="20" t="s">
        <v>1815</v>
      </c>
      <c r="AC493" s="24">
        <v>1</v>
      </c>
      <c r="AD493" s="24"/>
      <c r="AE493" s="24"/>
      <c r="AF493" s="24"/>
      <c r="AG493" s="24"/>
      <c r="AH493" s="20"/>
      <c r="AI493" s="42"/>
    </row>
    <row r="494" spans="1:35">
      <c r="A494" s="14"/>
      <c r="B494" s="20"/>
      <c r="C494" s="20"/>
      <c r="D494" s="20"/>
      <c r="E494" s="20"/>
      <c r="F494" s="20"/>
      <c r="G494" s="20"/>
      <c r="H494" s="20"/>
      <c r="I494" s="211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0"/>
      <c r="V494" s="20"/>
      <c r="W494" s="20"/>
      <c r="X494" s="20"/>
      <c r="Y494" s="20"/>
      <c r="Z494" s="20"/>
      <c r="AA494" s="20" t="s">
        <v>2528</v>
      </c>
      <c r="AB494" s="20" t="s">
        <v>2529</v>
      </c>
      <c r="AC494" s="24">
        <v>1</v>
      </c>
      <c r="AD494" s="24"/>
      <c r="AE494" s="24"/>
      <c r="AF494" s="24"/>
      <c r="AG494" s="24"/>
      <c r="AH494" s="20"/>
      <c r="AI494" s="42"/>
    </row>
    <row r="495" spans="1:35">
      <c r="A495" s="14"/>
      <c r="B495" s="20"/>
      <c r="C495" s="84" t="s">
        <v>2420</v>
      </c>
      <c r="D495" s="20" t="s">
        <v>79</v>
      </c>
      <c r="E495" s="20" t="s">
        <v>80</v>
      </c>
      <c r="F495" s="20" t="s">
        <v>2544</v>
      </c>
      <c r="G495" s="20" t="s">
        <v>159</v>
      </c>
      <c r="H495" s="20" t="s">
        <v>160</v>
      </c>
      <c r="I495" s="211" t="s">
        <v>2546</v>
      </c>
      <c r="J495" s="24">
        <v>1</v>
      </c>
      <c r="K495" s="24"/>
      <c r="L495" s="24">
        <v>1</v>
      </c>
      <c r="M495" s="24"/>
      <c r="N495" s="24"/>
      <c r="O495" s="24"/>
      <c r="P495" s="24"/>
      <c r="Q495" s="24"/>
      <c r="R495" s="24"/>
      <c r="S495" s="24"/>
      <c r="T495" s="24"/>
      <c r="U495" s="20" t="s">
        <v>221</v>
      </c>
      <c r="V495" s="20" t="s">
        <v>218</v>
      </c>
      <c r="W495" s="20" t="s">
        <v>279</v>
      </c>
      <c r="X495" s="20" t="s">
        <v>227</v>
      </c>
      <c r="Y495" s="20"/>
      <c r="Z495" s="20"/>
      <c r="AA495" s="20" t="s">
        <v>2527</v>
      </c>
      <c r="AB495" s="20" t="s">
        <v>1815</v>
      </c>
      <c r="AC495" s="24">
        <v>1</v>
      </c>
      <c r="AD495" s="24"/>
      <c r="AE495" s="24"/>
      <c r="AF495" s="24"/>
      <c r="AG495" s="24"/>
      <c r="AH495" s="20"/>
      <c r="AI495" s="42"/>
    </row>
    <row r="496" spans="1:35">
      <c r="A496" s="14"/>
      <c r="B496" s="20"/>
      <c r="C496" s="20"/>
      <c r="D496" s="20"/>
      <c r="E496" s="20"/>
      <c r="F496" s="20"/>
      <c r="G496" s="20"/>
      <c r="H496" s="20"/>
      <c r="I496" s="211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0"/>
      <c r="V496" s="20"/>
      <c r="W496" s="20"/>
      <c r="X496" s="20"/>
      <c r="Y496" s="20"/>
      <c r="Z496" s="20"/>
      <c r="AA496" s="20" t="s">
        <v>2528</v>
      </c>
      <c r="AB496" s="20" t="s">
        <v>2529</v>
      </c>
      <c r="AC496" s="24">
        <v>1</v>
      </c>
      <c r="AD496" s="24"/>
      <c r="AE496" s="24"/>
      <c r="AF496" s="24"/>
      <c r="AG496" s="24"/>
      <c r="AH496" s="20"/>
      <c r="AI496" s="42"/>
    </row>
    <row r="497" spans="1:35">
      <c r="A497" s="14"/>
      <c r="B497" s="20"/>
      <c r="C497" s="84" t="s">
        <v>2420</v>
      </c>
      <c r="D497" s="20" t="s">
        <v>79</v>
      </c>
      <c r="E497" s="20" t="s">
        <v>80</v>
      </c>
      <c r="F497" s="20" t="s">
        <v>2547</v>
      </c>
      <c r="G497" s="20" t="s">
        <v>2498</v>
      </c>
      <c r="H497" s="20" t="s">
        <v>421</v>
      </c>
      <c r="I497" s="211" t="s">
        <v>2548</v>
      </c>
      <c r="J497" s="24">
        <v>1</v>
      </c>
      <c r="K497" s="24"/>
      <c r="L497" s="24">
        <v>1</v>
      </c>
      <c r="M497" s="24"/>
      <c r="N497" s="24"/>
      <c r="O497" s="24"/>
      <c r="P497" s="24"/>
      <c r="Q497" s="24"/>
      <c r="R497" s="24"/>
      <c r="S497" s="24"/>
      <c r="T497" s="24"/>
      <c r="U497" s="20" t="s">
        <v>221</v>
      </c>
      <c r="V497" s="20" t="s">
        <v>218</v>
      </c>
      <c r="W497" s="20" t="s">
        <v>279</v>
      </c>
      <c r="X497" s="20" t="s">
        <v>227</v>
      </c>
      <c r="Y497" s="20"/>
      <c r="Z497" s="20"/>
      <c r="AA497" s="20" t="s">
        <v>2527</v>
      </c>
      <c r="AB497" s="20" t="s">
        <v>1815</v>
      </c>
      <c r="AC497" s="24">
        <v>1</v>
      </c>
      <c r="AD497" s="24"/>
      <c r="AE497" s="24"/>
      <c r="AF497" s="24"/>
      <c r="AG497" s="24"/>
      <c r="AH497" s="20"/>
      <c r="AI497" s="42"/>
    </row>
    <row r="498" spans="1:35">
      <c r="A498" s="14"/>
      <c r="B498" s="20"/>
      <c r="C498" s="20"/>
      <c r="D498" s="20"/>
      <c r="E498" s="20"/>
      <c r="F498" s="20"/>
      <c r="G498" s="20"/>
      <c r="H498" s="20"/>
      <c r="I498" s="211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0"/>
      <c r="V498" s="20"/>
      <c r="W498" s="20"/>
      <c r="X498" s="20"/>
      <c r="Y498" s="20"/>
      <c r="Z498" s="20"/>
      <c r="AA498" s="20" t="s">
        <v>2528</v>
      </c>
      <c r="AB498" s="20" t="s">
        <v>2529</v>
      </c>
      <c r="AC498" s="24">
        <v>1</v>
      </c>
      <c r="AD498" s="24"/>
      <c r="AE498" s="24"/>
      <c r="AF498" s="24"/>
      <c r="AG498" s="24"/>
      <c r="AH498" s="20"/>
      <c r="AI498" s="42"/>
    </row>
    <row r="499" spans="1:35">
      <c r="A499" s="14"/>
      <c r="B499" s="20"/>
      <c r="C499" s="84" t="s">
        <v>2420</v>
      </c>
      <c r="D499" s="20" t="s">
        <v>79</v>
      </c>
      <c r="E499" s="20" t="s">
        <v>80</v>
      </c>
      <c r="F499" s="20" t="s">
        <v>2547</v>
      </c>
      <c r="G499" s="20" t="s">
        <v>2549</v>
      </c>
      <c r="H499" s="20" t="s">
        <v>126</v>
      </c>
      <c r="I499" s="211">
        <v>26153</v>
      </c>
      <c r="J499" s="24">
        <v>1</v>
      </c>
      <c r="K499" s="24"/>
      <c r="L499" s="24">
        <v>1</v>
      </c>
      <c r="M499" s="24"/>
      <c r="N499" s="24"/>
      <c r="O499" s="24"/>
      <c r="P499" s="24"/>
      <c r="Q499" s="24"/>
      <c r="R499" s="24"/>
      <c r="S499" s="24"/>
      <c r="T499" s="24"/>
      <c r="U499" s="20" t="s">
        <v>221</v>
      </c>
      <c r="V499" s="20" t="s">
        <v>218</v>
      </c>
      <c r="W499" s="20" t="s">
        <v>279</v>
      </c>
      <c r="X499" s="20" t="s">
        <v>227</v>
      </c>
      <c r="Y499" s="20"/>
      <c r="Z499" s="20"/>
      <c r="AA499" s="20" t="s">
        <v>2527</v>
      </c>
      <c r="AB499" s="20" t="s">
        <v>1815</v>
      </c>
      <c r="AC499" s="24">
        <v>1</v>
      </c>
      <c r="AD499" s="24"/>
      <c r="AE499" s="24"/>
      <c r="AF499" s="24"/>
      <c r="AG499" s="24"/>
      <c r="AH499" s="20"/>
      <c r="AI499" s="42"/>
    </row>
    <row r="500" spans="1:35">
      <c r="A500" s="14"/>
      <c r="B500" s="20"/>
      <c r="C500" s="20"/>
      <c r="D500" s="20"/>
      <c r="E500" s="20"/>
      <c r="F500" s="20"/>
      <c r="G500" s="20"/>
      <c r="H500" s="20"/>
      <c r="I500" s="211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0"/>
      <c r="V500" s="20"/>
      <c r="W500" s="20"/>
      <c r="X500" s="20"/>
      <c r="Y500" s="20"/>
      <c r="Z500" s="20"/>
      <c r="AA500" s="20" t="s">
        <v>2241</v>
      </c>
      <c r="AB500" s="20" t="s">
        <v>2529</v>
      </c>
      <c r="AC500" s="24">
        <v>1</v>
      </c>
      <c r="AD500" s="24"/>
      <c r="AE500" s="24"/>
      <c r="AF500" s="24"/>
      <c r="AG500" s="24"/>
      <c r="AH500" s="20"/>
      <c r="AI500" s="42"/>
    </row>
    <row r="501" spans="1:35">
      <c r="A501" s="14"/>
      <c r="B501" s="20"/>
      <c r="C501" s="84" t="s">
        <v>2420</v>
      </c>
      <c r="D501" s="20" t="s">
        <v>79</v>
      </c>
      <c r="E501" s="20" t="s">
        <v>80</v>
      </c>
      <c r="F501" s="20" t="s">
        <v>191</v>
      </c>
      <c r="G501" s="20" t="s">
        <v>2550</v>
      </c>
      <c r="H501" s="20" t="s">
        <v>115</v>
      </c>
      <c r="I501" s="211">
        <v>29281</v>
      </c>
      <c r="J501" s="24">
        <v>1</v>
      </c>
      <c r="K501" s="24"/>
      <c r="L501" s="24">
        <v>1</v>
      </c>
      <c r="M501" s="24"/>
      <c r="N501" s="24"/>
      <c r="O501" s="24"/>
      <c r="P501" s="24"/>
      <c r="Q501" s="24"/>
      <c r="R501" s="24"/>
      <c r="S501" s="24"/>
      <c r="T501" s="24"/>
      <c r="U501" s="20" t="s">
        <v>221</v>
      </c>
      <c r="V501" s="20" t="s">
        <v>218</v>
      </c>
      <c r="W501" s="20" t="s">
        <v>279</v>
      </c>
      <c r="X501" s="20" t="s">
        <v>227</v>
      </c>
      <c r="Y501" s="20"/>
      <c r="Z501" s="20"/>
      <c r="AA501" s="20" t="s">
        <v>2527</v>
      </c>
      <c r="AB501" s="20" t="s">
        <v>1815</v>
      </c>
      <c r="AC501" s="24">
        <v>1</v>
      </c>
      <c r="AD501" s="24"/>
      <c r="AE501" s="24"/>
      <c r="AF501" s="24"/>
      <c r="AG501" s="24"/>
      <c r="AH501" s="20"/>
      <c r="AI501" s="42"/>
    </row>
    <row r="502" spans="1:35">
      <c r="A502" s="14"/>
      <c r="B502" s="20"/>
      <c r="C502" s="20"/>
      <c r="D502" s="20"/>
      <c r="E502" s="20"/>
      <c r="F502" s="20"/>
      <c r="G502" s="20"/>
      <c r="H502" s="20"/>
      <c r="I502" s="211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0"/>
      <c r="V502" s="20"/>
      <c r="W502" s="20"/>
      <c r="X502" s="20"/>
      <c r="Y502" s="20"/>
      <c r="Z502" s="20"/>
      <c r="AA502" s="20" t="s">
        <v>2241</v>
      </c>
      <c r="AB502" s="20" t="s">
        <v>2529</v>
      </c>
      <c r="AC502" s="24">
        <v>1</v>
      </c>
      <c r="AD502" s="24"/>
      <c r="AE502" s="24"/>
      <c r="AF502" s="24"/>
      <c r="AG502" s="24"/>
      <c r="AH502" s="20"/>
      <c r="AI502" s="42"/>
    </row>
    <row r="503" spans="1:35">
      <c r="A503" s="14"/>
      <c r="B503" s="20"/>
      <c r="C503" s="84" t="s">
        <v>2420</v>
      </c>
      <c r="D503" s="20" t="s">
        <v>79</v>
      </c>
      <c r="E503" s="20" t="s">
        <v>80</v>
      </c>
      <c r="F503" s="20" t="s">
        <v>2551</v>
      </c>
      <c r="G503" s="20" t="s">
        <v>2552</v>
      </c>
      <c r="H503" s="20" t="s">
        <v>133</v>
      </c>
      <c r="I503" s="211">
        <v>28894</v>
      </c>
      <c r="J503" s="24">
        <v>1</v>
      </c>
      <c r="K503" s="24"/>
      <c r="L503" s="24">
        <v>1</v>
      </c>
      <c r="M503" s="24"/>
      <c r="N503" s="24"/>
      <c r="O503" s="24"/>
      <c r="P503" s="24"/>
      <c r="Q503" s="24"/>
      <c r="R503" s="24"/>
      <c r="S503" s="24"/>
      <c r="T503" s="24"/>
      <c r="U503" s="20" t="s">
        <v>221</v>
      </c>
      <c r="V503" s="20" t="s">
        <v>218</v>
      </c>
      <c r="W503" s="20" t="s">
        <v>279</v>
      </c>
      <c r="X503" s="20" t="s">
        <v>227</v>
      </c>
      <c r="Y503" s="20"/>
      <c r="Z503" s="20"/>
      <c r="AA503" s="20" t="s">
        <v>2527</v>
      </c>
      <c r="AB503" s="20" t="s">
        <v>1815</v>
      </c>
      <c r="AC503" s="24">
        <v>1</v>
      </c>
      <c r="AD503" s="24"/>
      <c r="AE503" s="24"/>
      <c r="AF503" s="24"/>
      <c r="AG503" s="24"/>
      <c r="AH503" s="20"/>
      <c r="AI503" s="42"/>
    </row>
    <row r="504" spans="1:35">
      <c r="A504" s="14"/>
      <c r="B504" s="20"/>
      <c r="C504" s="20"/>
      <c r="D504" s="20"/>
      <c r="E504" s="20"/>
      <c r="F504" s="20"/>
      <c r="G504" s="20"/>
      <c r="H504" s="20"/>
      <c r="I504" s="211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0"/>
      <c r="V504" s="20"/>
      <c r="W504" s="20"/>
      <c r="X504" s="20"/>
      <c r="Y504" s="20"/>
      <c r="Z504" s="20"/>
      <c r="AA504" s="20" t="s">
        <v>2241</v>
      </c>
      <c r="AB504" s="20" t="s">
        <v>2529</v>
      </c>
      <c r="AC504" s="24">
        <v>1</v>
      </c>
      <c r="AD504" s="24"/>
      <c r="AE504" s="24"/>
      <c r="AF504" s="24"/>
      <c r="AG504" s="24"/>
      <c r="AH504" s="20"/>
      <c r="AI504" s="42"/>
    </row>
    <row r="505" spans="1:35">
      <c r="A505" s="14"/>
      <c r="B505" s="20"/>
      <c r="C505" s="84" t="s">
        <v>2420</v>
      </c>
      <c r="D505" s="20" t="s">
        <v>79</v>
      </c>
      <c r="E505" s="20" t="s">
        <v>80</v>
      </c>
      <c r="F505" s="20" t="s">
        <v>2553</v>
      </c>
      <c r="G505" s="20" t="s">
        <v>1231</v>
      </c>
      <c r="H505" s="20"/>
      <c r="I505" s="211" t="s">
        <v>2554</v>
      </c>
      <c r="J505" s="24">
        <v>1</v>
      </c>
      <c r="K505" s="24"/>
      <c r="L505" s="24">
        <v>1</v>
      </c>
      <c r="M505" s="24"/>
      <c r="N505" s="24"/>
      <c r="O505" s="24"/>
      <c r="P505" s="24"/>
      <c r="Q505" s="24"/>
      <c r="R505" s="24"/>
      <c r="S505" s="24"/>
      <c r="T505" s="24"/>
      <c r="U505" s="20" t="s">
        <v>221</v>
      </c>
      <c r="V505" s="20" t="s">
        <v>218</v>
      </c>
      <c r="W505" s="20" t="s">
        <v>279</v>
      </c>
      <c r="X505" s="20" t="s">
        <v>227</v>
      </c>
      <c r="Y505" s="20"/>
      <c r="Z505" s="20"/>
      <c r="AA505" s="20" t="s">
        <v>2527</v>
      </c>
      <c r="AB505" s="20" t="s">
        <v>1815</v>
      </c>
      <c r="AC505" s="24">
        <v>1</v>
      </c>
      <c r="AD505" s="24"/>
      <c r="AE505" s="24"/>
      <c r="AF505" s="24"/>
      <c r="AG505" s="24"/>
      <c r="AH505" s="20"/>
      <c r="AI505" s="42"/>
    </row>
    <row r="506" spans="1:35">
      <c r="A506" s="14"/>
      <c r="B506" s="20"/>
      <c r="C506" s="20"/>
      <c r="D506" s="20"/>
      <c r="E506" s="20"/>
      <c r="F506" s="20"/>
      <c r="G506" s="20"/>
      <c r="H506" s="20"/>
      <c r="I506" s="211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0"/>
      <c r="V506" s="20"/>
      <c r="W506" s="20"/>
      <c r="X506" s="20"/>
      <c r="Y506" s="20"/>
      <c r="Z506" s="20"/>
      <c r="AA506" s="20" t="s">
        <v>2241</v>
      </c>
      <c r="AB506" s="20" t="s">
        <v>2529</v>
      </c>
      <c r="AC506" s="24">
        <v>1</v>
      </c>
      <c r="AD506" s="24"/>
      <c r="AE506" s="24"/>
      <c r="AF506" s="24"/>
      <c r="AG506" s="24"/>
      <c r="AH506" s="20"/>
      <c r="AI506" s="42"/>
    </row>
    <row r="507" spans="1:35">
      <c r="A507" s="14"/>
      <c r="B507" s="20"/>
      <c r="C507" s="84" t="s">
        <v>2420</v>
      </c>
      <c r="D507" s="20" t="s">
        <v>79</v>
      </c>
      <c r="E507" s="20" t="s">
        <v>80</v>
      </c>
      <c r="F507" s="20" t="s">
        <v>174</v>
      </c>
      <c r="G507" s="20" t="s">
        <v>118</v>
      </c>
      <c r="H507" s="20"/>
      <c r="I507" s="211" t="s">
        <v>2555</v>
      </c>
      <c r="J507" s="24">
        <v>1</v>
      </c>
      <c r="K507" s="24"/>
      <c r="L507" s="24">
        <v>1</v>
      </c>
      <c r="M507" s="24"/>
      <c r="N507" s="24"/>
      <c r="O507" s="24"/>
      <c r="P507" s="24"/>
      <c r="Q507" s="24"/>
      <c r="R507" s="24"/>
      <c r="S507" s="24"/>
      <c r="T507" s="24"/>
      <c r="U507" s="20" t="s">
        <v>221</v>
      </c>
      <c r="V507" s="20" t="s">
        <v>218</v>
      </c>
      <c r="W507" s="20" t="s">
        <v>279</v>
      </c>
      <c r="X507" s="20" t="s">
        <v>227</v>
      </c>
      <c r="Y507" s="20"/>
      <c r="Z507" s="20"/>
      <c r="AA507" s="20" t="s">
        <v>2527</v>
      </c>
      <c r="AB507" s="20" t="s">
        <v>1815</v>
      </c>
      <c r="AC507" s="24">
        <v>1</v>
      </c>
      <c r="AD507" s="24"/>
      <c r="AE507" s="24"/>
      <c r="AF507" s="24"/>
      <c r="AG507" s="24"/>
      <c r="AH507" s="20"/>
      <c r="AI507" s="42"/>
    </row>
    <row r="508" spans="1:35">
      <c r="A508" s="14"/>
      <c r="B508" s="20"/>
      <c r="C508" s="20"/>
      <c r="D508" s="20"/>
      <c r="E508" s="20"/>
      <c r="F508" s="20"/>
      <c r="G508" s="20"/>
      <c r="H508" s="20"/>
      <c r="I508" s="211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0"/>
      <c r="V508" s="20"/>
      <c r="W508" s="20"/>
      <c r="X508" s="20"/>
      <c r="Y508" s="20"/>
      <c r="Z508" s="20"/>
      <c r="AA508" s="20" t="s">
        <v>2241</v>
      </c>
      <c r="AB508" s="20" t="s">
        <v>2529</v>
      </c>
      <c r="AC508" s="24">
        <v>1</v>
      </c>
      <c r="AD508" s="24"/>
      <c r="AE508" s="24"/>
      <c r="AF508" s="24"/>
      <c r="AG508" s="24"/>
      <c r="AH508" s="20"/>
      <c r="AI508" s="42"/>
    </row>
    <row r="509" spans="1:35">
      <c r="A509" s="14"/>
      <c r="B509" s="20"/>
      <c r="C509" s="84" t="s">
        <v>2420</v>
      </c>
      <c r="D509" s="20" t="s">
        <v>79</v>
      </c>
      <c r="E509" s="20" t="s">
        <v>80</v>
      </c>
      <c r="F509" s="20" t="s">
        <v>174</v>
      </c>
      <c r="G509" s="20" t="s">
        <v>745</v>
      </c>
      <c r="H509" s="20"/>
      <c r="I509" s="211">
        <v>27613</v>
      </c>
      <c r="J509" s="24">
        <v>1</v>
      </c>
      <c r="K509" s="24"/>
      <c r="L509" s="24">
        <v>1</v>
      </c>
      <c r="M509" s="24"/>
      <c r="N509" s="24"/>
      <c r="O509" s="24"/>
      <c r="P509" s="24"/>
      <c r="Q509" s="24"/>
      <c r="R509" s="24"/>
      <c r="S509" s="24"/>
      <c r="T509" s="24"/>
      <c r="U509" s="20" t="s">
        <v>221</v>
      </c>
      <c r="V509" s="20" t="s">
        <v>218</v>
      </c>
      <c r="W509" s="20" t="s">
        <v>279</v>
      </c>
      <c r="X509" s="20" t="s">
        <v>227</v>
      </c>
      <c r="Y509" s="20"/>
      <c r="Z509" s="20"/>
      <c r="AA509" s="20" t="s">
        <v>2527</v>
      </c>
      <c r="AB509" s="20" t="s">
        <v>1815</v>
      </c>
      <c r="AC509" s="24">
        <v>1</v>
      </c>
      <c r="AD509" s="24"/>
      <c r="AE509" s="24"/>
      <c r="AF509" s="24"/>
      <c r="AG509" s="24"/>
      <c r="AH509" s="20"/>
      <c r="AI509" s="42"/>
    </row>
    <row r="510" spans="1:35">
      <c r="A510" s="14"/>
      <c r="B510" s="20"/>
      <c r="C510" s="20"/>
      <c r="D510" s="20"/>
      <c r="E510" s="20"/>
      <c r="F510" s="20"/>
      <c r="G510" s="20"/>
      <c r="H510" s="20"/>
      <c r="I510" s="211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0"/>
      <c r="V510" s="20"/>
      <c r="W510" s="20"/>
      <c r="X510" s="20"/>
      <c r="Y510" s="20"/>
      <c r="Z510" s="20"/>
      <c r="AA510" s="20" t="s">
        <v>2241</v>
      </c>
      <c r="AB510" s="20" t="s">
        <v>2529</v>
      </c>
      <c r="AC510" s="24">
        <v>1</v>
      </c>
      <c r="AD510" s="24"/>
      <c r="AE510" s="24"/>
      <c r="AF510" s="24"/>
      <c r="AG510" s="24"/>
      <c r="AH510" s="20"/>
      <c r="AI510" s="42"/>
    </row>
    <row r="511" spans="1:35">
      <c r="A511" s="14"/>
      <c r="B511" s="20"/>
      <c r="C511" s="84" t="s">
        <v>2420</v>
      </c>
      <c r="D511" s="20" t="s">
        <v>79</v>
      </c>
      <c r="E511" s="20" t="s">
        <v>80</v>
      </c>
      <c r="F511" s="20" t="s">
        <v>171</v>
      </c>
      <c r="G511" s="20" t="s">
        <v>172</v>
      </c>
      <c r="H511" s="20"/>
      <c r="I511" s="211" t="s">
        <v>2556</v>
      </c>
      <c r="J511" s="24">
        <v>1</v>
      </c>
      <c r="K511" s="24"/>
      <c r="L511" s="24">
        <v>1</v>
      </c>
      <c r="M511" s="24"/>
      <c r="N511" s="24"/>
      <c r="O511" s="24"/>
      <c r="P511" s="24"/>
      <c r="Q511" s="24"/>
      <c r="R511" s="24"/>
      <c r="S511" s="24"/>
      <c r="T511" s="24"/>
      <c r="U511" s="20" t="s">
        <v>221</v>
      </c>
      <c r="V511" s="20" t="s">
        <v>218</v>
      </c>
      <c r="W511" s="20" t="s">
        <v>279</v>
      </c>
      <c r="X511" s="20" t="s">
        <v>227</v>
      </c>
      <c r="Y511" s="20"/>
      <c r="Z511" s="20"/>
      <c r="AA511" s="20" t="s">
        <v>2527</v>
      </c>
      <c r="AB511" s="20" t="s">
        <v>1815</v>
      </c>
      <c r="AC511" s="24">
        <v>1</v>
      </c>
      <c r="AD511" s="24"/>
      <c r="AE511" s="24"/>
      <c r="AF511" s="24"/>
      <c r="AG511" s="24"/>
      <c r="AH511" s="20"/>
      <c r="AI511" s="42"/>
    </row>
    <row r="512" spans="1:35">
      <c r="A512" s="14"/>
      <c r="B512" s="20"/>
      <c r="C512" s="20"/>
      <c r="D512" s="20"/>
      <c r="E512" s="20"/>
      <c r="F512" s="20"/>
      <c r="G512" s="20"/>
      <c r="H512" s="20"/>
      <c r="I512" s="211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0"/>
      <c r="V512" s="20"/>
      <c r="W512" s="20"/>
      <c r="X512" s="20"/>
      <c r="Y512" s="20"/>
      <c r="Z512" s="20"/>
      <c r="AA512" s="20" t="s">
        <v>2241</v>
      </c>
      <c r="AB512" s="20" t="s">
        <v>2529</v>
      </c>
      <c r="AC512" s="24">
        <v>1</v>
      </c>
      <c r="AD512" s="24"/>
      <c r="AE512" s="24"/>
      <c r="AF512" s="24"/>
      <c r="AG512" s="24"/>
      <c r="AH512" s="20"/>
      <c r="AI512" s="42"/>
    </row>
    <row r="513" spans="1:35">
      <c r="A513" s="14"/>
      <c r="B513" s="20"/>
      <c r="C513" s="84" t="s">
        <v>2420</v>
      </c>
      <c r="D513" s="20" t="s">
        <v>79</v>
      </c>
      <c r="E513" s="20" t="s">
        <v>80</v>
      </c>
      <c r="F513" s="20" t="s">
        <v>174</v>
      </c>
      <c r="G513" s="20" t="s">
        <v>998</v>
      </c>
      <c r="H513" s="20"/>
      <c r="I513" s="211">
        <v>27884</v>
      </c>
      <c r="J513" s="24">
        <v>1</v>
      </c>
      <c r="K513" s="24"/>
      <c r="L513" s="24">
        <v>1</v>
      </c>
      <c r="M513" s="24"/>
      <c r="N513" s="24"/>
      <c r="O513" s="24"/>
      <c r="P513" s="24"/>
      <c r="Q513" s="24"/>
      <c r="R513" s="24"/>
      <c r="S513" s="24"/>
      <c r="T513" s="24"/>
      <c r="U513" s="20" t="s">
        <v>221</v>
      </c>
      <c r="V513" s="20" t="s">
        <v>218</v>
      </c>
      <c r="W513" s="20" t="s">
        <v>279</v>
      </c>
      <c r="X513" s="20" t="s">
        <v>227</v>
      </c>
      <c r="Y513" s="20"/>
      <c r="Z513" s="20"/>
      <c r="AA513" s="20" t="s">
        <v>2527</v>
      </c>
      <c r="AB513" s="20" t="s">
        <v>1815</v>
      </c>
      <c r="AC513" s="24">
        <v>1</v>
      </c>
      <c r="AD513" s="24"/>
      <c r="AE513" s="24"/>
      <c r="AF513" s="24"/>
      <c r="AG513" s="24"/>
      <c r="AH513" s="20"/>
      <c r="AI513" s="42"/>
    </row>
    <row r="514" spans="1:35">
      <c r="A514" s="14"/>
      <c r="B514" s="20"/>
      <c r="C514" s="20"/>
      <c r="D514" s="20"/>
      <c r="E514" s="20"/>
      <c r="F514" s="20"/>
      <c r="G514" s="20"/>
      <c r="H514" s="20"/>
      <c r="I514" s="211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0"/>
      <c r="V514" s="20"/>
      <c r="W514" s="20"/>
      <c r="X514" s="20"/>
      <c r="Y514" s="20"/>
      <c r="Z514" s="20"/>
      <c r="AA514" s="20" t="s">
        <v>2241</v>
      </c>
      <c r="AB514" s="20" t="s">
        <v>2529</v>
      </c>
      <c r="AC514" s="24">
        <v>1</v>
      </c>
      <c r="AD514" s="24"/>
      <c r="AE514" s="24"/>
      <c r="AF514" s="24"/>
      <c r="AG514" s="24"/>
      <c r="AH514" s="20"/>
      <c r="AI514" s="42"/>
    </row>
    <row r="515" spans="1:35">
      <c r="A515" s="14"/>
      <c r="B515" s="20"/>
      <c r="C515" s="84" t="s">
        <v>2420</v>
      </c>
      <c r="D515" s="20" t="s">
        <v>79</v>
      </c>
      <c r="E515" s="20" t="s">
        <v>80</v>
      </c>
      <c r="F515" s="20" t="s">
        <v>1326</v>
      </c>
      <c r="G515" s="20" t="s">
        <v>1327</v>
      </c>
      <c r="H515" s="20"/>
      <c r="I515" s="211">
        <v>25852</v>
      </c>
      <c r="J515" s="24">
        <v>1</v>
      </c>
      <c r="K515" s="24"/>
      <c r="L515" s="24">
        <v>1</v>
      </c>
      <c r="M515" s="24"/>
      <c r="N515" s="24"/>
      <c r="O515" s="24"/>
      <c r="P515" s="24"/>
      <c r="Q515" s="24"/>
      <c r="R515" s="24"/>
      <c r="S515" s="24"/>
      <c r="T515" s="24"/>
      <c r="U515" s="20" t="s">
        <v>221</v>
      </c>
      <c r="V515" s="20" t="s">
        <v>218</v>
      </c>
      <c r="W515" s="20" t="s">
        <v>279</v>
      </c>
      <c r="X515" s="20" t="s">
        <v>227</v>
      </c>
      <c r="Y515" s="20"/>
      <c r="Z515" s="20"/>
      <c r="AA515" s="20" t="s">
        <v>2527</v>
      </c>
      <c r="AB515" s="20" t="s">
        <v>1815</v>
      </c>
      <c r="AC515" s="24">
        <v>1</v>
      </c>
      <c r="AD515" s="24"/>
      <c r="AE515" s="24"/>
      <c r="AF515" s="24"/>
      <c r="AG515" s="24"/>
      <c r="AH515" s="20"/>
      <c r="AI515" s="42"/>
    </row>
    <row r="516" spans="1:35">
      <c r="A516" s="14"/>
      <c r="B516" s="20"/>
      <c r="C516" s="20"/>
      <c r="D516" s="20"/>
      <c r="E516" s="20"/>
      <c r="F516" s="20"/>
      <c r="G516" s="20"/>
      <c r="H516" s="20"/>
      <c r="I516" s="211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0"/>
      <c r="V516" s="20"/>
      <c r="W516" s="20"/>
      <c r="X516" s="20"/>
      <c r="Y516" s="20"/>
      <c r="Z516" s="20"/>
      <c r="AA516" s="20" t="s">
        <v>2241</v>
      </c>
      <c r="AB516" s="20" t="s">
        <v>2529</v>
      </c>
      <c r="AC516" s="24">
        <v>1</v>
      </c>
      <c r="AD516" s="24"/>
      <c r="AE516" s="24"/>
      <c r="AF516" s="24"/>
      <c r="AG516" s="24"/>
      <c r="AH516" s="20"/>
      <c r="AI516" s="42"/>
    </row>
    <row r="517" spans="1:35">
      <c r="A517" s="14"/>
      <c r="B517" s="20"/>
      <c r="C517" s="84" t="s">
        <v>2420</v>
      </c>
      <c r="D517" s="20" t="s">
        <v>79</v>
      </c>
      <c r="E517" s="20" t="s">
        <v>80</v>
      </c>
      <c r="F517" s="20" t="s">
        <v>1095</v>
      </c>
      <c r="G517" s="20" t="s">
        <v>2557</v>
      </c>
      <c r="H517" s="20"/>
      <c r="I517" s="211" t="s">
        <v>2558</v>
      </c>
      <c r="J517" s="24">
        <v>1</v>
      </c>
      <c r="K517" s="24"/>
      <c r="L517" s="24">
        <v>1</v>
      </c>
      <c r="M517" s="24"/>
      <c r="N517" s="24"/>
      <c r="O517" s="24"/>
      <c r="P517" s="24"/>
      <c r="Q517" s="24"/>
      <c r="R517" s="24"/>
      <c r="S517" s="24"/>
      <c r="T517" s="24"/>
      <c r="U517" s="20" t="s">
        <v>221</v>
      </c>
      <c r="V517" s="20" t="s">
        <v>218</v>
      </c>
      <c r="W517" s="20" t="s">
        <v>279</v>
      </c>
      <c r="X517" s="20" t="s">
        <v>227</v>
      </c>
      <c r="Y517" s="20"/>
      <c r="Z517" s="20"/>
      <c r="AA517" s="20" t="s">
        <v>2527</v>
      </c>
      <c r="AB517" s="20" t="s">
        <v>1815</v>
      </c>
      <c r="AC517" s="24">
        <v>1</v>
      </c>
      <c r="AD517" s="24"/>
      <c r="AE517" s="24"/>
      <c r="AF517" s="24"/>
      <c r="AG517" s="24"/>
      <c r="AH517" s="20"/>
      <c r="AI517" s="42"/>
    </row>
    <row r="518" spans="1:35">
      <c r="A518" s="14"/>
      <c r="B518" s="20"/>
      <c r="C518" s="20"/>
      <c r="D518" s="20"/>
      <c r="E518" s="20"/>
      <c r="F518" s="20"/>
      <c r="G518" s="20"/>
      <c r="H518" s="20"/>
      <c r="I518" s="211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0"/>
      <c r="V518" s="20"/>
      <c r="W518" s="20"/>
      <c r="X518" s="20"/>
      <c r="Y518" s="20"/>
      <c r="Z518" s="20"/>
      <c r="AA518" s="20" t="s">
        <v>2241</v>
      </c>
      <c r="AB518" s="20" t="s">
        <v>2529</v>
      </c>
      <c r="AC518" s="24">
        <v>1</v>
      </c>
      <c r="AD518" s="24"/>
      <c r="AE518" s="24"/>
      <c r="AF518" s="24"/>
      <c r="AG518" s="24"/>
      <c r="AH518" s="20"/>
      <c r="AI518" s="42"/>
    </row>
    <row r="519" spans="1:35">
      <c r="A519" s="14"/>
      <c r="B519" s="20"/>
      <c r="C519" s="84" t="s">
        <v>2420</v>
      </c>
      <c r="D519" s="20" t="s">
        <v>79</v>
      </c>
      <c r="E519" s="20" t="s">
        <v>80</v>
      </c>
      <c r="F519" s="20" t="s">
        <v>161</v>
      </c>
      <c r="G519" s="20" t="s">
        <v>379</v>
      </c>
      <c r="H519" s="20"/>
      <c r="I519" s="211">
        <v>25455</v>
      </c>
      <c r="J519" s="24">
        <v>1</v>
      </c>
      <c r="K519" s="24"/>
      <c r="L519" s="24">
        <v>1</v>
      </c>
      <c r="M519" s="24"/>
      <c r="N519" s="24"/>
      <c r="O519" s="24"/>
      <c r="P519" s="24"/>
      <c r="Q519" s="24"/>
      <c r="R519" s="24"/>
      <c r="S519" s="24"/>
      <c r="T519" s="24"/>
      <c r="U519" s="20" t="s">
        <v>221</v>
      </c>
      <c r="V519" s="20" t="s">
        <v>218</v>
      </c>
      <c r="W519" s="20" t="s">
        <v>279</v>
      </c>
      <c r="X519" s="20" t="s">
        <v>227</v>
      </c>
      <c r="Y519" s="20"/>
      <c r="Z519" s="20"/>
      <c r="AA519" s="20" t="s">
        <v>2527</v>
      </c>
      <c r="AB519" s="20" t="s">
        <v>1815</v>
      </c>
      <c r="AC519" s="24">
        <v>1</v>
      </c>
      <c r="AD519" s="24"/>
      <c r="AE519" s="24"/>
      <c r="AF519" s="24"/>
      <c r="AG519" s="24"/>
      <c r="AH519" s="20"/>
      <c r="AI519" s="42"/>
    </row>
    <row r="520" spans="1:35">
      <c r="A520" s="14"/>
      <c r="B520" s="20"/>
      <c r="C520" s="20"/>
      <c r="D520" s="20"/>
      <c r="E520" s="20"/>
      <c r="F520" s="20"/>
      <c r="G520" s="20"/>
      <c r="H520" s="20"/>
      <c r="I520" s="211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0"/>
      <c r="V520" s="20"/>
      <c r="W520" s="20"/>
      <c r="X520" s="20"/>
      <c r="Y520" s="20"/>
      <c r="Z520" s="20"/>
      <c r="AA520" s="20" t="s">
        <v>2241</v>
      </c>
      <c r="AB520" s="20" t="s">
        <v>2529</v>
      </c>
      <c r="AC520" s="24">
        <v>1</v>
      </c>
      <c r="AD520" s="24"/>
      <c r="AE520" s="24"/>
      <c r="AF520" s="24"/>
      <c r="AG520" s="24"/>
      <c r="AH520" s="20"/>
      <c r="AI520" s="42"/>
    </row>
    <row r="521" spans="1:35">
      <c r="A521" s="14"/>
      <c r="B521" s="20"/>
      <c r="C521" s="84" t="s">
        <v>2420</v>
      </c>
      <c r="D521" s="20" t="s">
        <v>79</v>
      </c>
      <c r="E521" s="20" t="s">
        <v>80</v>
      </c>
      <c r="F521" s="20" t="s">
        <v>2553</v>
      </c>
      <c r="G521" s="20" t="s">
        <v>162</v>
      </c>
      <c r="H521" s="20"/>
      <c r="I521" s="211">
        <v>25639</v>
      </c>
      <c r="J521" s="24">
        <v>1</v>
      </c>
      <c r="K521" s="24"/>
      <c r="L521" s="24">
        <v>1</v>
      </c>
      <c r="M521" s="24"/>
      <c r="N521" s="24"/>
      <c r="O521" s="24"/>
      <c r="P521" s="24"/>
      <c r="Q521" s="24"/>
      <c r="R521" s="24"/>
      <c r="S521" s="24"/>
      <c r="T521" s="24"/>
      <c r="U521" s="20" t="s">
        <v>221</v>
      </c>
      <c r="V521" s="20" t="s">
        <v>218</v>
      </c>
      <c r="W521" s="20" t="s">
        <v>279</v>
      </c>
      <c r="X521" s="20" t="s">
        <v>227</v>
      </c>
      <c r="Y521" s="20"/>
      <c r="Z521" s="20"/>
      <c r="AA521" s="20" t="s">
        <v>2527</v>
      </c>
      <c r="AB521" s="20" t="s">
        <v>1815</v>
      </c>
      <c r="AC521" s="24">
        <v>1</v>
      </c>
      <c r="AD521" s="24"/>
      <c r="AE521" s="24"/>
      <c r="AF521" s="24"/>
      <c r="AG521" s="24"/>
      <c r="AH521" s="20"/>
      <c r="AI521" s="42"/>
    </row>
    <row r="522" spans="1:35">
      <c r="A522" s="14"/>
      <c r="B522" s="20"/>
      <c r="C522" s="20"/>
      <c r="D522" s="20"/>
      <c r="E522" s="20"/>
      <c r="F522" s="20"/>
      <c r="G522" s="20"/>
      <c r="H522" s="20"/>
      <c r="I522" s="211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0"/>
      <c r="V522" s="20"/>
      <c r="W522" s="20"/>
      <c r="X522" s="20"/>
      <c r="Y522" s="20"/>
      <c r="Z522" s="20"/>
      <c r="AA522" s="20" t="s">
        <v>2241</v>
      </c>
      <c r="AB522" s="20" t="s">
        <v>2529</v>
      </c>
      <c r="AC522" s="24">
        <v>1</v>
      </c>
      <c r="AD522" s="24"/>
      <c r="AE522" s="24"/>
      <c r="AF522" s="24"/>
      <c r="AG522" s="24"/>
      <c r="AH522" s="20"/>
      <c r="AI522" s="42"/>
    </row>
    <row r="523" spans="1:35">
      <c r="A523" s="14"/>
      <c r="B523" s="20"/>
      <c r="C523" s="84" t="s">
        <v>2420</v>
      </c>
      <c r="D523" s="20" t="s">
        <v>79</v>
      </c>
      <c r="E523" s="20" t="s">
        <v>80</v>
      </c>
      <c r="F523" s="20" t="s">
        <v>1090</v>
      </c>
      <c r="G523" s="20" t="s">
        <v>713</v>
      </c>
      <c r="H523" s="20" t="s">
        <v>421</v>
      </c>
      <c r="I523" s="211">
        <v>22708</v>
      </c>
      <c r="J523" s="24">
        <v>1</v>
      </c>
      <c r="K523" s="24"/>
      <c r="L523" s="24">
        <v>1</v>
      </c>
      <c r="M523" s="24"/>
      <c r="N523" s="24"/>
      <c r="O523" s="24"/>
      <c r="P523" s="24"/>
      <c r="Q523" s="24"/>
      <c r="R523" s="24"/>
      <c r="S523" s="24"/>
      <c r="T523" s="24"/>
      <c r="U523" s="20" t="s">
        <v>221</v>
      </c>
      <c r="V523" s="20" t="s">
        <v>218</v>
      </c>
      <c r="W523" s="20" t="s">
        <v>279</v>
      </c>
      <c r="X523" s="20" t="s">
        <v>227</v>
      </c>
      <c r="Y523" s="20"/>
      <c r="Z523" s="20"/>
      <c r="AA523" s="20" t="s">
        <v>2527</v>
      </c>
      <c r="AB523" s="20" t="s">
        <v>1815</v>
      </c>
      <c r="AC523" s="24">
        <v>1</v>
      </c>
      <c r="AD523" s="24"/>
      <c r="AE523" s="24"/>
      <c r="AF523" s="24"/>
      <c r="AG523" s="24"/>
      <c r="AH523" s="20"/>
      <c r="AI523" s="42"/>
    </row>
    <row r="524" spans="1:35">
      <c r="A524" s="14"/>
      <c r="B524" s="20"/>
      <c r="C524" s="20"/>
      <c r="D524" s="20"/>
      <c r="E524" s="20"/>
      <c r="F524" s="20"/>
      <c r="G524" s="20"/>
      <c r="H524" s="20"/>
      <c r="I524" s="211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0"/>
      <c r="V524" s="20"/>
      <c r="W524" s="20"/>
      <c r="X524" s="20"/>
      <c r="Y524" s="20"/>
      <c r="Z524" s="20"/>
      <c r="AA524" s="20" t="s">
        <v>2241</v>
      </c>
      <c r="AB524" s="20" t="s">
        <v>2529</v>
      </c>
      <c r="AC524" s="24">
        <v>1</v>
      </c>
      <c r="AD524" s="24"/>
      <c r="AE524" s="24"/>
      <c r="AF524" s="24"/>
      <c r="AG524" s="24"/>
      <c r="AH524" s="20"/>
      <c r="AI524" s="42"/>
    </row>
    <row r="525" spans="1:35">
      <c r="A525" s="14"/>
      <c r="B525" s="20"/>
      <c r="C525" s="84" t="s">
        <v>2420</v>
      </c>
      <c r="D525" s="20" t="s">
        <v>79</v>
      </c>
      <c r="E525" s="20" t="s">
        <v>80</v>
      </c>
      <c r="F525" s="20" t="s">
        <v>191</v>
      </c>
      <c r="G525" s="20" t="s">
        <v>2189</v>
      </c>
      <c r="H525" s="20" t="s">
        <v>160</v>
      </c>
      <c r="I525" s="211">
        <v>27672</v>
      </c>
      <c r="J525" s="24">
        <v>1</v>
      </c>
      <c r="K525" s="24"/>
      <c r="L525" s="24">
        <v>1</v>
      </c>
      <c r="M525" s="24"/>
      <c r="N525" s="24"/>
      <c r="O525" s="24"/>
      <c r="P525" s="24"/>
      <c r="Q525" s="24"/>
      <c r="R525" s="24"/>
      <c r="S525" s="24"/>
      <c r="T525" s="24"/>
      <c r="U525" s="20" t="s">
        <v>221</v>
      </c>
      <c r="V525" s="20" t="s">
        <v>218</v>
      </c>
      <c r="W525" s="20" t="s">
        <v>279</v>
      </c>
      <c r="X525" s="20" t="s">
        <v>227</v>
      </c>
      <c r="Y525" s="20"/>
      <c r="Z525" s="20"/>
      <c r="AA525" s="20" t="s">
        <v>2527</v>
      </c>
      <c r="AB525" s="20" t="s">
        <v>1815</v>
      </c>
      <c r="AC525" s="24">
        <v>1</v>
      </c>
      <c r="AD525" s="24"/>
      <c r="AE525" s="24"/>
      <c r="AF525" s="24"/>
      <c r="AG525" s="24"/>
      <c r="AH525" s="20"/>
      <c r="AI525" s="42"/>
    </row>
    <row r="526" spans="1:35">
      <c r="A526" s="14"/>
      <c r="B526" s="20"/>
      <c r="C526" s="20"/>
      <c r="D526" s="20"/>
      <c r="E526" s="20"/>
      <c r="F526" s="20"/>
      <c r="G526" s="20"/>
      <c r="H526" s="20"/>
      <c r="I526" s="211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0"/>
      <c r="V526" s="20"/>
      <c r="W526" s="20"/>
      <c r="X526" s="20"/>
      <c r="Y526" s="20"/>
      <c r="Z526" s="20"/>
      <c r="AA526" s="20" t="s">
        <v>2241</v>
      </c>
      <c r="AB526" s="20" t="s">
        <v>2529</v>
      </c>
      <c r="AC526" s="24">
        <v>1</v>
      </c>
      <c r="AD526" s="24"/>
      <c r="AE526" s="24"/>
      <c r="AF526" s="24"/>
      <c r="AG526" s="24"/>
      <c r="AH526" s="20"/>
      <c r="AI526" s="42"/>
    </row>
    <row r="527" spans="1:35">
      <c r="A527" s="14"/>
      <c r="B527" s="20"/>
      <c r="C527" s="84" t="s">
        <v>2420</v>
      </c>
      <c r="D527" s="20" t="s">
        <v>79</v>
      </c>
      <c r="E527" s="20" t="s">
        <v>80</v>
      </c>
      <c r="F527" s="20" t="s">
        <v>179</v>
      </c>
      <c r="G527" s="20" t="s">
        <v>150</v>
      </c>
      <c r="H527" s="20" t="s">
        <v>113</v>
      </c>
      <c r="I527" s="211" t="s">
        <v>2560</v>
      </c>
      <c r="J527" s="24">
        <v>1</v>
      </c>
      <c r="K527" s="24"/>
      <c r="L527" s="24">
        <v>1</v>
      </c>
      <c r="M527" s="24"/>
      <c r="N527" s="24"/>
      <c r="O527" s="24"/>
      <c r="P527" s="24"/>
      <c r="Q527" s="24"/>
      <c r="R527" s="24"/>
      <c r="S527" s="24"/>
      <c r="T527" s="24"/>
      <c r="U527" s="20" t="s">
        <v>221</v>
      </c>
      <c r="V527" s="20" t="s">
        <v>218</v>
      </c>
      <c r="W527" s="20" t="s">
        <v>279</v>
      </c>
      <c r="X527" s="20" t="s">
        <v>227</v>
      </c>
      <c r="Y527" s="20"/>
      <c r="Z527" s="20"/>
      <c r="AA527" s="20" t="s">
        <v>2527</v>
      </c>
      <c r="AB527" s="20" t="s">
        <v>1815</v>
      </c>
      <c r="AC527" s="24">
        <v>1</v>
      </c>
      <c r="AD527" s="24"/>
      <c r="AE527" s="24"/>
      <c r="AF527" s="24"/>
      <c r="AG527" s="24"/>
      <c r="AH527" s="20"/>
      <c r="AI527" s="42"/>
    </row>
    <row r="528" spans="1:35">
      <c r="A528" s="14"/>
      <c r="B528" s="20"/>
      <c r="C528" s="20"/>
      <c r="D528" s="20"/>
      <c r="E528" s="20"/>
      <c r="F528" s="20"/>
      <c r="G528" s="20"/>
      <c r="H528" s="20"/>
      <c r="I528" s="211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0"/>
      <c r="V528" s="20"/>
      <c r="W528" s="20"/>
      <c r="X528" s="20"/>
      <c r="Y528" s="20"/>
      <c r="Z528" s="20"/>
      <c r="AA528" s="20" t="s">
        <v>2241</v>
      </c>
      <c r="AB528" s="20" t="s">
        <v>2529</v>
      </c>
      <c r="AC528" s="24">
        <v>1</v>
      </c>
      <c r="AD528" s="24"/>
      <c r="AE528" s="24"/>
      <c r="AF528" s="24"/>
      <c r="AG528" s="24"/>
      <c r="AH528" s="20"/>
      <c r="AI528" s="42"/>
    </row>
    <row r="529" spans="1:35">
      <c r="A529" s="14"/>
      <c r="B529" s="20"/>
      <c r="C529" s="84" t="s">
        <v>2420</v>
      </c>
      <c r="D529" s="20" t="s">
        <v>79</v>
      </c>
      <c r="E529" s="20" t="s">
        <v>80</v>
      </c>
      <c r="F529" s="20" t="s">
        <v>2561</v>
      </c>
      <c r="G529" s="20" t="s">
        <v>991</v>
      </c>
      <c r="H529" s="20" t="s">
        <v>93</v>
      </c>
      <c r="I529" s="211" t="s">
        <v>2562</v>
      </c>
      <c r="J529" s="24">
        <v>1</v>
      </c>
      <c r="K529" s="24"/>
      <c r="L529" s="24">
        <v>1</v>
      </c>
      <c r="M529" s="24"/>
      <c r="N529" s="24"/>
      <c r="O529" s="24"/>
      <c r="P529" s="24"/>
      <c r="Q529" s="24"/>
      <c r="R529" s="24"/>
      <c r="S529" s="24"/>
      <c r="T529" s="24"/>
      <c r="U529" s="20" t="s">
        <v>221</v>
      </c>
      <c r="V529" s="20" t="s">
        <v>218</v>
      </c>
      <c r="W529" s="20" t="s">
        <v>279</v>
      </c>
      <c r="X529" s="20" t="s">
        <v>227</v>
      </c>
      <c r="Y529" s="20"/>
      <c r="Z529" s="20"/>
      <c r="AA529" s="20" t="s">
        <v>2527</v>
      </c>
      <c r="AB529" s="20" t="s">
        <v>1815</v>
      </c>
      <c r="AC529" s="24">
        <v>1</v>
      </c>
      <c r="AD529" s="24"/>
      <c r="AE529" s="24"/>
      <c r="AF529" s="24"/>
      <c r="AG529" s="24"/>
      <c r="AH529" s="20"/>
      <c r="AI529" s="42"/>
    </row>
    <row r="530" spans="1:35">
      <c r="A530" s="14"/>
      <c r="B530" s="20"/>
      <c r="C530" s="20"/>
      <c r="D530" s="20"/>
      <c r="E530" s="20"/>
      <c r="F530" s="20"/>
      <c r="G530" s="20"/>
      <c r="H530" s="20"/>
      <c r="I530" s="211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0"/>
      <c r="V530" s="20"/>
      <c r="W530" s="20"/>
      <c r="X530" s="20"/>
      <c r="Y530" s="20"/>
      <c r="Z530" s="20"/>
      <c r="AA530" s="20" t="s">
        <v>2528</v>
      </c>
      <c r="AB530" s="20" t="s">
        <v>2529</v>
      </c>
      <c r="AC530" s="24">
        <v>1</v>
      </c>
      <c r="AD530" s="24"/>
      <c r="AE530" s="24"/>
      <c r="AF530" s="24"/>
      <c r="AG530" s="24"/>
      <c r="AH530" s="20"/>
      <c r="AI530" s="42"/>
    </row>
    <row r="531" spans="1:35">
      <c r="A531" s="14"/>
      <c r="B531" s="20"/>
      <c r="C531" s="84" t="s">
        <v>2420</v>
      </c>
      <c r="D531" s="20" t="s">
        <v>79</v>
      </c>
      <c r="E531" s="20" t="s">
        <v>80</v>
      </c>
      <c r="F531" s="20" t="s">
        <v>1228</v>
      </c>
      <c r="G531" s="20" t="s">
        <v>1655</v>
      </c>
      <c r="H531" s="20"/>
      <c r="I531" s="211" t="s">
        <v>2563</v>
      </c>
      <c r="J531" s="24">
        <v>1</v>
      </c>
      <c r="K531" s="24"/>
      <c r="L531" s="24">
        <v>1</v>
      </c>
      <c r="M531" s="24"/>
      <c r="N531" s="24"/>
      <c r="O531" s="24"/>
      <c r="P531" s="24"/>
      <c r="Q531" s="24"/>
      <c r="R531" s="24"/>
      <c r="S531" s="24"/>
      <c r="T531" s="24"/>
      <c r="U531" s="20" t="s">
        <v>221</v>
      </c>
      <c r="V531" s="20" t="s">
        <v>218</v>
      </c>
      <c r="W531" s="20" t="s">
        <v>279</v>
      </c>
      <c r="X531" s="20" t="s">
        <v>227</v>
      </c>
      <c r="Y531" s="20"/>
      <c r="Z531" s="20"/>
      <c r="AA531" s="20" t="s">
        <v>2527</v>
      </c>
      <c r="AB531" s="20" t="s">
        <v>1815</v>
      </c>
      <c r="AC531" s="24">
        <v>1</v>
      </c>
      <c r="AD531" s="24"/>
      <c r="AE531" s="24"/>
      <c r="AF531" s="24"/>
      <c r="AG531" s="24"/>
      <c r="AH531" s="20"/>
      <c r="AI531" s="42"/>
    </row>
    <row r="532" spans="1:35">
      <c r="A532" s="14"/>
      <c r="B532" s="20"/>
      <c r="C532" s="20"/>
      <c r="D532" s="20"/>
      <c r="E532" s="20"/>
      <c r="F532" s="20"/>
      <c r="G532" s="20"/>
      <c r="H532" s="20"/>
      <c r="I532" s="211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0"/>
      <c r="V532" s="20"/>
      <c r="W532" s="20"/>
      <c r="X532" s="20"/>
      <c r="Y532" s="20"/>
      <c r="Z532" s="20"/>
      <c r="AA532" s="20" t="s">
        <v>2528</v>
      </c>
      <c r="AB532" s="20" t="s">
        <v>2529</v>
      </c>
      <c r="AC532" s="24">
        <v>1</v>
      </c>
      <c r="AD532" s="24"/>
      <c r="AE532" s="24"/>
      <c r="AF532" s="24"/>
      <c r="AG532" s="24"/>
      <c r="AH532" s="20"/>
      <c r="AI532" s="42"/>
    </row>
    <row r="533" spans="1:35">
      <c r="A533" s="14"/>
      <c r="B533" s="20"/>
      <c r="C533" s="84" t="s">
        <v>2420</v>
      </c>
      <c r="D533" s="20" t="s">
        <v>79</v>
      </c>
      <c r="E533" s="20" t="s">
        <v>80</v>
      </c>
      <c r="F533" s="20" t="s">
        <v>2564</v>
      </c>
      <c r="G533" s="20" t="s">
        <v>2565</v>
      </c>
      <c r="H533" s="20"/>
      <c r="I533" s="211" t="s">
        <v>2566</v>
      </c>
      <c r="J533" s="24">
        <v>1</v>
      </c>
      <c r="K533" s="24"/>
      <c r="L533" s="24">
        <v>1</v>
      </c>
      <c r="M533" s="24"/>
      <c r="N533" s="24"/>
      <c r="O533" s="24"/>
      <c r="P533" s="24"/>
      <c r="Q533" s="24"/>
      <c r="R533" s="24"/>
      <c r="S533" s="24"/>
      <c r="T533" s="24"/>
      <c r="U533" s="20" t="s">
        <v>221</v>
      </c>
      <c r="V533" s="20" t="s">
        <v>218</v>
      </c>
      <c r="W533" s="20" t="s">
        <v>279</v>
      </c>
      <c r="X533" s="20" t="s">
        <v>227</v>
      </c>
      <c r="Y533" s="20"/>
      <c r="Z533" s="20"/>
      <c r="AA533" s="20" t="s">
        <v>2527</v>
      </c>
      <c r="AB533" s="20" t="s">
        <v>1815</v>
      </c>
      <c r="AC533" s="24">
        <v>1</v>
      </c>
      <c r="AD533" s="24"/>
      <c r="AE533" s="24"/>
      <c r="AF533" s="24"/>
      <c r="AG533" s="24"/>
      <c r="AH533" s="20"/>
      <c r="AI533" s="42"/>
    </row>
    <row r="534" spans="1:35">
      <c r="A534" s="14"/>
      <c r="B534" s="20"/>
      <c r="C534" s="20"/>
      <c r="D534" s="20"/>
      <c r="E534" s="20"/>
      <c r="F534" s="20"/>
      <c r="G534" s="20"/>
      <c r="H534" s="20"/>
      <c r="I534" s="211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0"/>
      <c r="V534" s="20"/>
      <c r="W534" s="20"/>
      <c r="X534" s="20"/>
      <c r="Y534" s="20"/>
      <c r="Z534" s="20"/>
      <c r="AA534" s="20" t="s">
        <v>2528</v>
      </c>
      <c r="AB534" s="20" t="s">
        <v>2529</v>
      </c>
      <c r="AC534" s="24">
        <v>1</v>
      </c>
      <c r="AD534" s="24"/>
      <c r="AE534" s="24"/>
      <c r="AF534" s="24"/>
      <c r="AG534" s="24"/>
      <c r="AH534" s="20"/>
      <c r="AI534" s="42"/>
    </row>
    <row r="535" spans="1:35">
      <c r="A535" s="14"/>
      <c r="B535" s="20"/>
      <c r="C535" s="84" t="s">
        <v>2420</v>
      </c>
      <c r="D535" s="20" t="s">
        <v>79</v>
      </c>
      <c r="E535" s="20" t="s">
        <v>80</v>
      </c>
      <c r="F535" s="20" t="s">
        <v>2288</v>
      </c>
      <c r="G535" s="20" t="s">
        <v>2567</v>
      </c>
      <c r="H535" s="20"/>
      <c r="I535" s="211" t="s">
        <v>2568</v>
      </c>
      <c r="J535" s="24">
        <v>1</v>
      </c>
      <c r="K535" s="24"/>
      <c r="L535" s="24">
        <v>1</v>
      </c>
      <c r="M535" s="24"/>
      <c r="N535" s="24"/>
      <c r="O535" s="24"/>
      <c r="P535" s="24"/>
      <c r="Q535" s="24"/>
      <c r="R535" s="24"/>
      <c r="S535" s="24"/>
      <c r="T535" s="24"/>
      <c r="U535" s="20" t="s">
        <v>221</v>
      </c>
      <c r="V535" s="20" t="s">
        <v>218</v>
      </c>
      <c r="W535" s="20" t="s">
        <v>279</v>
      </c>
      <c r="X535" s="20" t="s">
        <v>227</v>
      </c>
      <c r="Y535" s="20"/>
      <c r="Z535" s="20"/>
      <c r="AA535" s="20" t="s">
        <v>2527</v>
      </c>
      <c r="AB535" s="20" t="s">
        <v>1815</v>
      </c>
      <c r="AC535" s="24">
        <v>1</v>
      </c>
      <c r="AD535" s="24"/>
      <c r="AE535" s="24"/>
      <c r="AF535" s="24"/>
      <c r="AG535" s="24"/>
      <c r="AH535" s="20"/>
      <c r="AI535" s="42"/>
    </row>
    <row r="536" spans="1:35">
      <c r="A536" s="14"/>
      <c r="B536" s="20"/>
      <c r="C536" s="20"/>
      <c r="D536" s="20"/>
      <c r="E536" s="20"/>
      <c r="F536" s="20"/>
      <c r="G536" s="20"/>
      <c r="H536" s="20"/>
      <c r="I536" s="211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0"/>
      <c r="V536" s="20"/>
      <c r="W536" s="20"/>
      <c r="X536" s="20"/>
      <c r="Y536" s="20"/>
      <c r="Z536" s="20"/>
      <c r="AA536" s="20" t="s">
        <v>2528</v>
      </c>
      <c r="AB536" s="20" t="s">
        <v>2529</v>
      </c>
      <c r="AC536" s="24">
        <v>1</v>
      </c>
      <c r="AD536" s="24"/>
      <c r="AE536" s="24"/>
      <c r="AF536" s="24"/>
      <c r="AG536" s="24"/>
      <c r="AH536" s="20"/>
      <c r="AI536" s="42"/>
    </row>
    <row r="537" spans="1:35">
      <c r="A537" s="14"/>
      <c r="B537" s="20"/>
      <c r="C537" s="84" t="s">
        <v>2420</v>
      </c>
      <c r="D537" s="20" t="s">
        <v>79</v>
      </c>
      <c r="E537" s="20" t="s">
        <v>80</v>
      </c>
      <c r="F537" s="20" t="s">
        <v>2569</v>
      </c>
      <c r="G537" s="20" t="s">
        <v>377</v>
      </c>
      <c r="H537" s="20"/>
      <c r="I537" s="211" t="s">
        <v>2570</v>
      </c>
      <c r="J537" s="24">
        <v>1</v>
      </c>
      <c r="K537" s="24"/>
      <c r="L537" s="24">
        <v>1</v>
      </c>
      <c r="M537" s="24"/>
      <c r="N537" s="24"/>
      <c r="O537" s="24"/>
      <c r="P537" s="24"/>
      <c r="Q537" s="24"/>
      <c r="R537" s="24"/>
      <c r="S537" s="24"/>
      <c r="T537" s="24"/>
      <c r="U537" s="20" t="s">
        <v>221</v>
      </c>
      <c r="V537" s="20" t="s">
        <v>218</v>
      </c>
      <c r="W537" s="20" t="s">
        <v>279</v>
      </c>
      <c r="X537" s="20" t="s">
        <v>227</v>
      </c>
      <c r="Y537" s="20"/>
      <c r="Z537" s="20"/>
      <c r="AA537" s="20" t="s">
        <v>2527</v>
      </c>
      <c r="AB537" s="20" t="s">
        <v>1815</v>
      </c>
      <c r="AC537" s="24">
        <v>1</v>
      </c>
      <c r="AD537" s="24"/>
      <c r="AE537" s="24"/>
      <c r="AF537" s="24"/>
      <c r="AG537" s="24"/>
      <c r="AH537" s="20"/>
      <c r="AI537" s="42"/>
    </row>
    <row r="538" spans="1:35">
      <c r="A538" s="14"/>
      <c r="B538" s="20"/>
      <c r="C538" s="20"/>
      <c r="D538" s="20"/>
      <c r="E538" s="20"/>
      <c r="F538" s="20"/>
      <c r="G538" s="20"/>
      <c r="H538" s="20"/>
      <c r="I538" s="211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0"/>
      <c r="V538" s="20"/>
      <c r="W538" s="20"/>
      <c r="X538" s="20"/>
      <c r="Y538" s="20"/>
      <c r="Z538" s="20"/>
      <c r="AA538" s="20" t="s">
        <v>2528</v>
      </c>
      <c r="AB538" s="20" t="s">
        <v>2529</v>
      </c>
      <c r="AC538" s="24">
        <v>1</v>
      </c>
      <c r="AD538" s="24"/>
      <c r="AE538" s="24"/>
      <c r="AF538" s="24"/>
      <c r="AG538" s="24"/>
      <c r="AH538" s="20"/>
      <c r="AI538" s="42"/>
    </row>
    <row r="539" spans="1:35">
      <c r="A539" s="14"/>
      <c r="B539" s="20"/>
      <c r="C539" s="84" t="s">
        <v>2420</v>
      </c>
      <c r="D539" s="20" t="s">
        <v>79</v>
      </c>
      <c r="E539" s="20" t="s">
        <v>80</v>
      </c>
      <c r="F539" s="20" t="s">
        <v>1228</v>
      </c>
      <c r="G539" s="20" t="s">
        <v>2571</v>
      </c>
      <c r="H539" s="20"/>
      <c r="I539" s="211" t="s">
        <v>2572</v>
      </c>
      <c r="J539" s="24">
        <v>1</v>
      </c>
      <c r="K539" s="24"/>
      <c r="L539" s="24">
        <v>1</v>
      </c>
      <c r="M539" s="24"/>
      <c r="N539" s="24"/>
      <c r="O539" s="24"/>
      <c r="P539" s="24"/>
      <c r="Q539" s="24"/>
      <c r="R539" s="24"/>
      <c r="S539" s="24"/>
      <c r="T539" s="24"/>
      <c r="U539" s="20" t="s">
        <v>221</v>
      </c>
      <c r="V539" s="20" t="s">
        <v>218</v>
      </c>
      <c r="W539" s="20" t="s">
        <v>279</v>
      </c>
      <c r="X539" s="20" t="s">
        <v>227</v>
      </c>
      <c r="Y539" s="20"/>
      <c r="Z539" s="20"/>
      <c r="AA539" s="20" t="s">
        <v>2527</v>
      </c>
      <c r="AB539" s="20" t="s">
        <v>1815</v>
      </c>
      <c r="AC539" s="24">
        <v>1</v>
      </c>
      <c r="AD539" s="24"/>
      <c r="AE539" s="24"/>
      <c r="AF539" s="24"/>
      <c r="AG539" s="24"/>
      <c r="AH539" s="20"/>
      <c r="AI539" s="42"/>
    </row>
    <row r="540" spans="1:35">
      <c r="A540" s="14"/>
      <c r="B540" s="20"/>
      <c r="C540" s="20"/>
      <c r="D540" s="20"/>
      <c r="E540" s="20"/>
      <c r="F540" s="20"/>
      <c r="G540" s="20"/>
      <c r="H540" s="20"/>
      <c r="I540" s="211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0"/>
      <c r="V540" s="20"/>
      <c r="W540" s="20"/>
      <c r="X540" s="20"/>
      <c r="Y540" s="20"/>
      <c r="Z540" s="20"/>
      <c r="AA540" s="20" t="s">
        <v>2528</v>
      </c>
      <c r="AB540" s="20" t="s">
        <v>2529</v>
      </c>
      <c r="AC540" s="24">
        <v>1</v>
      </c>
      <c r="AD540" s="24"/>
      <c r="AE540" s="24"/>
      <c r="AF540" s="24"/>
      <c r="AG540" s="24"/>
      <c r="AH540" s="20"/>
      <c r="AI540" s="42"/>
    </row>
    <row r="541" spans="1:35">
      <c r="A541" s="14"/>
      <c r="B541" s="20"/>
      <c r="C541" s="84" t="s">
        <v>2420</v>
      </c>
      <c r="D541" s="20" t="s">
        <v>79</v>
      </c>
      <c r="E541" s="20" t="s">
        <v>80</v>
      </c>
      <c r="F541" s="20" t="s">
        <v>178</v>
      </c>
      <c r="G541" s="20" t="s">
        <v>2271</v>
      </c>
      <c r="H541" s="20"/>
      <c r="I541" s="211" t="s">
        <v>2574</v>
      </c>
      <c r="J541" s="24">
        <v>1</v>
      </c>
      <c r="K541" s="24"/>
      <c r="L541" s="24">
        <v>1</v>
      </c>
      <c r="M541" s="24"/>
      <c r="N541" s="24"/>
      <c r="O541" s="24"/>
      <c r="P541" s="24"/>
      <c r="Q541" s="24"/>
      <c r="R541" s="24"/>
      <c r="S541" s="24"/>
      <c r="T541" s="24"/>
      <c r="U541" s="20" t="s">
        <v>221</v>
      </c>
      <c r="V541" s="20" t="s">
        <v>218</v>
      </c>
      <c r="W541" s="20" t="s">
        <v>279</v>
      </c>
      <c r="X541" s="20" t="s">
        <v>227</v>
      </c>
      <c r="Y541" s="20"/>
      <c r="Z541" s="20"/>
      <c r="AA541" s="20" t="s">
        <v>2527</v>
      </c>
      <c r="AB541" s="20" t="s">
        <v>1815</v>
      </c>
      <c r="AC541" s="24">
        <v>1</v>
      </c>
      <c r="AD541" s="24"/>
      <c r="AE541" s="24"/>
      <c r="AF541" s="24"/>
      <c r="AG541" s="24"/>
      <c r="AH541" s="20"/>
      <c r="AI541" s="42"/>
    </row>
    <row r="542" spans="1:35">
      <c r="A542" s="14"/>
      <c r="B542" s="20"/>
      <c r="C542" s="20"/>
      <c r="D542" s="20"/>
      <c r="E542" s="20"/>
      <c r="F542" s="20"/>
      <c r="G542" s="20"/>
      <c r="H542" s="20"/>
      <c r="I542" s="211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0"/>
      <c r="V542" s="20"/>
      <c r="W542" s="20"/>
      <c r="X542" s="20"/>
      <c r="Y542" s="20"/>
      <c r="Z542" s="20"/>
      <c r="AA542" s="20" t="s">
        <v>2528</v>
      </c>
      <c r="AB542" s="20" t="s">
        <v>2529</v>
      </c>
      <c r="AC542" s="24">
        <v>1</v>
      </c>
      <c r="AD542" s="24"/>
      <c r="AE542" s="24"/>
      <c r="AF542" s="24"/>
      <c r="AG542" s="24"/>
      <c r="AH542" s="20"/>
      <c r="AI542" s="42"/>
    </row>
    <row r="543" spans="1:35">
      <c r="A543" s="14"/>
      <c r="B543" s="20"/>
      <c r="C543" s="84" t="s">
        <v>2420</v>
      </c>
      <c r="D543" s="20" t="s">
        <v>79</v>
      </c>
      <c r="E543" s="20" t="s">
        <v>80</v>
      </c>
      <c r="F543" s="20" t="s">
        <v>2573</v>
      </c>
      <c r="G543" s="20" t="s">
        <v>2090</v>
      </c>
      <c r="H543" s="20" t="s">
        <v>120</v>
      </c>
      <c r="I543" s="211">
        <v>34250</v>
      </c>
      <c r="J543" s="24">
        <v>1</v>
      </c>
      <c r="K543" s="24"/>
      <c r="L543" s="24">
        <v>1</v>
      </c>
      <c r="M543" s="24"/>
      <c r="N543" s="24"/>
      <c r="O543" s="24"/>
      <c r="P543" s="24"/>
      <c r="Q543" s="24"/>
      <c r="R543" s="24"/>
      <c r="S543" s="24"/>
      <c r="T543" s="24"/>
      <c r="U543" s="20" t="s">
        <v>221</v>
      </c>
      <c r="V543" s="20" t="s">
        <v>218</v>
      </c>
      <c r="W543" s="20" t="s">
        <v>279</v>
      </c>
      <c r="X543" s="20" t="s">
        <v>227</v>
      </c>
      <c r="Y543" s="20"/>
      <c r="Z543" s="20"/>
      <c r="AA543" s="20" t="s">
        <v>2527</v>
      </c>
      <c r="AB543" s="20" t="s">
        <v>1815</v>
      </c>
      <c r="AC543" s="24">
        <v>1</v>
      </c>
      <c r="AD543" s="24"/>
      <c r="AE543" s="24"/>
      <c r="AF543" s="24"/>
      <c r="AG543" s="24"/>
      <c r="AH543" s="20"/>
      <c r="AI543" s="42"/>
    </row>
    <row r="544" spans="1:35">
      <c r="A544" s="14"/>
      <c r="B544" s="20"/>
      <c r="C544" s="20"/>
      <c r="D544" s="20"/>
      <c r="E544" s="20"/>
      <c r="F544" s="20"/>
      <c r="G544" s="20"/>
      <c r="H544" s="20"/>
      <c r="I544" s="211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0"/>
      <c r="V544" s="20"/>
      <c r="W544" s="20"/>
      <c r="X544" s="20"/>
      <c r="Y544" s="20"/>
      <c r="Z544" s="20"/>
      <c r="AA544" s="20" t="s">
        <v>2528</v>
      </c>
      <c r="AB544" s="20" t="s">
        <v>2529</v>
      </c>
      <c r="AC544" s="24">
        <v>1</v>
      </c>
      <c r="AD544" s="24"/>
      <c r="AE544" s="24"/>
      <c r="AF544" s="24"/>
      <c r="AG544" s="24"/>
      <c r="AH544" s="20"/>
      <c r="AI544" s="42"/>
    </row>
    <row r="545" spans="1:35">
      <c r="A545" s="14"/>
      <c r="B545" s="20"/>
      <c r="C545" s="84" t="s">
        <v>2420</v>
      </c>
      <c r="D545" s="20" t="s">
        <v>79</v>
      </c>
      <c r="E545" s="20" t="s">
        <v>80</v>
      </c>
      <c r="F545" s="20" t="s">
        <v>2575</v>
      </c>
      <c r="G545" s="20" t="s">
        <v>2576</v>
      </c>
      <c r="H545" s="20"/>
      <c r="I545" s="211" t="s">
        <v>1247</v>
      </c>
      <c r="J545" s="24">
        <v>1</v>
      </c>
      <c r="K545" s="24"/>
      <c r="L545" s="24">
        <v>1</v>
      </c>
      <c r="M545" s="24"/>
      <c r="N545" s="24"/>
      <c r="O545" s="24"/>
      <c r="P545" s="24"/>
      <c r="Q545" s="24"/>
      <c r="R545" s="24"/>
      <c r="S545" s="24"/>
      <c r="T545" s="24"/>
      <c r="U545" s="20" t="s">
        <v>221</v>
      </c>
      <c r="V545" s="20" t="s">
        <v>218</v>
      </c>
      <c r="W545" s="20" t="s">
        <v>279</v>
      </c>
      <c r="X545" s="20" t="s">
        <v>227</v>
      </c>
      <c r="Y545" s="20"/>
      <c r="Z545" s="20"/>
      <c r="AA545" s="20" t="s">
        <v>2527</v>
      </c>
      <c r="AB545" s="20" t="s">
        <v>1815</v>
      </c>
      <c r="AC545" s="24">
        <v>1</v>
      </c>
      <c r="AD545" s="24"/>
      <c r="AE545" s="24"/>
      <c r="AF545" s="24"/>
      <c r="AG545" s="24"/>
      <c r="AH545" s="20"/>
      <c r="AI545" s="42"/>
    </row>
    <row r="546" spans="1:35">
      <c r="A546" s="14"/>
      <c r="B546" s="20"/>
      <c r="C546" s="20"/>
      <c r="D546" s="20"/>
      <c r="E546" s="20"/>
      <c r="F546" s="20"/>
      <c r="G546" s="20"/>
      <c r="H546" s="20"/>
      <c r="I546" s="211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0"/>
      <c r="V546" s="20"/>
      <c r="W546" s="20"/>
      <c r="X546" s="20"/>
      <c r="Y546" s="20"/>
      <c r="Z546" s="20"/>
      <c r="AA546" s="20" t="s">
        <v>2528</v>
      </c>
      <c r="AB546" s="20" t="s">
        <v>2529</v>
      </c>
      <c r="AC546" s="24">
        <v>1</v>
      </c>
      <c r="AD546" s="24"/>
      <c r="AE546" s="24"/>
      <c r="AF546" s="24"/>
      <c r="AG546" s="24"/>
      <c r="AH546" s="20"/>
      <c r="AI546" s="42"/>
    </row>
    <row r="547" spans="1:35">
      <c r="A547" s="14"/>
      <c r="B547" s="20"/>
      <c r="C547" s="84" t="s">
        <v>2420</v>
      </c>
      <c r="D547" s="20" t="s">
        <v>79</v>
      </c>
      <c r="E547" s="20" t="s">
        <v>80</v>
      </c>
      <c r="F547" s="20" t="s">
        <v>2581</v>
      </c>
      <c r="G547" s="20" t="s">
        <v>2577</v>
      </c>
      <c r="H547" s="20"/>
      <c r="I547" s="211" t="s">
        <v>2500</v>
      </c>
      <c r="J547" s="24">
        <v>1</v>
      </c>
      <c r="K547" s="24"/>
      <c r="L547" s="24">
        <v>1</v>
      </c>
      <c r="M547" s="24"/>
      <c r="N547" s="24"/>
      <c r="O547" s="24"/>
      <c r="P547" s="24"/>
      <c r="Q547" s="24"/>
      <c r="R547" s="24"/>
      <c r="S547" s="24"/>
      <c r="T547" s="24"/>
      <c r="U547" s="20" t="s">
        <v>221</v>
      </c>
      <c r="V547" s="20" t="s">
        <v>218</v>
      </c>
      <c r="W547" s="20" t="s">
        <v>279</v>
      </c>
      <c r="X547" s="20" t="s">
        <v>227</v>
      </c>
      <c r="Y547" s="20"/>
      <c r="Z547" s="20"/>
      <c r="AA547" s="20" t="s">
        <v>2527</v>
      </c>
      <c r="AB547" s="20" t="s">
        <v>1815</v>
      </c>
      <c r="AC547" s="24">
        <v>1</v>
      </c>
      <c r="AD547" s="24"/>
      <c r="AE547" s="24"/>
      <c r="AF547" s="24"/>
      <c r="AG547" s="24"/>
      <c r="AH547" s="20"/>
      <c r="AI547" s="42"/>
    </row>
    <row r="548" spans="1:35">
      <c r="A548" s="14"/>
      <c r="B548" s="20"/>
      <c r="C548" s="20"/>
      <c r="D548" s="20"/>
      <c r="E548" s="20"/>
      <c r="F548" s="20"/>
      <c r="G548" s="20"/>
      <c r="H548" s="20"/>
      <c r="I548" s="211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0"/>
      <c r="V548" s="20"/>
      <c r="W548" s="20"/>
      <c r="X548" s="20"/>
      <c r="Y548" s="20"/>
      <c r="Z548" s="20"/>
      <c r="AA548" s="20" t="s">
        <v>2528</v>
      </c>
      <c r="AB548" s="20" t="s">
        <v>2529</v>
      </c>
      <c r="AC548" s="24">
        <v>1</v>
      </c>
      <c r="AD548" s="24"/>
      <c r="AE548" s="24"/>
      <c r="AF548" s="24"/>
      <c r="AG548" s="24"/>
      <c r="AH548" s="20"/>
      <c r="AI548" s="42"/>
    </row>
    <row r="549" spans="1:35">
      <c r="A549" s="14"/>
      <c r="B549" s="20"/>
      <c r="C549" s="84" t="s">
        <v>2420</v>
      </c>
      <c r="D549" s="20" t="s">
        <v>79</v>
      </c>
      <c r="E549" s="20" t="s">
        <v>80</v>
      </c>
      <c r="F549" s="20" t="s">
        <v>191</v>
      </c>
      <c r="G549" s="20" t="s">
        <v>1134</v>
      </c>
      <c r="H549" s="20"/>
      <c r="I549" s="211">
        <v>31689</v>
      </c>
      <c r="J549" s="24">
        <v>1</v>
      </c>
      <c r="K549" s="24"/>
      <c r="L549" s="24">
        <v>1</v>
      </c>
      <c r="M549" s="24"/>
      <c r="N549" s="24"/>
      <c r="O549" s="24"/>
      <c r="P549" s="24"/>
      <c r="Q549" s="24"/>
      <c r="R549" s="24"/>
      <c r="S549" s="24"/>
      <c r="T549" s="24"/>
      <c r="U549" s="20" t="s">
        <v>221</v>
      </c>
      <c r="V549" s="20" t="s">
        <v>218</v>
      </c>
      <c r="W549" s="20" t="s">
        <v>279</v>
      </c>
      <c r="X549" s="20" t="s">
        <v>227</v>
      </c>
      <c r="Y549" s="20"/>
      <c r="Z549" s="20"/>
      <c r="AA549" s="20" t="s">
        <v>2527</v>
      </c>
      <c r="AB549" s="20" t="s">
        <v>1815</v>
      </c>
      <c r="AC549" s="24">
        <v>1</v>
      </c>
      <c r="AD549" s="24"/>
      <c r="AE549" s="24"/>
      <c r="AF549" s="24"/>
      <c r="AG549" s="24"/>
      <c r="AH549" s="20"/>
      <c r="AI549" s="42"/>
    </row>
    <row r="550" spans="1:35">
      <c r="A550" s="14"/>
      <c r="B550" s="20"/>
      <c r="C550" s="20"/>
      <c r="D550" s="20"/>
      <c r="E550" s="20"/>
      <c r="F550" s="20"/>
      <c r="G550" s="20"/>
      <c r="H550" s="20"/>
      <c r="I550" s="211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0"/>
      <c r="V550" s="20"/>
      <c r="W550" s="20"/>
      <c r="X550" s="20"/>
      <c r="Y550" s="20"/>
      <c r="Z550" s="20"/>
      <c r="AA550" s="20" t="s">
        <v>2528</v>
      </c>
      <c r="AB550" s="20" t="s">
        <v>2529</v>
      </c>
      <c r="AC550" s="24">
        <v>1</v>
      </c>
      <c r="AD550" s="24"/>
      <c r="AE550" s="24"/>
      <c r="AF550" s="24"/>
      <c r="AG550" s="24"/>
      <c r="AH550" s="20"/>
      <c r="AI550" s="42"/>
    </row>
    <row r="551" spans="1:35">
      <c r="A551" s="14"/>
      <c r="B551" s="20"/>
      <c r="C551" s="84" t="s">
        <v>2420</v>
      </c>
      <c r="D551" s="20" t="s">
        <v>79</v>
      </c>
      <c r="E551" s="20" t="s">
        <v>80</v>
      </c>
      <c r="F551" s="20" t="s">
        <v>2578</v>
      </c>
      <c r="G551" s="20" t="s">
        <v>2579</v>
      </c>
      <c r="H551" s="20"/>
      <c r="I551" s="211" t="s">
        <v>2580</v>
      </c>
      <c r="J551" s="24">
        <v>1</v>
      </c>
      <c r="K551" s="24"/>
      <c r="L551" s="24">
        <v>1</v>
      </c>
      <c r="M551" s="24"/>
      <c r="N551" s="24"/>
      <c r="O551" s="24"/>
      <c r="P551" s="24"/>
      <c r="Q551" s="24"/>
      <c r="R551" s="24"/>
      <c r="S551" s="24"/>
      <c r="T551" s="24"/>
      <c r="U551" s="20" t="s">
        <v>221</v>
      </c>
      <c r="V551" s="20" t="s">
        <v>218</v>
      </c>
      <c r="W551" s="20" t="s">
        <v>279</v>
      </c>
      <c r="X551" s="20" t="s">
        <v>227</v>
      </c>
      <c r="Y551" s="20"/>
      <c r="Z551" s="20"/>
      <c r="AA551" s="20" t="s">
        <v>2527</v>
      </c>
      <c r="AB551" s="20" t="s">
        <v>1815</v>
      </c>
      <c r="AC551" s="24">
        <v>1</v>
      </c>
      <c r="AD551" s="24"/>
      <c r="AE551" s="24"/>
      <c r="AF551" s="24"/>
      <c r="AG551" s="24"/>
      <c r="AH551" s="20"/>
      <c r="AI551" s="42"/>
    </row>
    <row r="552" spans="1:35">
      <c r="A552" s="14"/>
      <c r="B552" s="20"/>
      <c r="C552" s="20"/>
      <c r="D552" s="20"/>
      <c r="E552" s="20"/>
      <c r="F552" s="20"/>
      <c r="G552" s="20"/>
      <c r="H552" s="20"/>
      <c r="I552" s="211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0"/>
      <c r="V552" s="20"/>
      <c r="W552" s="20"/>
      <c r="X552" s="20"/>
      <c r="Y552" s="20"/>
      <c r="Z552" s="20"/>
      <c r="AA552" s="20" t="s">
        <v>2528</v>
      </c>
      <c r="AB552" s="20" t="s">
        <v>2529</v>
      </c>
      <c r="AC552" s="24">
        <v>1</v>
      </c>
      <c r="AD552" s="24"/>
      <c r="AE552" s="24"/>
      <c r="AF552" s="24"/>
      <c r="AG552" s="24"/>
      <c r="AH552" s="20"/>
      <c r="AI552" s="42"/>
    </row>
    <row r="553" spans="1:35">
      <c r="A553" s="14"/>
      <c r="B553" s="20"/>
      <c r="C553" s="84" t="s">
        <v>2420</v>
      </c>
      <c r="D553" s="20" t="s">
        <v>79</v>
      </c>
      <c r="E553" s="20" t="s">
        <v>80</v>
      </c>
      <c r="F553" s="20" t="s">
        <v>2581</v>
      </c>
      <c r="G553" s="20" t="s">
        <v>489</v>
      </c>
      <c r="H553" s="20"/>
      <c r="I553" s="211">
        <v>23533</v>
      </c>
      <c r="J553" s="24">
        <v>1</v>
      </c>
      <c r="K553" s="24"/>
      <c r="L553" s="24">
        <v>1</v>
      </c>
      <c r="M553" s="24"/>
      <c r="N553" s="24"/>
      <c r="O553" s="24"/>
      <c r="P553" s="24"/>
      <c r="Q553" s="24"/>
      <c r="R553" s="24"/>
      <c r="S553" s="24"/>
      <c r="T553" s="24"/>
      <c r="U553" s="20" t="s">
        <v>221</v>
      </c>
      <c r="V553" s="20" t="s">
        <v>218</v>
      </c>
      <c r="W553" s="20" t="s">
        <v>279</v>
      </c>
      <c r="X553" s="20" t="s">
        <v>227</v>
      </c>
      <c r="Y553" s="20"/>
      <c r="Z553" s="20"/>
      <c r="AA553" s="20" t="s">
        <v>2527</v>
      </c>
      <c r="AB553" s="20" t="s">
        <v>1815</v>
      </c>
      <c r="AC553" s="24">
        <v>1</v>
      </c>
      <c r="AD553" s="24"/>
      <c r="AE553" s="24"/>
      <c r="AF553" s="24"/>
      <c r="AG553" s="24"/>
      <c r="AH553" s="20"/>
      <c r="AI553" s="42"/>
    </row>
    <row r="554" spans="1:35">
      <c r="A554" s="14"/>
      <c r="B554" s="20"/>
      <c r="C554" s="20"/>
      <c r="D554" s="20"/>
      <c r="E554" s="20"/>
      <c r="F554" s="20"/>
      <c r="G554" s="20"/>
      <c r="H554" s="20"/>
      <c r="I554" s="211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0"/>
      <c r="V554" s="20"/>
      <c r="W554" s="20"/>
      <c r="X554" s="20"/>
      <c r="Y554" s="20"/>
      <c r="Z554" s="20"/>
      <c r="AA554" s="20" t="s">
        <v>2528</v>
      </c>
      <c r="AB554" s="20" t="s">
        <v>2529</v>
      </c>
      <c r="AC554" s="24">
        <v>1</v>
      </c>
      <c r="AD554" s="24"/>
      <c r="AE554" s="24"/>
      <c r="AF554" s="24"/>
      <c r="AG554" s="24"/>
      <c r="AH554" s="20"/>
      <c r="AI554" s="42"/>
    </row>
    <row r="555" spans="1:35">
      <c r="A555" s="14"/>
      <c r="B555" s="20"/>
      <c r="C555" s="84" t="s">
        <v>2420</v>
      </c>
      <c r="D555" s="20" t="s">
        <v>79</v>
      </c>
      <c r="E555" s="20" t="s">
        <v>80</v>
      </c>
      <c r="F555" s="20" t="s">
        <v>2582</v>
      </c>
      <c r="G555" s="20" t="s">
        <v>2020</v>
      </c>
      <c r="H555" s="20"/>
      <c r="I555" s="211" t="s">
        <v>2583</v>
      </c>
      <c r="J555" s="24">
        <v>1</v>
      </c>
      <c r="K555" s="24"/>
      <c r="L555" s="24">
        <v>1</v>
      </c>
      <c r="M555" s="24"/>
      <c r="N555" s="24"/>
      <c r="O555" s="24"/>
      <c r="P555" s="24"/>
      <c r="Q555" s="24"/>
      <c r="R555" s="24"/>
      <c r="S555" s="24"/>
      <c r="T555" s="24"/>
      <c r="U555" s="20" t="s">
        <v>221</v>
      </c>
      <c r="V555" s="20" t="s">
        <v>218</v>
      </c>
      <c r="W555" s="20" t="s">
        <v>279</v>
      </c>
      <c r="X555" s="20" t="s">
        <v>227</v>
      </c>
      <c r="Y555" s="20"/>
      <c r="Z555" s="20"/>
      <c r="AA555" s="20" t="s">
        <v>2527</v>
      </c>
      <c r="AB555" s="20" t="s">
        <v>1815</v>
      </c>
      <c r="AC555" s="24">
        <v>1</v>
      </c>
      <c r="AD555" s="24"/>
      <c r="AE555" s="24"/>
      <c r="AF555" s="24"/>
      <c r="AG555" s="24"/>
      <c r="AH555" s="20"/>
      <c r="AI555" s="42"/>
    </row>
    <row r="556" spans="1:35">
      <c r="A556" s="14"/>
      <c r="B556" s="20"/>
      <c r="C556" s="20"/>
      <c r="D556" s="20"/>
      <c r="E556" s="20"/>
      <c r="F556" s="20"/>
      <c r="G556" s="20"/>
      <c r="H556" s="20"/>
      <c r="I556" s="211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0"/>
      <c r="V556" s="20"/>
      <c r="W556" s="20"/>
      <c r="X556" s="20"/>
      <c r="Y556" s="20"/>
      <c r="Z556" s="20"/>
      <c r="AA556" s="20" t="s">
        <v>2528</v>
      </c>
      <c r="AB556" s="20" t="s">
        <v>2529</v>
      </c>
      <c r="AC556" s="24">
        <v>1</v>
      </c>
      <c r="AD556" s="24"/>
      <c r="AE556" s="24"/>
      <c r="AF556" s="24"/>
      <c r="AG556" s="24"/>
      <c r="AH556" s="20"/>
      <c r="AI556" s="42"/>
    </row>
    <row r="557" spans="1:35">
      <c r="A557" s="14"/>
      <c r="B557" s="20"/>
      <c r="C557" s="84" t="s">
        <v>2420</v>
      </c>
      <c r="D557" s="20" t="s">
        <v>79</v>
      </c>
      <c r="E557" s="20" t="s">
        <v>80</v>
      </c>
      <c r="F557" s="20" t="s">
        <v>2584</v>
      </c>
      <c r="G557" s="20" t="s">
        <v>2585</v>
      </c>
      <c r="H557" s="20"/>
      <c r="I557" s="211" t="s">
        <v>2586</v>
      </c>
      <c r="J557" s="24">
        <v>1</v>
      </c>
      <c r="K557" s="24"/>
      <c r="L557" s="24">
        <v>1</v>
      </c>
      <c r="M557" s="24"/>
      <c r="N557" s="24"/>
      <c r="O557" s="24"/>
      <c r="P557" s="24"/>
      <c r="Q557" s="24"/>
      <c r="R557" s="24"/>
      <c r="S557" s="24"/>
      <c r="T557" s="24"/>
      <c r="U557" s="20" t="s">
        <v>221</v>
      </c>
      <c r="V557" s="20" t="s">
        <v>218</v>
      </c>
      <c r="W557" s="20" t="s">
        <v>279</v>
      </c>
      <c r="X557" s="20" t="s">
        <v>227</v>
      </c>
      <c r="Y557" s="20"/>
      <c r="Z557" s="20"/>
      <c r="AA557" s="20" t="s">
        <v>2527</v>
      </c>
      <c r="AB557" s="20" t="s">
        <v>1815</v>
      </c>
      <c r="AC557" s="24">
        <v>1</v>
      </c>
      <c r="AD557" s="24"/>
      <c r="AE557" s="24"/>
      <c r="AF557" s="24"/>
      <c r="AG557" s="24"/>
      <c r="AH557" s="20"/>
      <c r="AI557" s="42"/>
    </row>
    <row r="558" spans="1:35">
      <c r="A558" s="14"/>
      <c r="B558" s="20"/>
      <c r="C558" s="20"/>
      <c r="D558" s="20"/>
      <c r="E558" s="20"/>
      <c r="F558" s="20"/>
      <c r="G558" s="20"/>
      <c r="H558" s="20"/>
      <c r="I558" s="211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0"/>
      <c r="V558" s="20"/>
      <c r="W558" s="20"/>
      <c r="X558" s="20"/>
      <c r="Y558" s="20"/>
      <c r="Z558" s="20"/>
      <c r="AA558" s="20" t="s">
        <v>2528</v>
      </c>
      <c r="AB558" s="20" t="s">
        <v>2529</v>
      </c>
      <c r="AC558" s="24">
        <v>1</v>
      </c>
      <c r="AD558" s="24"/>
      <c r="AE558" s="24"/>
      <c r="AF558" s="24"/>
      <c r="AG558" s="24"/>
      <c r="AH558" s="20"/>
      <c r="AI558" s="42"/>
    </row>
    <row r="559" spans="1:35">
      <c r="A559" s="14"/>
      <c r="B559" s="20"/>
      <c r="C559" s="84" t="s">
        <v>2420</v>
      </c>
      <c r="D559" s="20" t="s">
        <v>79</v>
      </c>
      <c r="E559" s="20" t="s">
        <v>80</v>
      </c>
      <c r="F559" s="20" t="s">
        <v>974</v>
      </c>
      <c r="G559" s="20" t="s">
        <v>745</v>
      </c>
      <c r="H559" s="20"/>
      <c r="I559" s="211"/>
      <c r="J559" s="24">
        <v>1</v>
      </c>
      <c r="K559" s="24"/>
      <c r="L559" s="24">
        <v>1</v>
      </c>
      <c r="M559" s="24"/>
      <c r="N559" s="24"/>
      <c r="O559" s="24"/>
      <c r="P559" s="24"/>
      <c r="Q559" s="24"/>
      <c r="R559" s="24"/>
      <c r="S559" s="24"/>
      <c r="T559" s="24"/>
      <c r="U559" s="20" t="s">
        <v>866</v>
      </c>
      <c r="V559" s="20" t="s">
        <v>293</v>
      </c>
      <c r="W559" s="20" t="s">
        <v>298</v>
      </c>
      <c r="X559" s="20" t="s">
        <v>227</v>
      </c>
      <c r="Y559" s="20"/>
      <c r="Z559" s="20"/>
      <c r="AA559" s="20" t="s">
        <v>2528</v>
      </c>
      <c r="AB559" s="20" t="s">
        <v>2529</v>
      </c>
      <c r="AC559" s="24">
        <v>1</v>
      </c>
      <c r="AD559" s="24"/>
      <c r="AE559" s="24"/>
      <c r="AF559" s="24"/>
      <c r="AG559" s="24"/>
      <c r="AH559" s="20"/>
      <c r="AI559" s="42"/>
    </row>
    <row r="560" spans="1:35">
      <c r="A560" s="14"/>
      <c r="B560" s="20"/>
      <c r="C560" s="84" t="s">
        <v>2420</v>
      </c>
      <c r="D560" s="20" t="s">
        <v>79</v>
      </c>
      <c r="E560" s="20" t="s">
        <v>80</v>
      </c>
      <c r="F560" s="20" t="s">
        <v>1729</v>
      </c>
      <c r="G560" s="20" t="s">
        <v>140</v>
      </c>
      <c r="H560" s="20"/>
      <c r="I560" s="211"/>
      <c r="J560" s="24">
        <v>1</v>
      </c>
      <c r="K560" s="24"/>
      <c r="L560" s="24">
        <v>1</v>
      </c>
      <c r="M560" s="24"/>
      <c r="N560" s="24"/>
      <c r="O560" s="24"/>
      <c r="P560" s="24"/>
      <c r="Q560" s="24"/>
      <c r="R560" s="24"/>
      <c r="S560" s="24"/>
      <c r="T560" s="24"/>
      <c r="U560" s="20" t="s">
        <v>221</v>
      </c>
      <c r="V560" s="20" t="s">
        <v>218</v>
      </c>
      <c r="W560" s="20" t="s">
        <v>279</v>
      </c>
      <c r="X560" s="20" t="s">
        <v>227</v>
      </c>
      <c r="Y560" s="20"/>
      <c r="Z560" s="20"/>
      <c r="AA560" s="20" t="s">
        <v>2527</v>
      </c>
      <c r="AB560" s="20" t="s">
        <v>1815</v>
      </c>
      <c r="AC560" s="24">
        <v>1</v>
      </c>
      <c r="AD560" s="24"/>
      <c r="AE560" s="24"/>
      <c r="AF560" s="24"/>
      <c r="AG560" s="24"/>
      <c r="AH560" s="20"/>
      <c r="AI560" s="42"/>
    </row>
    <row r="561" spans="1:35">
      <c r="A561" s="14"/>
      <c r="B561" s="20"/>
      <c r="C561" s="20"/>
      <c r="D561" s="20"/>
      <c r="E561" s="20"/>
      <c r="F561" s="20"/>
      <c r="G561" s="20"/>
      <c r="H561" s="20"/>
      <c r="I561" s="211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0"/>
      <c r="V561" s="20"/>
      <c r="W561" s="20"/>
      <c r="X561" s="20"/>
      <c r="Y561" s="20"/>
      <c r="Z561" s="20"/>
      <c r="AA561" s="20" t="s">
        <v>2528</v>
      </c>
      <c r="AB561" s="20" t="s">
        <v>2529</v>
      </c>
      <c r="AC561" s="24">
        <v>1</v>
      </c>
      <c r="AD561" s="24"/>
      <c r="AE561" s="24"/>
      <c r="AF561" s="24"/>
      <c r="AG561" s="24"/>
      <c r="AH561" s="20"/>
      <c r="AI561" s="42"/>
    </row>
    <row r="562" spans="1:35">
      <c r="A562" s="14"/>
      <c r="B562" s="20"/>
      <c r="C562" s="84" t="s">
        <v>2420</v>
      </c>
      <c r="D562" s="20" t="s">
        <v>79</v>
      </c>
      <c r="E562" s="20" t="s">
        <v>80</v>
      </c>
      <c r="F562" s="20" t="s">
        <v>2612</v>
      </c>
      <c r="G562" s="20" t="s">
        <v>689</v>
      </c>
      <c r="H562" s="20"/>
      <c r="I562" s="211">
        <v>28348</v>
      </c>
      <c r="J562" s="24">
        <v>1</v>
      </c>
      <c r="K562" s="24"/>
      <c r="L562" s="24">
        <v>1</v>
      </c>
      <c r="M562" s="24"/>
      <c r="N562" s="24"/>
      <c r="O562" s="24"/>
      <c r="P562" s="24"/>
      <c r="Q562" s="24"/>
      <c r="R562" s="24"/>
      <c r="S562" s="24"/>
      <c r="T562" s="24"/>
      <c r="U562" s="20" t="s">
        <v>221</v>
      </c>
      <c r="V562" s="20" t="s">
        <v>218</v>
      </c>
      <c r="W562" s="20" t="s">
        <v>279</v>
      </c>
      <c r="X562" s="20" t="s">
        <v>227</v>
      </c>
      <c r="Y562" s="20"/>
      <c r="Z562" s="20"/>
      <c r="AA562" s="20" t="s">
        <v>2527</v>
      </c>
      <c r="AB562" s="20" t="s">
        <v>1815</v>
      </c>
      <c r="AC562" s="24">
        <v>1</v>
      </c>
      <c r="AD562" s="24"/>
      <c r="AE562" s="24"/>
      <c r="AF562" s="24"/>
      <c r="AG562" s="24"/>
      <c r="AH562" s="20"/>
      <c r="AI562" s="42"/>
    </row>
    <row r="563" spans="1:35">
      <c r="A563" s="14"/>
      <c r="B563" s="20"/>
      <c r="C563" s="20"/>
      <c r="D563" s="20"/>
      <c r="E563" s="20"/>
      <c r="F563" s="20"/>
      <c r="G563" s="20"/>
      <c r="H563" s="20"/>
      <c r="I563" s="211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0"/>
      <c r="V563" s="20"/>
      <c r="W563" s="20"/>
      <c r="X563" s="20"/>
      <c r="Y563" s="20"/>
      <c r="Z563" s="20"/>
      <c r="AA563" s="20" t="s">
        <v>2528</v>
      </c>
      <c r="AB563" s="20" t="s">
        <v>2529</v>
      </c>
      <c r="AC563" s="24">
        <v>1</v>
      </c>
      <c r="AD563" s="24"/>
      <c r="AE563" s="24"/>
      <c r="AF563" s="24"/>
      <c r="AG563" s="24"/>
      <c r="AH563" s="20"/>
      <c r="AI563" s="42"/>
    </row>
    <row r="564" spans="1:35">
      <c r="A564" s="14"/>
      <c r="B564" s="20"/>
      <c r="C564" s="84" t="s">
        <v>2420</v>
      </c>
      <c r="D564" s="20" t="s">
        <v>79</v>
      </c>
      <c r="E564" s="20" t="s">
        <v>80</v>
      </c>
      <c r="F564" s="20" t="s">
        <v>2613</v>
      </c>
      <c r="G564" s="20" t="s">
        <v>154</v>
      </c>
      <c r="H564" s="20"/>
      <c r="I564" s="211">
        <v>27219</v>
      </c>
      <c r="J564" s="24">
        <v>1</v>
      </c>
      <c r="K564" s="24"/>
      <c r="L564" s="24">
        <v>1</v>
      </c>
      <c r="M564" s="24"/>
      <c r="N564" s="24"/>
      <c r="O564" s="24"/>
      <c r="P564" s="24"/>
      <c r="Q564" s="24"/>
      <c r="R564" s="24"/>
      <c r="S564" s="24"/>
      <c r="T564" s="24"/>
      <c r="U564" s="20" t="s">
        <v>221</v>
      </c>
      <c r="V564" s="20" t="s">
        <v>218</v>
      </c>
      <c r="W564" s="20" t="s">
        <v>279</v>
      </c>
      <c r="X564" s="20" t="s">
        <v>227</v>
      </c>
      <c r="Y564" s="20"/>
      <c r="Z564" s="20"/>
      <c r="AA564" s="20" t="s">
        <v>2527</v>
      </c>
      <c r="AB564" s="20" t="s">
        <v>1815</v>
      </c>
      <c r="AC564" s="24">
        <v>1</v>
      </c>
      <c r="AD564" s="24"/>
      <c r="AE564" s="24"/>
      <c r="AF564" s="24"/>
      <c r="AG564" s="24"/>
      <c r="AH564" s="20"/>
      <c r="AI564" s="42"/>
    </row>
    <row r="565" spans="1:35">
      <c r="A565" s="14"/>
      <c r="B565" s="20"/>
      <c r="C565" s="20"/>
      <c r="D565" s="20"/>
      <c r="E565" s="20"/>
      <c r="F565" s="20"/>
      <c r="G565" s="20"/>
      <c r="H565" s="20"/>
      <c r="I565" s="211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0"/>
      <c r="V565" s="20"/>
      <c r="W565" s="20"/>
      <c r="X565" s="20"/>
      <c r="Y565" s="20"/>
      <c r="Z565" s="20"/>
      <c r="AA565" s="20" t="s">
        <v>2528</v>
      </c>
      <c r="AB565" s="20" t="s">
        <v>2529</v>
      </c>
      <c r="AC565" s="24">
        <v>1</v>
      </c>
      <c r="AD565" s="24"/>
      <c r="AE565" s="24"/>
      <c r="AF565" s="24"/>
      <c r="AG565" s="24"/>
      <c r="AH565" s="20"/>
      <c r="AI565" s="42"/>
    </row>
    <row r="566" spans="1:35">
      <c r="A566" s="14"/>
      <c r="B566" s="20"/>
      <c r="C566" s="84" t="s">
        <v>2420</v>
      </c>
      <c r="D566" s="20" t="s">
        <v>79</v>
      </c>
      <c r="E566" s="20" t="s">
        <v>80</v>
      </c>
      <c r="F566" s="20" t="s">
        <v>2544</v>
      </c>
      <c r="G566" s="20" t="s">
        <v>1771</v>
      </c>
      <c r="H566" s="20"/>
      <c r="I566" s="211" t="s">
        <v>2615</v>
      </c>
      <c r="J566" s="24">
        <v>1</v>
      </c>
      <c r="K566" s="24"/>
      <c r="L566" s="24">
        <v>1</v>
      </c>
      <c r="M566" s="24"/>
      <c r="N566" s="24"/>
      <c r="O566" s="24"/>
      <c r="P566" s="24"/>
      <c r="Q566" s="24"/>
      <c r="R566" s="24"/>
      <c r="S566" s="24"/>
      <c r="T566" s="24"/>
      <c r="U566" s="20" t="s">
        <v>221</v>
      </c>
      <c r="V566" s="20" t="s">
        <v>218</v>
      </c>
      <c r="W566" s="20" t="s">
        <v>279</v>
      </c>
      <c r="X566" s="20" t="s">
        <v>227</v>
      </c>
      <c r="Y566" s="20"/>
      <c r="Z566" s="20"/>
      <c r="AA566" s="20" t="s">
        <v>2527</v>
      </c>
      <c r="AB566" s="20" t="s">
        <v>1815</v>
      </c>
      <c r="AC566" s="24">
        <v>1</v>
      </c>
      <c r="AD566" s="24"/>
      <c r="AE566" s="24"/>
      <c r="AF566" s="24"/>
      <c r="AG566" s="24"/>
      <c r="AH566" s="20"/>
      <c r="AI566" s="42"/>
    </row>
    <row r="567" spans="1:35">
      <c r="A567" s="14"/>
      <c r="B567" s="20"/>
      <c r="C567" s="20"/>
      <c r="D567" s="20"/>
      <c r="E567" s="20"/>
      <c r="F567" s="20"/>
      <c r="G567" s="20"/>
      <c r="H567" s="20"/>
      <c r="I567" s="211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0"/>
      <c r="V567" s="20"/>
      <c r="W567" s="20"/>
      <c r="X567" s="20"/>
      <c r="Y567" s="20"/>
      <c r="Z567" s="20"/>
      <c r="AA567" s="20" t="s">
        <v>2528</v>
      </c>
      <c r="AB567" s="20" t="s">
        <v>2529</v>
      </c>
      <c r="AC567" s="24">
        <v>1</v>
      </c>
      <c r="AD567" s="24"/>
      <c r="AE567" s="24"/>
      <c r="AF567" s="24"/>
      <c r="AG567" s="24"/>
      <c r="AH567" s="20"/>
      <c r="AI567" s="42"/>
    </row>
    <row r="568" spans="1:35">
      <c r="A568" s="14"/>
      <c r="B568" s="20"/>
      <c r="C568" s="84" t="s">
        <v>2420</v>
      </c>
      <c r="D568" s="20" t="s">
        <v>79</v>
      </c>
      <c r="E568" s="20" t="s">
        <v>80</v>
      </c>
      <c r="F568" s="20" t="s">
        <v>191</v>
      </c>
      <c r="G568" s="20" t="s">
        <v>711</v>
      </c>
      <c r="H568" s="20"/>
      <c r="I568" s="211" t="s">
        <v>2614</v>
      </c>
      <c r="J568" s="24">
        <v>1</v>
      </c>
      <c r="K568" s="24"/>
      <c r="L568" s="24">
        <v>1</v>
      </c>
      <c r="M568" s="24"/>
      <c r="N568" s="24"/>
      <c r="O568" s="24"/>
      <c r="P568" s="24"/>
      <c r="Q568" s="24"/>
      <c r="R568" s="24"/>
      <c r="S568" s="24"/>
      <c r="T568" s="24"/>
      <c r="U568" s="20" t="s">
        <v>221</v>
      </c>
      <c r="V568" s="20" t="s">
        <v>218</v>
      </c>
      <c r="W568" s="20" t="s">
        <v>279</v>
      </c>
      <c r="X568" s="20" t="s">
        <v>227</v>
      </c>
      <c r="Y568" s="20"/>
      <c r="Z568" s="20"/>
      <c r="AA568" s="20" t="s">
        <v>2527</v>
      </c>
      <c r="AB568" s="20" t="s">
        <v>1815</v>
      </c>
      <c r="AC568" s="24">
        <v>1</v>
      </c>
      <c r="AD568" s="24"/>
      <c r="AE568" s="24"/>
      <c r="AF568" s="24"/>
      <c r="AG568" s="24"/>
      <c r="AH568" s="20"/>
      <c r="AI568" s="42"/>
    </row>
    <row r="569" spans="1:35">
      <c r="A569" s="14"/>
      <c r="B569" s="20"/>
      <c r="C569" s="20"/>
      <c r="D569" s="20"/>
      <c r="E569" s="20"/>
      <c r="F569" s="20"/>
      <c r="G569" s="20"/>
      <c r="H569" s="20"/>
      <c r="I569" s="211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0"/>
      <c r="V569" s="20"/>
      <c r="W569" s="20"/>
      <c r="X569" s="20"/>
      <c r="Y569" s="20"/>
      <c r="Z569" s="20"/>
      <c r="AA569" s="20" t="s">
        <v>2528</v>
      </c>
      <c r="AB569" s="20" t="s">
        <v>2529</v>
      </c>
      <c r="AC569" s="24">
        <v>1</v>
      </c>
      <c r="AD569" s="24"/>
      <c r="AE569" s="24"/>
      <c r="AF569" s="24"/>
      <c r="AG569" s="24"/>
      <c r="AH569" s="20"/>
      <c r="AI569" s="42"/>
    </row>
    <row r="570" spans="1:35">
      <c r="A570" s="14"/>
      <c r="B570" s="20"/>
      <c r="C570" s="84" t="s">
        <v>2420</v>
      </c>
      <c r="D570" s="20" t="s">
        <v>79</v>
      </c>
      <c r="E570" s="20" t="s">
        <v>80</v>
      </c>
      <c r="F570" s="20" t="s">
        <v>147</v>
      </c>
      <c r="G570" s="20" t="s">
        <v>1335</v>
      </c>
      <c r="H570" s="20"/>
      <c r="I570" s="211" t="s">
        <v>2616</v>
      </c>
      <c r="J570" s="24">
        <v>1</v>
      </c>
      <c r="K570" s="24"/>
      <c r="L570" s="24">
        <v>1</v>
      </c>
      <c r="M570" s="24"/>
      <c r="N570" s="24"/>
      <c r="O570" s="24"/>
      <c r="P570" s="24"/>
      <c r="Q570" s="24"/>
      <c r="R570" s="24"/>
      <c r="S570" s="24"/>
      <c r="T570" s="24"/>
      <c r="U570" s="20" t="s">
        <v>221</v>
      </c>
      <c r="V570" s="20" t="s">
        <v>218</v>
      </c>
      <c r="W570" s="20" t="s">
        <v>279</v>
      </c>
      <c r="X570" s="20" t="s">
        <v>227</v>
      </c>
      <c r="Y570" s="20"/>
      <c r="Z570" s="20"/>
      <c r="AA570" s="20" t="s">
        <v>2527</v>
      </c>
      <c r="AB570" s="20" t="s">
        <v>1815</v>
      </c>
      <c r="AC570" s="24">
        <v>1</v>
      </c>
      <c r="AD570" s="24"/>
      <c r="AE570" s="24"/>
      <c r="AF570" s="24"/>
      <c r="AG570" s="24"/>
      <c r="AH570" s="20"/>
      <c r="AI570" s="42"/>
    </row>
    <row r="571" spans="1:35">
      <c r="A571" s="14"/>
      <c r="B571" s="20"/>
      <c r="C571" s="20"/>
      <c r="D571" s="20"/>
      <c r="E571" s="20"/>
      <c r="F571" s="20"/>
      <c r="G571" s="20"/>
      <c r="H571" s="20"/>
      <c r="I571" s="211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0"/>
      <c r="V571" s="20"/>
      <c r="W571" s="20"/>
      <c r="X571" s="20"/>
      <c r="Y571" s="20"/>
      <c r="Z571" s="20"/>
      <c r="AA571" s="20" t="s">
        <v>2528</v>
      </c>
      <c r="AB571" s="20" t="s">
        <v>2529</v>
      </c>
      <c r="AC571" s="24">
        <v>1</v>
      </c>
      <c r="AD571" s="24"/>
      <c r="AE571" s="24"/>
      <c r="AF571" s="24"/>
      <c r="AG571" s="24"/>
      <c r="AH571" s="20"/>
      <c r="AI571" s="42"/>
    </row>
    <row r="572" spans="1:35">
      <c r="A572" s="14"/>
      <c r="B572" s="20"/>
      <c r="C572" s="84" t="s">
        <v>2420</v>
      </c>
      <c r="D572" s="20" t="s">
        <v>79</v>
      </c>
      <c r="E572" s="20" t="s">
        <v>80</v>
      </c>
      <c r="F572" s="20" t="s">
        <v>2617</v>
      </c>
      <c r="G572" s="20" t="s">
        <v>1299</v>
      </c>
      <c r="H572" s="20"/>
      <c r="I572" s="211" t="s">
        <v>2618</v>
      </c>
      <c r="J572" s="24"/>
      <c r="K572" s="24">
        <v>1</v>
      </c>
      <c r="L572" s="24">
        <v>1</v>
      </c>
      <c r="M572" s="24"/>
      <c r="N572" s="24"/>
      <c r="O572" s="24"/>
      <c r="P572" s="24"/>
      <c r="Q572" s="24"/>
      <c r="R572" s="24"/>
      <c r="S572" s="24"/>
      <c r="T572" s="24"/>
      <c r="U572" s="20" t="s">
        <v>221</v>
      </c>
      <c r="V572" s="20" t="s">
        <v>218</v>
      </c>
      <c r="W572" s="20" t="s">
        <v>279</v>
      </c>
      <c r="X572" s="20" t="s">
        <v>227</v>
      </c>
      <c r="Y572" s="20"/>
      <c r="Z572" s="20"/>
      <c r="AA572" s="20" t="s">
        <v>2527</v>
      </c>
      <c r="AB572" s="20" t="s">
        <v>1815</v>
      </c>
      <c r="AC572" s="24">
        <v>1</v>
      </c>
      <c r="AD572" s="24"/>
      <c r="AE572" s="24"/>
      <c r="AF572" s="24"/>
      <c r="AG572" s="24"/>
      <c r="AH572" s="20"/>
      <c r="AI572" s="42"/>
    </row>
    <row r="573" spans="1:35">
      <c r="A573" s="14"/>
      <c r="B573" s="20"/>
      <c r="C573" s="20"/>
      <c r="D573" s="20"/>
      <c r="E573" s="20"/>
      <c r="F573" s="20"/>
      <c r="G573" s="20"/>
      <c r="H573" s="20"/>
      <c r="I573" s="211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0"/>
      <c r="V573" s="20"/>
      <c r="W573" s="20"/>
      <c r="X573" s="20"/>
      <c r="Y573" s="20"/>
      <c r="Z573" s="20"/>
      <c r="AA573" s="20" t="s">
        <v>2528</v>
      </c>
      <c r="AB573" s="20" t="s">
        <v>2529</v>
      </c>
      <c r="AC573" s="24">
        <v>1</v>
      </c>
      <c r="AD573" s="24"/>
      <c r="AE573" s="24"/>
      <c r="AF573" s="24"/>
      <c r="AG573" s="24"/>
      <c r="AH573" s="20"/>
      <c r="AI573" s="42"/>
    </row>
    <row r="574" spans="1:35">
      <c r="A574" s="14"/>
      <c r="B574" s="20"/>
      <c r="C574" s="84" t="s">
        <v>2420</v>
      </c>
      <c r="D574" s="20" t="s">
        <v>79</v>
      </c>
      <c r="E574" s="20" t="s">
        <v>80</v>
      </c>
      <c r="F574" s="20" t="s">
        <v>174</v>
      </c>
      <c r="G574" s="20" t="s">
        <v>713</v>
      </c>
      <c r="H574" s="20"/>
      <c r="I574" s="211">
        <v>25845</v>
      </c>
      <c r="J574" s="24">
        <v>1</v>
      </c>
      <c r="K574" s="24"/>
      <c r="L574" s="24">
        <v>1</v>
      </c>
      <c r="M574" s="24"/>
      <c r="N574" s="24"/>
      <c r="O574" s="24"/>
      <c r="P574" s="24"/>
      <c r="Q574" s="24"/>
      <c r="R574" s="24"/>
      <c r="S574" s="24"/>
      <c r="T574" s="24"/>
      <c r="U574" s="20" t="s">
        <v>221</v>
      </c>
      <c r="V574" s="20" t="s">
        <v>218</v>
      </c>
      <c r="W574" s="20" t="s">
        <v>279</v>
      </c>
      <c r="X574" s="20" t="s">
        <v>227</v>
      </c>
      <c r="Y574" s="20"/>
      <c r="Z574" s="20"/>
      <c r="AA574" s="20" t="s">
        <v>2527</v>
      </c>
      <c r="AB574" s="20" t="s">
        <v>1815</v>
      </c>
      <c r="AC574" s="24">
        <v>1</v>
      </c>
      <c r="AD574" s="24"/>
      <c r="AE574" s="24"/>
      <c r="AF574" s="24"/>
      <c r="AG574" s="24"/>
      <c r="AH574" s="20"/>
      <c r="AI574" s="42"/>
    </row>
    <row r="575" spans="1:35">
      <c r="A575" s="14"/>
      <c r="B575" s="20"/>
      <c r="C575" s="20"/>
      <c r="D575" s="20"/>
      <c r="E575" s="20"/>
      <c r="F575" s="20"/>
      <c r="G575" s="20"/>
      <c r="H575" s="20"/>
      <c r="I575" s="211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0"/>
      <c r="V575" s="20"/>
      <c r="W575" s="20"/>
      <c r="X575" s="20"/>
      <c r="Y575" s="20"/>
      <c r="Z575" s="20"/>
      <c r="AA575" s="20" t="s">
        <v>2528</v>
      </c>
      <c r="AB575" s="20" t="s">
        <v>2529</v>
      </c>
      <c r="AC575" s="24">
        <v>1</v>
      </c>
      <c r="AD575" s="24"/>
      <c r="AE575" s="24"/>
      <c r="AF575" s="24"/>
      <c r="AG575" s="24"/>
      <c r="AH575" s="20"/>
      <c r="AI575" s="42"/>
    </row>
    <row r="576" spans="1:35">
      <c r="A576" s="14"/>
      <c r="B576" s="20"/>
      <c r="C576" s="84" t="s">
        <v>2420</v>
      </c>
      <c r="D576" s="20" t="s">
        <v>79</v>
      </c>
      <c r="E576" s="20" t="s">
        <v>80</v>
      </c>
      <c r="F576" s="20" t="s">
        <v>2619</v>
      </c>
      <c r="G576" s="20" t="s">
        <v>2620</v>
      </c>
      <c r="H576" s="20"/>
      <c r="I576" s="211">
        <v>30838</v>
      </c>
      <c r="J576" s="24">
        <v>1</v>
      </c>
      <c r="K576" s="24"/>
      <c r="L576" s="24">
        <v>1</v>
      </c>
      <c r="M576" s="24"/>
      <c r="N576" s="24"/>
      <c r="O576" s="24"/>
      <c r="P576" s="24"/>
      <c r="Q576" s="24"/>
      <c r="R576" s="24"/>
      <c r="S576" s="24"/>
      <c r="T576" s="24"/>
      <c r="U576" s="20" t="s">
        <v>221</v>
      </c>
      <c r="V576" s="20" t="s">
        <v>218</v>
      </c>
      <c r="W576" s="20" t="s">
        <v>279</v>
      </c>
      <c r="X576" s="20" t="s">
        <v>227</v>
      </c>
      <c r="Y576" s="20"/>
      <c r="Z576" s="20"/>
      <c r="AA576" s="20" t="s">
        <v>2527</v>
      </c>
      <c r="AB576" s="20" t="s">
        <v>1815</v>
      </c>
      <c r="AC576" s="24">
        <v>1</v>
      </c>
      <c r="AD576" s="24"/>
      <c r="AE576" s="24"/>
      <c r="AF576" s="24"/>
      <c r="AG576" s="24"/>
      <c r="AH576" s="20"/>
      <c r="AI576" s="42"/>
    </row>
    <row r="577" spans="1:35">
      <c r="A577" s="14"/>
      <c r="B577" s="20"/>
      <c r="C577" s="20"/>
      <c r="D577" s="20"/>
      <c r="E577" s="20"/>
      <c r="F577" s="20"/>
      <c r="G577" s="20"/>
      <c r="H577" s="20"/>
      <c r="I577" s="211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0"/>
      <c r="V577" s="20"/>
      <c r="W577" s="20"/>
      <c r="X577" s="20"/>
      <c r="Y577" s="20"/>
      <c r="Z577" s="20"/>
      <c r="AA577" s="20" t="s">
        <v>2528</v>
      </c>
      <c r="AB577" s="20" t="s">
        <v>2529</v>
      </c>
      <c r="AC577" s="24">
        <v>1</v>
      </c>
      <c r="AD577" s="24"/>
      <c r="AE577" s="24"/>
      <c r="AF577" s="24"/>
      <c r="AG577" s="24"/>
      <c r="AH577" s="20"/>
      <c r="AI577" s="42"/>
    </row>
    <row r="578" spans="1:35">
      <c r="A578" s="14"/>
      <c r="B578" s="20"/>
      <c r="C578" s="84" t="s">
        <v>2420</v>
      </c>
      <c r="D578" s="20" t="s">
        <v>79</v>
      </c>
      <c r="E578" s="20" t="s">
        <v>80</v>
      </c>
      <c r="F578" s="20" t="s">
        <v>2621</v>
      </c>
      <c r="G578" s="20" t="s">
        <v>154</v>
      </c>
      <c r="H578" s="20"/>
      <c r="I578" s="211" t="s">
        <v>2624</v>
      </c>
      <c r="J578" s="24">
        <v>1</v>
      </c>
      <c r="K578" s="24"/>
      <c r="L578" s="24">
        <v>1</v>
      </c>
      <c r="M578" s="24"/>
      <c r="N578" s="24"/>
      <c r="O578" s="24"/>
      <c r="P578" s="24"/>
      <c r="Q578" s="24"/>
      <c r="R578" s="24"/>
      <c r="S578" s="24"/>
      <c r="T578" s="24"/>
      <c r="U578" s="20" t="s">
        <v>221</v>
      </c>
      <c r="V578" s="20" t="s">
        <v>218</v>
      </c>
      <c r="W578" s="20" t="s">
        <v>279</v>
      </c>
      <c r="X578" s="20" t="s">
        <v>227</v>
      </c>
      <c r="Y578" s="20"/>
      <c r="Z578" s="20"/>
      <c r="AA578" s="20" t="s">
        <v>2527</v>
      </c>
      <c r="AB578" s="20" t="s">
        <v>1815</v>
      </c>
      <c r="AC578" s="24">
        <v>1</v>
      </c>
      <c r="AD578" s="24"/>
      <c r="AE578" s="24"/>
      <c r="AF578" s="24"/>
      <c r="AG578" s="24"/>
      <c r="AH578" s="20"/>
      <c r="AI578" s="42"/>
    </row>
    <row r="579" spans="1:35">
      <c r="A579" s="14"/>
      <c r="B579" s="20"/>
      <c r="C579" s="20"/>
      <c r="D579" s="20"/>
      <c r="E579" s="20"/>
      <c r="F579" s="20"/>
      <c r="G579" s="20"/>
      <c r="H579" s="20"/>
      <c r="I579" s="211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0"/>
      <c r="V579" s="20"/>
      <c r="W579" s="20"/>
      <c r="X579" s="20"/>
      <c r="Y579" s="20"/>
      <c r="Z579" s="20"/>
      <c r="AA579" s="20" t="s">
        <v>2528</v>
      </c>
      <c r="AB579" s="20" t="s">
        <v>2529</v>
      </c>
      <c r="AC579" s="24">
        <v>1</v>
      </c>
      <c r="AD579" s="24"/>
      <c r="AE579" s="24"/>
      <c r="AF579" s="24"/>
      <c r="AG579" s="24"/>
      <c r="AH579" s="20"/>
      <c r="AI579" s="42"/>
    </row>
    <row r="580" spans="1:35">
      <c r="A580" s="14"/>
      <c r="B580" s="20"/>
      <c r="C580" s="84" t="s">
        <v>2420</v>
      </c>
      <c r="D580" s="20" t="s">
        <v>79</v>
      </c>
      <c r="E580" s="20" t="s">
        <v>80</v>
      </c>
      <c r="F580" s="20" t="s">
        <v>2622</v>
      </c>
      <c r="G580" s="20" t="s">
        <v>2623</v>
      </c>
      <c r="H580" s="20"/>
      <c r="I580" s="211">
        <v>22413</v>
      </c>
      <c r="J580" s="24">
        <v>1</v>
      </c>
      <c r="K580" s="24"/>
      <c r="L580" s="24">
        <v>1</v>
      </c>
      <c r="M580" s="24"/>
      <c r="N580" s="24"/>
      <c r="O580" s="24"/>
      <c r="P580" s="24"/>
      <c r="Q580" s="24"/>
      <c r="R580" s="24"/>
      <c r="S580" s="24"/>
      <c r="T580" s="24"/>
      <c r="U580" s="20" t="s">
        <v>221</v>
      </c>
      <c r="V580" s="20" t="s">
        <v>218</v>
      </c>
      <c r="W580" s="20" t="s">
        <v>279</v>
      </c>
      <c r="X580" s="20" t="s">
        <v>227</v>
      </c>
      <c r="Y580" s="20"/>
      <c r="Z580" s="20"/>
      <c r="AA580" s="20" t="s">
        <v>2527</v>
      </c>
      <c r="AB580" s="20" t="s">
        <v>1815</v>
      </c>
      <c r="AC580" s="24">
        <v>1</v>
      </c>
      <c r="AD580" s="24"/>
      <c r="AE580" s="24"/>
      <c r="AF580" s="24"/>
      <c r="AG580" s="24"/>
      <c r="AH580" s="20"/>
      <c r="AI580" s="42"/>
    </row>
    <row r="581" spans="1:35">
      <c r="A581" s="14"/>
      <c r="B581" s="20"/>
      <c r="C581" s="20"/>
      <c r="D581" s="20"/>
      <c r="E581" s="20"/>
      <c r="F581" s="20"/>
      <c r="G581" s="20"/>
      <c r="H581" s="20"/>
      <c r="I581" s="211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0"/>
      <c r="V581" s="20"/>
      <c r="W581" s="20"/>
      <c r="X581" s="20"/>
      <c r="Y581" s="20"/>
      <c r="Z581" s="20"/>
      <c r="AA581" s="20" t="s">
        <v>2528</v>
      </c>
      <c r="AB581" s="20" t="s">
        <v>2529</v>
      </c>
      <c r="AC581" s="24">
        <v>1</v>
      </c>
      <c r="AD581" s="24"/>
      <c r="AE581" s="24"/>
      <c r="AF581" s="24"/>
      <c r="AG581" s="24"/>
      <c r="AH581" s="20"/>
      <c r="AI581" s="42"/>
    </row>
    <row r="582" spans="1:35">
      <c r="A582" s="14"/>
      <c r="B582" s="20"/>
      <c r="C582" s="84" t="s">
        <v>2420</v>
      </c>
      <c r="D582" s="20" t="s">
        <v>79</v>
      </c>
      <c r="E582" s="20" t="s">
        <v>80</v>
      </c>
      <c r="F582" s="20" t="s">
        <v>995</v>
      </c>
      <c r="G582" s="20" t="s">
        <v>1035</v>
      </c>
      <c r="H582" s="20"/>
      <c r="I582" s="211" t="s">
        <v>2625</v>
      </c>
      <c r="J582" s="24">
        <v>1</v>
      </c>
      <c r="K582" s="24"/>
      <c r="L582" s="24">
        <v>1</v>
      </c>
      <c r="M582" s="24"/>
      <c r="N582" s="24"/>
      <c r="O582" s="24"/>
      <c r="P582" s="24"/>
      <c r="Q582" s="24"/>
      <c r="R582" s="24"/>
      <c r="S582" s="24"/>
      <c r="T582" s="24"/>
      <c r="U582" s="20" t="s">
        <v>221</v>
      </c>
      <c r="V582" s="20" t="s">
        <v>218</v>
      </c>
      <c r="W582" s="20" t="s">
        <v>279</v>
      </c>
      <c r="X582" s="20" t="s">
        <v>227</v>
      </c>
      <c r="Y582" s="20"/>
      <c r="Z582" s="20"/>
      <c r="AA582" s="20" t="s">
        <v>2527</v>
      </c>
      <c r="AB582" s="20" t="s">
        <v>1815</v>
      </c>
      <c r="AC582" s="24">
        <v>1</v>
      </c>
      <c r="AD582" s="24"/>
      <c r="AE582" s="24"/>
      <c r="AF582" s="24"/>
      <c r="AG582" s="24"/>
      <c r="AH582" s="20"/>
      <c r="AI582" s="42"/>
    </row>
    <row r="583" spans="1:35">
      <c r="A583" s="14"/>
      <c r="B583" s="20"/>
      <c r="C583" s="20"/>
      <c r="D583" s="20"/>
      <c r="E583" s="20"/>
      <c r="F583" s="20"/>
      <c r="G583" s="20"/>
      <c r="H583" s="20"/>
      <c r="I583" s="211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0"/>
      <c r="V583" s="20"/>
      <c r="W583" s="20"/>
      <c r="X583" s="20"/>
      <c r="Y583" s="20"/>
      <c r="Z583" s="20"/>
      <c r="AA583" s="20" t="s">
        <v>2528</v>
      </c>
      <c r="AB583" s="20" t="s">
        <v>2529</v>
      </c>
      <c r="AC583" s="24">
        <v>1</v>
      </c>
      <c r="AD583" s="24"/>
      <c r="AE583" s="24"/>
      <c r="AF583" s="24"/>
      <c r="AG583" s="24"/>
      <c r="AH583" s="20"/>
      <c r="AI583" s="42"/>
    </row>
    <row r="584" spans="1:35">
      <c r="A584" s="14"/>
      <c r="B584" s="20"/>
      <c r="C584" s="84" t="s">
        <v>2420</v>
      </c>
      <c r="D584" s="20" t="s">
        <v>79</v>
      </c>
      <c r="E584" s="20" t="s">
        <v>80</v>
      </c>
      <c r="F584" s="20" t="s">
        <v>147</v>
      </c>
      <c r="G584" s="20" t="s">
        <v>2626</v>
      </c>
      <c r="H584" s="20"/>
      <c r="I584" s="211" t="s">
        <v>2627</v>
      </c>
      <c r="J584" s="24">
        <v>1</v>
      </c>
      <c r="K584" s="24"/>
      <c r="L584" s="24">
        <v>1</v>
      </c>
      <c r="M584" s="24"/>
      <c r="N584" s="24"/>
      <c r="O584" s="24"/>
      <c r="P584" s="24"/>
      <c r="Q584" s="24"/>
      <c r="R584" s="24"/>
      <c r="S584" s="24"/>
      <c r="T584" s="24"/>
      <c r="U584" s="20" t="s">
        <v>221</v>
      </c>
      <c r="V584" s="20" t="s">
        <v>218</v>
      </c>
      <c r="W584" s="20" t="s">
        <v>279</v>
      </c>
      <c r="X584" s="20" t="s">
        <v>227</v>
      </c>
      <c r="Y584" s="20"/>
      <c r="Z584" s="20"/>
      <c r="AA584" s="20" t="s">
        <v>2527</v>
      </c>
      <c r="AB584" s="20" t="s">
        <v>1815</v>
      </c>
      <c r="AC584" s="24">
        <v>1</v>
      </c>
      <c r="AD584" s="24"/>
      <c r="AE584" s="24"/>
      <c r="AF584" s="24"/>
      <c r="AG584" s="24"/>
      <c r="AH584" s="20"/>
      <c r="AI584" s="42"/>
    </row>
    <row r="585" spans="1:35">
      <c r="A585" s="14"/>
      <c r="B585" s="20"/>
      <c r="C585" s="20"/>
      <c r="D585" s="20"/>
      <c r="E585" s="20"/>
      <c r="F585" s="20"/>
      <c r="G585" s="20"/>
      <c r="H585" s="20"/>
      <c r="I585" s="211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0"/>
      <c r="V585" s="20"/>
      <c r="W585" s="20"/>
      <c r="X585" s="20"/>
      <c r="Y585" s="20"/>
      <c r="Z585" s="20"/>
      <c r="AA585" s="20" t="s">
        <v>2528</v>
      </c>
      <c r="AB585" s="20" t="s">
        <v>2529</v>
      </c>
      <c r="AC585" s="24">
        <v>1</v>
      </c>
      <c r="AD585" s="24"/>
      <c r="AE585" s="24"/>
      <c r="AF585" s="24"/>
      <c r="AG585" s="24"/>
      <c r="AH585" s="20"/>
      <c r="AI585" s="42"/>
    </row>
    <row r="586" spans="1:35">
      <c r="A586" s="14"/>
      <c r="B586" s="20"/>
      <c r="C586" s="84" t="s">
        <v>2420</v>
      </c>
      <c r="D586" s="20" t="s">
        <v>79</v>
      </c>
      <c r="E586" s="20" t="s">
        <v>80</v>
      </c>
      <c r="F586" s="20" t="s">
        <v>155</v>
      </c>
      <c r="G586" s="20" t="s">
        <v>156</v>
      </c>
      <c r="H586" s="20"/>
      <c r="I586" s="211" t="s">
        <v>2538</v>
      </c>
      <c r="J586" s="24">
        <v>1</v>
      </c>
      <c r="K586" s="24"/>
      <c r="L586" s="24">
        <v>1</v>
      </c>
      <c r="M586" s="24"/>
      <c r="N586" s="24"/>
      <c r="O586" s="24"/>
      <c r="P586" s="24"/>
      <c r="Q586" s="24"/>
      <c r="R586" s="24"/>
      <c r="S586" s="24"/>
      <c r="T586" s="24"/>
      <c r="U586" s="20" t="s">
        <v>221</v>
      </c>
      <c r="V586" s="20" t="s">
        <v>218</v>
      </c>
      <c r="W586" s="20" t="s">
        <v>279</v>
      </c>
      <c r="X586" s="20" t="s">
        <v>227</v>
      </c>
      <c r="Y586" s="20"/>
      <c r="Z586" s="20"/>
      <c r="AA586" s="20" t="s">
        <v>2527</v>
      </c>
      <c r="AB586" s="20" t="s">
        <v>1815</v>
      </c>
      <c r="AC586" s="24">
        <v>1</v>
      </c>
      <c r="AD586" s="24"/>
      <c r="AE586" s="24"/>
      <c r="AF586" s="24"/>
      <c r="AG586" s="24"/>
      <c r="AH586" s="20"/>
      <c r="AI586" s="42"/>
    </row>
    <row r="587" spans="1:35">
      <c r="A587" s="14"/>
      <c r="B587" s="20"/>
      <c r="C587" s="20"/>
      <c r="D587" s="20"/>
      <c r="E587" s="20"/>
      <c r="F587" s="20"/>
      <c r="G587" s="20"/>
      <c r="H587" s="20"/>
      <c r="I587" s="211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0"/>
      <c r="V587" s="20"/>
      <c r="W587" s="20"/>
      <c r="X587" s="20"/>
      <c r="Y587" s="20"/>
      <c r="Z587" s="20"/>
      <c r="AA587" s="20" t="s">
        <v>2528</v>
      </c>
      <c r="AB587" s="20" t="s">
        <v>2529</v>
      </c>
      <c r="AC587" s="24">
        <v>1</v>
      </c>
      <c r="AD587" s="24"/>
      <c r="AE587" s="24"/>
      <c r="AF587" s="24"/>
      <c r="AG587" s="24"/>
      <c r="AH587" s="20"/>
      <c r="AI587" s="42"/>
    </row>
    <row r="588" spans="1:35">
      <c r="A588" s="14"/>
      <c r="B588" s="20"/>
      <c r="C588" s="84" t="s">
        <v>2420</v>
      </c>
      <c r="D588" s="20" t="s">
        <v>79</v>
      </c>
      <c r="E588" s="20" t="s">
        <v>80</v>
      </c>
      <c r="F588" s="20" t="s">
        <v>137</v>
      </c>
      <c r="G588" s="20" t="s">
        <v>2628</v>
      </c>
      <c r="H588" s="20"/>
      <c r="I588" s="211" t="s">
        <v>2629</v>
      </c>
      <c r="J588" s="24">
        <v>1</v>
      </c>
      <c r="K588" s="24"/>
      <c r="L588" s="24">
        <v>1</v>
      </c>
      <c r="M588" s="24"/>
      <c r="N588" s="24"/>
      <c r="O588" s="24"/>
      <c r="P588" s="24"/>
      <c r="Q588" s="24"/>
      <c r="R588" s="24"/>
      <c r="S588" s="24"/>
      <c r="T588" s="24"/>
      <c r="U588" s="20" t="s">
        <v>221</v>
      </c>
      <c r="V588" s="20" t="s">
        <v>218</v>
      </c>
      <c r="W588" s="20" t="s">
        <v>279</v>
      </c>
      <c r="X588" s="20" t="s">
        <v>227</v>
      </c>
      <c r="Y588" s="20"/>
      <c r="Z588" s="20"/>
      <c r="AA588" s="20" t="s">
        <v>2527</v>
      </c>
      <c r="AB588" s="20" t="s">
        <v>1815</v>
      </c>
      <c r="AC588" s="24">
        <v>1</v>
      </c>
      <c r="AD588" s="24"/>
      <c r="AE588" s="24"/>
      <c r="AF588" s="24"/>
      <c r="AG588" s="24"/>
      <c r="AH588" s="20"/>
      <c r="AI588" s="42"/>
    </row>
    <row r="589" spans="1:35">
      <c r="A589" s="14"/>
      <c r="B589" s="20"/>
      <c r="C589" s="20"/>
      <c r="D589" s="20"/>
      <c r="E589" s="20"/>
      <c r="F589" s="20"/>
      <c r="G589" s="20"/>
      <c r="H589" s="20"/>
      <c r="I589" s="211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0"/>
      <c r="V589" s="20"/>
      <c r="W589" s="20"/>
      <c r="X589" s="20"/>
      <c r="Y589" s="20"/>
      <c r="Z589" s="20"/>
      <c r="AA589" s="20" t="s">
        <v>2528</v>
      </c>
      <c r="AB589" s="20" t="s">
        <v>2529</v>
      </c>
      <c r="AC589" s="24">
        <v>1</v>
      </c>
      <c r="AD589" s="24"/>
      <c r="AE589" s="24"/>
      <c r="AF589" s="24"/>
      <c r="AG589" s="24"/>
      <c r="AH589" s="20"/>
      <c r="AI589" s="42"/>
    </row>
    <row r="590" spans="1:35">
      <c r="A590" s="14"/>
      <c r="B590" s="20"/>
      <c r="C590" s="84" t="s">
        <v>2420</v>
      </c>
      <c r="D590" s="20" t="s">
        <v>79</v>
      </c>
      <c r="E590" s="20" t="s">
        <v>80</v>
      </c>
      <c r="F590" s="20" t="s">
        <v>184</v>
      </c>
      <c r="G590" s="20" t="s">
        <v>188</v>
      </c>
      <c r="H590" s="20" t="s">
        <v>120</v>
      </c>
      <c r="I590" s="211">
        <v>28192</v>
      </c>
      <c r="J590" s="24">
        <v>1</v>
      </c>
      <c r="K590" s="24"/>
      <c r="L590" s="24">
        <v>1</v>
      </c>
      <c r="M590" s="24"/>
      <c r="N590" s="24"/>
      <c r="O590" s="24"/>
      <c r="P590" s="24"/>
      <c r="Q590" s="24"/>
      <c r="R590" s="24"/>
      <c r="S590" s="24"/>
      <c r="T590" s="24"/>
      <c r="U590" s="20" t="s">
        <v>221</v>
      </c>
      <c r="V590" s="20" t="s">
        <v>218</v>
      </c>
      <c r="W590" s="20" t="s">
        <v>279</v>
      </c>
      <c r="X590" s="20" t="s">
        <v>227</v>
      </c>
      <c r="Y590" s="20"/>
      <c r="Z590" s="20"/>
      <c r="AA590" s="20" t="s">
        <v>2527</v>
      </c>
      <c r="AB590" s="20" t="s">
        <v>1815</v>
      </c>
      <c r="AC590" s="24">
        <v>1</v>
      </c>
      <c r="AD590" s="24"/>
      <c r="AE590" s="24"/>
      <c r="AF590" s="24"/>
      <c r="AG590" s="24"/>
      <c r="AH590" s="20"/>
      <c r="AI590" s="42"/>
    </row>
    <row r="591" spans="1:35">
      <c r="A591" s="14"/>
      <c r="B591" s="20"/>
      <c r="C591" s="20"/>
      <c r="D591" s="20"/>
      <c r="E591" s="20"/>
      <c r="F591" s="20"/>
      <c r="G591" s="20"/>
      <c r="H591" s="20"/>
      <c r="I591" s="211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0"/>
      <c r="V591" s="20"/>
      <c r="W591" s="20"/>
      <c r="X591" s="20"/>
      <c r="Y591" s="20"/>
      <c r="Z591" s="20"/>
      <c r="AA591" s="20" t="s">
        <v>2528</v>
      </c>
      <c r="AB591" s="20" t="s">
        <v>2529</v>
      </c>
      <c r="AC591" s="24">
        <v>1</v>
      </c>
      <c r="AD591" s="24"/>
      <c r="AE591" s="24"/>
      <c r="AF591" s="24"/>
      <c r="AG591" s="24"/>
      <c r="AH591" s="20"/>
      <c r="AI591" s="42"/>
    </row>
    <row r="592" spans="1:35">
      <c r="A592" s="14"/>
      <c r="B592" s="20"/>
      <c r="C592" s="84" t="s">
        <v>2420</v>
      </c>
      <c r="D592" s="20" t="s">
        <v>79</v>
      </c>
      <c r="E592" s="20" t="s">
        <v>80</v>
      </c>
      <c r="F592" s="20" t="s">
        <v>1641</v>
      </c>
      <c r="G592" s="20" t="s">
        <v>2085</v>
      </c>
      <c r="H592" s="20" t="s">
        <v>421</v>
      </c>
      <c r="I592" s="211" t="s">
        <v>2630</v>
      </c>
      <c r="J592" s="24">
        <v>1</v>
      </c>
      <c r="K592" s="24"/>
      <c r="L592" s="24">
        <v>1</v>
      </c>
      <c r="M592" s="24"/>
      <c r="N592" s="24"/>
      <c r="O592" s="24"/>
      <c r="P592" s="24"/>
      <c r="Q592" s="24"/>
      <c r="R592" s="24"/>
      <c r="S592" s="24"/>
      <c r="T592" s="24"/>
      <c r="U592" s="20" t="s">
        <v>221</v>
      </c>
      <c r="V592" s="20" t="s">
        <v>218</v>
      </c>
      <c r="W592" s="20" t="s">
        <v>279</v>
      </c>
      <c r="X592" s="20" t="s">
        <v>227</v>
      </c>
      <c r="Y592" s="20"/>
      <c r="Z592" s="20"/>
      <c r="AA592" s="20" t="s">
        <v>2527</v>
      </c>
      <c r="AB592" s="20" t="s">
        <v>1815</v>
      </c>
      <c r="AC592" s="24">
        <v>1</v>
      </c>
      <c r="AD592" s="24"/>
      <c r="AE592" s="24"/>
      <c r="AF592" s="24"/>
      <c r="AG592" s="24"/>
      <c r="AH592" s="20"/>
      <c r="AI592" s="42"/>
    </row>
    <row r="593" spans="1:35">
      <c r="A593" s="14"/>
      <c r="B593" s="20"/>
      <c r="C593" s="20"/>
      <c r="D593" s="20"/>
      <c r="E593" s="20"/>
      <c r="F593" s="20"/>
      <c r="G593" s="20"/>
      <c r="H593" s="20"/>
      <c r="I593" s="211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0"/>
      <c r="V593" s="20"/>
      <c r="W593" s="20"/>
      <c r="X593" s="20"/>
      <c r="Y593" s="20"/>
      <c r="Z593" s="20"/>
      <c r="AA593" s="20" t="s">
        <v>2528</v>
      </c>
      <c r="AB593" s="20" t="s">
        <v>2529</v>
      </c>
      <c r="AC593" s="24">
        <v>1</v>
      </c>
      <c r="AD593" s="24"/>
      <c r="AE593" s="24"/>
      <c r="AF593" s="24"/>
      <c r="AG593" s="24"/>
      <c r="AH593" s="20"/>
      <c r="AI593" s="42"/>
    </row>
    <row r="594" spans="1:35">
      <c r="A594" s="14"/>
      <c r="B594" s="20"/>
      <c r="C594" s="84" t="s">
        <v>2420</v>
      </c>
      <c r="D594" s="20" t="s">
        <v>79</v>
      </c>
      <c r="E594" s="20" t="s">
        <v>80</v>
      </c>
      <c r="F594" s="20" t="s">
        <v>174</v>
      </c>
      <c r="G594" s="20" t="s">
        <v>343</v>
      </c>
      <c r="H594" s="20" t="s">
        <v>160</v>
      </c>
      <c r="I594" s="211" t="s">
        <v>2631</v>
      </c>
      <c r="J594" s="24">
        <v>1</v>
      </c>
      <c r="K594" s="24"/>
      <c r="L594" s="24">
        <v>1</v>
      </c>
      <c r="M594" s="24"/>
      <c r="N594" s="24"/>
      <c r="O594" s="24"/>
      <c r="P594" s="24"/>
      <c r="Q594" s="24"/>
      <c r="R594" s="24"/>
      <c r="S594" s="24"/>
      <c r="T594" s="24"/>
      <c r="U594" s="20" t="s">
        <v>221</v>
      </c>
      <c r="V594" s="20" t="s">
        <v>218</v>
      </c>
      <c r="W594" s="20" t="s">
        <v>279</v>
      </c>
      <c r="X594" s="20" t="s">
        <v>227</v>
      </c>
      <c r="Y594" s="20"/>
      <c r="Z594" s="20"/>
      <c r="AA594" s="20" t="s">
        <v>2527</v>
      </c>
      <c r="AB594" s="20" t="s">
        <v>1815</v>
      </c>
      <c r="AC594" s="24">
        <v>1</v>
      </c>
      <c r="AD594" s="24"/>
      <c r="AE594" s="24"/>
      <c r="AF594" s="24"/>
      <c r="AG594" s="24"/>
      <c r="AH594" s="20"/>
      <c r="AI594" s="42"/>
    </row>
    <row r="595" spans="1:35">
      <c r="A595" s="14"/>
      <c r="B595" s="20"/>
      <c r="C595" s="20"/>
      <c r="D595" s="20"/>
      <c r="E595" s="20"/>
      <c r="F595" s="20"/>
      <c r="G595" s="20"/>
      <c r="H595" s="20"/>
      <c r="I595" s="211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0"/>
      <c r="V595" s="20"/>
      <c r="W595" s="20"/>
      <c r="X595" s="20"/>
      <c r="Y595" s="20"/>
      <c r="Z595" s="20"/>
      <c r="AA595" s="20" t="s">
        <v>2528</v>
      </c>
      <c r="AB595" s="20" t="s">
        <v>2529</v>
      </c>
      <c r="AC595" s="24">
        <v>1</v>
      </c>
      <c r="AD595" s="24"/>
      <c r="AE595" s="24"/>
      <c r="AF595" s="24"/>
      <c r="AG595" s="24"/>
      <c r="AH595" s="20"/>
      <c r="AI595" s="42"/>
    </row>
    <row r="596" spans="1:35">
      <c r="A596" s="14"/>
      <c r="B596" s="20"/>
      <c r="C596" s="84" t="s">
        <v>2420</v>
      </c>
      <c r="D596" s="20" t="s">
        <v>79</v>
      </c>
      <c r="E596" s="20" t="s">
        <v>80</v>
      </c>
      <c r="F596" s="20" t="s">
        <v>191</v>
      </c>
      <c r="G596" s="20" t="s">
        <v>2085</v>
      </c>
      <c r="H596" s="20" t="s">
        <v>115</v>
      </c>
      <c r="I596" s="211" t="s">
        <v>2632</v>
      </c>
      <c r="J596" s="24">
        <v>1</v>
      </c>
      <c r="K596" s="24"/>
      <c r="L596" s="24">
        <v>1</v>
      </c>
      <c r="M596" s="24"/>
      <c r="N596" s="24"/>
      <c r="O596" s="24"/>
      <c r="P596" s="24"/>
      <c r="Q596" s="24"/>
      <c r="R596" s="24"/>
      <c r="S596" s="24"/>
      <c r="T596" s="24"/>
      <c r="U596" s="20" t="s">
        <v>221</v>
      </c>
      <c r="V596" s="20" t="s">
        <v>218</v>
      </c>
      <c r="W596" s="20" t="s">
        <v>279</v>
      </c>
      <c r="X596" s="20" t="s">
        <v>227</v>
      </c>
      <c r="Y596" s="20"/>
      <c r="Z596" s="20"/>
      <c r="AA596" s="20" t="s">
        <v>2527</v>
      </c>
      <c r="AB596" s="20" t="s">
        <v>1815</v>
      </c>
      <c r="AC596" s="24">
        <v>1</v>
      </c>
      <c r="AD596" s="24"/>
      <c r="AE596" s="24"/>
      <c r="AF596" s="24"/>
      <c r="AG596" s="24"/>
      <c r="AH596" s="20"/>
      <c r="AI596" s="42"/>
    </row>
    <row r="597" spans="1:35">
      <c r="A597" s="14"/>
      <c r="B597" s="20"/>
      <c r="C597" s="20"/>
      <c r="D597" s="20"/>
      <c r="E597" s="20"/>
      <c r="F597" s="20"/>
      <c r="G597" s="20"/>
      <c r="H597" s="20"/>
      <c r="I597" s="211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0"/>
      <c r="V597" s="20"/>
      <c r="W597" s="20"/>
      <c r="X597" s="20"/>
      <c r="Y597" s="20"/>
      <c r="Z597" s="20"/>
      <c r="AA597" s="20" t="s">
        <v>2528</v>
      </c>
      <c r="AB597" s="20" t="s">
        <v>2529</v>
      </c>
      <c r="AC597" s="24">
        <v>1</v>
      </c>
      <c r="AD597" s="24"/>
      <c r="AE597" s="24"/>
      <c r="AF597" s="24"/>
      <c r="AG597" s="24"/>
      <c r="AH597" s="20"/>
      <c r="AI597" s="42"/>
    </row>
    <row r="598" spans="1:35">
      <c r="A598" s="14"/>
      <c r="B598" s="20"/>
      <c r="C598" s="84" t="s">
        <v>2420</v>
      </c>
      <c r="D598" s="20" t="s">
        <v>79</v>
      </c>
      <c r="E598" s="20" t="s">
        <v>80</v>
      </c>
      <c r="F598" s="20" t="s">
        <v>2633</v>
      </c>
      <c r="G598" s="20" t="s">
        <v>2634</v>
      </c>
      <c r="H598" s="20" t="s">
        <v>115</v>
      </c>
      <c r="I598" s="211">
        <v>34034</v>
      </c>
      <c r="J598" s="24">
        <v>1</v>
      </c>
      <c r="K598" s="24"/>
      <c r="L598" s="24">
        <v>1</v>
      </c>
      <c r="M598" s="24"/>
      <c r="N598" s="24"/>
      <c r="O598" s="24"/>
      <c r="P598" s="24"/>
      <c r="Q598" s="24"/>
      <c r="R598" s="24"/>
      <c r="S598" s="24"/>
      <c r="T598" s="24"/>
      <c r="U598" s="20" t="s">
        <v>221</v>
      </c>
      <c r="V598" s="20" t="s">
        <v>218</v>
      </c>
      <c r="W598" s="20" t="s">
        <v>279</v>
      </c>
      <c r="X598" s="20" t="s">
        <v>227</v>
      </c>
      <c r="Y598" s="20"/>
      <c r="Z598" s="20"/>
      <c r="AA598" s="20" t="s">
        <v>2527</v>
      </c>
      <c r="AB598" s="20" t="s">
        <v>1815</v>
      </c>
      <c r="AC598" s="24">
        <v>1</v>
      </c>
      <c r="AD598" s="24"/>
      <c r="AE598" s="24"/>
      <c r="AF598" s="24"/>
      <c r="AG598" s="24"/>
      <c r="AH598" s="20"/>
      <c r="AI598" s="42"/>
    </row>
    <row r="599" spans="1:35">
      <c r="A599" s="14"/>
      <c r="B599" s="20"/>
      <c r="C599" s="20"/>
      <c r="D599" s="20"/>
      <c r="E599" s="20"/>
      <c r="F599" s="20"/>
      <c r="G599" s="20"/>
      <c r="H599" s="20"/>
      <c r="I599" s="211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0"/>
      <c r="V599" s="20"/>
      <c r="W599" s="20"/>
      <c r="X599" s="20"/>
      <c r="Y599" s="20"/>
      <c r="Z599" s="20"/>
      <c r="AA599" s="20" t="s">
        <v>2528</v>
      </c>
      <c r="AB599" s="20" t="s">
        <v>2529</v>
      </c>
      <c r="AC599" s="24">
        <v>1</v>
      </c>
      <c r="AD599" s="24"/>
      <c r="AE599" s="24"/>
      <c r="AF599" s="24"/>
      <c r="AG599" s="24"/>
      <c r="AH599" s="20"/>
      <c r="AI599" s="42"/>
    </row>
    <row r="600" spans="1:35">
      <c r="A600" s="14"/>
      <c r="B600" s="20"/>
      <c r="C600" s="84" t="s">
        <v>2420</v>
      </c>
      <c r="D600" s="20" t="s">
        <v>79</v>
      </c>
      <c r="E600" s="20" t="s">
        <v>80</v>
      </c>
      <c r="F600" s="20" t="s">
        <v>2496</v>
      </c>
      <c r="G600" s="20" t="s">
        <v>2048</v>
      </c>
      <c r="H600" s="20" t="s">
        <v>588</v>
      </c>
      <c r="I600" s="211">
        <v>34398</v>
      </c>
      <c r="J600" s="24">
        <v>1</v>
      </c>
      <c r="K600" s="24"/>
      <c r="L600" s="24">
        <v>1</v>
      </c>
      <c r="M600" s="24"/>
      <c r="N600" s="24"/>
      <c r="O600" s="24"/>
      <c r="P600" s="24"/>
      <c r="Q600" s="24"/>
      <c r="R600" s="24"/>
      <c r="S600" s="24"/>
      <c r="T600" s="24"/>
      <c r="U600" s="20" t="s">
        <v>221</v>
      </c>
      <c r="V600" s="20" t="s">
        <v>218</v>
      </c>
      <c r="W600" s="20" t="s">
        <v>279</v>
      </c>
      <c r="X600" s="20" t="s">
        <v>227</v>
      </c>
      <c r="Y600" s="20"/>
      <c r="Z600" s="20"/>
      <c r="AA600" s="20" t="s">
        <v>2527</v>
      </c>
      <c r="AB600" s="20" t="s">
        <v>1815</v>
      </c>
      <c r="AC600" s="24">
        <v>1</v>
      </c>
      <c r="AD600" s="24"/>
      <c r="AE600" s="24"/>
      <c r="AF600" s="24"/>
      <c r="AG600" s="24"/>
      <c r="AH600" s="20"/>
      <c r="AI600" s="42"/>
    </row>
    <row r="601" spans="1:35">
      <c r="A601" s="14"/>
      <c r="B601" s="20"/>
      <c r="C601" s="20"/>
      <c r="D601" s="20"/>
      <c r="E601" s="20"/>
      <c r="F601" s="20"/>
      <c r="G601" s="20"/>
      <c r="H601" s="20"/>
      <c r="I601" s="211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0"/>
      <c r="V601" s="20"/>
      <c r="W601" s="20"/>
      <c r="X601" s="20"/>
      <c r="Y601" s="20"/>
      <c r="Z601" s="20"/>
      <c r="AA601" s="20" t="s">
        <v>2528</v>
      </c>
      <c r="AB601" s="20" t="s">
        <v>2529</v>
      </c>
      <c r="AC601" s="24">
        <v>1</v>
      </c>
      <c r="AD601" s="24"/>
      <c r="AE601" s="24"/>
      <c r="AF601" s="24"/>
      <c r="AG601" s="24"/>
      <c r="AH601" s="20"/>
      <c r="AI601" s="42"/>
    </row>
    <row r="602" spans="1:35">
      <c r="A602" s="14"/>
      <c r="B602" s="20"/>
      <c r="C602" s="84" t="s">
        <v>2420</v>
      </c>
      <c r="D602" s="20" t="s">
        <v>79</v>
      </c>
      <c r="E602" s="20" t="s">
        <v>80</v>
      </c>
      <c r="F602" s="20" t="s">
        <v>179</v>
      </c>
      <c r="G602" s="20" t="s">
        <v>1771</v>
      </c>
      <c r="H602" s="20"/>
      <c r="I602" s="211" t="s">
        <v>2635</v>
      </c>
      <c r="J602" s="24">
        <v>1</v>
      </c>
      <c r="K602" s="24"/>
      <c r="L602" s="24">
        <v>1</v>
      </c>
      <c r="M602" s="24"/>
      <c r="N602" s="24"/>
      <c r="O602" s="24"/>
      <c r="P602" s="24"/>
      <c r="Q602" s="24"/>
      <c r="R602" s="24"/>
      <c r="S602" s="24"/>
      <c r="T602" s="24"/>
      <c r="U602" s="20" t="s">
        <v>221</v>
      </c>
      <c r="V602" s="20" t="s">
        <v>218</v>
      </c>
      <c r="W602" s="20" t="s">
        <v>279</v>
      </c>
      <c r="X602" s="20" t="s">
        <v>227</v>
      </c>
      <c r="Y602" s="20"/>
      <c r="Z602" s="20"/>
      <c r="AA602" s="20" t="s">
        <v>2527</v>
      </c>
      <c r="AB602" s="20" t="s">
        <v>1815</v>
      </c>
      <c r="AC602" s="24">
        <v>1</v>
      </c>
      <c r="AD602" s="24"/>
      <c r="AE602" s="24"/>
      <c r="AF602" s="24"/>
      <c r="AG602" s="24"/>
      <c r="AH602" s="20"/>
      <c r="AI602" s="42"/>
    </row>
    <row r="603" spans="1:35">
      <c r="A603" s="14"/>
      <c r="B603" s="20"/>
      <c r="C603" s="20"/>
      <c r="D603" s="20"/>
      <c r="E603" s="20"/>
      <c r="F603" s="20"/>
      <c r="G603" s="20"/>
      <c r="H603" s="20"/>
      <c r="I603" s="211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0"/>
      <c r="V603" s="20"/>
      <c r="W603" s="20"/>
      <c r="X603" s="20"/>
      <c r="Y603" s="20"/>
      <c r="Z603" s="20"/>
      <c r="AA603" s="20" t="s">
        <v>2528</v>
      </c>
      <c r="AB603" s="20" t="s">
        <v>2529</v>
      </c>
      <c r="AC603" s="24">
        <v>1</v>
      </c>
      <c r="AD603" s="24"/>
      <c r="AE603" s="24"/>
      <c r="AF603" s="24"/>
      <c r="AG603" s="24"/>
      <c r="AH603" s="20"/>
      <c r="AI603" s="42"/>
    </row>
    <row r="604" spans="1:35">
      <c r="A604" s="14"/>
      <c r="B604" s="20"/>
      <c r="C604" s="84" t="s">
        <v>2420</v>
      </c>
      <c r="D604" s="20" t="s">
        <v>79</v>
      </c>
      <c r="E604" s="20" t="s">
        <v>80</v>
      </c>
      <c r="F604" s="20" t="s">
        <v>719</v>
      </c>
      <c r="G604" s="20" t="s">
        <v>820</v>
      </c>
      <c r="H604" s="20" t="s">
        <v>120</v>
      </c>
      <c r="I604" s="211">
        <v>33857</v>
      </c>
      <c r="J604" s="24">
        <v>1</v>
      </c>
      <c r="K604" s="24"/>
      <c r="L604" s="24">
        <v>1</v>
      </c>
      <c r="M604" s="24"/>
      <c r="N604" s="24"/>
      <c r="O604" s="24"/>
      <c r="P604" s="24"/>
      <c r="Q604" s="24"/>
      <c r="R604" s="24"/>
      <c r="S604" s="24"/>
      <c r="T604" s="24"/>
      <c r="U604" s="20" t="s">
        <v>221</v>
      </c>
      <c r="V604" s="20" t="s">
        <v>218</v>
      </c>
      <c r="W604" s="20" t="s">
        <v>279</v>
      </c>
      <c r="X604" s="20" t="s">
        <v>227</v>
      </c>
      <c r="Y604" s="20"/>
      <c r="Z604" s="20"/>
      <c r="AA604" s="20" t="s">
        <v>2527</v>
      </c>
      <c r="AB604" s="20" t="s">
        <v>1815</v>
      </c>
      <c r="AC604" s="24">
        <v>1</v>
      </c>
      <c r="AD604" s="24"/>
      <c r="AE604" s="24"/>
      <c r="AF604" s="24"/>
      <c r="AG604" s="24"/>
      <c r="AH604" s="20"/>
      <c r="AI604" s="42"/>
    </row>
    <row r="605" spans="1:35">
      <c r="A605" s="14"/>
      <c r="B605" s="20"/>
      <c r="C605" s="20"/>
      <c r="D605" s="20"/>
      <c r="E605" s="20"/>
      <c r="F605" s="20"/>
      <c r="G605" s="20"/>
      <c r="H605" s="20"/>
      <c r="I605" s="211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0"/>
      <c r="V605" s="20"/>
      <c r="W605" s="20"/>
      <c r="X605" s="20"/>
      <c r="Y605" s="20"/>
      <c r="Z605" s="20"/>
      <c r="AA605" s="20" t="s">
        <v>2528</v>
      </c>
      <c r="AB605" s="20" t="s">
        <v>2529</v>
      </c>
      <c r="AC605" s="24">
        <v>1</v>
      </c>
      <c r="AD605" s="24"/>
      <c r="AE605" s="24"/>
      <c r="AF605" s="24"/>
      <c r="AG605" s="24"/>
      <c r="AH605" s="20"/>
      <c r="AI605" s="42"/>
    </row>
    <row r="606" spans="1:35">
      <c r="A606" s="14"/>
      <c r="B606" s="20"/>
      <c r="C606" s="84" t="s">
        <v>2420</v>
      </c>
      <c r="D606" s="20" t="s">
        <v>79</v>
      </c>
      <c r="E606" s="20" t="s">
        <v>80</v>
      </c>
      <c r="F606" s="20" t="s">
        <v>995</v>
      </c>
      <c r="G606" s="20" t="s">
        <v>2636</v>
      </c>
      <c r="H606" s="20" t="s">
        <v>283</v>
      </c>
      <c r="I606" s="211" t="s">
        <v>2637</v>
      </c>
      <c r="J606" s="24">
        <v>1</v>
      </c>
      <c r="K606" s="24"/>
      <c r="L606" s="24">
        <v>1</v>
      </c>
      <c r="M606" s="24"/>
      <c r="N606" s="24"/>
      <c r="O606" s="24"/>
      <c r="P606" s="24"/>
      <c r="Q606" s="24"/>
      <c r="R606" s="24"/>
      <c r="S606" s="24"/>
      <c r="T606" s="24"/>
      <c r="U606" s="20" t="s">
        <v>221</v>
      </c>
      <c r="V606" s="20" t="s">
        <v>218</v>
      </c>
      <c r="W606" s="20" t="s">
        <v>279</v>
      </c>
      <c r="X606" s="20" t="s">
        <v>227</v>
      </c>
      <c r="Y606" s="20"/>
      <c r="Z606" s="20"/>
      <c r="AA606" s="20" t="s">
        <v>2527</v>
      </c>
      <c r="AB606" s="20" t="s">
        <v>1815</v>
      </c>
      <c r="AC606" s="24">
        <v>1</v>
      </c>
      <c r="AD606" s="24"/>
      <c r="AE606" s="24"/>
      <c r="AF606" s="24"/>
      <c r="AG606" s="24"/>
      <c r="AH606" s="20"/>
      <c r="AI606" s="42"/>
    </row>
    <row r="607" spans="1:35">
      <c r="A607" s="14"/>
      <c r="B607" s="20"/>
      <c r="C607" s="20"/>
      <c r="D607" s="20"/>
      <c r="E607" s="20"/>
      <c r="F607" s="20"/>
      <c r="G607" s="20"/>
      <c r="H607" s="20"/>
      <c r="I607" s="211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0"/>
      <c r="V607" s="20"/>
      <c r="W607" s="20"/>
      <c r="X607" s="20"/>
      <c r="Y607" s="20"/>
      <c r="Z607" s="20"/>
      <c r="AA607" s="20" t="s">
        <v>2528</v>
      </c>
      <c r="AB607" s="20" t="s">
        <v>2529</v>
      </c>
      <c r="AC607" s="24">
        <v>1</v>
      </c>
      <c r="AD607" s="24"/>
      <c r="AE607" s="24"/>
      <c r="AF607" s="24"/>
      <c r="AG607" s="24"/>
      <c r="AH607" s="20"/>
      <c r="AI607" s="42"/>
    </row>
    <row r="608" spans="1:35">
      <c r="A608" s="14"/>
      <c r="B608" s="20"/>
      <c r="C608" s="84" t="s">
        <v>2420</v>
      </c>
      <c r="D608" s="20" t="s">
        <v>79</v>
      </c>
      <c r="E608" s="20" t="s">
        <v>80</v>
      </c>
      <c r="F608" s="20" t="s">
        <v>2504</v>
      </c>
      <c r="G608" s="20" t="s">
        <v>2503</v>
      </c>
      <c r="H608" s="20" t="s">
        <v>136</v>
      </c>
      <c r="I608" s="220" t="s">
        <v>2638</v>
      </c>
      <c r="J608" s="24">
        <v>1</v>
      </c>
      <c r="K608" s="24"/>
      <c r="L608" s="24">
        <v>1</v>
      </c>
      <c r="M608" s="24"/>
      <c r="N608" s="24"/>
      <c r="O608" s="24"/>
      <c r="P608" s="24"/>
      <c r="Q608" s="24"/>
      <c r="R608" s="24"/>
      <c r="S608" s="24"/>
      <c r="T608" s="24"/>
      <c r="U608" s="20" t="s">
        <v>221</v>
      </c>
      <c r="V608" s="20" t="s">
        <v>218</v>
      </c>
      <c r="W608" s="20" t="s">
        <v>279</v>
      </c>
      <c r="X608" s="20" t="s">
        <v>227</v>
      </c>
      <c r="Y608" s="20"/>
      <c r="Z608" s="20"/>
      <c r="AA608" s="20" t="s">
        <v>2527</v>
      </c>
      <c r="AB608" s="20" t="s">
        <v>1815</v>
      </c>
      <c r="AC608" s="24">
        <v>1</v>
      </c>
      <c r="AD608" s="24"/>
      <c r="AE608" s="24"/>
      <c r="AF608" s="24"/>
      <c r="AG608" s="24"/>
      <c r="AH608" s="20"/>
      <c r="AI608" s="42"/>
    </row>
    <row r="609" spans="1:35">
      <c r="A609" s="14"/>
      <c r="B609" s="20"/>
      <c r="C609" s="20"/>
      <c r="D609" s="20"/>
      <c r="E609" s="20"/>
      <c r="F609" s="20"/>
      <c r="G609" s="20"/>
      <c r="H609" s="20"/>
      <c r="I609" s="220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0"/>
      <c r="V609" s="20"/>
      <c r="W609" s="20"/>
      <c r="X609" s="20"/>
      <c r="Y609" s="20"/>
      <c r="Z609" s="20"/>
      <c r="AA609" s="20" t="s">
        <v>2528</v>
      </c>
      <c r="AB609" s="20" t="s">
        <v>2529</v>
      </c>
      <c r="AC609" s="24">
        <v>1</v>
      </c>
      <c r="AD609" s="24"/>
      <c r="AE609" s="24"/>
      <c r="AF609" s="24"/>
      <c r="AG609" s="24"/>
      <c r="AH609" s="20"/>
      <c r="AI609" s="42"/>
    </row>
    <row r="610" spans="1:35">
      <c r="A610" s="14"/>
      <c r="B610" s="20"/>
      <c r="C610" s="84" t="s">
        <v>2420</v>
      </c>
      <c r="D610" s="20" t="s">
        <v>79</v>
      </c>
      <c r="E610" s="20" t="s">
        <v>80</v>
      </c>
      <c r="F610" s="20" t="s">
        <v>2507</v>
      </c>
      <c r="G610" s="20" t="s">
        <v>150</v>
      </c>
      <c r="H610" s="20" t="s">
        <v>120</v>
      </c>
      <c r="I610" s="220" t="s">
        <v>2639</v>
      </c>
      <c r="J610" s="24">
        <v>1</v>
      </c>
      <c r="K610" s="24"/>
      <c r="L610" s="24">
        <v>1</v>
      </c>
      <c r="M610" s="24"/>
      <c r="N610" s="24"/>
      <c r="O610" s="24"/>
      <c r="P610" s="24"/>
      <c r="Q610" s="24"/>
      <c r="R610" s="24"/>
      <c r="S610" s="24"/>
      <c r="T610" s="24"/>
      <c r="U610" s="20" t="s">
        <v>221</v>
      </c>
      <c r="V610" s="20" t="s">
        <v>218</v>
      </c>
      <c r="W610" s="20" t="s">
        <v>279</v>
      </c>
      <c r="X610" s="20" t="s">
        <v>227</v>
      </c>
      <c r="Y610" s="20"/>
      <c r="Z610" s="20"/>
      <c r="AA610" s="20" t="s">
        <v>2527</v>
      </c>
      <c r="AB610" s="20" t="s">
        <v>1815</v>
      </c>
      <c r="AC610" s="24">
        <v>1</v>
      </c>
      <c r="AD610" s="24"/>
      <c r="AE610" s="24"/>
      <c r="AF610" s="24"/>
      <c r="AG610" s="24"/>
      <c r="AH610" s="20"/>
      <c r="AI610" s="42"/>
    </row>
    <row r="611" spans="1:35">
      <c r="A611" s="14"/>
      <c r="B611" s="20"/>
      <c r="C611" s="20"/>
      <c r="D611" s="20"/>
      <c r="E611" s="20"/>
      <c r="F611" s="20"/>
      <c r="G611" s="20"/>
      <c r="H611" s="20"/>
      <c r="I611" s="220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0"/>
      <c r="V611" s="20"/>
      <c r="W611" s="20"/>
      <c r="X611" s="20"/>
      <c r="Y611" s="20"/>
      <c r="Z611" s="20"/>
      <c r="AA611" s="20" t="s">
        <v>2528</v>
      </c>
      <c r="AB611" s="20" t="s">
        <v>2529</v>
      </c>
      <c r="AC611" s="24">
        <v>1</v>
      </c>
      <c r="AD611" s="24"/>
      <c r="AE611" s="24"/>
      <c r="AF611" s="24"/>
      <c r="AG611" s="24"/>
      <c r="AH611" s="20"/>
      <c r="AI611" s="42"/>
    </row>
    <row r="612" spans="1:35">
      <c r="A612" s="14"/>
      <c r="B612" s="20"/>
      <c r="C612" s="84" t="s">
        <v>2420</v>
      </c>
      <c r="D612" s="20" t="s">
        <v>79</v>
      </c>
      <c r="E612" s="20" t="s">
        <v>80</v>
      </c>
      <c r="F612" s="20" t="s">
        <v>2621</v>
      </c>
      <c r="G612" s="20" t="s">
        <v>2640</v>
      </c>
      <c r="H612" s="20" t="s">
        <v>144</v>
      </c>
      <c r="I612" s="220">
        <v>20497</v>
      </c>
      <c r="J612" s="24">
        <v>1</v>
      </c>
      <c r="K612" s="24"/>
      <c r="L612" s="24">
        <v>1</v>
      </c>
      <c r="M612" s="24"/>
      <c r="N612" s="24"/>
      <c r="O612" s="24"/>
      <c r="P612" s="24"/>
      <c r="Q612" s="24"/>
      <c r="R612" s="24"/>
      <c r="S612" s="24"/>
      <c r="T612" s="24"/>
      <c r="U612" s="20" t="s">
        <v>221</v>
      </c>
      <c r="V612" s="20" t="s">
        <v>218</v>
      </c>
      <c r="W612" s="20" t="s">
        <v>279</v>
      </c>
      <c r="X612" s="20" t="s">
        <v>227</v>
      </c>
      <c r="Y612" s="20"/>
      <c r="Z612" s="20"/>
      <c r="AA612" s="20" t="s">
        <v>2527</v>
      </c>
      <c r="AB612" s="20" t="s">
        <v>1815</v>
      </c>
      <c r="AC612" s="24">
        <v>1</v>
      </c>
      <c r="AD612" s="24"/>
      <c r="AE612" s="24"/>
      <c r="AF612" s="24"/>
      <c r="AG612" s="24"/>
      <c r="AH612" s="20"/>
      <c r="AI612" s="42"/>
    </row>
    <row r="613" spans="1:35">
      <c r="A613" s="14"/>
      <c r="B613" s="20"/>
      <c r="C613" s="20"/>
      <c r="D613" s="20"/>
      <c r="E613" s="20"/>
      <c r="F613" s="20"/>
      <c r="G613" s="20"/>
      <c r="H613" s="20"/>
      <c r="I613" s="220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0"/>
      <c r="V613" s="20"/>
      <c r="W613" s="20"/>
      <c r="X613" s="20"/>
      <c r="Y613" s="20"/>
      <c r="Z613" s="20"/>
      <c r="AA613" s="20" t="s">
        <v>2528</v>
      </c>
      <c r="AB613" s="20" t="s">
        <v>2529</v>
      </c>
      <c r="AC613" s="24">
        <v>1</v>
      </c>
      <c r="AD613" s="24"/>
      <c r="AE613" s="24"/>
      <c r="AF613" s="24"/>
      <c r="AG613" s="24"/>
      <c r="AH613" s="20"/>
      <c r="AI613" s="42"/>
    </row>
    <row r="614" spans="1:35">
      <c r="A614" s="14"/>
      <c r="B614" s="20"/>
      <c r="C614" s="84" t="s">
        <v>2420</v>
      </c>
      <c r="D614" s="20" t="s">
        <v>79</v>
      </c>
      <c r="E614" s="20" t="s">
        <v>80</v>
      </c>
      <c r="F614" s="20" t="s">
        <v>2641</v>
      </c>
      <c r="G614" s="20" t="s">
        <v>2642</v>
      </c>
      <c r="H614" s="20" t="s">
        <v>160</v>
      </c>
      <c r="I614" s="220" t="s">
        <v>2643</v>
      </c>
      <c r="J614" s="24">
        <v>1</v>
      </c>
      <c r="K614" s="24"/>
      <c r="L614" s="24">
        <v>1</v>
      </c>
      <c r="M614" s="24"/>
      <c r="N614" s="24"/>
      <c r="O614" s="24"/>
      <c r="P614" s="24"/>
      <c r="Q614" s="24"/>
      <c r="R614" s="24"/>
      <c r="S614" s="24"/>
      <c r="T614" s="24"/>
      <c r="U614" s="20" t="s">
        <v>221</v>
      </c>
      <c r="V614" s="20" t="s">
        <v>218</v>
      </c>
      <c r="W614" s="20" t="s">
        <v>279</v>
      </c>
      <c r="X614" s="20" t="s">
        <v>227</v>
      </c>
      <c r="Y614" s="20"/>
      <c r="Z614" s="20"/>
      <c r="AA614" s="20" t="s">
        <v>2527</v>
      </c>
      <c r="AB614" s="20" t="s">
        <v>1815</v>
      </c>
      <c r="AC614" s="24">
        <v>1</v>
      </c>
      <c r="AD614" s="24"/>
      <c r="AE614" s="24"/>
      <c r="AF614" s="24"/>
      <c r="AG614" s="24"/>
      <c r="AH614" s="20"/>
      <c r="AI614" s="42"/>
    </row>
    <row r="615" spans="1:35">
      <c r="A615" s="14"/>
      <c r="B615" s="20"/>
      <c r="C615" s="20"/>
      <c r="D615" s="20"/>
      <c r="E615" s="20"/>
      <c r="F615" s="20"/>
      <c r="G615" s="20"/>
      <c r="H615" s="20"/>
      <c r="I615" s="220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0"/>
      <c r="V615" s="20"/>
      <c r="W615" s="20"/>
      <c r="X615" s="20"/>
      <c r="Y615" s="20"/>
      <c r="Z615" s="20"/>
      <c r="AA615" s="20" t="s">
        <v>2528</v>
      </c>
      <c r="AB615" s="20" t="s">
        <v>2529</v>
      </c>
      <c r="AC615" s="24">
        <v>1</v>
      </c>
      <c r="AD615" s="24"/>
      <c r="AE615" s="24"/>
      <c r="AF615" s="24"/>
      <c r="AG615" s="24"/>
      <c r="AH615" s="20"/>
      <c r="AI615" s="42"/>
    </row>
    <row r="616" spans="1:35">
      <c r="A616" s="14"/>
      <c r="B616" s="20"/>
      <c r="C616" s="84" t="s">
        <v>2420</v>
      </c>
      <c r="D616" s="20" t="s">
        <v>79</v>
      </c>
      <c r="E616" s="20" t="s">
        <v>80</v>
      </c>
      <c r="F616" s="20" t="s">
        <v>2644</v>
      </c>
      <c r="G616" s="20" t="s">
        <v>1216</v>
      </c>
      <c r="H616" s="20" t="s">
        <v>126</v>
      </c>
      <c r="I616" s="220" t="s">
        <v>2645</v>
      </c>
      <c r="J616" s="24">
        <v>1</v>
      </c>
      <c r="K616" s="24"/>
      <c r="L616" s="24">
        <v>1</v>
      </c>
      <c r="M616" s="24"/>
      <c r="N616" s="24"/>
      <c r="O616" s="24"/>
      <c r="P616" s="24"/>
      <c r="Q616" s="24"/>
      <c r="R616" s="24"/>
      <c r="S616" s="24"/>
      <c r="T616" s="24"/>
      <c r="U616" s="20" t="s">
        <v>221</v>
      </c>
      <c r="V616" s="20" t="s">
        <v>218</v>
      </c>
      <c r="W616" s="20" t="s">
        <v>279</v>
      </c>
      <c r="X616" s="20" t="s">
        <v>227</v>
      </c>
      <c r="Y616" s="20"/>
      <c r="Z616" s="20"/>
      <c r="AA616" s="20" t="s">
        <v>2527</v>
      </c>
      <c r="AB616" s="20" t="s">
        <v>1815</v>
      </c>
      <c r="AC616" s="24">
        <v>1</v>
      </c>
      <c r="AD616" s="24"/>
      <c r="AE616" s="24"/>
      <c r="AF616" s="24"/>
      <c r="AG616" s="24"/>
      <c r="AH616" s="20"/>
      <c r="AI616" s="42"/>
    </row>
    <row r="617" spans="1:35">
      <c r="A617" s="14"/>
      <c r="B617" s="20"/>
      <c r="C617" s="20"/>
      <c r="D617" s="20"/>
      <c r="E617" s="20"/>
      <c r="F617" s="20"/>
      <c r="G617" s="20"/>
      <c r="H617" s="20"/>
      <c r="I617" s="220" t="s">
        <v>93</v>
      </c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0"/>
      <c r="V617" s="20"/>
      <c r="W617" s="20"/>
      <c r="X617" s="20"/>
      <c r="Y617" s="20"/>
      <c r="Z617" s="20"/>
      <c r="AA617" s="20" t="s">
        <v>2528</v>
      </c>
      <c r="AB617" s="20" t="s">
        <v>2529</v>
      </c>
      <c r="AC617" s="24">
        <v>1</v>
      </c>
      <c r="AD617" s="24"/>
      <c r="AE617" s="24"/>
      <c r="AF617" s="24"/>
      <c r="AG617" s="24"/>
      <c r="AH617" s="20"/>
      <c r="AI617" s="42"/>
    </row>
    <row r="618" spans="1:35">
      <c r="A618" s="14"/>
      <c r="B618" s="20"/>
      <c r="C618" s="84" t="s">
        <v>2420</v>
      </c>
      <c r="D618" s="20" t="s">
        <v>79</v>
      </c>
      <c r="E618" s="20" t="s">
        <v>80</v>
      </c>
      <c r="F618" s="20" t="s">
        <v>161</v>
      </c>
      <c r="G618" s="20" t="s">
        <v>998</v>
      </c>
      <c r="H618" s="20"/>
      <c r="I618" s="220">
        <v>29163</v>
      </c>
      <c r="J618" s="24">
        <v>1</v>
      </c>
      <c r="K618" s="24"/>
      <c r="L618" s="24">
        <v>1</v>
      </c>
      <c r="M618" s="24"/>
      <c r="N618" s="24"/>
      <c r="O618" s="24"/>
      <c r="P618" s="24"/>
      <c r="Q618" s="24"/>
      <c r="R618" s="24"/>
      <c r="S618" s="24"/>
      <c r="T618" s="24"/>
      <c r="U618" s="20" t="s">
        <v>221</v>
      </c>
      <c r="V618" s="20" t="s">
        <v>218</v>
      </c>
      <c r="W618" s="20" t="s">
        <v>279</v>
      </c>
      <c r="X618" s="20" t="s">
        <v>227</v>
      </c>
      <c r="Y618" s="20"/>
      <c r="Z618" s="20"/>
      <c r="AA618" s="20" t="s">
        <v>2527</v>
      </c>
      <c r="AB618" s="20" t="s">
        <v>1815</v>
      </c>
      <c r="AC618" s="24">
        <v>1</v>
      </c>
      <c r="AD618" s="24"/>
      <c r="AE618" s="24"/>
      <c r="AF618" s="24"/>
      <c r="AG618" s="24"/>
      <c r="AH618" s="20"/>
      <c r="AI618" s="42"/>
    </row>
    <row r="619" spans="1:35">
      <c r="A619" s="14"/>
      <c r="B619" s="20"/>
      <c r="C619" s="20"/>
      <c r="D619" s="20"/>
      <c r="E619" s="20"/>
      <c r="F619" s="20"/>
      <c r="G619" s="20"/>
      <c r="H619" s="20"/>
      <c r="I619" s="220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0"/>
      <c r="V619" s="20"/>
      <c r="W619" s="20"/>
      <c r="X619" s="20"/>
      <c r="Y619" s="20"/>
      <c r="Z619" s="20"/>
      <c r="AA619" s="20" t="s">
        <v>2528</v>
      </c>
      <c r="AB619" s="20" t="s">
        <v>2529</v>
      </c>
      <c r="AC619" s="24">
        <v>1</v>
      </c>
      <c r="AD619" s="24"/>
      <c r="AE619" s="24"/>
      <c r="AF619" s="24"/>
      <c r="AG619" s="24"/>
      <c r="AH619" s="20"/>
      <c r="AI619" s="42"/>
    </row>
    <row r="620" spans="1:35">
      <c r="A620" s="14"/>
      <c r="B620" s="20"/>
      <c r="C620" s="84" t="s">
        <v>2420</v>
      </c>
      <c r="D620" s="20" t="s">
        <v>79</v>
      </c>
      <c r="E620" s="20" t="s">
        <v>80</v>
      </c>
      <c r="F620" s="20" t="s">
        <v>1228</v>
      </c>
      <c r="G620" s="20" t="s">
        <v>800</v>
      </c>
      <c r="H620" s="20" t="s">
        <v>113</v>
      </c>
      <c r="I620" s="220" t="s">
        <v>2647</v>
      </c>
      <c r="J620" s="24">
        <v>1</v>
      </c>
      <c r="K620" s="24"/>
      <c r="L620" s="24">
        <v>1</v>
      </c>
      <c r="M620" s="24"/>
      <c r="N620" s="24"/>
      <c r="O620" s="24"/>
      <c r="P620" s="24"/>
      <c r="Q620" s="24"/>
      <c r="R620" s="24"/>
      <c r="S620" s="24"/>
      <c r="T620" s="24"/>
      <c r="U620" s="20" t="s">
        <v>221</v>
      </c>
      <c r="V620" s="20" t="s">
        <v>218</v>
      </c>
      <c r="W620" s="20" t="s">
        <v>279</v>
      </c>
      <c r="X620" s="20" t="s">
        <v>227</v>
      </c>
      <c r="Y620" s="20"/>
      <c r="Z620" s="20"/>
      <c r="AA620" s="20" t="s">
        <v>2527</v>
      </c>
      <c r="AB620" s="20" t="s">
        <v>1815</v>
      </c>
      <c r="AC620" s="24">
        <v>1</v>
      </c>
      <c r="AD620" s="24"/>
      <c r="AE620" s="24"/>
      <c r="AF620" s="24"/>
      <c r="AG620" s="24"/>
      <c r="AH620" s="20"/>
      <c r="AI620" s="42"/>
    </row>
    <row r="621" spans="1:35">
      <c r="A621" s="14"/>
      <c r="B621" s="20"/>
      <c r="C621" s="20"/>
      <c r="D621" s="20"/>
      <c r="E621" s="20"/>
      <c r="F621" s="20"/>
      <c r="G621" s="20"/>
      <c r="H621" s="20"/>
      <c r="I621" s="220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0"/>
      <c r="V621" s="20"/>
      <c r="W621" s="20"/>
      <c r="X621" s="20"/>
      <c r="Y621" s="20"/>
      <c r="Z621" s="20"/>
      <c r="AA621" s="20" t="s">
        <v>2528</v>
      </c>
      <c r="AB621" s="20" t="s">
        <v>2529</v>
      </c>
      <c r="AC621" s="24">
        <v>1</v>
      </c>
      <c r="AD621" s="24"/>
      <c r="AE621" s="24"/>
      <c r="AF621" s="24"/>
      <c r="AG621" s="24"/>
      <c r="AH621" s="20"/>
      <c r="AI621" s="42"/>
    </row>
    <row r="622" spans="1:35">
      <c r="A622" s="14"/>
      <c r="B622" s="20"/>
      <c r="C622" s="84" t="s">
        <v>2420</v>
      </c>
      <c r="D622" s="20" t="s">
        <v>79</v>
      </c>
      <c r="E622" s="20" t="s">
        <v>80</v>
      </c>
      <c r="F622" s="20" t="s">
        <v>1331</v>
      </c>
      <c r="G622" s="20" t="s">
        <v>2648</v>
      </c>
      <c r="H622" s="20"/>
      <c r="I622" s="220" t="s">
        <v>2649</v>
      </c>
      <c r="J622" s="24">
        <v>1</v>
      </c>
      <c r="K622" s="24"/>
      <c r="L622" s="24">
        <v>1</v>
      </c>
      <c r="M622" s="24"/>
      <c r="N622" s="24"/>
      <c r="O622" s="24"/>
      <c r="P622" s="24"/>
      <c r="Q622" s="24"/>
      <c r="R622" s="24"/>
      <c r="S622" s="24"/>
      <c r="T622" s="24"/>
      <c r="U622" s="20" t="s">
        <v>221</v>
      </c>
      <c r="V622" s="20" t="s">
        <v>218</v>
      </c>
      <c r="W622" s="20" t="s">
        <v>279</v>
      </c>
      <c r="X622" s="20" t="s">
        <v>227</v>
      </c>
      <c r="Y622" s="20"/>
      <c r="Z622" s="20"/>
      <c r="AA622" s="20" t="s">
        <v>2527</v>
      </c>
      <c r="AB622" s="20" t="s">
        <v>1815</v>
      </c>
      <c r="AC622" s="24">
        <v>1</v>
      </c>
      <c r="AD622" s="24"/>
      <c r="AE622" s="24"/>
      <c r="AF622" s="24"/>
      <c r="AG622" s="24"/>
      <c r="AH622" s="20"/>
      <c r="AI622" s="42"/>
    </row>
    <row r="623" spans="1:35">
      <c r="A623" s="14"/>
      <c r="B623" s="20"/>
      <c r="C623" s="20"/>
      <c r="D623" s="20"/>
      <c r="E623" s="20"/>
      <c r="F623" s="20"/>
      <c r="G623" s="20"/>
      <c r="H623" s="20"/>
      <c r="I623" s="220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0"/>
      <c r="V623" s="20"/>
      <c r="W623" s="20"/>
      <c r="X623" s="20"/>
      <c r="Y623" s="20"/>
      <c r="Z623" s="20"/>
      <c r="AA623" s="20" t="s">
        <v>2528</v>
      </c>
      <c r="AB623" s="20" t="s">
        <v>2529</v>
      </c>
      <c r="AC623" s="24">
        <v>1</v>
      </c>
      <c r="AD623" s="24"/>
      <c r="AE623" s="24"/>
      <c r="AF623" s="24"/>
      <c r="AG623" s="24"/>
      <c r="AH623" s="20"/>
      <c r="AI623" s="42"/>
    </row>
    <row r="624" spans="1:35">
      <c r="A624" s="14"/>
      <c r="B624" s="20"/>
      <c r="C624" s="84" t="s">
        <v>2420</v>
      </c>
      <c r="D624" s="20" t="s">
        <v>79</v>
      </c>
      <c r="E624" s="20" t="s">
        <v>80</v>
      </c>
      <c r="F624" s="20" t="s">
        <v>174</v>
      </c>
      <c r="G624" s="20" t="s">
        <v>2650</v>
      </c>
      <c r="H624" s="20"/>
      <c r="I624" s="220">
        <v>37381</v>
      </c>
      <c r="J624" s="24">
        <v>1</v>
      </c>
      <c r="K624" s="24"/>
      <c r="L624" s="24">
        <v>1</v>
      </c>
      <c r="M624" s="24"/>
      <c r="N624" s="24"/>
      <c r="O624" s="24"/>
      <c r="P624" s="24"/>
      <c r="Q624" s="24"/>
      <c r="R624" s="24"/>
      <c r="S624" s="24"/>
      <c r="T624" s="24"/>
      <c r="U624" s="20" t="s">
        <v>221</v>
      </c>
      <c r="V624" s="20" t="s">
        <v>218</v>
      </c>
      <c r="W624" s="20" t="s">
        <v>279</v>
      </c>
      <c r="X624" s="20" t="s">
        <v>227</v>
      </c>
      <c r="Y624" s="20"/>
      <c r="Z624" s="20"/>
      <c r="AA624" s="20" t="s">
        <v>2527</v>
      </c>
      <c r="AB624" s="20" t="s">
        <v>1815</v>
      </c>
      <c r="AC624" s="24">
        <v>1</v>
      </c>
      <c r="AD624" s="24"/>
      <c r="AE624" s="24"/>
      <c r="AF624" s="24"/>
      <c r="AG624" s="24"/>
      <c r="AH624" s="20"/>
      <c r="AI624" s="42"/>
    </row>
    <row r="625" spans="1:35">
      <c r="A625" s="14"/>
      <c r="B625" s="20"/>
      <c r="C625" s="20"/>
      <c r="D625" s="20"/>
      <c r="E625" s="20"/>
      <c r="F625" s="20"/>
      <c r="G625" s="20"/>
      <c r="H625" s="20"/>
      <c r="I625" s="220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0"/>
      <c r="V625" s="20"/>
      <c r="W625" s="20"/>
      <c r="X625" s="20"/>
      <c r="Y625" s="20"/>
      <c r="Z625" s="20"/>
      <c r="AA625" s="20" t="s">
        <v>2528</v>
      </c>
      <c r="AB625" s="20" t="s">
        <v>2529</v>
      </c>
      <c r="AC625" s="24">
        <v>1</v>
      </c>
      <c r="AD625" s="24"/>
      <c r="AE625" s="24"/>
      <c r="AF625" s="24"/>
      <c r="AG625" s="24"/>
      <c r="AH625" s="20"/>
      <c r="AI625" s="42"/>
    </row>
    <row r="626" spans="1:35">
      <c r="A626" s="14"/>
      <c r="B626" s="20"/>
      <c r="C626" s="84" t="s">
        <v>2420</v>
      </c>
      <c r="D626" s="20" t="s">
        <v>79</v>
      </c>
      <c r="E626" s="20" t="s">
        <v>80</v>
      </c>
      <c r="F626" s="20" t="s">
        <v>2651</v>
      </c>
      <c r="G626" s="20" t="s">
        <v>1231</v>
      </c>
      <c r="H626" s="20"/>
      <c r="I626" s="220">
        <v>31387</v>
      </c>
      <c r="J626" s="24">
        <v>1</v>
      </c>
      <c r="K626" s="24"/>
      <c r="L626" s="24">
        <v>1</v>
      </c>
      <c r="M626" s="24"/>
      <c r="N626" s="24"/>
      <c r="O626" s="24"/>
      <c r="P626" s="24"/>
      <c r="Q626" s="24"/>
      <c r="R626" s="24"/>
      <c r="S626" s="24"/>
      <c r="T626" s="24"/>
      <c r="U626" s="20" t="s">
        <v>221</v>
      </c>
      <c r="V626" s="20" t="s">
        <v>218</v>
      </c>
      <c r="W626" s="20" t="s">
        <v>279</v>
      </c>
      <c r="X626" s="20" t="s">
        <v>227</v>
      </c>
      <c r="Y626" s="20"/>
      <c r="Z626" s="20"/>
      <c r="AA626" s="20" t="s">
        <v>2527</v>
      </c>
      <c r="AB626" s="20" t="s">
        <v>1815</v>
      </c>
      <c r="AC626" s="24">
        <v>1</v>
      </c>
      <c r="AD626" s="24"/>
      <c r="AE626" s="24"/>
      <c r="AF626" s="24"/>
      <c r="AG626" s="24"/>
      <c r="AH626" s="20"/>
      <c r="AI626" s="42"/>
    </row>
    <row r="627" spans="1:35">
      <c r="A627" s="14"/>
      <c r="B627" s="20"/>
      <c r="C627" s="20"/>
      <c r="D627" s="20"/>
      <c r="E627" s="20"/>
      <c r="F627" s="20"/>
      <c r="G627" s="20"/>
      <c r="H627" s="20"/>
      <c r="I627" s="220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0"/>
      <c r="V627" s="20"/>
      <c r="W627" s="20"/>
      <c r="X627" s="20"/>
      <c r="Y627" s="20"/>
      <c r="Z627" s="20"/>
      <c r="AA627" s="20" t="s">
        <v>2528</v>
      </c>
      <c r="AB627" s="20" t="s">
        <v>2529</v>
      </c>
      <c r="AC627" s="24">
        <v>1</v>
      </c>
      <c r="AD627" s="24"/>
      <c r="AE627" s="24"/>
      <c r="AF627" s="24"/>
      <c r="AG627" s="24"/>
      <c r="AH627" s="20"/>
      <c r="AI627" s="42"/>
    </row>
    <row r="628" spans="1:35">
      <c r="A628" s="14"/>
      <c r="B628" s="20"/>
      <c r="C628" s="84" t="s">
        <v>2420</v>
      </c>
      <c r="D628" s="20" t="s">
        <v>79</v>
      </c>
      <c r="E628" s="20" t="s">
        <v>80</v>
      </c>
      <c r="F628" s="20" t="s">
        <v>171</v>
      </c>
      <c r="G628" s="20" t="s">
        <v>2652</v>
      </c>
      <c r="H628" s="20"/>
      <c r="I628" s="220">
        <v>27889</v>
      </c>
      <c r="J628" s="24">
        <v>1</v>
      </c>
      <c r="K628" s="24"/>
      <c r="L628" s="24">
        <v>1</v>
      </c>
      <c r="M628" s="24"/>
      <c r="N628" s="24"/>
      <c r="O628" s="24"/>
      <c r="P628" s="24"/>
      <c r="Q628" s="24"/>
      <c r="R628" s="24"/>
      <c r="S628" s="24"/>
      <c r="T628" s="24"/>
      <c r="U628" s="20" t="s">
        <v>221</v>
      </c>
      <c r="V628" s="20" t="s">
        <v>218</v>
      </c>
      <c r="W628" s="20" t="s">
        <v>279</v>
      </c>
      <c r="X628" s="20" t="s">
        <v>227</v>
      </c>
      <c r="Y628" s="20"/>
      <c r="Z628" s="20"/>
      <c r="AA628" s="20" t="s">
        <v>2527</v>
      </c>
      <c r="AB628" s="20" t="s">
        <v>1815</v>
      </c>
      <c r="AC628" s="24">
        <v>1</v>
      </c>
      <c r="AD628" s="24"/>
      <c r="AE628" s="24"/>
      <c r="AF628" s="24"/>
      <c r="AG628" s="24"/>
      <c r="AH628" s="20"/>
      <c r="AI628" s="42"/>
    </row>
    <row r="629" spans="1:35">
      <c r="A629" s="14"/>
      <c r="B629" s="20"/>
      <c r="C629" s="20"/>
      <c r="D629" s="20"/>
      <c r="E629" s="20"/>
      <c r="F629" s="20"/>
      <c r="G629" s="20"/>
      <c r="H629" s="20"/>
      <c r="I629" s="220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0"/>
      <c r="V629" s="20"/>
      <c r="W629" s="20"/>
      <c r="X629" s="20"/>
      <c r="Y629" s="20"/>
      <c r="Z629" s="20"/>
      <c r="AA629" s="20" t="s">
        <v>2528</v>
      </c>
      <c r="AB629" s="20" t="s">
        <v>2529</v>
      </c>
      <c r="AC629" s="24">
        <v>1</v>
      </c>
      <c r="AD629" s="24"/>
      <c r="AE629" s="24"/>
      <c r="AF629" s="24"/>
      <c r="AG629" s="24"/>
      <c r="AH629" s="20"/>
      <c r="AI629" s="42"/>
    </row>
    <row r="630" spans="1:35">
      <c r="A630" s="14"/>
      <c r="B630" s="20"/>
      <c r="C630" s="84" t="s">
        <v>2420</v>
      </c>
      <c r="D630" s="20" t="s">
        <v>79</v>
      </c>
      <c r="E630" s="20" t="s">
        <v>80</v>
      </c>
      <c r="F630" s="20" t="s">
        <v>155</v>
      </c>
      <c r="G630" s="20" t="s">
        <v>1322</v>
      </c>
      <c r="H630" s="20"/>
      <c r="I630" s="220" t="s">
        <v>2653</v>
      </c>
      <c r="J630" s="24">
        <v>1</v>
      </c>
      <c r="K630" s="24"/>
      <c r="L630" s="24">
        <v>1</v>
      </c>
      <c r="M630" s="24"/>
      <c r="N630" s="24"/>
      <c r="O630" s="24"/>
      <c r="P630" s="24"/>
      <c r="Q630" s="24"/>
      <c r="R630" s="24"/>
      <c r="S630" s="24"/>
      <c r="T630" s="24"/>
      <c r="U630" s="20" t="s">
        <v>221</v>
      </c>
      <c r="V630" s="20" t="s">
        <v>218</v>
      </c>
      <c r="W630" s="20" t="s">
        <v>279</v>
      </c>
      <c r="X630" s="20" t="s">
        <v>227</v>
      </c>
      <c r="Y630" s="20"/>
      <c r="Z630" s="20"/>
      <c r="AA630" s="20" t="s">
        <v>2527</v>
      </c>
      <c r="AB630" s="20" t="s">
        <v>1815</v>
      </c>
      <c r="AC630" s="24">
        <v>1</v>
      </c>
      <c r="AD630" s="24"/>
      <c r="AE630" s="24"/>
      <c r="AF630" s="24"/>
      <c r="AG630" s="24"/>
      <c r="AH630" s="20"/>
      <c r="AI630" s="42"/>
    </row>
    <row r="631" spans="1:35">
      <c r="A631" s="14"/>
      <c r="B631" s="20"/>
      <c r="C631" s="20"/>
      <c r="D631" s="20"/>
      <c r="E631" s="20"/>
      <c r="F631" s="20"/>
      <c r="G631" s="20"/>
      <c r="H631" s="20"/>
      <c r="I631" s="220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0"/>
      <c r="V631" s="20"/>
      <c r="W631" s="20"/>
      <c r="X631" s="20"/>
      <c r="Y631" s="20"/>
      <c r="Z631" s="20"/>
      <c r="AA631" s="20" t="s">
        <v>2528</v>
      </c>
      <c r="AB631" s="20" t="s">
        <v>2529</v>
      </c>
      <c r="AC631" s="24">
        <v>1</v>
      </c>
      <c r="AD631" s="24"/>
      <c r="AE631" s="24"/>
      <c r="AF631" s="24"/>
      <c r="AG631" s="24"/>
      <c r="AH631" s="20"/>
      <c r="AI631" s="42"/>
    </row>
    <row r="632" spans="1:35">
      <c r="A632" s="14"/>
      <c r="B632" s="20"/>
      <c r="C632" s="84" t="s">
        <v>2420</v>
      </c>
      <c r="D632" s="20" t="s">
        <v>79</v>
      </c>
      <c r="E632" s="20" t="s">
        <v>80</v>
      </c>
      <c r="F632" s="20" t="s">
        <v>1228</v>
      </c>
      <c r="G632" s="20" t="s">
        <v>1989</v>
      </c>
      <c r="H632" s="20"/>
      <c r="I632" s="220">
        <v>36321</v>
      </c>
      <c r="J632" s="24">
        <v>1</v>
      </c>
      <c r="K632" s="24"/>
      <c r="L632" s="24">
        <v>1</v>
      </c>
      <c r="M632" s="24"/>
      <c r="N632" s="24"/>
      <c r="O632" s="24"/>
      <c r="P632" s="24"/>
      <c r="Q632" s="24"/>
      <c r="R632" s="24"/>
      <c r="S632" s="24"/>
      <c r="T632" s="24"/>
      <c r="U632" s="20" t="s">
        <v>221</v>
      </c>
      <c r="V632" s="20" t="s">
        <v>218</v>
      </c>
      <c r="W632" s="20" t="s">
        <v>279</v>
      </c>
      <c r="X632" s="20" t="s">
        <v>227</v>
      </c>
      <c r="Y632" s="20"/>
      <c r="Z632" s="20"/>
      <c r="AA632" s="20" t="s">
        <v>2527</v>
      </c>
      <c r="AB632" s="20" t="s">
        <v>1815</v>
      </c>
      <c r="AC632" s="24">
        <v>1</v>
      </c>
      <c r="AD632" s="24"/>
      <c r="AE632" s="24"/>
      <c r="AF632" s="24"/>
      <c r="AG632" s="24"/>
      <c r="AH632" s="20"/>
      <c r="AI632" s="42"/>
    </row>
    <row r="633" spans="1:35">
      <c r="A633" s="14"/>
      <c r="B633" s="20"/>
      <c r="C633" s="20"/>
      <c r="D633" s="20"/>
      <c r="E633" s="20"/>
      <c r="F633" s="20"/>
      <c r="G633" s="20"/>
      <c r="H633" s="20"/>
      <c r="I633" s="220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0"/>
      <c r="V633" s="20"/>
      <c r="W633" s="20"/>
      <c r="X633" s="20"/>
      <c r="Y633" s="20"/>
      <c r="Z633" s="20"/>
      <c r="AA633" s="20" t="s">
        <v>2528</v>
      </c>
      <c r="AB633" s="20" t="s">
        <v>2529</v>
      </c>
      <c r="AC633" s="24">
        <v>1</v>
      </c>
      <c r="AD633" s="24"/>
      <c r="AE633" s="24"/>
      <c r="AF633" s="24"/>
      <c r="AG633" s="24"/>
      <c r="AH633" s="20"/>
      <c r="AI633" s="42"/>
    </row>
    <row r="634" spans="1:35">
      <c r="A634" s="14"/>
      <c r="B634" s="20"/>
      <c r="C634" s="84" t="s">
        <v>2420</v>
      </c>
      <c r="D634" s="20" t="s">
        <v>79</v>
      </c>
      <c r="E634" s="20" t="s">
        <v>80</v>
      </c>
      <c r="F634" s="20" t="s">
        <v>2553</v>
      </c>
      <c r="G634" s="20" t="s">
        <v>839</v>
      </c>
      <c r="H634" s="20"/>
      <c r="I634" s="220">
        <v>32091</v>
      </c>
      <c r="J634" s="24">
        <v>1</v>
      </c>
      <c r="K634" s="24"/>
      <c r="L634" s="24">
        <v>1</v>
      </c>
      <c r="M634" s="24"/>
      <c r="N634" s="24"/>
      <c r="O634" s="24"/>
      <c r="P634" s="24"/>
      <c r="Q634" s="24"/>
      <c r="R634" s="24"/>
      <c r="S634" s="24"/>
      <c r="T634" s="24"/>
      <c r="U634" s="20" t="s">
        <v>221</v>
      </c>
      <c r="V634" s="20" t="s">
        <v>218</v>
      </c>
      <c r="W634" s="20" t="s">
        <v>279</v>
      </c>
      <c r="X634" s="20" t="s">
        <v>227</v>
      </c>
      <c r="Y634" s="20"/>
      <c r="Z634" s="20"/>
      <c r="AA634" s="20" t="s">
        <v>2527</v>
      </c>
      <c r="AB634" s="20" t="s">
        <v>1815</v>
      </c>
      <c r="AC634" s="24">
        <v>1</v>
      </c>
      <c r="AD634" s="24"/>
      <c r="AE634" s="24"/>
      <c r="AF634" s="24"/>
      <c r="AG634" s="24"/>
      <c r="AH634" s="20"/>
      <c r="AI634" s="42"/>
    </row>
    <row r="635" spans="1:35">
      <c r="A635" s="14"/>
      <c r="B635" s="20"/>
      <c r="C635" s="20"/>
      <c r="D635" s="20"/>
      <c r="E635" s="20"/>
      <c r="F635" s="20"/>
      <c r="G635" s="20"/>
      <c r="H635" s="20"/>
      <c r="I635" s="220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0"/>
      <c r="V635" s="20"/>
      <c r="W635" s="20"/>
      <c r="X635" s="20"/>
      <c r="Y635" s="20"/>
      <c r="Z635" s="20"/>
      <c r="AA635" s="20" t="s">
        <v>2528</v>
      </c>
      <c r="AB635" s="20" t="s">
        <v>2529</v>
      </c>
      <c r="AC635" s="24">
        <v>1</v>
      </c>
      <c r="AD635" s="24"/>
      <c r="AE635" s="24"/>
      <c r="AF635" s="24"/>
      <c r="AG635" s="24"/>
      <c r="AH635" s="20"/>
      <c r="AI635" s="42"/>
    </row>
    <row r="636" spans="1:35">
      <c r="A636" s="14"/>
      <c r="B636" s="20"/>
      <c r="C636" s="84" t="s">
        <v>2420</v>
      </c>
      <c r="D636" s="20" t="s">
        <v>79</v>
      </c>
      <c r="E636" s="20" t="s">
        <v>80</v>
      </c>
      <c r="F636" s="20" t="s">
        <v>174</v>
      </c>
      <c r="G636" s="20" t="s">
        <v>2654</v>
      </c>
      <c r="H636" s="20"/>
      <c r="I636" s="220" t="s">
        <v>2655</v>
      </c>
      <c r="J636" s="24">
        <v>1</v>
      </c>
      <c r="K636" s="24"/>
      <c r="L636" s="24">
        <v>1</v>
      </c>
      <c r="M636" s="24"/>
      <c r="N636" s="24"/>
      <c r="O636" s="24"/>
      <c r="P636" s="24"/>
      <c r="Q636" s="24"/>
      <c r="R636" s="24"/>
      <c r="S636" s="24"/>
      <c r="T636" s="24"/>
      <c r="U636" s="20" t="s">
        <v>221</v>
      </c>
      <c r="V636" s="20" t="s">
        <v>218</v>
      </c>
      <c r="W636" s="20" t="s">
        <v>279</v>
      </c>
      <c r="X636" s="20" t="s">
        <v>227</v>
      </c>
      <c r="Y636" s="20"/>
      <c r="Z636" s="20"/>
      <c r="AA636" s="20" t="s">
        <v>2527</v>
      </c>
      <c r="AB636" s="20" t="s">
        <v>1815</v>
      </c>
      <c r="AC636" s="24">
        <v>1</v>
      </c>
      <c r="AD636" s="24"/>
      <c r="AE636" s="24"/>
      <c r="AF636" s="24"/>
      <c r="AG636" s="24"/>
      <c r="AH636" s="20"/>
      <c r="AI636" s="42"/>
    </row>
    <row r="637" spans="1:35">
      <c r="A637" s="14"/>
      <c r="B637" s="20"/>
      <c r="C637" s="20"/>
      <c r="D637" s="20"/>
      <c r="E637" s="20"/>
      <c r="F637" s="20"/>
      <c r="G637" s="20"/>
      <c r="H637" s="20"/>
      <c r="I637" s="220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0"/>
      <c r="V637" s="20"/>
      <c r="W637" s="20"/>
      <c r="X637" s="20"/>
      <c r="Y637" s="20"/>
      <c r="Z637" s="20"/>
      <c r="AA637" s="20" t="s">
        <v>2528</v>
      </c>
      <c r="AB637" s="20" t="s">
        <v>2529</v>
      </c>
      <c r="AC637" s="24">
        <v>1</v>
      </c>
      <c r="AD637" s="24"/>
      <c r="AE637" s="24"/>
      <c r="AF637" s="24"/>
      <c r="AG637" s="24"/>
      <c r="AH637" s="20"/>
      <c r="AI637" s="42"/>
    </row>
    <row r="638" spans="1:35">
      <c r="A638" s="14"/>
      <c r="B638" s="20"/>
      <c r="C638" s="84" t="s">
        <v>2420</v>
      </c>
      <c r="D638" s="20" t="s">
        <v>79</v>
      </c>
      <c r="E638" s="20" t="s">
        <v>80</v>
      </c>
      <c r="F638" s="20" t="s">
        <v>174</v>
      </c>
      <c r="G638" s="20" t="s">
        <v>1720</v>
      </c>
      <c r="H638" s="32" t="s">
        <v>93</v>
      </c>
      <c r="I638" s="220">
        <v>27401</v>
      </c>
      <c r="J638" s="24">
        <v>1</v>
      </c>
      <c r="K638" s="24"/>
      <c r="L638" s="24">
        <v>1</v>
      </c>
      <c r="M638" s="24"/>
      <c r="N638" s="24"/>
      <c r="O638" s="24"/>
      <c r="P638" s="24"/>
      <c r="Q638" s="24"/>
      <c r="R638" s="24"/>
      <c r="S638" s="24"/>
      <c r="T638" s="24"/>
      <c r="U638" s="20" t="s">
        <v>221</v>
      </c>
      <c r="V638" s="20" t="s">
        <v>218</v>
      </c>
      <c r="W638" s="20" t="s">
        <v>279</v>
      </c>
      <c r="X638" s="20" t="s">
        <v>227</v>
      </c>
      <c r="Y638" s="20"/>
      <c r="Z638" s="20"/>
      <c r="AA638" s="20" t="s">
        <v>2527</v>
      </c>
      <c r="AB638" s="20" t="s">
        <v>1815</v>
      </c>
      <c r="AC638" s="24">
        <v>1</v>
      </c>
      <c r="AD638" s="24"/>
      <c r="AE638" s="24"/>
      <c r="AF638" s="24"/>
      <c r="AG638" s="24"/>
      <c r="AH638" s="20"/>
      <c r="AI638" s="42"/>
    </row>
    <row r="639" spans="1:35">
      <c r="A639" s="14"/>
      <c r="B639" s="20"/>
      <c r="C639" s="20"/>
      <c r="D639" s="20"/>
      <c r="E639" s="20"/>
      <c r="F639" s="20"/>
      <c r="G639" s="20"/>
      <c r="H639" s="20"/>
      <c r="I639" s="220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0"/>
      <c r="V639" s="20"/>
      <c r="W639" s="20"/>
      <c r="X639" s="20"/>
      <c r="Y639" s="20"/>
      <c r="Z639" s="20"/>
      <c r="AA639" s="20" t="s">
        <v>2528</v>
      </c>
      <c r="AB639" s="20" t="s">
        <v>2529</v>
      </c>
      <c r="AC639" s="24">
        <v>1</v>
      </c>
      <c r="AD639" s="24"/>
      <c r="AE639" s="24"/>
      <c r="AF639" s="24"/>
      <c r="AG639" s="24"/>
      <c r="AH639" s="20"/>
      <c r="AI639" s="42"/>
    </row>
    <row r="640" spans="1:35">
      <c r="A640" s="14"/>
      <c r="B640" s="20"/>
      <c r="C640" s="84" t="s">
        <v>2420</v>
      </c>
      <c r="D640" s="20" t="s">
        <v>79</v>
      </c>
      <c r="E640" s="20" t="s">
        <v>80</v>
      </c>
      <c r="F640" s="20" t="s">
        <v>881</v>
      </c>
      <c r="G640" s="20" t="s">
        <v>2656</v>
      </c>
      <c r="H640" s="20"/>
      <c r="I640" s="220">
        <v>31724</v>
      </c>
      <c r="J640" s="24">
        <v>1</v>
      </c>
      <c r="K640" s="24"/>
      <c r="L640" s="24">
        <v>1</v>
      </c>
      <c r="M640" s="24"/>
      <c r="N640" s="24"/>
      <c r="O640" s="24"/>
      <c r="P640" s="24"/>
      <c r="Q640" s="24"/>
      <c r="R640" s="24"/>
      <c r="S640" s="24"/>
      <c r="T640" s="24"/>
      <c r="U640" s="20" t="s">
        <v>221</v>
      </c>
      <c r="V640" s="20" t="s">
        <v>218</v>
      </c>
      <c r="W640" s="20" t="s">
        <v>279</v>
      </c>
      <c r="X640" s="20" t="s">
        <v>227</v>
      </c>
      <c r="Y640" s="20"/>
      <c r="Z640" s="20"/>
      <c r="AA640" s="20" t="s">
        <v>2527</v>
      </c>
      <c r="AB640" s="20" t="s">
        <v>1815</v>
      </c>
      <c r="AC640" s="24">
        <v>1</v>
      </c>
      <c r="AD640" s="24"/>
      <c r="AE640" s="24"/>
      <c r="AF640" s="24"/>
      <c r="AG640" s="24"/>
      <c r="AH640" s="20"/>
      <c r="AI640" s="42"/>
    </row>
    <row r="641" spans="1:35">
      <c r="A641" s="14"/>
      <c r="B641" s="20"/>
      <c r="C641" s="20"/>
      <c r="D641" s="20"/>
      <c r="E641" s="20"/>
      <c r="F641" s="20"/>
      <c r="G641" s="20"/>
      <c r="H641" s="20"/>
      <c r="I641" s="220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0"/>
      <c r="V641" s="20"/>
      <c r="W641" s="20"/>
      <c r="X641" s="20"/>
      <c r="Y641" s="20"/>
      <c r="Z641" s="20"/>
      <c r="AA641" s="20" t="s">
        <v>2528</v>
      </c>
      <c r="AB641" s="20" t="s">
        <v>2529</v>
      </c>
      <c r="AC641" s="24">
        <v>1</v>
      </c>
      <c r="AD641" s="24"/>
      <c r="AE641" s="24"/>
      <c r="AF641" s="24"/>
      <c r="AG641" s="24"/>
      <c r="AH641" s="20"/>
      <c r="AI641" s="42"/>
    </row>
    <row r="642" spans="1:35">
      <c r="A642" s="14"/>
      <c r="B642" s="20"/>
      <c r="C642" s="84" t="s">
        <v>2420</v>
      </c>
      <c r="D642" s="20" t="s">
        <v>79</v>
      </c>
      <c r="E642" s="20" t="s">
        <v>80</v>
      </c>
      <c r="F642" s="20" t="s">
        <v>161</v>
      </c>
      <c r="G642" s="20" t="s">
        <v>2657</v>
      </c>
      <c r="H642" s="20"/>
      <c r="I642" s="220" t="s">
        <v>2658</v>
      </c>
      <c r="J642" s="24">
        <v>1</v>
      </c>
      <c r="K642" s="24"/>
      <c r="L642" s="24">
        <v>1</v>
      </c>
      <c r="M642" s="24"/>
      <c r="N642" s="24"/>
      <c r="O642" s="24"/>
      <c r="P642" s="24"/>
      <c r="Q642" s="24"/>
      <c r="R642" s="24"/>
      <c r="S642" s="24"/>
      <c r="T642" s="24"/>
      <c r="U642" s="20" t="s">
        <v>221</v>
      </c>
      <c r="V642" s="20" t="s">
        <v>218</v>
      </c>
      <c r="W642" s="20" t="s">
        <v>279</v>
      </c>
      <c r="X642" s="20" t="s">
        <v>227</v>
      </c>
      <c r="Y642" s="20"/>
      <c r="Z642" s="20"/>
      <c r="AA642" s="20" t="s">
        <v>2527</v>
      </c>
      <c r="AB642" s="20" t="s">
        <v>1815</v>
      </c>
      <c r="AC642" s="24">
        <v>1</v>
      </c>
      <c r="AD642" s="24"/>
      <c r="AE642" s="24"/>
      <c r="AF642" s="24"/>
      <c r="AG642" s="24"/>
      <c r="AH642" s="20"/>
      <c r="AI642" s="42"/>
    </row>
    <row r="643" spans="1:35">
      <c r="A643" s="14"/>
      <c r="B643" s="20"/>
      <c r="C643" s="20"/>
      <c r="D643" s="20"/>
      <c r="E643" s="20"/>
      <c r="F643" s="20"/>
      <c r="G643" s="20"/>
      <c r="H643" s="20"/>
      <c r="I643" s="220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0"/>
      <c r="V643" s="20"/>
      <c r="W643" s="20"/>
      <c r="X643" s="20"/>
      <c r="Y643" s="20"/>
      <c r="Z643" s="20"/>
      <c r="AA643" s="20" t="s">
        <v>2241</v>
      </c>
      <c r="AB643" s="20" t="s">
        <v>2529</v>
      </c>
      <c r="AC643" s="24">
        <v>1</v>
      </c>
      <c r="AD643" s="24"/>
      <c r="AE643" s="24"/>
      <c r="AF643" s="24"/>
      <c r="AG643" s="24"/>
      <c r="AH643" s="20"/>
      <c r="AI643" s="42"/>
    </row>
    <row r="644" spans="1:35">
      <c r="A644" s="14"/>
      <c r="B644" s="20"/>
      <c r="C644" s="84" t="s">
        <v>2420</v>
      </c>
      <c r="D644" s="20" t="s">
        <v>79</v>
      </c>
      <c r="E644" s="20" t="s">
        <v>80</v>
      </c>
      <c r="F644" s="20" t="s">
        <v>2659</v>
      </c>
      <c r="G644" s="20" t="s">
        <v>2085</v>
      </c>
      <c r="H644" s="20"/>
      <c r="I644" s="220" t="s">
        <v>2660</v>
      </c>
      <c r="J644" s="24">
        <v>1</v>
      </c>
      <c r="K644" s="24"/>
      <c r="L644" s="24">
        <v>1</v>
      </c>
      <c r="M644" s="24"/>
      <c r="N644" s="24"/>
      <c r="O644" s="24"/>
      <c r="P644" s="24"/>
      <c r="Q644" s="24"/>
      <c r="R644" s="24"/>
      <c r="S644" s="24"/>
      <c r="T644" s="24"/>
      <c r="U644" s="20" t="s">
        <v>221</v>
      </c>
      <c r="V644" s="20" t="s">
        <v>218</v>
      </c>
      <c r="W644" s="20" t="s">
        <v>279</v>
      </c>
      <c r="X644" s="20" t="s">
        <v>227</v>
      </c>
      <c r="Y644" s="20"/>
      <c r="Z644" s="20"/>
      <c r="AA644" s="20" t="s">
        <v>2527</v>
      </c>
      <c r="AB644" s="20" t="s">
        <v>1815</v>
      </c>
      <c r="AC644" s="24">
        <v>1</v>
      </c>
      <c r="AD644" s="24"/>
      <c r="AE644" s="24"/>
      <c r="AF644" s="24"/>
      <c r="AG644" s="24"/>
      <c r="AH644" s="20"/>
      <c r="AI644" s="42"/>
    </row>
    <row r="645" spans="1:35">
      <c r="A645" s="14"/>
      <c r="B645" s="20"/>
      <c r="C645" s="20"/>
      <c r="D645" s="20"/>
      <c r="E645" s="20"/>
      <c r="F645" s="20"/>
      <c r="G645" s="20"/>
      <c r="H645" s="20"/>
      <c r="I645" s="220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0"/>
      <c r="V645" s="20"/>
      <c r="W645" s="20"/>
      <c r="X645" s="20"/>
      <c r="Y645" s="20"/>
      <c r="Z645" s="20"/>
      <c r="AA645" s="20" t="s">
        <v>2241</v>
      </c>
      <c r="AB645" s="20" t="s">
        <v>2529</v>
      </c>
      <c r="AC645" s="24">
        <v>1</v>
      </c>
      <c r="AD645" s="24"/>
      <c r="AE645" s="24"/>
      <c r="AF645" s="24"/>
      <c r="AG645" s="24"/>
      <c r="AH645" s="20"/>
      <c r="AI645" s="42"/>
    </row>
    <row r="646" spans="1:35">
      <c r="A646" s="14"/>
      <c r="B646" s="20"/>
      <c r="C646" s="84" t="s">
        <v>2420</v>
      </c>
      <c r="D646" s="20" t="s">
        <v>79</v>
      </c>
      <c r="E646" s="20" t="s">
        <v>80</v>
      </c>
      <c r="F646" s="20" t="s">
        <v>2661</v>
      </c>
      <c r="G646" s="20" t="s">
        <v>2557</v>
      </c>
      <c r="H646" s="20"/>
      <c r="I646" s="220" t="s">
        <v>2662</v>
      </c>
      <c r="J646" s="24">
        <v>1</v>
      </c>
      <c r="K646" s="24"/>
      <c r="L646" s="24">
        <v>1</v>
      </c>
      <c r="M646" s="24"/>
      <c r="N646" s="24"/>
      <c r="O646" s="24"/>
      <c r="P646" s="24"/>
      <c r="Q646" s="24"/>
      <c r="R646" s="24"/>
      <c r="S646" s="24"/>
      <c r="T646" s="24"/>
      <c r="U646" s="20" t="s">
        <v>221</v>
      </c>
      <c r="V646" s="20" t="s">
        <v>218</v>
      </c>
      <c r="W646" s="20" t="s">
        <v>279</v>
      </c>
      <c r="X646" s="20" t="s">
        <v>227</v>
      </c>
      <c r="Y646" s="20"/>
      <c r="Z646" s="20"/>
      <c r="AA646" s="20" t="s">
        <v>2527</v>
      </c>
      <c r="AB646" s="20" t="s">
        <v>1815</v>
      </c>
      <c r="AC646" s="24">
        <v>1</v>
      </c>
      <c r="AD646" s="24"/>
      <c r="AE646" s="24"/>
      <c r="AF646" s="24"/>
      <c r="AG646" s="24"/>
      <c r="AH646" s="20"/>
      <c r="AI646" s="42"/>
    </row>
    <row r="647" spans="1:35">
      <c r="A647" s="14"/>
      <c r="B647" s="20"/>
      <c r="C647" s="20"/>
      <c r="D647" s="20"/>
      <c r="E647" s="20"/>
      <c r="F647" s="20"/>
      <c r="G647" s="20"/>
      <c r="H647" s="20"/>
      <c r="I647" s="220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0"/>
      <c r="V647" s="20"/>
      <c r="W647" s="20"/>
      <c r="X647" s="20"/>
      <c r="Y647" s="20"/>
      <c r="Z647" s="20"/>
      <c r="AA647" s="20" t="s">
        <v>2241</v>
      </c>
      <c r="AB647" s="20" t="s">
        <v>2529</v>
      </c>
      <c r="AC647" s="24">
        <v>1</v>
      </c>
      <c r="AD647" s="24"/>
      <c r="AE647" s="24"/>
      <c r="AF647" s="24"/>
      <c r="AG647" s="24"/>
      <c r="AH647" s="20"/>
      <c r="AI647" s="42"/>
    </row>
    <row r="648" spans="1:35">
      <c r="A648" s="14"/>
      <c r="B648" s="20"/>
      <c r="C648" s="20" t="s">
        <v>2665</v>
      </c>
      <c r="D648" s="20" t="s">
        <v>37</v>
      </c>
      <c r="E648" s="20" t="s">
        <v>2664</v>
      </c>
      <c r="F648" s="20" t="s">
        <v>2663</v>
      </c>
      <c r="G648" s="20" t="s">
        <v>285</v>
      </c>
      <c r="H648" s="20"/>
      <c r="I648" s="220"/>
      <c r="J648" s="24">
        <v>1</v>
      </c>
      <c r="K648" s="24"/>
      <c r="L648" s="24"/>
      <c r="M648" s="24"/>
      <c r="N648" s="24"/>
      <c r="O648" s="24"/>
      <c r="P648" s="24"/>
      <c r="Q648" s="24">
        <v>1</v>
      </c>
      <c r="R648" s="24" t="s">
        <v>2666</v>
      </c>
      <c r="S648" s="24"/>
      <c r="T648" s="24"/>
      <c r="U648" s="20"/>
      <c r="V648" s="20" t="s">
        <v>873</v>
      </c>
      <c r="W648" s="20" t="s">
        <v>279</v>
      </c>
      <c r="X648" s="20" t="s">
        <v>227</v>
      </c>
      <c r="Y648" s="20"/>
      <c r="Z648" s="20"/>
      <c r="AA648" s="20" t="s">
        <v>2667</v>
      </c>
      <c r="AB648" s="20" t="s">
        <v>1815</v>
      </c>
      <c r="AC648" s="24">
        <v>100</v>
      </c>
      <c r="AD648" s="24"/>
      <c r="AE648" s="24"/>
      <c r="AF648" s="24"/>
      <c r="AG648" s="24"/>
      <c r="AH648" s="20"/>
      <c r="AI648" s="42"/>
    </row>
    <row r="649" spans="1:35">
      <c r="A649" s="14"/>
      <c r="B649" s="20"/>
      <c r="C649" s="20"/>
      <c r="D649" s="20"/>
      <c r="E649" s="20"/>
      <c r="F649" s="20"/>
      <c r="G649" s="20"/>
      <c r="H649" s="20"/>
      <c r="I649" s="221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0"/>
      <c r="V649" s="20"/>
      <c r="W649" s="20"/>
      <c r="X649" s="20"/>
      <c r="Y649" s="20"/>
      <c r="Z649" s="20"/>
      <c r="AA649" s="20" t="s">
        <v>2055</v>
      </c>
      <c r="AB649" s="20" t="s">
        <v>526</v>
      </c>
      <c r="AC649" s="24">
        <v>1500</v>
      </c>
      <c r="AD649" s="24"/>
      <c r="AE649" s="24"/>
      <c r="AF649" s="24"/>
      <c r="AG649" s="24"/>
      <c r="AH649" s="20"/>
      <c r="AI649" s="42"/>
    </row>
    <row r="650" spans="1:35">
      <c r="A650" s="14"/>
      <c r="B650" s="20"/>
      <c r="C650" s="84" t="s">
        <v>2420</v>
      </c>
      <c r="D650" s="20" t="s">
        <v>79</v>
      </c>
      <c r="E650" s="20" t="s">
        <v>80</v>
      </c>
      <c r="F650" s="20" t="s">
        <v>2681</v>
      </c>
      <c r="G650" s="20" t="s">
        <v>198</v>
      </c>
      <c r="H650" s="20" t="s">
        <v>115</v>
      </c>
      <c r="I650" s="221">
        <v>31731</v>
      </c>
      <c r="J650" s="24">
        <v>1</v>
      </c>
      <c r="K650" s="24"/>
      <c r="L650" s="24">
        <v>1</v>
      </c>
      <c r="M650" s="24"/>
      <c r="N650" s="24"/>
      <c r="O650" s="24"/>
      <c r="P650" s="24"/>
      <c r="Q650" s="24"/>
      <c r="R650" s="24"/>
      <c r="S650" s="24"/>
      <c r="T650" s="24"/>
      <c r="U650" s="20" t="s">
        <v>2682</v>
      </c>
      <c r="V650" s="20" t="s">
        <v>1280</v>
      </c>
      <c r="W650" s="20" t="s">
        <v>280</v>
      </c>
      <c r="X650" s="20" t="s">
        <v>227</v>
      </c>
      <c r="Y650" s="20"/>
      <c r="Z650" s="20"/>
      <c r="AA650" s="20" t="s">
        <v>2667</v>
      </c>
      <c r="AB650" s="20" t="s">
        <v>1815</v>
      </c>
      <c r="AC650" s="24">
        <v>2</v>
      </c>
      <c r="AD650" s="24"/>
      <c r="AE650" s="24"/>
      <c r="AF650" s="24"/>
      <c r="AG650" s="24"/>
      <c r="AH650" s="20"/>
      <c r="AI650" s="42"/>
    </row>
    <row r="651" spans="1:35">
      <c r="A651" s="14"/>
      <c r="B651" s="20"/>
      <c r="C651" s="20"/>
      <c r="D651" s="20"/>
      <c r="E651" s="20"/>
      <c r="F651" s="20"/>
      <c r="G651" s="20"/>
      <c r="H651" s="20"/>
      <c r="I651" s="221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0"/>
      <c r="V651" s="20"/>
      <c r="W651" s="20"/>
      <c r="X651" s="20"/>
      <c r="Y651" s="20"/>
      <c r="Z651" s="20"/>
      <c r="AA651" s="20" t="s">
        <v>2055</v>
      </c>
      <c r="AB651" s="20" t="s">
        <v>526</v>
      </c>
      <c r="AC651" s="24">
        <v>112</v>
      </c>
      <c r="AD651" s="24"/>
      <c r="AE651" s="24"/>
      <c r="AF651" s="24"/>
      <c r="AG651" s="24"/>
      <c r="AH651" s="20"/>
      <c r="AI651" s="42"/>
    </row>
    <row r="652" spans="1:35">
      <c r="A652" s="14"/>
      <c r="B652" s="20"/>
      <c r="C652" s="84" t="s">
        <v>2420</v>
      </c>
      <c r="D652" s="20" t="s">
        <v>79</v>
      </c>
      <c r="E652" s="20" t="s">
        <v>80</v>
      </c>
      <c r="F652" s="20" t="s">
        <v>2683</v>
      </c>
      <c r="G652" s="20" t="s">
        <v>2684</v>
      </c>
      <c r="H652" s="20" t="s">
        <v>1957</v>
      </c>
      <c r="I652" s="221">
        <v>29836</v>
      </c>
      <c r="J652" s="24">
        <v>1</v>
      </c>
      <c r="K652" s="24"/>
      <c r="L652" s="24">
        <v>1</v>
      </c>
      <c r="M652" s="24"/>
      <c r="N652" s="24"/>
      <c r="O652" s="24"/>
      <c r="P652" s="24"/>
      <c r="Q652" s="24"/>
      <c r="R652" s="24"/>
      <c r="S652" s="24"/>
      <c r="T652" s="24"/>
      <c r="U652" s="53" t="s">
        <v>2708</v>
      </c>
      <c r="V652" s="20" t="s">
        <v>1280</v>
      </c>
      <c r="W652" s="20" t="s">
        <v>280</v>
      </c>
      <c r="X652" s="20" t="s">
        <v>227</v>
      </c>
      <c r="Y652" s="20"/>
      <c r="Z652" s="20"/>
      <c r="AA652" s="20" t="s">
        <v>2667</v>
      </c>
      <c r="AB652" s="20" t="s">
        <v>1815</v>
      </c>
      <c r="AC652" s="24">
        <v>2</v>
      </c>
      <c r="AD652" s="24"/>
      <c r="AE652" s="24"/>
      <c r="AF652" s="24"/>
      <c r="AG652" s="24"/>
      <c r="AH652" s="20"/>
      <c r="AI652" s="42"/>
    </row>
    <row r="653" spans="1:35">
      <c r="A653" s="14"/>
      <c r="B653" s="20"/>
      <c r="C653" s="20"/>
      <c r="D653" s="20"/>
      <c r="E653" s="20"/>
      <c r="F653" s="20"/>
      <c r="G653" s="20"/>
      <c r="H653" s="20"/>
      <c r="I653" s="221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0"/>
      <c r="V653" s="20"/>
      <c r="W653" s="20"/>
      <c r="X653" s="20"/>
      <c r="Y653" s="20"/>
      <c r="Z653" s="20"/>
      <c r="AA653" s="20" t="s">
        <v>2055</v>
      </c>
      <c r="AB653" s="20" t="s">
        <v>526</v>
      </c>
      <c r="AC653" s="24">
        <v>112</v>
      </c>
      <c r="AD653" s="24"/>
      <c r="AE653" s="24"/>
      <c r="AF653" s="24"/>
      <c r="AG653" s="24"/>
      <c r="AH653" s="20"/>
      <c r="AI653" s="42"/>
    </row>
    <row r="654" spans="1:35">
      <c r="A654" s="14"/>
      <c r="B654" s="20"/>
      <c r="C654" s="84" t="s">
        <v>2420</v>
      </c>
      <c r="D654" s="20" t="s">
        <v>79</v>
      </c>
      <c r="E654" s="20" t="s">
        <v>80</v>
      </c>
      <c r="F654" s="20" t="s">
        <v>655</v>
      </c>
      <c r="G654" s="20" t="s">
        <v>2685</v>
      </c>
      <c r="H654" s="20" t="s">
        <v>283</v>
      </c>
      <c r="I654" s="221">
        <v>36027</v>
      </c>
      <c r="J654" s="24"/>
      <c r="K654" s="24">
        <v>1</v>
      </c>
      <c r="L654" s="24">
        <v>1</v>
      </c>
      <c r="M654" s="24"/>
      <c r="N654" s="24"/>
      <c r="O654" s="24"/>
      <c r="P654" s="24"/>
      <c r="Q654" s="24"/>
      <c r="R654" s="24"/>
      <c r="S654" s="24"/>
      <c r="T654" s="24"/>
      <c r="U654" s="20" t="s">
        <v>2682</v>
      </c>
      <c r="V654" s="20" t="s">
        <v>1280</v>
      </c>
      <c r="W654" s="20" t="s">
        <v>280</v>
      </c>
      <c r="X654" s="20" t="s">
        <v>227</v>
      </c>
      <c r="Y654" s="20"/>
      <c r="Z654" s="20"/>
      <c r="AA654" s="20" t="s">
        <v>2667</v>
      </c>
      <c r="AB654" s="20" t="s">
        <v>1815</v>
      </c>
      <c r="AC654" s="24">
        <v>2</v>
      </c>
      <c r="AD654" s="24"/>
      <c r="AE654" s="24"/>
      <c r="AF654" s="24"/>
      <c r="AG654" s="24"/>
      <c r="AH654" s="20"/>
      <c r="AI654" s="42"/>
    </row>
    <row r="655" spans="1:35">
      <c r="A655" s="14"/>
      <c r="B655" s="20"/>
      <c r="C655" s="20"/>
      <c r="D655" s="20"/>
      <c r="E655" s="20"/>
      <c r="F655" s="20"/>
      <c r="G655" s="20"/>
      <c r="H655" s="20"/>
      <c r="I655" s="221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0"/>
      <c r="V655" s="20"/>
      <c r="W655" s="20"/>
      <c r="X655" s="20"/>
      <c r="Y655" s="20"/>
      <c r="Z655" s="20"/>
      <c r="AA655" s="20" t="s">
        <v>2055</v>
      </c>
      <c r="AB655" s="20" t="s">
        <v>526</v>
      </c>
      <c r="AC655" s="24">
        <v>112</v>
      </c>
      <c r="AD655" s="24"/>
      <c r="AE655" s="24"/>
      <c r="AF655" s="24"/>
      <c r="AG655" s="24"/>
      <c r="AH655" s="20"/>
      <c r="AI655" s="42"/>
    </row>
    <row r="656" spans="1:35">
      <c r="A656" s="14"/>
      <c r="B656" s="20"/>
      <c r="C656" s="84" t="s">
        <v>2420</v>
      </c>
      <c r="D656" s="20" t="s">
        <v>79</v>
      </c>
      <c r="E656" s="20" t="s">
        <v>80</v>
      </c>
      <c r="F656" s="84" t="s">
        <v>655</v>
      </c>
      <c r="G656" s="53" t="s">
        <v>198</v>
      </c>
      <c r="H656" s="53" t="s">
        <v>115</v>
      </c>
      <c r="I656" s="221">
        <v>35378</v>
      </c>
      <c r="J656" s="24">
        <v>1</v>
      </c>
      <c r="K656" s="24"/>
      <c r="L656" s="24">
        <v>1</v>
      </c>
      <c r="M656" s="24"/>
      <c r="N656" s="24"/>
      <c r="O656" s="24"/>
      <c r="P656" s="24"/>
      <c r="Q656" s="24"/>
      <c r="R656" s="24"/>
      <c r="S656" s="24"/>
      <c r="T656" s="24"/>
      <c r="U656" s="20" t="s">
        <v>2682</v>
      </c>
      <c r="V656" s="20" t="s">
        <v>1280</v>
      </c>
      <c r="W656" s="20" t="s">
        <v>280</v>
      </c>
      <c r="X656" s="20" t="s">
        <v>227</v>
      </c>
      <c r="Y656" s="20"/>
      <c r="Z656" s="20"/>
      <c r="AA656" s="20" t="s">
        <v>2667</v>
      </c>
      <c r="AB656" s="20" t="s">
        <v>1815</v>
      </c>
      <c r="AC656" s="24">
        <v>2</v>
      </c>
      <c r="AD656" s="24"/>
      <c r="AE656" s="24"/>
      <c r="AF656" s="24"/>
      <c r="AG656" s="24"/>
      <c r="AH656" s="20"/>
      <c r="AI656" s="42"/>
    </row>
    <row r="657" spans="1:35">
      <c r="A657" s="14"/>
      <c r="B657" s="20"/>
      <c r="C657" s="20"/>
      <c r="D657" s="20"/>
      <c r="E657" s="20"/>
      <c r="F657" s="20"/>
      <c r="G657" s="20"/>
      <c r="H657" s="20"/>
      <c r="I657" s="221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0"/>
      <c r="V657" s="20"/>
      <c r="W657" s="20"/>
      <c r="X657" s="20"/>
      <c r="Y657" s="20"/>
      <c r="Z657" s="20"/>
      <c r="AA657" s="20" t="s">
        <v>2055</v>
      </c>
      <c r="AB657" s="20" t="s">
        <v>526</v>
      </c>
      <c r="AC657" s="24">
        <v>112</v>
      </c>
      <c r="AD657" s="24"/>
      <c r="AE657" s="24"/>
      <c r="AF657" s="24"/>
      <c r="AG657" s="24"/>
      <c r="AH657" s="20"/>
      <c r="AI657" s="42"/>
    </row>
    <row r="658" spans="1:35">
      <c r="A658" s="14"/>
      <c r="B658" s="20"/>
      <c r="C658" s="84" t="s">
        <v>2420</v>
      </c>
      <c r="D658" s="20" t="s">
        <v>79</v>
      </c>
      <c r="E658" s="20" t="s">
        <v>80</v>
      </c>
      <c r="F658" s="84" t="s">
        <v>2689</v>
      </c>
      <c r="G658" s="53" t="s">
        <v>2693</v>
      </c>
      <c r="H658" s="53" t="s">
        <v>1040</v>
      </c>
      <c r="I658" s="222" t="s">
        <v>2686</v>
      </c>
      <c r="J658" s="24"/>
      <c r="K658" s="24">
        <v>1</v>
      </c>
      <c r="L658" s="24">
        <v>1</v>
      </c>
      <c r="M658" s="24"/>
      <c r="N658" s="24"/>
      <c r="O658" s="24"/>
      <c r="P658" s="24"/>
      <c r="Q658" s="24"/>
      <c r="R658" s="24"/>
      <c r="S658" s="24"/>
      <c r="T658" s="24"/>
      <c r="U658" s="20" t="s">
        <v>2682</v>
      </c>
      <c r="V658" s="20" t="s">
        <v>1280</v>
      </c>
      <c r="W658" s="20" t="s">
        <v>280</v>
      </c>
      <c r="X658" s="20" t="s">
        <v>227</v>
      </c>
      <c r="Y658" s="20"/>
      <c r="Z658" s="20"/>
      <c r="AA658" s="20" t="s">
        <v>2667</v>
      </c>
      <c r="AB658" s="20" t="s">
        <v>1815</v>
      </c>
      <c r="AC658" s="24">
        <v>2</v>
      </c>
      <c r="AD658" s="24"/>
      <c r="AE658" s="24"/>
      <c r="AF658" s="24"/>
      <c r="AG658" s="24"/>
      <c r="AH658" s="20"/>
      <c r="AI658" s="42"/>
    </row>
    <row r="659" spans="1:35">
      <c r="A659" s="14"/>
      <c r="B659" s="20"/>
      <c r="C659" s="20"/>
      <c r="D659" s="20"/>
      <c r="E659" s="20"/>
      <c r="F659" s="20"/>
      <c r="G659" s="20"/>
      <c r="H659" s="20"/>
      <c r="I659" s="221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0"/>
      <c r="V659" s="20"/>
      <c r="W659" s="20"/>
      <c r="X659" s="20"/>
      <c r="Y659" s="20"/>
      <c r="Z659" s="20"/>
      <c r="AA659" s="20" t="s">
        <v>2055</v>
      </c>
      <c r="AB659" s="20" t="s">
        <v>526</v>
      </c>
      <c r="AC659" s="24">
        <v>112</v>
      </c>
      <c r="AD659" s="24"/>
      <c r="AE659" s="24"/>
      <c r="AF659" s="24"/>
      <c r="AG659" s="24"/>
      <c r="AH659" s="20"/>
      <c r="AI659" s="42"/>
    </row>
    <row r="660" spans="1:35">
      <c r="A660" s="14"/>
      <c r="B660" s="20"/>
      <c r="C660" s="84" t="s">
        <v>2420</v>
      </c>
      <c r="D660" s="20" t="s">
        <v>79</v>
      </c>
      <c r="E660" s="20" t="s">
        <v>80</v>
      </c>
      <c r="F660" s="84" t="s">
        <v>2687</v>
      </c>
      <c r="G660" s="53" t="s">
        <v>2688</v>
      </c>
      <c r="H660" s="53" t="s">
        <v>283</v>
      </c>
      <c r="I660" s="222" t="s">
        <v>2690</v>
      </c>
      <c r="J660" s="24"/>
      <c r="K660" s="24">
        <v>1</v>
      </c>
      <c r="L660" s="24">
        <v>1</v>
      </c>
      <c r="M660" s="24"/>
      <c r="N660" s="24"/>
      <c r="O660" s="24"/>
      <c r="P660" s="24"/>
      <c r="Q660" s="24"/>
      <c r="R660" s="24"/>
      <c r="S660" s="24"/>
      <c r="T660" s="24"/>
      <c r="U660" s="20" t="s">
        <v>2682</v>
      </c>
      <c r="V660" s="20" t="s">
        <v>1280</v>
      </c>
      <c r="W660" s="20" t="s">
        <v>280</v>
      </c>
      <c r="X660" s="20" t="s">
        <v>227</v>
      </c>
      <c r="Y660" s="20"/>
      <c r="Z660" s="20"/>
      <c r="AA660" s="20" t="s">
        <v>2667</v>
      </c>
      <c r="AB660" s="20" t="s">
        <v>1815</v>
      </c>
      <c r="AC660" s="24">
        <v>2</v>
      </c>
      <c r="AD660" s="24"/>
      <c r="AE660" s="24"/>
      <c r="AF660" s="24"/>
      <c r="AG660" s="24"/>
      <c r="AH660" s="20"/>
      <c r="AI660" s="42"/>
    </row>
    <row r="661" spans="1:35">
      <c r="A661" s="14"/>
      <c r="B661" s="20"/>
      <c r="C661" s="20"/>
      <c r="D661" s="20"/>
      <c r="E661" s="20"/>
      <c r="F661" s="20"/>
      <c r="G661" s="20"/>
      <c r="H661" s="20"/>
      <c r="I661" s="221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0"/>
      <c r="V661" s="20"/>
      <c r="W661" s="20"/>
      <c r="X661" s="20"/>
      <c r="Y661" s="20"/>
      <c r="Z661" s="20"/>
      <c r="AA661" s="20" t="s">
        <v>2055</v>
      </c>
      <c r="AB661" s="20" t="s">
        <v>526</v>
      </c>
      <c r="AC661" s="24">
        <v>112</v>
      </c>
      <c r="AD661" s="24"/>
      <c r="AE661" s="24"/>
      <c r="AF661" s="24"/>
      <c r="AG661" s="24"/>
      <c r="AH661" s="20"/>
      <c r="AI661" s="42"/>
    </row>
    <row r="662" spans="1:35">
      <c r="A662" s="14"/>
      <c r="B662" s="20"/>
      <c r="C662" s="84" t="s">
        <v>2420</v>
      </c>
      <c r="D662" s="20" t="s">
        <v>79</v>
      </c>
      <c r="E662" s="20" t="s">
        <v>80</v>
      </c>
      <c r="F662" s="53" t="s">
        <v>2691</v>
      </c>
      <c r="G662" s="53" t="s">
        <v>2692</v>
      </c>
      <c r="H662" s="53" t="s">
        <v>1040</v>
      </c>
      <c r="I662" s="221">
        <v>31567</v>
      </c>
      <c r="J662" s="24">
        <v>1</v>
      </c>
      <c r="K662" s="24"/>
      <c r="L662" s="24">
        <v>1</v>
      </c>
      <c r="M662" s="24"/>
      <c r="N662" s="24"/>
      <c r="O662" s="24"/>
      <c r="P662" s="24"/>
      <c r="Q662" s="24"/>
      <c r="R662" s="24"/>
      <c r="S662" s="24"/>
      <c r="T662" s="24"/>
      <c r="U662" s="20" t="s">
        <v>2682</v>
      </c>
      <c r="V662" s="20" t="s">
        <v>1280</v>
      </c>
      <c r="W662" s="20" t="s">
        <v>280</v>
      </c>
      <c r="X662" s="20" t="s">
        <v>227</v>
      </c>
      <c r="Y662" s="20"/>
      <c r="Z662" s="20"/>
      <c r="AA662" s="20" t="s">
        <v>2667</v>
      </c>
      <c r="AB662" s="20" t="s">
        <v>1815</v>
      </c>
      <c r="AC662" s="24">
        <v>2</v>
      </c>
      <c r="AD662" s="24"/>
      <c r="AE662" s="24"/>
      <c r="AF662" s="24"/>
      <c r="AG662" s="24"/>
      <c r="AH662" s="20"/>
      <c r="AI662" s="42"/>
    </row>
    <row r="663" spans="1:35">
      <c r="A663" s="14"/>
      <c r="B663" s="20"/>
      <c r="C663" s="20"/>
      <c r="D663" s="20"/>
      <c r="E663" s="20"/>
      <c r="F663" s="20"/>
      <c r="G663" s="20"/>
      <c r="H663" s="20"/>
      <c r="I663" s="221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0"/>
      <c r="V663" s="20"/>
      <c r="W663" s="20"/>
      <c r="X663" s="20"/>
      <c r="Y663" s="20"/>
      <c r="Z663" s="20"/>
      <c r="AA663" s="20" t="s">
        <v>2055</v>
      </c>
      <c r="AB663" s="20" t="s">
        <v>526</v>
      </c>
      <c r="AC663" s="24">
        <v>112</v>
      </c>
      <c r="AD663" s="24"/>
      <c r="AE663" s="24"/>
      <c r="AF663" s="24"/>
      <c r="AG663" s="24"/>
      <c r="AH663" s="20"/>
      <c r="AI663" s="42"/>
    </row>
    <row r="664" spans="1:35">
      <c r="A664" s="14"/>
      <c r="B664" s="20"/>
      <c r="C664" s="84" t="s">
        <v>2420</v>
      </c>
      <c r="D664" s="20" t="s">
        <v>79</v>
      </c>
      <c r="E664" s="20" t="s">
        <v>80</v>
      </c>
      <c r="F664" s="53" t="s">
        <v>398</v>
      </c>
      <c r="G664" s="53" t="s">
        <v>2694</v>
      </c>
      <c r="H664" s="53" t="s">
        <v>283</v>
      </c>
      <c r="I664" s="222" t="s">
        <v>2695</v>
      </c>
      <c r="J664" s="24"/>
      <c r="K664" s="24">
        <v>1</v>
      </c>
      <c r="L664" s="24">
        <v>1</v>
      </c>
      <c r="M664" s="24"/>
      <c r="N664" s="24"/>
      <c r="O664" s="24"/>
      <c r="P664" s="24"/>
      <c r="Q664" s="24"/>
      <c r="R664" s="24"/>
      <c r="S664" s="24"/>
      <c r="T664" s="24"/>
      <c r="U664" s="20" t="s">
        <v>2682</v>
      </c>
      <c r="V664" s="20" t="s">
        <v>1280</v>
      </c>
      <c r="W664" s="20" t="s">
        <v>280</v>
      </c>
      <c r="X664" s="20" t="s">
        <v>227</v>
      </c>
      <c r="Y664" s="20"/>
      <c r="Z664" s="20"/>
      <c r="AA664" s="20" t="s">
        <v>2667</v>
      </c>
      <c r="AB664" s="20" t="s">
        <v>1815</v>
      </c>
      <c r="AC664" s="24">
        <v>2</v>
      </c>
      <c r="AD664" s="24"/>
      <c r="AE664" s="24"/>
      <c r="AF664" s="24"/>
      <c r="AG664" s="24"/>
      <c r="AH664" s="20"/>
      <c r="AI664" s="42"/>
    </row>
    <row r="665" spans="1:35">
      <c r="A665" s="14"/>
      <c r="B665" s="20"/>
      <c r="C665" s="20"/>
      <c r="D665" s="20"/>
      <c r="E665" s="20"/>
      <c r="F665" s="20"/>
      <c r="G665" s="20"/>
      <c r="H665" s="20"/>
      <c r="I665" s="221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0"/>
      <c r="V665" s="20"/>
      <c r="W665" s="20"/>
      <c r="X665" s="20"/>
      <c r="Y665" s="20"/>
      <c r="Z665" s="20"/>
      <c r="AA665" s="20" t="s">
        <v>2055</v>
      </c>
      <c r="AB665" s="20" t="s">
        <v>526</v>
      </c>
      <c r="AC665" s="24">
        <v>112</v>
      </c>
      <c r="AD665" s="24"/>
      <c r="AE665" s="24"/>
      <c r="AF665" s="24"/>
      <c r="AG665" s="24"/>
      <c r="AH665" s="20"/>
      <c r="AI665" s="42"/>
    </row>
    <row r="666" spans="1:35">
      <c r="A666" s="14"/>
      <c r="B666" s="20"/>
      <c r="C666" s="84" t="s">
        <v>2420</v>
      </c>
      <c r="D666" s="20" t="s">
        <v>79</v>
      </c>
      <c r="E666" s="20" t="s">
        <v>80</v>
      </c>
      <c r="F666" s="53" t="s">
        <v>2696</v>
      </c>
      <c r="G666" s="53" t="s">
        <v>2697</v>
      </c>
      <c r="H666" s="53" t="s">
        <v>283</v>
      </c>
      <c r="I666" s="221">
        <v>27975</v>
      </c>
      <c r="J666" s="24">
        <v>1</v>
      </c>
      <c r="K666" s="24"/>
      <c r="L666" s="24">
        <v>1</v>
      </c>
      <c r="M666" s="24"/>
      <c r="N666" s="24"/>
      <c r="O666" s="24"/>
      <c r="P666" s="24"/>
      <c r="Q666" s="24"/>
      <c r="R666" s="24"/>
      <c r="S666" s="24"/>
      <c r="T666" s="24"/>
      <c r="U666" s="20" t="s">
        <v>2682</v>
      </c>
      <c r="V666" s="20" t="s">
        <v>1280</v>
      </c>
      <c r="W666" s="20" t="s">
        <v>280</v>
      </c>
      <c r="X666" s="20" t="s">
        <v>227</v>
      </c>
      <c r="Y666" s="20"/>
      <c r="Z666" s="20"/>
      <c r="AA666" s="20" t="s">
        <v>2667</v>
      </c>
      <c r="AB666" s="20" t="s">
        <v>1815</v>
      </c>
      <c r="AC666" s="24">
        <v>2</v>
      </c>
      <c r="AD666" s="24"/>
      <c r="AE666" s="24"/>
      <c r="AF666" s="24"/>
      <c r="AG666" s="24"/>
      <c r="AH666" s="20"/>
      <c r="AI666" s="42"/>
    </row>
    <row r="667" spans="1:35">
      <c r="A667" s="14"/>
      <c r="B667" s="20"/>
      <c r="C667" s="20"/>
      <c r="D667" s="20"/>
      <c r="E667" s="20"/>
      <c r="F667" s="20"/>
      <c r="G667" s="20"/>
      <c r="H667" s="20"/>
      <c r="I667" s="221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0"/>
      <c r="V667" s="20"/>
      <c r="W667" s="20"/>
      <c r="X667" s="20"/>
      <c r="Y667" s="20"/>
      <c r="Z667" s="20"/>
      <c r="AA667" s="20" t="s">
        <v>2055</v>
      </c>
      <c r="AB667" s="20" t="s">
        <v>526</v>
      </c>
      <c r="AC667" s="24">
        <v>112</v>
      </c>
      <c r="AD667" s="24"/>
      <c r="AE667" s="24"/>
      <c r="AF667" s="24"/>
      <c r="AG667" s="24"/>
      <c r="AH667" s="20"/>
      <c r="AI667" s="42"/>
    </row>
    <row r="668" spans="1:35">
      <c r="A668" s="14"/>
      <c r="B668" s="20"/>
      <c r="C668" s="84" t="s">
        <v>2420</v>
      </c>
      <c r="D668" s="20" t="s">
        <v>79</v>
      </c>
      <c r="E668" s="20" t="s">
        <v>80</v>
      </c>
      <c r="F668" s="53" t="s">
        <v>2681</v>
      </c>
      <c r="G668" s="53" t="s">
        <v>198</v>
      </c>
      <c r="H668" s="53" t="s">
        <v>115</v>
      </c>
      <c r="I668" s="222" t="s">
        <v>2698</v>
      </c>
      <c r="J668" s="24">
        <v>1</v>
      </c>
      <c r="K668" s="24"/>
      <c r="L668" s="24">
        <v>1</v>
      </c>
      <c r="M668" s="24"/>
      <c r="N668" s="24"/>
      <c r="O668" s="24"/>
      <c r="P668" s="24"/>
      <c r="Q668" s="24"/>
      <c r="R668" s="24"/>
      <c r="S668" s="24"/>
      <c r="T668" s="24"/>
      <c r="U668" s="20" t="s">
        <v>2682</v>
      </c>
      <c r="V668" s="20" t="s">
        <v>1280</v>
      </c>
      <c r="W668" s="20" t="s">
        <v>280</v>
      </c>
      <c r="X668" s="20" t="s">
        <v>227</v>
      </c>
      <c r="Y668" s="20"/>
      <c r="Z668" s="20"/>
      <c r="AA668" s="20" t="s">
        <v>2667</v>
      </c>
      <c r="AB668" s="20" t="s">
        <v>1815</v>
      </c>
      <c r="AC668" s="24">
        <v>2</v>
      </c>
      <c r="AD668" s="24"/>
      <c r="AE668" s="24"/>
      <c r="AF668" s="24"/>
      <c r="AG668" s="24"/>
      <c r="AH668" s="20"/>
      <c r="AI668" s="42"/>
    </row>
    <row r="669" spans="1:35">
      <c r="A669" s="14"/>
      <c r="B669" s="20"/>
      <c r="C669" s="20"/>
      <c r="D669" s="20"/>
      <c r="E669" s="20"/>
      <c r="F669" s="20"/>
      <c r="G669" s="20"/>
      <c r="H669" s="20"/>
      <c r="I669" s="221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0"/>
      <c r="V669" s="20"/>
      <c r="W669" s="20"/>
      <c r="X669" s="20"/>
      <c r="Y669" s="20"/>
      <c r="Z669" s="20"/>
      <c r="AA669" s="20" t="s">
        <v>2055</v>
      </c>
      <c r="AB669" s="20" t="s">
        <v>526</v>
      </c>
      <c r="AC669" s="24">
        <v>112</v>
      </c>
      <c r="AD669" s="24"/>
      <c r="AE669" s="24"/>
      <c r="AF669" s="24"/>
      <c r="AG669" s="24"/>
      <c r="AH669" s="20"/>
      <c r="AI669" s="42"/>
    </row>
    <row r="670" spans="1:35">
      <c r="A670" s="14"/>
      <c r="B670" s="20"/>
      <c r="C670" s="84" t="s">
        <v>2420</v>
      </c>
      <c r="D670" s="20" t="s">
        <v>79</v>
      </c>
      <c r="E670" s="20" t="s">
        <v>80</v>
      </c>
      <c r="F670" s="53" t="s">
        <v>2699</v>
      </c>
      <c r="G670" s="53" t="s">
        <v>976</v>
      </c>
      <c r="H670" s="53" t="s">
        <v>1957</v>
      </c>
      <c r="I670" s="221">
        <v>34005</v>
      </c>
      <c r="J670" s="24">
        <v>1</v>
      </c>
      <c r="K670" s="24"/>
      <c r="L670" s="24">
        <v>1</v>
      </c>
      <c r="M670" s="24"/>
      <c r="N670" s="24"/>
      <c r="O670" s="24"/>
      <c r="P670" s="24"/>
      <c r="Q670" s="24"/>
      <c r="R670" s="24"/>
      <c r="S670" s="24"/>
      <c r="T670" s="24"/>
      <c r="U670" s="53" t="s">
        <v>2709</v>
      </c>
      <c r="V670" s="20" t="s">
        <v>1280</v>
      </c>
      <c r="W670" s="20" t="s">
        <v>280</v>
      </c>
      <c r="X670" s="20" t="s">
        <v>227</v>
      </c>
      <c r="Y670" s="20"/>
      <c r="Z670" s="20"/>
      <c r="AA670" s="20" t="s">
        <v>2667</v>
      </c>
      <c r="AB670" s="20" t="s">
        <v>1815</v>
      </c>
      <c r="AC670" s="24">
        <v>2</v>
      </c>
      <c r="AD670" s="24"/>
      <c r="AE670" s="24"/>
      <c r="AF670" s="24"/>
      <c r="AG670" s="24"/>
      <c r="AH670" s="20"/>
      <c r="AI670" s="42"/>
    </row>
    <row r="671" spans="1:35">
      <c r="A671" s="14"/>
      <c r="B671" s="20"/>
      <c r="C671" s="20"/>
      <c r="D671" s="20"/>
      <c r="E671" s="20"/>
      <c r="F671" s="20"/>
      <c r="G671" s="20"/>
      <c r="H671" s="20"/>
      <c r="I671" s="221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0"/>
      <c r="V671" s="20"/>
      <c r="W671" s="20"/>
      <c r="X671" s="20"/>
      <c r="Y671" s="20"/>
      <c r="Z671" s="20"/>
      <c r="AA671" s="20" t="s">
        <v>2055</v>
      </c>
      <c r="AB671" s="20" t="s">
        <v>526</v>
      </c>
      <c r="AC671" s="24">
        <v>112</v>
      </c>
      <c r="AD671" s="24"/>
      <c r="AE671" s="24"/>
      <c r="AF671" s="24"/>
      <c r="AG671" s="24"/>
      <c r="AH671" s="20"/>
      <c r="AI671" s="42"/>
    </row>
    <row r="672" spans="1:35">
      <c r="A672" s="14"/>
      <c r="B672" s="20"/>
      <c r="C672" s="84" t="s">
        <v>2420</v>
      </c>
      <c r="D672" s="20" t="s">
        <v>79</v>
      </c>
      <c r="E672" s="20" t="s">
        <v>80</v>
      </c>
      <c r="F672" s="53" t="s">
        <v>2700</v>
      </c>
      <c r="G672" s="53" t="s">
        <v>2701</v>
      </c>
      <c r="H672" s="53" t="s">
        <v>283</v>
      </c>
      <c r="I672" s="222" t="s">
        <v>2702</v>
      </c>
      <c r="J672" s="24">
        <v>1</v>
      </c>
      <c r="K672" s="24"/>
      <c r="L672" s="24">
        <v>1</v>
      </c>
      <c r="M672" s="24"/>
      <c r="N672" s="24"/>
      <c r="O672" s="24"/>
      <c r="P672" s="24"/>
      <c r="Q672" s="24"/>
      <c r="R672" s="24"/>
      <c r="S672" s="24"/>
      <c r="T672" s="24"/>
      <c r="U672" s="53" t="s">
        <v>2709</v>
      </c>
      <c r="V672" s="20" t="s">
        <v>1280</v>
      </c>
      <c r="W672" s="20" t="s">
        <v>280</v>
      </c>
      <c r="X672" s="20" t="s">
        <v>227</v>
      </c>
      <c r="Y672" s="20"/>
      <c r="Z672" s="20"/>
      <c r="AA672" s="20" t="s">
        <v>2667</v>
      </c>
      <c r="AB672" s="20" t="s">
        <v>1815</v>
      </c>
      <c r="AC672" s="24">
        <v>2</v>
      </c>
      <c r="AD672" s="24"/>
      <c r="AE672" s="24"/>
      <c r="AF672" s="24"/>
      <c r="AG672" s="24"/>
      <c r="AH672" s="20"/>
      <c r="AI672" s="42"/>
    </row>
    <row r="673" spans="1:35">
      <c r="A673" s="14"/>
      <c r="B673" s="20"/>
      <c r="C673" s="20"/>
      <c r="D673" s="20"/>
      <c r="E673" s="20"/>
      <c r="F673" s="20"/>
      <c r="G673" s="20"/>
      <c r="H673" s="20"/>
      <c r="I673" s="221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0"/>
      <c r="V673" s="20"/>
      <c r="W673" s="20"/>
      <c r="X673" s="20"/>
      <c r="Y673" s="20"/>
      <c r="Z673" s="20"/>
      <c r="AA673" s="20" t="s">
        <v>2055</v>
      </c>
      <c r="AB673" s="20" t="s">
        <v>526</v>
      </c>
      <c r="AC673" s="24">
        <v>112</v>
      </c>
      <c r="AD673" s="24"/>
      <c r="AE673" s="24"/>
      <c r="AF673" s="24"/>
      <c r="AG673" s="24"/>
      <c r="AH673" s="20"/>
      <c r="AI673" s="42"/>
    </row>
    <row r="674" spans="1:35">
      <c r="A674" s="14"/>
      <c r="B674" s="20"/>
      <c r="C674" s="84" t="s">
        <v>2420</v>
      </c>
      <c r="D674" s="20" t="s">
        <v>79</v>
      </c>
      <c r="E674" s="20" t="s">
        <v>80</v>
      </c>
      <c r="F674" s="53" t="s">
        <v>2703</v>
      </c>
      <c r="G674" s="53" t="s">
        <v>2704</v>
      </c>
      <c r="H674" s="53" t="s">
        <v>421</v>
      </c>
      <c r="I674" s="221">
        <v>32966</v>
      </c>
      <c r="J674" s="24">
        <v>1</v>
      </c>
      <c r="K674" s="24"/>
      <c r="L674" s="24">
        <v>1</v>
      </c>
      <c r="M674" s="24"/>
      <c r="N674" s="24"/>
      <c r="O674" s="24"/>
      <c r="P674" s="24"/>
      <c r="Q674" s="24"/>
      <c r="R674" s="24"/>
      <c r="S674" s="24"/>
      <c r="T674" s="24"/>
      <c r="U674" s="53" t="s">
        <v>2710</v>
      </c>
      <c r="V674" s="20" t="s">
        <v>1280</v>
      </c>
      <c r="W674" s="20" t="s">
        <v>280</v>
      </c>
      <c r="X674" s="20" t="s">
        <v>227</v>
      </c>
      <c r="Y674" s="20"/>
      <c r="Z674" s="20"/>
      <c r="AA674" s="20" t="s">
        <v>2667</v>
      </c>
      <c r="AB674" s="20" t="s">
        <v>1815</v>
      </c>
      <c r="AC674" s="24">
        <v>2</v>
      </c>
      <c r="AD674" s="24"/>
      <c r="AE674" s="24"/>
      <c r="AF674" s="24"/>
      <c r="AG674" s="24"/>
      <c r="AH674" s="20"/>
      <c r="AI674" s="42"/>
    </row>
    <row r="675" spans="1:35">
      <c r="A675" s="14"/>
      <c r="B675" s="20"/>
      <c r="C675" s="20"/>
      <c r="D675" s="20"/>
      <c r="E675" s="20"/>
      <c r="F675" s="20"/>
      <c r="G675" s="20"/>
      <c r="H675" s="20"/>
      <c r="I675" s="221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0"/>
      <c r="V675" s="20"/>
      <c r="W675" s="20"/>
      <c r="X675" s="20"/>
      <c r="Y675" s="20"/>
      <c r="Z675" s="20"/>
      <c r="AA675" s="20" t="s">
        <v>2055</v>
      </c>
      <c r="AB675" s="20" t="s">
        <v>526</v>
      </c>
      <c r="AC675" s="24">
        <v>112</v>
      </c>
      <c r="AD675" s="24"/>
      <c r="AE675" s="24"/>
      <c r="AF675" s="24"/>
      <c r="AG675" s="24"/>
      <c r="AH675" s="20"/>
      <c r="AI675" s="42"/>
    </row>
    <row r="676" spans="1:35">
      <c r="A676" s="14"/>
      <c r="B676" s="20"/>
      <c r="C676" s="84" t="s">
        <v>2420</v>
      </c>
      <c r="D676" s="20" t="s">
        <v>79</v>
      </c>
      <c r="E676" s="20" t="s">
        <v>80</v>
      </c>
      <c r="F676" s="53" t="s">
        <v>2705</v>
      </c>
      <c r="G676" s="53" t="s">
        <v>2706</v>
      </c>
      <c r="H676" s="53" t="s">
        <v>283</v>
      </c>
      <c r="I676" s="221">
        <v>32966</v>
      </c>
      <c r="J676" s="24">
        <v>1</v>
      </c>
      <c r="K676" s="24"/>
      <c r="L676" s="24">
        <v>1</v>
      </c>
      <c r="M676" s="24"/>
      <c r="N676" s="24"/>
      <c r="O676" s="24"/>
      <c r="P676" s="24"/>
      <c r="Q676" s="24"/>
      <c r="R676" s="24"/>
      <c r="S676" s="24"/>
      <c r="T676" s="24"/>
      <c r="U676" s="53" t="s">
        <v>2711</v>
      </c>
      <c r="V676" s="20" t="s">
        <v>1280</v>
      </c>
      <c r="W676" s="20" t="s">
        <v>280</v>
      </c>
      <c r="X676" s="20" t="s">
        <v>227</v>
      </c>
      <c r="Y676" s="20"/>
      <c r="Z676" s="20"/>
      <c r="AA676" s="20" t="s">
        <v>2667</v>
      </c>
      <c r="AB676" s="20" t="s">
        <v>1815</v>
      </c>
      <c r="AC676" s="24">
        <v>2</v>
      </c>
      <c r="AD676" s="24"/>
      <c r="AE676" s="24"/>
      <c r="AF676" s="24"/>
      <c r="AG676" s="24"/>
      <c r="AH676" s="20"/>
      <c r="AI676" s="42"/>
    </row>
    <row r="677" spans="1:35">
      <c r="A677" s="14"/>
      <c r="B677" s="20"/>
      <c r="C677" s="20"/>
      <c r="D677" s="20"/>
      <c r="E677" s="20"/>
      <c r="F677" s="20"/>
      <c r="G677" s="20"/>
      <c r="H677" s="20"/>
      <c r="I677" s="221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0"/>
      <c r="V677" s="20"/>
      <c r="W677" s="20"/>
      <c r="X677" s="20"/>
      <c r="Y677" s="20"/>
      <c r="Z677" s="20"/>
      <c r="AA677" s="20" t="s">
        <v>2055</v>
      </c>
      <c r="AB677" s="20" t="s">
        <v>526</v>
      </c>
      <c r="AC677" s="24">
        <v>112</v>
      </c>
      <c r="AD677" s="24"/>
      <c r="AE677" s="24"/>
      <c r="AF677" s="24"/>
      <c r="AG677" s="24"/>
      <c r="AH677" s="20"/>
      <c r="AI677" s="42"/>
    </row>
    <row r="678" spans="1:35">
      <c r="A678" s="14"/>
      <c r="B678" s="20"/>
      <c r="C678" s="84" t="s">
        <v>2420</v>
      </c>
      <c r="D678" s="20" t="s">
        <v>79</v>
      </c>
      <c r="E678" s="20" t="s">
        <v>80</v>
      </c>
      <c r="F678" s="84" t="s">
        <v>2707</v>
      </c>
      <c r="G678" s="53" t="s">
        <v>1544</v>
      </c>
      <c r="H678" s="53" t="s">
        <v>283</v>
      </c>
      <c r="I678" s="221">
        <v>29531</v>
      </c>
      <c r="J678" s="24">
        <v>1</v>
      </c>
      <c r="K678" s="24"/>
      <c r="L678" s="24">
        <v>1</v>
      </c>
      <c r="M678" s="24"/>
      <c r="N678" s="24"/>
      <c r="O678" s="24"/>
      <c r="P678" s="24"/>
      <c r="Q678" s="24"/>
      <c r="R678" s="24"/>
      <c r="S678" s="24"/>
      <c r="T678" s="24"/>
      <c r="U678" s="53" t="s">
        <v>2711</v>
      </c>
      <c r="V678" s="20" t="s">
        <v>1280</v>
      </c>
      <c r="W678" s="20" t="s">
        <v>280</v>
      </c>
      <c r="X678" s="20" t="s">
        <v>227</v>
      </c>
      <c r="Y678" s="20"/>
      <c r="Z678" s="20"/>
      <c r="AA678" s="20" t="s">
        <v>2667</v>
      </c>
      <c r="AB678" s="20" t="s">
        <v>1815</v>
      </c>
      <c r="AC678" s="24">
        <v>2</v>
      </c>
      <c r="AD678" s="24"/>
      <c r="AE678" s="24"/>
      <c r="AF678" s="24"/>
      <c r="AG678" s="24"/>
      <c r="AH678" s="20"/>
      <c r="AI678" s="42"/>
    </row>
    <row r="679" spans="1:35">
      <c r="A679" s="14"/>
      <c r="B679" s="20"/>
      <c r="C679" s="20"/>
      <c r="D679" s="20"/>
      <c r="E679" s="20"/>
      <c r="F679" s="20"/>
      <c r="G679" s="20"/>
      <c r="H679" s="20"/>
      <c r="I679" s="221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0"/>
      <c r="V679" s="20"/>
      <c r="W679" s="20"/>
      <c r="X679" s="20"/>
      <c r="Y679" s="20"/>
      <c r="Z679" s="20"/>
      <c r="AA679" s="20" t="s">
        <v>2055</v>
      </c>
      <c r="AB679" s="20" t="s">
        <v>526</v>
      </c>
      <c r="AC679" s="24">
        <v>112</v>
      </c>
      <c r="AD679" s="24"/>
      <c r="AE679" s="24"/>
      <c r="AF679" s="24"/>
      <c r="AG679" s="24"/>
      <c r="AH679" s="20"/>
      <c r="AI679" s="42"/>
    </row>
    <row r="680" spans="1:35">
      <c r="A680" s="14"/>
      <c r="B680" s="20"/>
      <c r="C680" s="84" t="s">
        <v>2420</v>
      </c>
      <c r="D680" s="20" t="s">
        <v>79</v>
      </c>
      <c r="E680" s="20" t="s">
        <v>80</v>
      </c>
      <c r="F680" s="84" t="s">
        <v>532</v>
      </c>
      <c r="G680" s="53" t="s">
        <v>1274</v>
      </c>
      <c r="H680" s="53" t="s">
        <v>93</v>
      </c>
      <c r="I680" s="222" t="s">
        <v>2712</v>
      </c>
      <c r="J680" s="24">
        <v>1</v>
      </c>
      <c r="K680" s="24"/>
      <c r="L680" s="24">
        <v>1</v>
      </c>
      <c r="M680" s="24"/>
      <c r="N680" s="24"/>
      <c r="O680" s="24"/>
      <c r="P680" s="24"/>
      <c r="Q680" s="24"/>
      <c r="R680" s="24"/>
      <c r="S680" s="24"/>
      <c r="T680" s="24"/>
      <c r="U680" s="53" t="s">
        <v>2682</v>
      </c>
      <c r="V680" s="20" t="s">
        <v>1280</v>
      </c>
      <c r="W680" s="20" t="s">
        <v>280</v>
      </c>
      <c r="X680" s="20" t="s">
        <v>227</v>
      </c>
      <c r="Y680" s="20"/>
      <c r="Z680" s="20"/>
      <c r="AA680" s="20" t="s">
        <v>2667</v>
      </c>
      <c r="AB680" s="53" t="s">
        <v>1815</v>
      </c>
      <c r="AC680" s="24">
        <v>35</v>
      </c>
      <c r="AD680" s="24"/>
      <c r="AE680" s="24"/>
      <c r="AF680" s="24"/>
      <c r="AG680" s="24"/>
      <c r="AH680" s="20"/>
      <c r="AI680" s="42"/>
    </row>
    <row r="681" spans="1:35">
      <c r="A681" s="14"/>
      <c r="B681" s="20"/>
      <c r="C681" s="20"/>
      <c r="D681" s="20"/>
      <c r="E681" s="20"/>
      <c r="F681" s="20"/>
      <c r="G681" s="20"/>
      <c r="H681" s="20"/>
      <c r="I681" s="221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0"/>
      <c r="V681" s="20"/>
      <c r="W681" s="20"/>
      <c r="X681" s="20"/>
      <c r="Y681" s="20"/>
      <c r="Z681" s="20"/>
      <c r="AA681" s="20" t="s">
        <v>1961</v>
      </c>
      <c r="AB681" s="53" t="s">
        <v>1815</v>
      </c>
      <c r="AC681" s="24">
        <v>5</v>
      </c>
      <c r="AD681" s="24"/>
      <c r="AE681" s="24"/>
      <c r="AF681" s="24"/>
      <c r="AG681" s="24"/>
      <c r="AH681" s="20"/>
      <c r="AI681" s="42"/>
    </row>
    <row r="682" spans="1:35">
      <c r="A682" s="14"/>
      <c r="B682" s="20"/>
      <c r="C682" s="20"/>
      <c r="D682" s="20"/>
      <c r="E682" s="20"/>
      <c r="F682" s="20"/>
      <c r="G682" s="20"/>
      <c r="H682" s="20"/>
      <c r="I682" s="221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0"/>
      <c r="V682" s="20"/>
      <c r="W682" s="20"/>
      <c r="X682" s="20"/>
      <c r="Y682" s="20"/>
      <c r="Z682" s="20"/>
      <c r="AA682" s="20" t="s">
        <v>2055</v>
      </c>
      <c r="AB682" s="53" t="s">
        <v>526</v>
      </c>
      <c r="AC682" s="24">
        <v>112</v>
      </c>
      <c r="AD682" s="24"/>
      <c r="AE682" s="24"/>
      <c r="AF682" s="24"/>
      <c r="AG682" s="24"/>
      <c r="AH682" s="20"/>
      <c r="AI682" s="42"/>
    </row>
    <row r="683" spans="1:35">
      <c r="A683" s="14"/>
      <c r="B683" s="20"/>
      <c r="C683" s="84" t="s">
        <v>2420</v>
      </c>
      <c r="D683" s="20" t="s">
        <v>79</v>
      </c>
      <c r="E683" s="20" t="s">
        <v>80</v>
      </c>
      <c r="F683" s="84" t="s">
        <v>2699</v>
      </c>
      <c r="G683" s="84" t="s">
        <v>2713</v>
      </c>
      <c r="H683" s="20"/>
      <c r="I683" s="222">
        <v>31716</v>
      </c>
      <c r="J683" s="24"/>
      <c r="K683" s="24">
        <v>1</v>
      </c>
      <c r="L683" s="24">
        <v>1</v>
      </c>
      <c r="M683" s="24"/>
      <c r="N683" s="24"/>
      <c r="O683" s="24"/>
      <c r="P683" s="24"/>
      <c r="Q683" s="24"/>
      <c r="R683" s="24"/>
      <c r="S683" s="24"/>
      <c r="T683" s="24"/>
      <c r="U683" s="53" t="s">
        <v>2708</v>
      </c>
      <c r="V683" s="20" t="s">
        <v>1280</v>
      </c>
      <c r="W683" s="20" t="s">
        <v>280</v>
      </c>
      <c r="X683" s="20" t="s">
        <v>227</v>
      </c>
      <c r="Y683" s="20"/>
      <c r="Z683" s="20"/>
      <c r="AA683" s="20" t="s">
        <v>2667</v>
      </c>
      <c r="AB683" s="20" t="s">
        <v>1815</v>
      </c>
      <c r="AC683" s="24">
        <v>2</v>
      </c>
      <c r="AD683" s="24"/>
      <c r="AE683" s="24"/>
      <c r="AF683" s="24"/>
      <c r="AG683" s="24"/>
      <c r="AH683" s="20"/>
      <c r="AI683" s="42"/>
    </row>
    <row r="684" spans="1:35">
      <c r="A684" s="14"/>
      <c r="B684" s="20"/>
      <c r="C684" s="20"/>
      <c r="D684" s="20"/>
      <c r="E684" s="20"/>
      <c r="F684" s="20"/>
      <c r="G684" s="20"/>
      <c r="H684" s="20"/>
      <c r="I684" s="221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0"/>
      <c r="V684" s="20"/>
      <c r="W684" s="20"/>
      <c r="X684" s="20"/>
      <c r="Y684" s="20"/>
      <c r="Z684" s="20"/>
      <c r="AA684" s="20" t="s">
        <v>2055</v>
      </c>
      <c r="AB684" s="20" t="s">
        <v>526</v>
      </c>
      <c r="AC684" s="24">
        <v>112</v>
      </c>
      <c r="AD684" s="24"/>
      <c r="AE684" s="24"/>
      <c r="AF684" s="24"/>
      <c r="AG684" s="24"/>
      <c r="AH684" s="20"/>
      <c r="AI684" s="42"/>
    </row>
    <row r="685" spans="1:35">
      <c r="A685" s="14"/>
      <c r="B685" s="20"/>
      <c r="C685" s="84" t="s">
        <v>2420</v>
      </c>
      <c r="D685" s="20" t="s">
        <v>79</v>
      </c>
      <c r="E685" s="20" t="s">
        <v>80</v>
      </c>
      <c r="F685" s="53" t="s">
        <v>702</v>
      </c>
      <c r="G685" s="53" t="s">
        <v>2714</v>
      </c>
      <c r="H685" s="53" t="s">
        <v>588</v>
      </c>
      <c r="I685" s="221">
        <v>31448</v>
      </c>
      <c r="J685" s="24"/>
      <c r="K685" s="24">
        <v>1</v>
      </c>
      <c r="L685" s="24">
        <v>1</v>
      </c>
      <c r="M685" s="24"/>
      <c r="N685" s="24"/>
      <c r="O685" s="24"/>
      <c r="P685" s="24"/>
      <c r="Q685" s="24"/>
      <c r="R685" s="24"/>
      <c r="S685" s="24"/>
      <c r="T685" s="24"/>
      <c r="U685" s="53" t="s">
        <v>2708</v>
      </c>
      <c r="V685" s="20" t="s">
        <v>1280</v>
      </c>
      <c r="W685" s="20" t="s">
        <v>280</v>
      </c>
      <c r="X685" s="20" t="s">
        <v>227</v>
      </c>
      <c r="Y685" s="20"/>
      <c r="Z685" s="20"/>
      <c r="AA685" s="20" t="s">
        <v>2667</v>
      </c>
      <c r="AB685" s="53" t="s">
        <v>1815</v>
      </c>
      <c r="AC685" s="24">
        <v>40</v>
      </c>
      <c r="AD685" s="24"/>
      <c r="AE685" s="24"/>
      <c r="AF685" s="24"/>
      <c r="AG685" s="24"/>
      <c r="AH685" s="20"/>
      <c r="AI685" s="42"/>
    </row>
    <row r="686" spans="1:35">
      <c r="A686" s="14"/>
      <c r="B686" s="20"/>
      <c r="C686" s="20"/>
      <c r="D686" s="20"/>
      <c r="E686" s="20"/>
      <c r="F686" s="20"/>
      <c r="G686" s="20"/>
      <c r="H686" s="20"/>
      <c r="I686" s="221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0"/>
      <c r="V686" s="20"/>
      <c r="W686" s="20"/>
      <c r="X686" s="20"/>
      <c r="Y686" s="20"/>
      <c r="Z686" s="20"/>
      <c r="AA686" s="20" t="s">
        <v>1961</v>
      </c>
      <c r="AB686" s="53" t="s">
        <v>1815</v>
      </c>
      <c r="AC686" s="24">
        <v>10</v>
      </c>
      <c r="AD686" s="24"/>
      <c r="AE686" s="24"/>
      <c r="AF686" s="24"/>
      <c r="AG686" s="24"/>
      <c r="AH686" s="20"/>
      <c r="AI686" s="42"/>
    </row>
    <row r="687" spans="1:35">
      <c r="A687" s="14"/>
      <c r="B687" s="20"/>
      <c r="C687" s="20"/>
      <c r="D687" s="20"/>
      <c r="E687" s="20"/>
      <c r="F687" s="20"/>
      <c r="G687" s="20"/>
      <c r="H687" s="20"/>
      <c r="I687" s="221"/>
      <c r="J687" s="24"/>
      <c r="K687" s="24"/>
      <c r="L687" s="24"/>
      <c r="M687" s="24"/>
      <c r="N687" s="24"/>
      <c r="O687" s="75" t="s">
        <v>93</v>
      </c>
      <c r="P687" s="24"/>
      <c r="Q687" s="24"/>
      <c r="R687" s="24"/>
      <c r="S687" s="24"/>
      <c r="T687" s="24"/>
      <c r="U687" s="20"/>
      <c r="V687" s="20"/>
      <c r="W687" s="20"/>
      <c r="X687" s="20"/>
      <c r="Y687" s="20"/>
      <c r="Z687" s="20"/>
      <c r="AA687" s="20" t="s">
        <v>2055</v>
      </c>
      <c r="AB687" s="53" t="s">
        <v>526</v>
      </c>
      <c r="AC687" s="24">
        <v>112</v>
      </c>
      <c r="AD687" s="24"/>
      <c r="AE687" s="24"/>
      <c r="AF687" s="24"/>
      <c r="AG687" s="24"/>
      <c r="AH687" s="20"/>
      <c r="AI687" s="42"/>
    </row>
    <row r="688" spans="1:35">
      <c r="A688" s="14"/>
      <c r="B688" s="20"/>
      <c r="C688" s="84" t="s">
        <v>2420</v>
      </c>
      <c r="D688" s="20" t="s">
        <v>79</v>
      </c>
      <c r="E688" s="20" t="s">
        <v>80</v>
      </c>
      <c r="F688" s="53" t="s">
        <v>2715</v>
      </c>
      <c r="G688" s="53" t="s">
        <v>2716</v>
      </c>
      <c r="H688" s="53" t="s">
        <v>2717</v>
      </c>
      <c r="I688" s="221">
        <v>27474</v>
      </c>
      <c r="J688" s="24"/>
      <c r="K688" s="24">
        <v>1</v>
      </c>
      <c r="L688" s="24">
        <v>1</v>
      </c>
      <c r="M688" s="24"/>
      <c r="N688" s="24"/>
      <c r="O688" s="24">
        <v>1</v>
      </c>
      <c r="P688" s="24"/>
      <c r="Q688" s="24"/>
      <c r="R688" s="24"/>
      <c r="S688" s="24"/>
      <c r="T688" s="24"/>
      <c r="U688" s="53" t="s">
        <v>2708</v>
      </c>
      <c r="V688" s="20" t="s">
        <v>1280</v>
      </c>
      <c r="W688" s="20" t="s">
        <v>280</v>
      </c>
      <c r="X688" s="20" t="s">
        <v>227</v>
      </c>
      <c r="Y688" s="20"/>
      <c r="Z688" s="20"/>
      <c r="AA688" s="20" t="s">
        <v>2667</v>
      </c>
      <c r="AB688" s="20" t="s">
        <v>1815</v>
      </c>
      <c r="AC688" s="24">
        <v>2</v>
      </c>
      <c r="AD688" s="24"/>
      <c r="AE688" s="24"/>
      <c r="AF688" s="24"/>
      <c r="AG688" s="24"/>
      <c r="AH688" s="20"/>
      <c r="AI688" s="42"/>
    </row>
    <row r="689" spans="1:35">
      <c r="A689" s="14"/>
      <c r="B689" s="20"/>
      <c r="C689" s="20"/>
      <c r="D689" s="20"/>
      <c r="E689" s="20"/>
      <c r="F689" s="20"/>
      <c r="G689" s="20"/>
      <c r="H689" s="20"/>
      <c r="I689" s="221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0"/>
      <c r="V689" s="20"/>
      <c r="W689" s="20"/>
      <c r="X689" s="20"/>
      <c r="Y689" s="20"/>
      <c r="Z689" s="20"/>
      <c r="AA689" s="20" t="s">
        <v>2055</v>
      </c>
      <c r="AB689" s="20" t="s">
        <v>526</v>
      </c>
      <c r="AC689" s="24">
        <v>112</v>
      </c>
      <c r="AD689" s="24"/>
      <c r="AE689" s="24"/>
      <c r="AF689" s="24"/>
      <c r="AG689" s="24"/>
      <c r="AH689" s="20"/>
      <c r="AI689" s="42"/>
    </row>
    <row r="690" spans="1:35">
      <c r="A690" s="14"/>
      <c r="B690" s="20"/>
      <c r="C690" s="84" t="s">
        <v>2420</v>
      </c>
      <c r="D690" s="20" t="s">
        <v>79</v>
      </c>
      <c r="E690" s="20" t="s">
        <v>80</v>
      </c>
      <c r="F690" s="53" t="s">
        <v>2718</v>
      </c>
      <c r="G690" s="53" t="s">
        <v>2719</v>
      </c>
      <c r="H690" s="53" t="s">
        <v>2303</v>
      </c>
      <c r="I690" s="221">
        <v>31298</v>
      </c>
      <c r="J690" s="24"/>
      <c r="K690" s="24">
        <v>1</v>
      </c>
      <c r="L690" s="24">
        <v>1</v>
      </c>
      <c r="M690" s="24"/>
      <c r="N690" s="24"/>
      <c r="O690" s="24">
        <v>1</v>
      </c>
      <c r="P690" s="24"/>
      <c r="Q690" s="24"/>
      <c r="R690" s="24"/>
      <c r="S690" s="24"/>
      <c r="T690" s="24"/>
      <c r="U690" s="53" t="s">
        <v>2682</v>
      </c>
      <c r="V690" s="20" t="s">
        <v>1280</v>
      </c>
      <c r="W690" s="20" t="s">
        <v>280</v>
      </c>
      <c r="X690" s="20" t="s">
        <v>227</v>
      </c>
      <c r="Y690" s="20"/>
      <c r="Z690" s="20"/>
      <c r="AA690" s="20" t="s">
        <v>2667</v>
      </c>
      <c r="AB690" s="20" t="s">
        <v>1815</v>
      </c>
      <c r="AC690" s="24">
        <v>2</v>
      </c>
      <c r="AD690" s="24"/>
      <c r="AE690" s="24"/>
      <c r="AF690" s="24"/>
      <c r="AG690" s="24"/>
      <c r="AH690" s="20"/>
      <c r="AI690" s="42"/>
    </row>
    <row r="691" spans="1:35">
      <c r="A691" s="14"/>
      <c r="B691" s="20"/>
      <c r="C691" s="20"/>
      <c r="D691" s="20"/>
      <c r="E691" s="20"/>
      <c r="F691" s="20"/>
      <c r="G691" s="20"/>
      <c r="H691" s="20"/>
      <c r="I691" s="221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0"/>
      <c r="V691" s="20"/>
      <c r="W691" s="20"/>
      <c r="X691" s="20"/>
      <c r="Y691" s="20"/>
      <c r="Z691" s="20"/>
      <c r="AA691" s="20" t="s">
        <v>2055</v>
      </c>
      <c r="AB691" s="20" t="s">
        <v>526</v>
      </c>
      <c r="AC691" s="24">
        <v>112</v>
      </c>
      <c r="AD691" s="24"/>
      <c r="AE691" s="24"/>
      <c r="AF691" s="24"/>
      <c r="AG691" s="24"/>
      <c r="AH691" s="20"/>
      <c r="AI691" s="42"/>
    </row>
    <row r="692" spans="1:35">
      <c r="A692" s="14"/>
      <c r="B692" s="20"/>
      <c r="C692" s="84" t="s">
        <v>2420</v>
      </c>
      <c r="D692" s="20" t="s">
        <v>79</v>
      </c>
      <c r="E692" s="20" t="s">
        <v>80</v>
      </c>
      <c r="F692" s="53" t="s">
        <v>2720</v>
      </c>
      <c r="G692" s="53" t="s">
        <v>2721</v>
      </c>
      <c r="H692" s="53" t="s">
        <v>120</v>
      </c>
      <c r="I692" s="221">
        <v>34428</v>
      </c>
      <c r="J692" s="24"/>
      <c r="K692" s="24">
        <v>1</v>
      </c>
      <c r="L692" s="24">
        <v>1</v>
      </c>
      <c r="M692" s="24"/>
      <c r="N692" s="24"/>
      <c r="O692" s="24">
        <v>1</v>
      </c>
      <c r="P692" s="24"/>
      <c r="Q692" s="24"/>
      <c r="R692" s="24"/>
      <c r="S692" s="24"/>
      <c r="T692" s="24"/>
      <c r="U692" s="53" t="s">
        <v>2732</v>
      </c>
      <c r="V692" s="20" t="s">
        <v>1280</v>
      </c>
      <c r="W692" s="20" t="s">
        <v>280</v>
      </c>
      <c r="X692" s="20" t="s">
        <v>227</v>
      </c>
      <c r="Y692" s="20"/>
      <c r="Z692" s="20"/>
      <c r="AA692" s="20" t="s">
        <v>2667</v>
      </c>
      <c r="AB692" s="53" t="s">
        <v>1815</v>
      </c>
      <c r="AC692" s="24">
        <v>35</v>
      </c>
      <c r="AD692" s="24"/>
      <c r="AE692" s="24"/>
      <c r="AF692" s="24"/>
      <c r="AG692" s="24"/>
      <c r="AH692" s="20"/>
      <c r="AI692" s="42"/>
    </row>
    <row r="693" spans="1:35">
      <c r="A693" s="14"/>
      <c r="B693" s="20"/>
      <c r="C693" s="20"/>
      <c r="D693" s="20"/>
      <c r="E693" s="20"/>
      <c r="F693" s="20"/>
      <c r="G693" s="20"/>
      <c r="H693" s="20"/>
      <c r="I693" s="221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0"/>
      <c r="V693" s="20"/>
      <c r="W693" s="20"/>
      <c r="X693" s="20"/>
      <c r="Y693" s="20"/>
      <c r="Z693" s="20"/>
      <c r="AA693" s="20" t="s">
        <v>1961</v>
      </c>
      <c r="AB693" s="53" t="s">
        <v>1815</v>
      </c>
      <c r="AC693" s="24">
        <v>2</v>
      </c>
      <c r="AD693" s="24"/>
      <c r="AE693" s="24"/>
      <c r="AF693" s="24"/>
      <c r="AG693" s="24"/>
      <c r="AH693" s="20"/>
      <c r="AI693" s="42"/>
    </row>
    <row r="694" spans="1:35">
      <c r="A694" s="14" t="s">
        <v>93</v>
      </c>
      <c r="B694" s="20"/>
      <c r="C694" s="20"/>
      <c r="D694" s="20"/>
      <c r="E694" s="20"/>
      <c r="F694" s="20"/>
      <c r="G694" s="20"/>
      <c r="H694" s="20"/>
      <c r="I694" s="221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0"/>
      <c r="V694" s="20"/>
      <c r="W694" s="20"/>
      <c r="X694" s="20"/>
      <c r="Y694" s="20"/>
      <c r="Z694" s="20"/>
      <c r="AA694" s="20" t="s">
        <v>2055</v>
      </c>
      <c r="AB694" s="53" t="s">
        <v>526</v>
      </c>
      <c r="AC694" s="24">
        <v>112</v>
      </c>
      <c r="AD694" s="24"/>
      <c r="AE694" s="24"/>
      <c r="AF694" s="24"/>
      <c r="AG694" s="24"/>
      <c r="AH694" s="20"/>
      <c r="AI694" s="42"/>
    </row>
    <row r="695" spans="1:35">
      <c r="A695" s="14"/>
      <c r="B695" s="20"/>
      <c r="C695" s="84" t="s">
        <v>2420</v>
      </c>
      <c r="D695" s="20" t="s">
        <v>79</v>
      </c>
      <c r="E695" s="20" t="s">
        <v>80</v>
      </c>
      <c r="F695" s="84" t="s">
        <v>392</v>
      </c>
      <c r="G695" s="53" t="s">
        <v>2722</v>
      </c>
      <c r="H695" s="53" t="s">
        <v>133</v>
      </c>
      <c r="I695" s="221">
        <v>29112</v>
      </c>
      <c r="J695" s="24">
        <v>1</v>
      </c>
      <c r="K695" s="24"/>
      <c r="L695" s="24">
        <v>1</v>
      </c>
      <c r="M695" s="24"/>
      <c r="N695" s="24"/>
      <c r="O695" s="24">
        <v>1</v>
      </c>
      <c r="P695" s="24"/>
      <c r="Q695" s="24"/>
      <c r="R695" s="24"/>
      <c r="S695" s="24"/>
      <c r="T695" s="24"/>
      <c r="U695" s="53" t="s">
        <v>2732</v>
      </c>
      <c r="V695" s="20" t="s">
        <v>1280</v>
      </c>
      <c r="W695" s="20" t="s">
        <v>280</v>
      </c>
      <c r="X695" s="20" t="s">
        <v>227</v>
      </c>
      <c r="Y695" s="20"/>
      <c r="Z695" s="20"/>
      <c r="AA695" s="20" t="s">
        <v>2667</v>
      </c>
      <c r="AB695" s="20" t="s">
        <v>1815</v>
      </c>
      <c r="AC695" s="24">
        <v>2</v>
      </c>
      <c r="AD695" s="24"/>
      <c r="AE695" s="24"/>
      <c r="AF695" s="24"/>
      <c r="AG695" s="24"/>
      <c r="AH695" s="20"/>
      <c r="AI695" s="42"/>
    </row>
    <row r="696" spans="1:35">
      <c r="A696" s="14"/>
      <c r="B696" s="20"/>
      <c r="C696" s="20"/>
      <c r="D696" s="20"/>
      <c r="E696" s="20"/>
      <c r="F696" s="20"/>
      <c r="G696" s="20"/>
      <c r="H696" s="20"/>
      <c r="I696" s="221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0"/>
      <c r="V696" s="20"/>
      <c r="W696" s="20"/>
      <c r="X696" s="20"/>
      <c r="Y696" s="20"/>
      <c r="Z696" s="20"/>
      <c r="AA696" s="20" t="s">
        <v>2055</v>
      </c>
      <c r="AB696" s="20" t="s">
        <v>526</v>
      </c>
      <c r="AC696" s="24">
        <v>112</v>
      </c>
      <c r="AD696" s="24"/>
      <c r="AE696" s="24"/>
      <c r="AF696" s="24"/>
      <c r="AG696" s="24"/>
      <c r="AH696" s="20"/>
      <c r="AI696" s="42"/>
    </row>
    <row r="697" spans="1:35">
      <c r="A697" s="14"/>
      <c r="B697" s="20"/>
      <c r="C697" s="84" t="s">
        <v>2420</v>
      </c>
      <c r="D697" s="20" t="s">
        <v>79</v>
      </c>
      <c r="E697" s="20" t="s">
        <v>80</v>
      </c>
      <c r="F697" s="84" t="s">
        <v>2723</v>
      </c>
      <c r="G697" s="53" t="s">
        <v>2029</v>
      </c>
      <c r="H697" s="84" t="s">
        <v>144</v>
      </c>
      <c r="I697" s="221">
        <v>29785</v>
      </c>
      <c r="J697" s="24">
        <v>1</v>
      </c>
      <c r="K697" s="24"/>
      <c r="L697" s="24">
        <v>1</v>
      </c>
      <c r="M697" s="24"/>
      <c r="N697" s="24"/>
      <c r="O697" s="24">
        <v>1</v>
      </c>
      <c r="P697" s="24"/>
      <c r="Q697" s="24"/>
      <c r="R697" s="24"/>
      <c r="S697" s="24"/>
      <c r="T697" s="24"/>
      <c r="U697" s="53" t="s">
        <v>2732</v>
      </c>
      <c r="V697" s="20" t="s">
        <v>1280</v>
      </c>
      <c r="W697" s="20" t="s">
        <v>280</v>
      </c>
      <c r="X697" s="20" t="s">
        <v>227</v>
      </c>
      <c r="Y697" s="20"/>
      <c r="Z697" s="20"/>
      <c r="AA697" s="20" t="s">
        <v>2667</v>
      </c>
      <c r="AB697" s="20" t="s">
        <v>1815</v>
      </c>
      <c r="AC697" s="24">
        <v>2</v>
      </c>
      <c r="AD697" s="24"/>
      <c r="AE697" s="24"/>
      <c r="AF697" s="24"/>
      <c r="AG697" s="24"/>
      <c r="AH697" s="20"/>
      <c r="AI697" s="42"/>
    </row>
    <row r="698" spans="1:35">
      <c r="A698" s="14"/>
      <c r="B698" s="20"/>
      <c r="C698" s="20"/>
      <c r="D698" s="20"/>
      <c r="E698" s="20"/>
      <c r="F698" s="20"/>
      <c r="G698" s="20"/>
      <c r="H698" s="20"/>
      <c r="I698" s="221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0"/>
      <c r="V698" s="20"/>
      <c r="W698" s="20"/>
      <c r="X698" s="20"/>
      <c r="Y698" s="20"/>
      <c r="Z698" s="20"/>
      <c r="AA698" s="20" t="s">
        <v>2055</v>
      </c>
      <c r="AB698" s="20" t="s">
        <v>526</v>
      </c>
      <c r="AC698" s="24">
        <v>112</v>
      </c>
      <c r="AD698" s="24"/>
      <c r="AE698" s="24"/>
      <c r="AF698" s="24"/>
      <c r="AG698" s="24"/>
      <c r="AH698" s="20"/>
      <c r="AI698" s="42"/>
    </row>
    <row r="699" spans="1:35">
      <c r="A699" s="14"/>
      <c r="B699" s="20"/>
      <c r="C699" s="84" t="s">
        <v>2420</v>
      </c>
      <c r="D699" s="20" t="s">
        <v>79</v>
      </c>
      <c r="E699" s="20" t="s">
        <v>80</v>
      </c>
      <c r="F699" s="53" t="s">
        <v>2724</v>
      </c>
      <c r="G699" s="53" t="s">
        <v>154</v>
      </c>
      <c r="H699" s="53" t="s">
        <v>588</v>
      </c>
      <c r="I699" s="211">
        <v>28360</v>
      </c>
      <c r="J699" s="24">
        <v>1</v>
      </c>
      <c r="K699" s="24"/>
      <c r="L699" s="24">
        <v>1</v>
      </c>
      <c r="M699" s="24"/>
      <c r="N699" s="24"/>
      <c r="O699" s="24">
        <v>1</v>
      </c>
      <c r="P699" s="24"/>
      <c r="Q699" s="24"/>
      <c r="R699" s="24"/>
      <c r="S699" s="24"/>
      <c r="T699" s="24"/>
      <c r="U699" s="53" t="s">
        <v>2682</v>
      </c>
      <c r="V699" s="20" t="s">
        <v>1280</v>
      </c>
      <c r="W699" s="20" t="s">
        <v>280</v>
      </c>
      <c r="X699" s="20" t="s">
        <v>227</v>
      </c>
      <c r="Y699" s="20"/>
      <c r="Z699" s="20"/>
      <c r="AA699" s="20" t="s">
        <v>2667</v>
      </c>
      <c r="AB699" s="20" t="s">
        <v>1815</v>
      </c>
      <c r="AC699" s="24">
        <v>2</v>
      </c>
      <c r="AD699" s="24"/>
      <c r="AE699" s="24"/>
      <c r="AF699" s="24"/>
      <c r="AG699" s="24"/>
      <c r="AH699" s="20"/>
      <c r="AI699" s="42"/>
    </row>
    <row r="700" spans="1:35">
      <c r="A700" s="14"/>
      <c r="B700" s="20"/>
      <c r="C700" s="20"/>
      <c r="D700" s="20"/>
      <c r="E700" s="20"/>
      <c r="F700" s="20"/>
      <c r="G700" s="20"/>
      <c r="H700" s="20"/>
      <c r="I700" s="211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0"/>
      <c r="V700" s="20"/>
      <c r="W700" s="20"/>
      <c r="X700" s="20"/>
      <c r="Y700" s="20"/>
      <c r="Z700" s="20"/>
      <c r="AA700" s="20" t="s">
        <v>2055</v>
      </c>
      <c r="AB700" s="20" t="s">
        <v>526</v>
      </c>
      <c r="AC700" s="24">
        <v>112</v>
      </c>
      <c r="AD700" s="24"/>
      <c r="AE700" s="24"/>
      <c r="AF700" s="24"/>
      <c r="AG700" s="24"/>
      <c r="AH700" s="20"/>
      <c r="AI700" s="42"/>
    </row>
    <row r="701" spans="1:35">
      <c r="A701" s="14"/>
      <c r="B701" s="20"/>
      <c r="C701" s="84" t="s">
        <v>2420</v>
      </c>
      <c r="D701" s="20" t="s">
        <v>79</v>
      </c>
      <c r="E701" s="20" t="s">
        <v>80</v>
      </c>
      <c r="F701" s="53" t="s">
        <v>2725</v>
      </c>
      <c r="G701" s="53" t="s">
        <v>2726</v>
      </c>
      <c r="H701" s="53" t="s">
        <v>283</v>
      </c>
      <c r="I701" s="211">
        <v>35583</v>
      </c>
      <c r="J701" s="24">
        <v>1</v>
      </c>
      <c r="K701" s="24"/>
      <c r="L701" s="24">
        <v>1</v>
      </c>
      <c r="M701" s="24"/>
      <c r="N701" s="24"/>
      <c r="O701" s="24">
        <v>1</v>
      </c>
      <c r="P701" s="24"/>
      <c r="Q701" s="24"/>
      <c r="R701" s="24"/>
      <c r="S701" s="24"/>
      <c r="T701" s="24"/>
      <c r="U701" s="53" t="s">
        <v>2682</v>
      </c>
      <c r="V701" s="20" t="s">
        <v>1280</v>
      </c>
      <c r="W701" s="20" t="s">
        <v>280</v>
      </c>
      <c r="X701" s="20" t="s">
        <v>227</v>
      </c>
      <c r="Y701" s="20"/>
      <c r="Z701" s="20"/>
      <c r="AA701" s="20" t="s">
        <v>2667</v>
      </c>
      <c r="AB701" s="20" t="s">
        <v>1815</v>
      </c>
      <c r="AC701" s="24">
        <v>2</v>
      </c>
      <c r="AD701" s="24"/>
      <c r="AE701" s="24"/>
      <c r="AF701" s="24"/>
      <c r="AG701" s="24"/>
      <c r="AH701" s="20"/>
      <c r="AI701" s="42"/>
    </row>
    <row r="702" spans="1:35">
      <c r="A702" s="14"/>
      <c r="B702" s="20"/>
      <c r="C702" s="20"/>
      <c r="D702" s="20"/>
      <c r="E702" s="20"/>
      <c r="F702" s="20"/>
      <c r="G702" s="20"/>
      <c r="H702" s="20"/>
      <c r="I702" s="211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0"/>
      <c r="V702" s="20"/>
      <c r="W702" s="20"/>
      <c r="X702" s="20"/>
      <c r="Y702" s="20"/>
      <c r="Z702" s="20"/>
      <c r="AA702" s="20" t="s">
        <v>2055</v>
      </c>
      <c r="AB702" s="20" t="s">
        <v>526</v>
      </c>
      <c r="AC702" s="24">
        <v>112</v>
      </c>
      <c r="AD702" s="24"/>
      <c r="AE702" s="24"/>
      <c r="AF702" s="24"/>
      <c r="AG702" s="24"/>
      <c r="AH702" s="20"/>
      <c r="AI702" s="42"/>
    </row>
    <row r="703" spans="1:35">
      <c r="A703" s="14"/>
      <c r="B703" s="20"/>
      <c r="C703" s="84" t="s">
        <v>2420</v>
      </c>
      <c r="D703" s="20" t="s">
        <v>79</v>
      </c>
      <c r="E703" s="20" t="s">
        <v>80</v>
      </c>
      <c r="F703" s="53" t="s">
        <v>2727</v>
      </c>
      <c r="G703" s="53" t="s">
        <v>1557</v>
      </c>
      <c r="H703" s="53" t="s">
        <v>283</v>
      </c>
      <c r="I703" s="211">
        <v>30520</v>
      </c>
      <c r="J703" s="24">
        <v>1</v>
      </c>
      <c r="K703" s="24"/>
      <c r="L703" s="24">
        <v>1</v>
      </c>
      <c r="M703" s="24"/>
      <c r="N703" s="24"/>
      <c r="O703" s="24">
        <v>1</v>
      </c>
      <c r="P703" s="24"/>
      <c r="Q703" s="24"/>
      <c r="R703" s="24"/>
      <c r="S703" s="24"/>
      <c r="T703" s="24"/>
      <c r="U703" s="53" t="s">
        <v>2708</v>
      </c>
      <c r="V703" s="20" t="s">
        <v>1280</v>
      </c>
      <c r="W703" s="20" t="s">
        <v>280</v>
      </c>
      <c r="X703" s="20" t="s">
        <v>227</v>
      </c>
      <c r="Y703" s="20"/>
      <c r="Z703" s="20"/>
      <c r="AA703" s="20" t="s">
        <v>2667</v>
      </c>
      <c r="AB703" s="20" t="s">
        <v>1815</v>
      </c>
      <c r="AC703" s="24">
        <v>2</v>
      </c>
      <c r="AD703" s="24"/>
      <c r="AE703" s="24"/>
      <c r="AF703" s="24"/>
      <c r="AG703" s="24"/>
      <c r="AH703" s="20"/>
      <c r="AI703" s="42"/>
    </row>
    <row r="704" spans="1:35">
      <c r="A704" s="14"/>
      <c r="B704" s="20"/>
      <c r="C704" s="20"/>
      <c r="D704" s="20"/>
      <c r="E704" s="20"/>
      <c r="F704" s="20"/>
      <c r="G704" s="20"/>
      <c r="H704" s="20"/>
      <c r="I704" s="211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0"/>
      <c r="V704" s="20"/>
      <c r="W704" s="20"/>
      <c r="X704" s="20"/>
      <c r="Y704" s="20"/>
      <c r="Z704" s="20"/>
      <c r="AA704" s="20" t="s">
        <v>2055</v>
      </c>
      <c r="AB704" s="20" t="s">
        <v>526</v>
      </c>
      <c r="AC704" s="24">
        <v>112</v>
      </c>
      <c r="AD704" s="24"/>
      <c r="AE704" s="24"/>
      <c r="AF704" s="24"/>
      <c r="AG704" s="24"/>
      <c r="AH704" s="20"/>
      <c r="AI704" s="42"/>
    </row>
    <row r="705" spans="1:35">
      <c r="A705" s="14"/>
      <c r="B705" s="20"/>
      <c r="C705" s="84" t="s">
        <v>2420</v>
      </c>
      <c r="D705" s="20" t="s">
        <v>79</v>
      </c>
      <c r="E705" s="20" t="s">
        <v>80</v>
      </c>
      <c r="F705" s="53" t="s">
        <v>2728</v>
      </c>
      <c r="G705" s="53" t="s">
        <v>2729</v>
      </c>
      <c r="H705" s="53" t="s">
        <v>120</v>
      </c>
      <c r="I705" s="211">
        <v>36619</v>
      </c>
      <c r="J705" s="24">
        <v>1</v>
      </c>
      <c r="K705" s="24"/>
      <c r="L705" s="24">
        <v>1</v>
      </c>
      <c r="M705" s="24"/>
      <c r="N705" s="24"/>
      <c r="O705" s="24">
        <v>1</v>
      </c>
      <c r="P705" s="24"/>
      <c r="Q705" s="24"/>
      <c r="R705" s="24"/>
      <c r="S705" s="24"/>
      <c r="T705" s="24"/>
      <c r="U705" s="53" t="s">
        <v>2708</v>
      </c>
      <c r="V705" s="20" t="s">
        <v>1280</v>
      </c>
      <c r="W705" s="20" t="s">
        <v>280</v>
      </c>
      <c r="X705" s="20" t="s">
        <v>227</v>
      </c>
      <c r="Y705" s="20"/>
      <c r="Z705" s="20"/>
      <c r="AA705" s="20" t="s">
        <v>2667</v>
      </c>
      <c r="AB705" s="20" t="s">
        <v>1815</v>
      </c>
      <c r="AC705" s="24">
        <v>2</v>
      </c>
      <c r="AD705" s="24"/>
      <c r="AE705" s="24"/>
      <c r="AF705" s="24"/>
      <c r="AG705" s="24"/>
      <c r="AH705" s="20"/>
      <c r="AI705" s="42"/>
    </row>
    <row r="706" spans="1:35">
      <c r="A706" s="14"/>
      <c r="B706" s="20"/>
      <c r="C706" s="20"/>
      <c r="D706" s="20"/>
      <c r="E706" s="20"/>
      <c r="F706" s="20"/>
      <c r="G706" s="20"/>
      <c r="H706" s="20"/>
      <c r="I706" s="211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0"/>
      <c r="V706" s="20"/>
      <c r="W706" s="20"/>
      <c r="X706" s="20"/>
      <c r="Y706" s="20"/>
      <c r="Z706" s="20"/>
      <c r="AA706" s="20" t="s">
        <v>2055</v>
      </c>
      <c r="AB706" s="20" t="s">
        <v>526</v>
      </c>
      <c r="AC706" s="24">
        <v>112</v>
      </c>
      <c r="AD706" s="24"/>
      <c r="AE706" s="24"/>
      <c r="AF706" s="24"/>
      <c r="AG706" s="24"/>
      <c r="AH706" s="20"/>
      <c r="AI706" s="42"/>
    </row>
    <row r="707" spans="1:35">
      <c r="A707" s="14"/>
      <c r="B707" s="20"/>
      <c r="C707" s="84" t="s">
        <v>2420</v>
      </c>
      <c r="D707" s="20" t="s">
        <v>79</v>
      </c>
      <c r="E707" s="20" t="s">
        <v>80</v>
      </c>
      <c r="F707" s="53" t="s">
        <v>2728</v>
      </c>
      <c r="G707" s="53" t="s">
        <v>2730</v>
      </c>
      <c r="H707" s="53" t="s">
        <v>286</v>
      </c>
      <c r="I707" s="211">
        <v>28449</v>
      </c>
      <c r="J707" s="24">
        <v>1</v>
      </c>
      <c r="K707" s="24"/>
      <c r="L707" s="24">
        <v>1</v>
      </c>
      <c r="M707" s="24"/>
      <c r="N707" s="24"/>
      <c r="O707" s="24">
        <v>1</v>
      </c>
      <c r="P707" s="24"/>
      <c r="Q707" s="24"/>
      <c r="R707" s="24"/>
      <c r="S707" s="24"/>
      <c r="T707" s="24"/>
      <c r="U707" s="53" t="s">
        <v>2708</v>
      </c>
      <c r="V707" s="20" t="s">
        <v>1280</v>
      </c>
      <c r="W707" s="20" t="s">
        <v>280</v>
      </c>
      <c r="X707" s="20" t="s">
        <v>227</v>
      </c>
      <c r="Y707" s="20"/>
      <c r="Z707" s="20"/>
      <c r="AA707" s="20" t="s">
        <v>2667</v>
      </c>
      <c r="AB707" s="20" t="s">
        <v>1815</v>
      </c>
      <c r="AC707" s="24">
        <v>2</v>
      </c>
      <c r="AD707" s="24"/>
      <c r="AE707" s="24"/>
      <c r="AF707" s="24"/>
      <c r="AG707" s="24"/>
      <c r="AH707" s="20"/>
      <c r="AI707" s="42"/>
    </row>
    <row r="708" spans="1:35">
      <c r="A708" s="14"/>
      <c r="B708" s="20"/>
      <c r="C708" s="20"/>
      <c r="D708" s="20"/>
      <c r="E708" s="20"/>
      <c r="F708" s="20"/>
      <c r="G708" s="20"/>
      <c r="H708" s="20"/>
      <c r="I708" s="211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0"/>
      <c r="V708" s="20"/>
      <c r="W708" s="20"/>
      <c r="X708" s="20"/>
      <c r="Y708" s="20"/>
      <c r="Z708" s="20"/>
      <c r="AA708" s="20" t="s">
        <v>2055</v>
      </c>
      <c r="AB708" s="20" t="s">
        <v>526</v>
      </c>
      <c r="AC708" s="24">
        <v>112</v>
      </c>
      <c r="AD708" s="24"/>
      <c r="AE708" s="24"/>
      <c r="AF708" s="24"/>
      <c r="AG708" s="24"/>
      <c r="AH708" s="20"/>
      <c r="AI708" s="42"/>
    </row>
    <row r="709" spans="1:35">
      <c r="A709" s="14"/>
      <c r="B709" s="20"/>
      <c r="C709" s="84" t="s">
        <v>2420</v>
      </c>
      <c r="D709" s="20" t="s">
        <v>79</v>
      </c>
      <c r="E709" s="20" t="s">
        <v>80</v>
      </c>
      <c r="F709" s="53" t="s">
        <v>2707</v>
      </c>
      <c r="G709" s="53" t="s">
        <v>2316</v>
      </c>
      <c r="H709" s="53" t="s">
        <v>283</v>
      </c>
      <c r="I709" s="211">
        <v>27635</v>
      </c>
      <c r="J709" s="24">
        <v>1</v>
      </c>
      <c r="K709" s="24"/>
      <c r="L709" s="24">
        <v>1</v>
      </c>
      <c r="M709" s="24"/>
      <c r="N709" s="24"/>
      <c r="O709" s="24">
        <v>1</v>
      </c>
      <c r="P709" s="24"/>
      <c r="Q709" s="24"/>
      <c r="R709" s="24"/>
      <c r="S709" s="24"/>
      <c r="T709" s="24"/>
      <c r="U709" s="53" t="s">
        <v>2733</v>
      </c>
      <c r="V709" s="20" t="s">
        <v>1280</v>
      </c>
      <c r="W709" s="20" t="s">
        <v>280</v>
      </c>
      <c r="X709" s="20" t="s">
        <v>227</v>
      </c>
      <c r="Y709" s="20"/>
      <c r="Z709" s="20"/>
      <c r="AA709" s="20" t="s">
        <v>2667</v>
      </c>
      <c r="AB709" s="53" t="s">
        <v>1815</v>
      </c>
      <c r="AC709" s="24">
        <v>36</v>
      </c>
      <c r="AD709" s="24"/>
      <c r="AE709" s="24"/>
      <c r="AF709" s="24"/>
      <c r="AG709" s="24"/>
      <c r="AH709" s="20"/>
      <c r="AI709" s="42"/>
    </row>
    <row r="710" spans="1:35">
      <c r="A710" s="14"/>
      <c r="B710" s="20"/>
      <c r="C710" s="20"/>
      <c r="D710" s="20"/>
      <c r="E710" s="20"/>
      <c r="F710" s="20"/>
      <c r="G710" s="20"/>
      <c r="H710" s="20"/>
      <c r="I710" s="211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0"/>
      <c r="V710" s="20"/>
      <c r="W710" s="20"/>
      <c r="X710" s="20"/>
      <c r="Y710" s="20"/>
      <c r="Z710" s="20"/>
      <c r="AA710" s="20" t="s">
        <v>1961</v>
      </c>
      <c r="AB710" s="53" t="s">
        <v>1815</v>
      </c>
      <c r="AC710" s="24">
        <v>5</v>
      </c>
      <c r="AD710" s="24"/>
      <c r="AE710" s="24"/>
      <c r="AF710" s="24"/>
      <c r="AG710" s="24"/>
      <c r="AH710" s="20"/>
      <c r="AI710" s="42"/>
    </row>
    <row r="711" spans="1:35">
      <c r="A711" s="14"/>
      <c r="B711" s="20"/>
      <c r="C711" s="20"/>
      <c r="D711" s="20"/>
      <c r="E711" s="20"/>
      <c r="F711" s="20"/>
      <c r="G711" s="20"/>
      <c r="H711" s="20"/>
      <c r="I711" s="211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0"/>
      <c r="V711" s="20"/>
      <c r="W711" s="20"/>
      <c r="X711" s="20"/>
      <c r="Y711" s="20"/>
      <c r="Z711" s="20"/>
      <c r="AA711" s="20" t="s">
        <v>2055</v>
      </c>
      <c r="AB711" s="53" t="s">
        <v>526</v>
      </c>
      <c r="AC711" s="24">
        <v>112</v>
      </c>
      <c r="AD711" s="24"/>
      <c r="AE711" s="24"/>
      <c r="AF711" s="24"/>
      <c r="AG711" s="24"/>
      <c r="AH711" s="20"/>
      <c r="AI711" s="42"/>
    </row>
    <row r="712" spans="1:35">
      <c r="A712" s="14"/>
      <c r="B712" s="20"/>
      <c r="C712" s="84" t="s">
        <v>2420</v>
      </c>
      <c r="D712" s="20" t="s">
        <v>79</v>
      </c>
      <c r="E712" s="20" t="s">
        <v>80</v>
      </c>
      <c r="F712" s="53" t="s">
        <v>2731</v>
      </c>
      <c r="G712" s="53" t="s">
        <v>121</v>
      </c>
      <c r="H712" s="53" t="s">
        <v>283</v>
      </c>
      <c r="I712" s="211">
        <v>33232</v>
      </c>
      <c r="J712" s="24">
        <v>1</v>
      </c>
      <c r="K712" s="24"/>
      <c r="L712" s="24">
        <v>1</v>
      </c>
      <c r="M712" s="24"/>
      <c r="N712" s="24"/>
      <c r="O712" s="24">
        <v>1</v>
      </c>
      <c r="P712" s="24"/>
      <c r="Q712" s="24"/>
      <c r="R712" s="24"/>
      <c r="S712" s="24"/>
      <c r="T712" s="24"/>
      <c r="U712" s="53" t="s">
        <v>2732</v>
      </c>
      <c r="V712" s="20" t="s">
        <v>1280</v>
      </c>
      <c r="W712" s="20" t="s">
        <v>280</v>
      </c>
      <c r="X712" s="20" t="s">
        <v>227</v>
      </c>
      <c r="Y712" s="20"/>
      <c r="Z712" s="20"/>
      <c r="AA712" s="20" t="s">
        <v>2667</v>
      </c>
      <c r="AB712" s="20" t="s">
        <v>1815</v>
      </c>
      <c r="AC712" s="24">
        <v>2</v>
      </c>
      <c r="AD712" s="24"/>
      <c r="AE712" s="24"/>
      <c r="AF712" s="24"/>
      <c r="AG712" s="24"/>
      <c r="AH712" s="20"/>
      <c r="AI712" s="42"/>
    </row>
    <row r="713" spans="1:35">
      <c r="A713" s="14"/>
      <c r="B713" s="20"/>
      <c r="C713" s="20"/>
      <c r="D713" s="20"/>
      <c r="E713" s="20"/>
      <c r="F713" s="20"/>
      <c r="G713" s="20"/>
      <c r="H713" s="20"/>
      <c r="I713" s="211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0"/>
      <c r="V713" s="20"/>
      <c r="W713" s="20"/>
      <c r="X713" s="20"/>
      <c r="Y713" s="20"/>
      <c r="Z713" s="20"/>
      <c r="AA713" s="20" t="s">
        <v>2055</v>
      </c>
      <c r="AB713" s="20" t="s">
        <v>526</v>
      </c>
      <c r="AC713" s="24">
        <v>112</v>
      </c>
      <c r="AD713" s="24"/>
      <c r="AE713" s="24"/>
      <c r="AF713" s="24"/>
      <c r="AG713" s="24"/>
      <c r="AH713" s="20"/>
      <c r="AI713" s="42"/>
    </row>
    <row r="714" spans="1:35">
      <c r="A714" s="14"/>
      <c r="B714" s="20"/>
      <c r="C714" s="84" t="s">
        <v>2420</v>
      </c>
      <c r="D714" s="20" t="s">
        <v>79</v>
      </c>
      <c r="E714" s="20" t="s">
        <v>80</v>
      </c>
      <c r="F714" s="53" t="s">
        <v>2705</v>
      </c>
      <c r="G714" s="53" t="s">
        <v>2314</v>
      </c>
      <c r="H714" s="53" t="s">
        <v>120</v>
      </c>
      <c r="I714" s="211">
        <v>32553</v>
      </c>
      <c r="J714" s="24">
        <v>1</v>
      </c>
      <c r="K714" s="24"/>
      <c r="L714" s="24">
        <v>1</v>
      </c>
      <c r="M714" s="24"/>
      <c r="N714" s="24"/>
      <c r="O714" s="24">
        <v>1</v>
      </c>
      <c r="P714" s="24"/>
      <c r="Q714" s="24"/>
      <c r="R714" s="24"/>
      <c r="S714" s="24"/>
      <c r="T714" s="24"/>
      <c r="U714" s="53" t="s">
        <v>2314</v>
      </c>
      <c r="V714" s="53" t="s">
        <v>1280</v>
      </c>
      <c r="W714" s="53" t="s">
        <v>280</v>
      </c>
      <c r="X714" s="53" t="s">
        <v>227</v>
      </c>
      <c r="Y714" s="20"/>
      <c r="Z714" s="20"/>
      <c r="AA714" s="20" t="s">
        <v>2667</v>
      </c>
      <c r="AB714" s="20" t="s">
        <v>1815</v>
      </c>
      <c r="AC714" s="24">
        <v>2</v>
      </c>
      <c r="AD714" s="24"/>
      <c r="AE714" s="24"/>
      <c r="AF714" s="24"/>
      <c r="AG714" s="24"/>
      <c r="AH714" s="20"/>
      <c r="AI714" s="42"/>
    </row>
    <row r="715" spans="1:35">
      <c r="A715" s="14"/>
      <c r="B715" s="20"/>
      <c r="C715" s="20"/>
      <c r="D715" s="20"/>
      <c r="E715" s="20"/>
      <c r="F715" s="20"/>
      <c r="G715" s="20"/>
      <c r="H715" s="20"/>
      <c r="I715" s="211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0"/>
      <c r="V715" s="20"/>
      <c r="W715" s="20"/>
      <c r="X715" s="20"/>
      <c r="Y715" s="20"/>
      <c r="Z715" s="20"/>
      <c r="AA715" s="20" t="s">
        <v>2055</v>
      </c>
      <c r="AB715" s="20" t="s">
        <v>526</v>
      </c>
      <c r="AC715" s="24">
        <v>112</v>
      </c>
      <c r="AD715" s="24"/>
      <c r="AE715" s="24"/>
      <c r="AF715" s="24"/>
      <c r="AG715" s="24"/>
      <c r="AH715" s="20"/>
      <c r="AI715" s="42"/>
    </row>
    <row r="716" spans="1:35">
      <c r="A716" s="14"/>
      <c r="B716" s="20"/>
      <c r="C716" s="84" t="s">
        <v>2420</v>
      </c>
      <c r="D716" s="20" t="s">
        <v>79</v>
      </c>
      <c r="E716" s="20" t="s">
        <v>80</v>
      </c>
      <c r="F716" s="20" t="s">
        <v>2492</v>
      </c>
      <c r="G716" s="20" t="s">
        <v>2535</v>
      </c>
      <c r="H716" s="20" t="s">
        <v>283</v>
      </c>
      <c r="I716" s="211">
        <v>33726</v>
      </c>
      <c r="J716" s="24"/>
      <c r="K716" s="24">
        <v>1</v>
      </c>
      <c r="L716" s="24">
        <v>1</v>
      </c>
      <c r="M716" s="24"/>
      <c r="N716" s="24"/>
      <c r="O716" s="24"/>
      <c r="P716" s="24"/>
      <c r="Q716" s="24"/>
      <c r="R716" s="24"/>
      <c r="S716" s="24"/>
      <c r="T716" s="24"/>
      <c r="U716" s="20" t="s">
        <v>863</v>
      </c>
      <c r="V716" s="20" t="s">
        <v>873</v>
      </c>
      <c r="W716" s="20" t="s">
        <v>279</v>
      </c>
      <c r="X716" s="20" t="s">
        <v>227</v>
      </c>
      <c r="Y716" s="20">
        <v>9460708539</v>
      </c>
      <c r="Z716" s="20"/>
      <c r="AA716" s="20" t="s">
        <v>2667</v>
      </c>
      <c r="AB716" s="20" t="s">
        <v>1815</v>
      </c>
      <c r="AC716" s="24">
        <v>13</v>
      </c>
      <c r="AD716" s="24"/>
      <c r="AE716" s="24"/>
      <c r="AF716" s="24"/>
      <c r="AG716" s="24"/>
      <c r="AH716" s="20"/>
      <c r="AI716" s="42"/>
    </row>
    <row r="717" spans="1:35">
      <c r="A717" s="14"/>
      <c r="B717" s="20"/>
      <c r="C717" s="20"/>
      <c r="D717" s="20"/>
      <c r="E717" s="20"/>
      <c r="F717" s="20"/>
      <c r="G717" s="20"/>
      <c r="H717" s="20"/>
      <c r="I717" s="211"/>
      <c r="J717" s="24"/>
      <c r="K717" s="24" t="s">
        <v>93</v>
      </c>
      <c r="L717" s="24" t="s">
        <v>93</v>
      </c>
      <c r="M717" s="24"/>
      <c r="N717" s="24"/>
      <c r="O717" s="24"/>
      <c r="P717" s="24"/>
      <c r="Q717" s="24"/>
      <c r="R717" s="24"/>
      <c r="S717" s="24"/>
      <c r="T717" s="24"/>
      <c r="U717" s="20" t="s">
        <v>93</v>
      </c>
      <c r="V717" s="20"/>
      <c r="W717" s="20"/>
      <c r="X717" s="20"/>
      <c r="Y717" s="20"/>
      <c r="Z717" s="20"/>
      <c r="AA717" s="20" t="s">
        <v>2527</v>
      </c>
      <c r="AB717" s="20" t="s">
        <v>1815</v>
      </c>
      <c r="AC717" s="225">
        <v>1.5</v>
      </c>
      <c r="AD717" s="24"/>
      <c r="AE717" s="24"/>
      <c r="AF717" s="24"/>
      <c r="AG717" s="24"/>
      <c r="AH717" s="20"/>
      <c r="AI717" s="42"/>
    </row>
    <row r="718" spans="1:35">
      <c r="A718" s="14"/>
      <c r="B718" s="20"/>
      <c r="C718" s="20"/>
      <c r="D718" s="20"/>
      <c r="E718" s="20"/>
      <c r="F718" s="20"/>
      <c r="G718" s="20"/>
      <c r="H718" s="20"/>
      <c r="I718" s="211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0"/>
      <c r="V718" s="20"/>
      <c r="W718" s="20"/>
      <c r="X718" s="20"/>
      <c r="Y718" s="20"/>
      <c r="Z718" s="20"/>
      <c r="AA718" s="20" t="s">
        <v>1961</v>
      </c>
      <c r="AB718" s="20" t="s">
        <v>1815</v>
      </c>
      <c r="AC718" s="225">
        <v>2.5</v>
      </c>
      <c r="AD718" s="24"/>
      <c r="AE718" s="24"/>
      <c r="AF718" s="24"/>
      <c r="AG718" s="24"/>
      <c r="AH718" s="20"/>
      <c r="AI718" s="42"/>
    </row>
    <row r="719" spans="1:35">
      <c r="A719" s="14"/>
      <c r="B719" s="20"/>
      <c r="C719" s="20"/>
      <c r="D719" s="20"/>
      <c r="E719" s="20"/>
      <c r="F719" s="20"/>
      <c r="G719" s="20"/>
      <c r="H719" s="20"/>
      <c r="I719" s="211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0"/>
      <c r="V719" s="20"/>
      <c r="W719" s="20"/>
      <c r="X719" s="20"/>
      <c r="Y719" s="20"/>
      <c r="Z719" s="20"/>
      <c r="AA719" s="20" t="s">
        <v>2055</v>
      </c>
      <c r="AB719" s="20" t="s">
        <v>526</v>
      </c>
      <c r="AC719" s="24">
        <v>667</v>
      </c>
      <c r="AD719" s="24"/>
      <c r="AE719" s="24"/>
      <c r="AF719" s="24"/>
      <c r="AG719" s="24"/>
      <c r="AH719" s="20"/>
      <c r="AI719" s="42"/>
    </row>
    <row r="720" spans="1:35">
      <c r="A720" s="14"/>
      <c r="B720" s="20"/>
      <c r="C720" s="84" t="s">
        <v>2420</v>
      </c>
      <c r="D720" s="20" t="s">
        <v>79</v>
      </c>
      <c r="E720" s="20" t="s">
        <v>80</v>
      </c>
      <c r="F720" s="20" t="s">
        <v>2842</v>
      </c>
      <c r="G720" s="20" t="s">
        <v>470</v>
      </c>
      <c r="H720" s="20" t="s">
        <v>113</v>
      </c>
      <c r="I720" s="211">
        <v>21508</v>
      </c>
      <c r="J720" s="24">
        <v>1</v>
      </c>
      <c r="K720" s="24"/>
      <c r="L720" s="24">
        <v>1</v>
      </c>
      <c r="M720" s="24"/>
      <c r="N720" s="24"/>
      <c r="O720" s="24"/>
      <c r="P720" s="24"/>
      <c r="Q720" s="24"/>
      <c r="R720" s="24"/>
      <c r="S720" s="24"/>
      <c r="T720" s="24"/>
      <c r="U720" s="20" t="s">
        <v>2848</v>
      </c>
      <c r="V720" s="20" t="s">
        <v>873</v>
      </c>
      <c r="W720" s="20" t="s">
        <v>279</v>
      </c>
      <c r="X720" s="20" t="s">
        <v>227</v>
      </c>
      <c r="Y720" s="20"/>
      <c r="Z720" s="20"/>
      <c r="AA720" s="20" t="s">
        <v>2667</v>
      </c>
      <c r="AB720" s="20" t="s">
        <v>1815</v>
      </c>
      <c r="AC720" s="24">
        <v>13</v>
      </c>
      <c r="AD720" s="24"/>
      <c r="AE720" s="24"/>
      <c r="AF720" s="24"/>
      <c r="AG720" s="24"/>
      <c r="AH720" s="20"/>
      <c r="AI720" s="42"/>
    </row>
    <row r="721" spans="1:35">
      <c r="A721" s="14"/>
      <c r="B721" s="20"/>
      <c r="C721" s="20"/>
      <c r="D721" s="20"/>
      <c r="E721" s="20"/>
      <c r="F721" s="20"/>
      <c r="G721" s="20"/>
      <c r="H721" s="20"/>
      <c r="I721" s="211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0"/>
      <c r="V721" s="20"/>
      <c r="W721" s="20"/>
      <c r="X721" s="20"/>
      <c r="Y721" s="20"/>
      <c r="Z721" s="20"/>
      <c r="AA721" s="20" t="s">
        <v>2527</v>
      </c>
      <c r="AB721" s="20" t="s">
        <v>1815</v>
      </c>
      <c r="AC721" s="225">
        <v>1.5</v>
      </c>
      <c r="AD721" s="24"/>
      <c r="AE721" s="24"/>
      <c r="AF721" s="24"/>
      <c r="AG721" s="24"/>
      <c r="AH721" s="20"/>
      <c r="AI721" s="42"/>
    </row>
    <row r="722" spans="1:35">
      <c r="A722" s="14"/>
      <c r="B722" s="20"/>
      <c r="C722" s="20"/>
      <c r="D722" s="20"/>
      <c r="E722" s="20"/>
      <c r="F722" s="20"/>
      <c r="G722" s="20"/>
      <c r="H722" s="20"/>
      <c r="I722" s="211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0"/>
      <c r="V722" s="20"/>
      <c r="W722" s="20"/>
      <c r="X722" s="20"/>
      <c r="Y722" s="20"/>
      <c r="Z722" s="20"/>
      <c r="AA722" s="20" t="s">
        <v>1961</v>
      </c>
      <c r="AB722" s="20" t="s">
        <v>1815</v>
      </c>
      <c r="AC722" s="225">
        <v>2.5</v>
      </c>
      <c r="AD722" s="24"/>
      <c r="AE722" s="24"/>
      <c r="AF722" s="24"/>
      <c r="AG722" s="24"/>
      <c r="AH722" s="20"/>
      <c r="AI722" s="42"/>
    </row>
    <row r="723" spans="1:35">
      <c r="A723" s="14"/>
      <c r="B723" s="20"/>
      <c r="C723" s="20"/>
      <c r="D723" s="20"/>
      <c r="E723" s="20"/>
      <c r="F723" s="20"/>
      <c r="G723" s="20"/>
      <c r="H723" s="20"/>
      <c r="I723" s="211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0"/>
      <c r="V723" s="20"/>
      <c r="W723" s="20"/>
      <c r="X723" s="20"/>
      <c r="Y723" s="20"/>
      <c r="Z723" s="20"/>
      <c r="AA723" s="20" t="s">
        <v>2055</v>
      </c>
      <c r="AB723" s="20" t="s">
        <v>526</v>
      </c>
      <c r="AC723" s="24">
        <v>667</v>
      </c>
      <c r="AD723" s="24"/>
      <c r="AE723" s="24"/>
      <c r="AF723" s="24"/>
      <c r="AG723" s="24"/>
      <c r="AH723" s="20"/>
      <c r="AI723" s="42"/>
    </row>
    <row r="724" spans="1:35">
      <c r="A724" s="14"/>
      <c r="B724" s="20"/>
      <c r="C724" s="84" t="s">
        <v>2420</v>
      </c>
      <c r="D724" s="20" t="s">
        <v>79</v>
      </c>
      <c r="E724" s="20" t="s">
        <v>80</v>
      </c>
      <c r="F724" s="20" t="s">
        <v>2843</v>
      </c>
      <c r="G724" s="20" t="s">
        <v>2844</v>
      </c>
      <c r="H724" s="20" t="s">
        <v>133</v>
      </c>
      <c r="I724" s="211">
        <v>21560</v>
      </c>
      <c r="J724" s="24">
        <v>1</v>
      </c>
      <c r="K724" s="24"/>
      <c r="L724" s="24">
        <v>1</v>
      </c>
      <c r="M724" s="24"/>
      <c r="N724" s="24"/>
      <c r="O724" s="24"/>
      <c r="P724" s="24"/>
      <c r="Q724" s="24"/>
      <c r="R724" s="24"/>
      <c r="S724" s="24"/>
      <c r="T724" s="24"/>
      <c r="U724" s="20" t="s">
        <v>2849</v>
      </c>
      <c r="V724" s="20" t="s">
        <v>873</v>
      </c>
      <c r="W724" s="20" t="s">
        <v>279</v>
      </c>
      <c r="X724" s="20" t="s">
        <v>227</v>
      </c>
      <c r="Y724" s="20"/>
      <c r="Z724" s="20"/>
      <c r="AA724" s="20" t="s">
        <v>2667</v>
      </c>
      <c r="AB724" s="20" t="s">
        <v>1815</v>
      </c>
      <c r="AC724" s="24">
        <v>13</v>
      </c>
      <c r="AD724" s="24"/>
      <c r="AE724" s="24"/>
      <c r="AF724" s="24"/>
      <c r="AG724" s="24"/>
      <c r="AH724" s="20"/>
      <c r="AI724" s="42"/>
    </row>
    <row r="725" spans="1:35">
      <c r="A725" s="14"/>
      <c r="B725" s="20"/>
      <c r="C725" s="20"/>
      <c r="D725" s="20"/>
      <c r="E725" s="20"/>
      <c r="F725" s="20"/>
      <c r="G725" s="20"/>
      <c r="H725" s="20"/>
      <c r="I725" s="211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0"/>
      <c r="V725" s="20"/>
      <c r="W725" s="20"/>
      <c r="X725" s="20"/>
      <c r="Y725" s="20"/>
      <c r="Z725" s="20"/>
      <c r="AA725" s="20" t="s">
        <v>2527</v>
      </c>
      <c r="AB725" s="20" t="s">
        <v>1815</v>
      </c>
      <c r="AC725" s="225">
        <v>1.5</v>
      </c>
      <c r="AD725" s="24"/>
      <c r="AE725" s="24"/>
      <c r="AF725" s="24"/>
      <c r="AG725" s="24"/>
      <c r="AH725" s="20"/>
      <c r="AI725" s="42"/>
    </row>
    <row r="726" spans="1:35">
      <c r="A726" s="14"/>
      <c r="B726" s="20"/>
      <c r="C726" s="20"/>
      <c r="D726" s="20"/>
      <c r="E726" s="20"/>
      <c r="F726" s="20"/>
      <c r="G726" s="20"/>
      <c r="H726" s="20"/>
      <c r="I726" s="211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0"/>
      <c r="V726" s="20"/>
      <c r="W726" s="20"/>
      <c r="X726" s="20"/>
      <c r="Y726" s="20"/>
      <c r="Z726" s="20"/>
      <c r="AA726" s="20" t="s">
        <v>1961</v>
      </c>
      <c r="AB726" s="20" t="s">
        <v>1815</v>
      </c>
      <c r="AC726" s="225">
        <v>2.5</v>
      </c>
      <c r="AD726" s="24"/>
      <c r="AE726" s="24"/>
      <c r="AF726" s="24"/>
      <c r="AG726" s="24"/>
      <c r="AH726" s="20"/>
      <c r="AI726" s="42"/>
    </row>
    <row r="727" spans="1:35">
      <c r="A727" s="14"/>
      <c r="B727" s="20"/>
      <c r="C727" s="20"/>
      <c r="D727" s="20"/>
      <c r="E727" s="20"/>
      <c r="F727" s="20"/>
      <c r="G727" s="20"/>
      <c r="H727" s="20"/>
      <c r="I727" s="211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0"/>
      <c r="V727" s="20"/>
      <c r="W727" s="20"/>
      <c r="X727" s="20"/>
      <c r="Y727" s="20"/>
      <c r="Z727" s="20"/>
      <c r="AA727" s="20" t="s">
        <v>2055</v>
      </c>
      <c r="AB727" s="20" t="s">
        <v>526</v>
      </c>
      <c r="AC727" s="24">
        <v>667</v>
      </c>
      <c r="AD727" s="24"/>
      <c r="AE727" s="24"/>
      <c r="AF727" s="24"/>
      <c r="AG727" s="24"/>
      <c r="AH727" s="20"/>
      <c r="AI727" s="42"/>
    </row>
    <row r="728" spans="1:35">
      <c r="A728" s="14"/>
      <c r="B728" s="20"/>
      <c r="C728" s="84" t="s">
        <v>2420</v>
      </c>
      <c r="D728" s="20" t="s">
        <v>79</v>
      </c>
      <c r="E728" s="20" t="s">
        <v>80</v>
      </c>
      <c r="F728" s="20" t="s">
        <v>2845</v>
      </c>
      <c r="G728" s="20" t="s">
        <v>2085</v>
      </c>
      <c r="H728" s="20" t="s">
        <v>1040</v>
      </c>
      <c r="I728" s="211">
        <v>34604</v>
      </c>
      <c r="J728" s="24">
        <v>1</v>
      </c>
      <c r="K728" s="24"/>
      <c r="L728" s="24">
        <v>1</v>
      </c>
      <c r="M728" s="24"/>
      <c r="N728" s="24"/>
      <c r="O728" s="24"/>
      <c r="P728" s="24"/>
      <c r="Q728" s="24"/>
      <c r="R728" s="24"/>
      <c r="S728" s="24"/>
      <c r="T728" s="24"/>
      <c r="U728" s="20" t="s">
        <v>2849</v>
      </c>
      <c r="V728" s="20" t="s">
        <v>873</v>
      </c>
      <c r="W728" s="20" t="s">
        <v>279</v>
      </c>
      <c r="X728" s="20" t="s">
        <v>227</v>
      </c>
      <c r="Y728" s="20">
        <v>9284991852</v>
      </c>
      <c r="Z728" s="20"/>
      <c r="AA728" s="20" t="s">
        <v>2667</v>
      </c>
      <c r="AB728" s="20" t="s">
        <v>1815</v>
      </c>
      <c r="AC728" s="24">
        <v>13</v>
      </c>
      <c r="AD728" s="24"/>
      <c r="AE728" s="24"/>
      <c r="AF728" s="24"/>
      <c r="AG728" s="24"/>
      <c r="AH728" s="20"/>
      <c r="AI728" s="42"/>
    </row>
    <row r="729" spans="1:35">
      <c r="A729" s="14"/>
      <c r="B729" s="20"/>
      <c r="C729" s="20"/>
      <c r="D729" s="20"/>
      <c r="E729" s="20"/>
      <c r="F729" s="20"/>
      <c r="G729" s="20"/>
      <c r="H729" s="20"/>
      <c r="I729" s="211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0"/>
      <c r="V729" s="20"/>
      <c r="W729" s="20"/>
      <c r="X729" s="20"/>
      <c r="Y729" s="20" t="s">
        <v>93</v>
      </c>
      <c r="Z729" s="20"/>
      <c r="AA729" s="20" t="s">
        <v>2527</v>
      </c>
      <c r="AB729" s="20" t="s">
        <v>1815</v>
      </c>
      <c r="AC729" s="225">
        <v>1.5</v>
      </c>
      <c r="AD729" s="24"/>
      <c r="AE729" s="24"/>
      <c r="AF729" s="24"/>
      <c r="AG729" s="24"/>
      <c r="AH729" s="20"/>
      <c r="AI729" s="42"/>
    </row>
    <row r="730" spans="1:35">
      <c r="A730" s="14"/>
      <c r="B730" s="20"/>
      <c r="C730" s="20"/>
      <c r="D730" s="20"/>
      <c r="E730" s="20"/>
      <c r="F730" s="20"/>
      <c r="G730" s="20"/>
      <c r="H730" s="20"/>
      <c r="I730" s="211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0"/>
      <c r="V730" s="20"/>
      <c r="W730" s="20"/>
      <c r="X730" s="20"/>
      <c r="Y730" s="20"/>
      <c r="Z730" s="20"/>
      <c r="AA730" s="20" t="s">
        <v>1961</v>
      </c>
      <c r="AB730" s="20" t="s">
        <v>1815</v>
      </c>
      <c r="AC730" s="225">
        <v>2.5</v>
      </c>
      <c r="AD730" s="24"/>
      <c r="AE730" s="24"/>
      <c r="AF730" s="24"/>
      <c r="AG730" s="24"/>
      <c r="AH730" s="20"/>
      <c r="AI730" s="42"/>
    </row>
    <row r="731" spans="1:35">
      <c r="A731" s="14"/>
      <c r="B731" s="20"/>
      <c r="C731" s="20"/>
      <c r="D731" s="20"/>
      <c r="E731" s="20"/>
      <c r="F731" s="20"/>
      <c r="G731" s="20"/>
      <c r="H731" s="20"/>
      <c r="I731" s="211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0"/>
      <c r="V731" s="20"/>
      <c r="W731" s="20"/>
      <c r="X731" s="20"/>
      <c r="Y731" s="20"/>
      <c r="Z731" s="20"/>
      <c r="AA731" s="20" t="s">
        <v>2055</v>
      </c>
      <c r="AB731" s="20" t="s">
        <v>526</v>
      </c>
      <c r="AC731" s="24">
        <v>667</v>
      </c>
      <c r="AD731" s="24"/>
      <c r="AE731" s="24"/>
      <c r="AF731" s="24"/>
      <c r="AG731" s="24"/>
      <c r="AH731" s="20"/>
      <c r="AI731" s="42"/>
    </row>
    <row r="732" spans="1:35">
      <c r="A732" s="14"/>
      <c r="B732" s="20"/>
      <c r="C732" s="84" t="s">
        <v>2420</v>
      </c>
      <c r="D732" s="20" t="s">
        <v>79</v>
      </c>
      <c r="E732" s="20" t="s">
        <v>80</v>
      </c>
      <c r="F732" s="20" t="s">
        <v>2846</v>
      </c>
      <c r="G732" s="20" t="s">
        <v>2847</v>
      </c>
      <c r="H732" s="20" t="s">
        <v>144</v>
      </c>
      <c r="I732" s="211">
        <v>29441</v>
      </c>
      <c r="J732" s="24">
        <v>1</v>
      </c>
      <c r="K732" s="24"/>
      <c r="L732" s="24">
        <v>1</v>
      </c>
      <c r="M732" s="24"/>
      <c r="N732" s="24"/>
      <c r="O732" s="24"/>
      <c r="P732" s="24"/>
      <c r="Q732" s="24"/>
      <c r="R732" s="24"/>
      <c r="S732" s="24"/>
      <c r="T732" s="24"/>
      <c r="U732" s="20" t="s">
        <v>2849</v>
      </c>
      <c r="V732" s="20" t="s">
        <v>873</v>
      </c>
      <c r="W732" s="20" t="s">
        <v>279</v>
      </c>
      <c r="X732" s="20" t="s">
        <v>227</v>
      </c>
      <c r="Y732" s="20"/>
      <c r="Z732" s="20"/>
      <c r="AA732" s="20" t="s">
        <v>2667</v>
      </c>
      <c r="AB732" s="20" t="s">
        <v>1815</v>
      </c>
      <c r="AC732" s="24">
        <v>13</v>
      </c>
      <c r="AD732" s="24"/>
      <c r="AE732" s="24"/>
      <c r="AF732" s="24"/>
      <c r="AG732" s="24"/>
      <c r="AH732" s="20"/>
      <c r="AI732" s="42"/>
    </row>
    <row r="733" spans="1:35">
      <c r="A733" s="14"/>
      <c r="B733" s="20"/>
      <c r="C733" s="20"/>
      <c r="D733" s="20"/>
      <c r="E733" s="20"/>
      <c r="F733" s="20"/>
      <c r="G733" s="20"/>
      <c r="H733" s="20"/>
      <c r="I733" s="211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0"/>
      <c r="V733" s="20"/>
      <c r="W733" s="20"/>
      <c r="X733" s="20"/>
      <c r="Y733" s="20"/>
      <c r="Z733" s="20"/>
      <c r="AA733" s="20" t="s">
        <v>2527</v>
      </c>
      <c r="AB733" s="20" t="s">
        <v>1815</v>
      </c>
      <c r="AC733" s="225">
        <v>1.5</v>
      </c>
      <c r="AD733" s="24"/>
      <c r="AE733" s="24"/>
      <c r="AF733" s="24"/>
      <c r="AG733" s="24"/>
      <c r="AH733" s="20"/>
      <c r="AI733" s="42"/>
    </row>
    <row r="734" spans="1:35">
      <c r="A734" s="14"/>
      <c r="B734" s="20"/>
      <c r="C734" s="20"/>
      <c r="D734" s="20"/>
      <c r="E734" s="20"/>
      <c r="F734" s="20"/>
      <c r="G734" s="20"/>
      <c r="H734" s="20"/>
      <c r="I734" s="211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0"/>
      <c r="V734" s="20"/>
      <c r="W734" s="20"/>
      <c r="X734" s="20"/>
      <c r="Y734" s="20"/>
      <c r="Z734" s="20"/>
      <c r="AA734" s="20" t="s">
        <v>1961</v>
      </c>
      <c r="AB734" s="20" t="s">
        <v>1815</v>
      </c>
      <c r="AC734" s="225">
        <v>2.5</v>
      </c>
      <c r="AD734" s="24"/>
      <c r="AE734" s="24"/>
      <c r="AF734" s="24"/>
      <c r="AG734" s="24"/>
      <c r="AH734" s="20"/>
      <c r="AI734" s="42"/>
    </row>
    <row r="735" spans="1:35">
      <c r="A735" s="14"/>
      <c r="B735" s="20"/>
      <c r="C735" s="20"/>
      <c r="D735" s="20"/>
      <c r="E735" s="20"/>
      <c r="F735" s="20"/>
      <c r="G735" s="20"/>
      <c r="H735" s="20"/>
      <c r="I735" s="211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0"/>
      <c r="V735" s="20"/>
      <c r="W735" s="20"/>
      <c r="X735" s="20"/>
      <c r="Y735" s="20"/>
      <c r="Z735" s="20"/>
      <c r="AA735" s="20" t="s">
        <v>2055</v>
      </c>
      <c r="AB735" s="20" t="s">
        <v>526</v>
      </c>
      <c r="AC735" s="24">
        <v>667</v>
      </c>
      <c r="AD735" s="24"/>
      <c r="AE735" s="24"/>
      <c r="AF735" s="24"/>
      <c r="AG735" s="24"/>
      <c r="AH735" s="20"/>
      <c r="AI735" s="42"/>
    </row>
    <row r="736" spans="1:35">
      <c r="A736" s="14"/>
      <c r="B736" s="20"/>
      <c r="C736" s="84" t="s">
        <v>2420</v>
      </c>
      <c r="D736" s="20" t="s">
        <v>79</v>
      </c>
      <c r="E736" s="20" t="s">
        <v>80</v>
      </c>
      <c r="F736" s="20" t="s">
        <v>152</v>
      </c>
      <c r="G736" s="20" t="s">
        <v>2850</v>
      </c>
      <c r="H736" s="20" t="s">
        <v>286</v>
      </c>
      <c r="I736" s="211">
        <v>33825</v>
      </c>
      <c r="J736" s="24">
        <v>1</v>
      </c>
      <c r="K736" s="24"/>
      <c r="L736" s="24">
        <v>1</v>
      </c>
      <c r="M736" s="24"/>
      <c r="N736" s="24"/>
      <c r="O736" s="24"/>
      <c r="P736" s="24"/>
      <c r="Q736" s="24"/>
      <c r="R736" s="24"/>
      <c r="S736" s="24"/>
      <c r="T736" s="24"/>
      <c r="U736" s="20" t="s">
        <v>2849</v>
      </c>
      <c r="V736" s="20" t="s">
        <v>873</v>
      </c>
      <c r="W736" s="20" t="s">
        <v>279</v>
      </c>
      <c r="X736" s="20" t="s">
        <v>227</v>
      </c>
      <c r="Y736" s="20"/>
      <c r="Z736" s="20"/>
      <c r="AA736" s="20" t="s">
        <v>2667</v>
      </c>
      <c r="AB736" s="20" t="s">
        <v>1815</v>
      </c>
      <c r="AC736" s="24">
        <v>13</v>
      </c>
      <c r="AD736" s="24"/>
      <c r="AE736" s="24"/>
      <c r="AF736" s="24"/>
      <c r="AG736" s="24"/>
      <c r="AH736" s="20"/>
      <c r="AI736" s="42"/>
    </row>
    <row r="737" spans="1:35">
      <c r="A737" s="14"/>
      <c r="B737" s="20"/>
      <c r="C737" s="20"/>
      <c r="D737" s="20"/>
      <c r="E737" s="20"/>
      <c r="F737" s="20"/>
      <c r="G737" s="20"/>
      <c r="H737" s="20"/>
      <c r="I737" s="211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0"/>
      <c r="V737" s="20"/>
      <c r="W737" s="20"/>
      <c r="X737" s="20"/>
      <c r="Y737" s="20"/>
      <c r="Z737" s="20"/>
      <c r="AA737" s="20" t="s">
        <v>2527</v>
      </c>
      <c r="AB737" s="20" t="s">
        <v>1815</v>
      </c>
      <c r="AC737" s="225">
        <v>1.5</v>
      </c>
      <c r="AD737" s="24"/>
      <c r="AE737" s="24"/>
      <c r="AF737" s="24"/>
      <c r="AG737" s="24"/>
      <c r="AH737" s="20"/>
      <c r="AI737" s="42"/>
    </row>
    <row r="738" spans="1:35">
      <c r="A738" s="14"/>
      <c r="B738" s="20"/>
      <c r="C738" s="20"/>
      <c r="D738" s="20"/>
      <c r="E738" s="20"/>
      <c r="F738" s="20"/>
      <c r="G738" s="20"/>
      <c r="H738" s="20"/>
      <c r="I738" s="211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0"/>
      <c r="V738" s="20"/>
      <c r="W738" s="20"/>
      <c r="X738" s="20"/>
      <c r="Y738" s="20"/>
      <c r="Z738" s="20"/>
      <c r="AA738" s="20" t="s">
        <v>1961</v>
      </c>
      <c r="AB738" s="20" t="s">
        <v>1815</v>
      </c>
      <c r="AC738" s="225">
        <v>2.5</v>
      </c>
      <c r="AD738" s="24"/>
      <c r="AE738" s="24"/>
      <c r="AF738" s="24"/>
      <c r="AG738" s="24"/>
      <c r="AH738" s="20"/>
      <c r="AI738" s="42"/>
    </row>
    <row r="739" spans="1:35">
      <c r="A739" s="14"/>
      <c r="B739" s="20"/>
      <c r="C739" s="20"/>
      <c r="D739" s="20"/>
      <c r="E739" s="20"/>
      <c r="F739" s="20"/>
      <c r="G739" s="20"/>
      <c r="H739" s="20"/>
      <c r="I739" s="211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0"/>
      <c r="V739" s="20"/>
      <c r="W739" s="20"/>
      <c r="X739" s="20"/>
      <c r="Y739" s="20"/>
      <c r="Z739" s="20"/>
      <c r="AA739" s="20" t="s">
        <v>2055</v>
      </c>
      <c r="AB739" s="20" t="s">
        <v>526</v>
      </c>
      <c r="AC739" s="24">
        <v>666</v>
      </c>
      <c r="AD739" s="24"/>
      <c r="AE739" s="24"/>
      <c r="AF739" s="24"/>
      <c r="AG739" s="24"/>
      <c r="AH739" s="20"/>
      <c r="AI739" s="42"/>
    </row>
    <row r="740" spans="1:35">
      <c r="A740" s="14"/>
      <c r="B740" s="20"/>
      <c r="C740" s="84" t="s">
        <v>2420</v>
      </c>
      <c r="D740" s="20" t="s">
        <v>79</v>
      </c>
      <c r="E740" s="20" t="s">
        <v>80</v>
      </c>
      <c r="F740" s="20" t="s">
        <v>2851</v>
      </c>
      <c r="G740" s="20" t="s">
        <v>2048</v>
      </c>
      <c r="H740" s="20" t="s">
        <v>202</v>
      </c>
      <c r="I740" s="211">
        <v>32003</v>
      </c>
      <c r="J740" s="24">
        <v>1</v>
      </c>
      <c r="K740" s="24"/>
      <c r="L740" s="24">
        <v>1</v>
      </c>
      <c r="M740" s="24"/>
      <c r="N740" s="24"/>
      <c r="O740" s="24"/>
      <c r="P740" s="24"/>
      <c r="Q740" s="24"/>
      <c r="R740" s="24"/>
      <c r="S740" s="24"/>
      <c r="T740" s="24"/>
      <c r="U740" s="20" t="s">
        <v>2849</v>
      </c>
      <c r="V740" s="20" t="s">
        <v>873</v>
      </c>
      <c r="W740" s="20" t="s">
        <v>279</v>
      </c>
      <c r="X740" s="20" t="s">
        <v>227</v>
      </c>
      <c r="Y740" s="20"/>
      <c r="Z740" s="20"/>
      <c r="AA740" s="20" t="s">
        <v>2667</v>
      </c>
      <c r="AB740" s="20" t="s">
        <v>1815</v>
      </c>
      <c r="AC740" s="24">
        <v>13</v>
      </c>
      <c r="AD740" s="24"/>
      <c r="AE740" s="24"/>
      <c r="AF740" s="24"/>
      <c r="AG740" s="24"/>
      <c r="AH740" s="20"/>
      <c r="AI740" s="42"/>
    </row>
    <row r="741" spans="1:35">
      <c r="A741" s="14"/>
      <c r="B741" s="20"/>
      <c r="C741" s="20"/>
      <c r="D741" s="20"/>
      <c r="E741" s="20"/>
      <c r="F741" s="20"/>
      <c r="G741" s="20"/>
      <c r="H741" s="20"/>
      <c r="I741" s="211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0"/>
      <c r="V741" s="20"/>
      <c r="W741" s="20"/>
      <c r="X741" s="20"/>
      <c r="Y741" s="20"/>
      <c r="Z741" s="20"/>
      <c r="AA741" s="20" t="s">
        <v>2527</v>
      </c>
      <c r="AB741" s="20" t="s">
        <v>1815</v>
      </c>
      <c r="AC741" s="225">
        <v>1.5</v>
      </c>
      <c r="AD741" s="24"/>
      <c r="AE741" s="24"/>
      <c r="AF741" s="24"/>
      <c r="AG741" s="24"/>
      <c r="AH741" s="20"/>
      <c r="AI741" s="42"/>
    </row>
    <row r="742" spans="1:35">
      <c r="A742" s="14"/>
      <c r="B742" s="20"/>
      <c r="C742" s="20"/>
      <c r="D742" s="20"/>
      <c r="E742" s="20"/>
      <c r="F742" s="20"/>
      <c r="G742" s="20"/>
      <c r="H742" s="20"/>
      <c r="I742" s="211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0"/>
      <c r="V742" s="20"/>
      <c r="W742" s="20"/>
      <c r="X742" s="20"/>
      <c r="Y742" s="20"/>
      <c r="Z742" s="20"/>
      <c r="AA742" s="20" t="s">
        <v>1961</v>
      </c>
      <c r="AB742" s="20" t="s">
        <v>1815</v>
      </c>
      <c r="AC742" s="225">
        <v>2.5</v>
      </c>
      <c r="AD742" s="24"/>
      <c r="AE742" s="24"/>
      <c r="AF742" s="24"/>
      <c r="AG742" s="24"/>
      <c r="AH742" s="20"/>
      <c r="AI742" s="42"/>
    </row>
    <row r="743" spans="1:35">
      <c r="A743" s="14"/>
      <c r="B743" s="20"/>
      <c r="C743" s="20"/>
      <c r="D743" s="20"/>
      <c r="E743" s="20"/>
      <c r="F743" s="20"/>
      <c r="G743" s="20"/>
      <c r="H743" s="20"/>
      <c r="I743" s="211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0"/>
      <c r="V743" s="20"/>
      <c r="W743" s="20"/>
      <c r="X743" s="20"/>
      <c r="Y743" s="20"/>
      <c r="Z743" s="20"/>
      <c r="AA743" s="20" t="s">
        <v>2055</v>
      </c>
      <c r="AB743" s="20" t="s">
        <v>526</v>
      </c>
      <c r="AC743" s="24">
        <v>666</v>
      </c>
      <c r="AD743" s="24"/>
      <c r="AE743" s="24"/>
      <c r="AF743" s="24"/>
      <c r="AG743" s="24"/>
      <c r="AH743" s="20"/>
      <c r="AI743" s="42"/>
    </row>
    <row r="744" spans="1:35">
      <c r="A744" s="14"/>
      <c r="B744" s="20"/>
      <c r="C744" s="84" t="s">
        <v>2420</v>
      </c>
      <c r="D744" s="20" t="s">
        <v>79</v>
      </c>
      <c r="E744" s="20" t="s">
        <v>80</v>
      </c>
      <c r="F744" s="20" t="s">
        <v>2852</v>
      </c>
      <c r="G744" s="20" t="s">
        <v>795</v>
      </c>
      <c r="H744" s="20" t="s">
        <v>409</v>
      </c>
      <c r="I744" s="211">
        <v>28300</v>
      </c>
      <c r="J744" s="24">
        <v>1</v>
      </c>
      <c r="K744" s="24"/>
      <c r="L744" s="24">
        <v>1</v>
      </c>
      <c r="M744" s="24"/>
      <c r="N744" s="24"/>
      <c r="O744" s="24"/>
      <c r="P744" s="24"/>
      <c r="Q744" s="24"/>
      <c r="R744" s="24"/>
      <c r="S744" s="24"/>
      <c r="T744" s="24"/>
      <c r="U744" s="20" t="s">
        <v>2849</v>
      </c>
      <c r="V744" s="20" t="s">
        <v>873</v>
      </c>
      <c r="W744" s="20" t="s">
        <v>279</v>
      </c>
      <c r="X744" s="20" t="s">
        <v>227</v>
      </c>
      <c r="Y744" s="20"/>
      <c r="Z744" s="20"/>
      <c r="AA744" s="20" t="s">
        <v>2667</v>
      </c>
      <c r="AB744" s="20" t="s">
        <v>1815</v>
      </c>
      <c r="AC744" s="24">
        <v>13</v>
      </c>
      <c r="AD744" s="24"/>
      <c r="AE744" s="24"/>
      <c r="AF744" s="24"/>
      <c r="AG744" s="24"/>
      <c r="AH744" s="20"/>
      <c r="AI744" s="42"/>
    </row>
    <row r="745" spans="1:35">
      <c r="A745" s="14"/>
      <c r="B745" s="20"/>
      <c r="C745" s="20"/>
      <c r="D745" s="20"/>
      <c r="E745" s="20"/>
      <c r="F745" s="20"/>
      <c r="G745" s="20"/>
      <c r="H745" s="20"/>
      <c r="I745" s="211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0"/>
      <c r="V745" s="20"/>
      <c r="W745" s="20"/>
      <c r="X745" s="20"/>
      <c r="Y745" s="20"/>
      <c r="Z745" s="20"/>
      <c r="AA745" s="20" t="s">
        <v>2527</v>
      </c>
      <c r="AB745" s="20" t="s">
        <v>1815</v>
      </c>
      <c r="AC745" s="225">
        <v>1.5</v>
      </c>
      <c r="AD745" s="24"/>
      <c r="AE745" s="24"/>
      <c r="AF745" s="24"/>
      <c r="AG745" s="24"/>
      <c r="AH745" s="20"/>
      <c r="AI745" s="42"/>
    </row>
    <row r="746" spans="1:35">
      <c r="A746" s="14"/>
      <c r="B746" s="20"/>
      <c r="C746" s="20"/>
      <c r="D746" s="20"/>
      <c r="E746" s="20"/>
      <c r="F746" s="20"/>
      <c r="G746" s="20"/>
      <c r="H746" s="20"/>
      <c r="I746" s="211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0"/>
      <c r="V746" s="20"/>
      <c r="W746" s="20"/>
      <c r="X746" s="20"/>
      <c r="Y746" s="20"/>
      <c r="Z746" s="20"/>
      <c r="AA746" s="20" t="s">
        <v>1961</v>
      </c>
      <c r="AB746" s="20" t="s">
        <v>1815</v>
      </c>
      <c r="AC746" s="225">
        <v>2.5</v>
      </c>
      <c r="AD746" s="24"/>
      <c r="AE746" s="24"/>
      <c r="AF746" s="24"/>
      <c r="AG746" s="24"/>
      <c r="AH746" s="20"/>
      <c r="AI746" s="42"/>
    </row>
    <row r="747" spans="1:35">
      <c r="A747" s="14"/>
      <c r="B747" s="20"/>
      <c r="C747" s="20"/>
      <c r="D747" s="20"/>
      <c r="E747" s="20"/>
      <c r="F747" s="20"/>
      <c r="G747" s="20"/>
      <c r="H747" s="20"/>
      <c r="I747" s="211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0"/>
      <c r="V747" s="20"/>
      <c r="W747" s="20"/>
      <c r="X747" s="20"/>
      <c r="Y747" s="20"/>
      <c r="Z747" s="20"/>
      <c r="AA747" s="20" t="s">
        <v>2055</v>
      </c>
      <c r="AB747" s="20" t="s">
        <v>526</v>
      </c>
      <c r="AC747" s="24">
        <v>666</v>
      </c>
      <c r="AD747" s="24"/>
      <c r="AE747" s="24"/>
      <c r="AF747" s="24"/>
      <c r="AG747" s="24"/>
      <c r="AH747" s="20"/>
      <c r="AI747" s="42"/>
    </row>
    <row r="748" spans="1:35">
      <c r="A748" s="14"/>
      <c r="B748" s="20"/>
      <c r="C748" s="84" t="s">
        <v>2420</v>
      </c>
      <c r="D748" s="20" t="s">
        <v>79</v>
      </c>
      <c r="E748" s="20" t="s">
        <v>80</v>
      </c>
      <c r="F748" s="20" t="s">
        <v>2846</v>
      </c>
      <c r="G748" s="20" t="s">
        <v>2853</v>
      </c>
      <c r="H748" s="20" t="s">
        <v>409</v>
      </c>
      <c r="I748" s="211">
        <v>28180</v>
      </c>
      <c r="J748" s="24">
        <v>1</v>
      </c>
      <c r="K748" s="24"/>
      <c r="L748" s="24">
        <v>1</v>
      </c>
      <c r="M748" s="24"/>
      <c r="N748" s="24"/>
      <c r="O748" s="24"/>
      <c r="P748" s="24"/>
      <c r="Q748" s="24"/>
      <c r="R748" s="24"/>
      <c r="S748" s="24"/>
      <c r="T748" s="24"/>
      <c r="U748" s="20" t="s">
        <v>2849</v>
      </c>
      <c r="V748" s="20" t="s">
        <v>873</v>
      </c>
      <c r="W748" s="20" t="s">
        <v>279</v>
      </c>
      <c r="X748" s="20" t="s">
        <v>227</v>
      </c>
      <c r="Y748" s="20"/>
      <c r="Z748" s="20"/>
      <c r="AA748" s="20" t="s">
        <v>2667</v>
      </c>
      <c r="AB748" s="20" t="s">
        <v>1815</v>
      </c>
      <c r="AC748" s="24">
        <v>13</v>
      </c>
      <c r="AD748" s="24"/>
      <c r="AE748" s="24"/>
      <c r="AF748" s="24"/>
      <c r="AG748" s="24"/>
      <c r="AH748" s="20"/>
      <c r="AI748" s="42"/>
    </row>
    <row r="749" spans="1:35">
      <c r="A749" s="14"/>
      <c r="B749" s="20"/>
      <c r="C749" s="20"/>
      <c r="D749" s="20"/>
      <c r="E749" s="20"/>
      <c r="F749" s="20"/>
      <c r="G749" s="20"/>
      <c r="H749" s="20"/>
      <c r="I749" s="211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0"/>
      <c r="V749" s="20"/>
      <c r="W749" s="20"/>
      <c r="X749" s="20"/>
      <c r="Y749" s="20"/>
      <c r="Z749" s="20"/>
      <c r="AA749" s="20" t="s">
        <v>2527</v>
      </c>
      <c r="AB749" s="20" t="s">
        <v>1815</v>
      </c>
      <c r="AC749" s="225">
        <v>1.5</v>
      </c>
      <c r="AD749" s="24"/>
      <c r="AE749" s="24"/>
      <c r="AF749" s="24"/>
      <c r="AG749" s="24"/>
      <c r="AH749" s="20"/>
      <c r="AI749" s="42"/>
    </row>
    <row r="750" spans="1:35">
      <c r="A750" s="14"/>
      <c r="B750" s="20"/>
      <c r="C750" s="20"/>
      <c r="D750" s="20"/>
      <c r="E750" s="20"/>
      <c r="F750" s="20"/>
      <c r="G750" s="20"/>
      <c r="H750" s="20"/>
      <c r="I750" s="211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0"/>
      <c r="V750" s="20"/>
      <c r="W750" s="20"/>
      <c r="X750" s="20"/>
      <c r="Y750" s="20"/>
      <c r="Z750" s="20"/>
      <c r="AA750" s="20" t="s">
        <v>1961</v>
      </c>
      <c r="AB750" s="20" t="s">
        <v>1815</v>
      </c>
      <c r="AC750" s="225">
        <v>2.5</v>
      </c>
      <c r="AD750" s="24"/>
      <c r="AE750" s="24"/>
      <c r="AF750" s="24"/>
      <c r="AG750" s="24"/>
      <c r="AH750" s="20"/>
      <c r="AI750" s="42"/>
    </row>
    <row r="751" spans="1:35">
      <c r="A751" s="14"/>
      <c r="B751" s="20"/>
      <c r="C751" s="20"/>
      <c r="D751" s="20"/>
      <c r="E751" s="20"/>
      <c r="F751" s="20"/>
      <c r="G751" s="20"/>
      <c r="H751" s="20"/>
      <c r="I751" s="211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0"/>
      <c r="V751" s="20"/>
      <c r="W751" s="20"/>
      <c r="X751" s="20"/>
      <c r="Y751" s="20"/>
      <c r="Z751" s="20"/>
      <c r="AA751" s="20" t="s">
        <v>2055</v>
      </c>
      <c r="AB751" s="20" t="s">
        <v>526</v>
      </c>
      <c r="AC751" s="24">
        <v>666</v>
      </c>
      <c r="AD751" s="24"/>
      <c r="AE751" s="24"/>
      <c r="AF751" s="24"/>
      <c r="AG751" s="24"/>
      <c r="AH751" s="20"/>
      <c r="AI751" s="42"/>
    </row>
    <row r="752" spans="1:35">
      <c r="A752" s="14"/>
      <c r="B752" s="20"/>
      <c r="C752" s="84" t="s">
        <v>2420</v>
      </c>
      <c r="D752" s="20" t="s">
        <v>79</v>
      </c>
      <c r="E752" s="20" t="s">
        <v>80</v>
      </c>
      <c r="F752" s="20" t="s">
        <v>2854</v>
      </c>
      <c r="G752" s="20" t="s">
        <v>2855</v>
      </c>
      <c r="H752" s="20" t="s">
        <v>160</v>
      </c>
      <c r="I752" s="211">
        <v>24380</v>
      </c>
      <c r="J752" s="24">
        <v>1</v>
      </c>
      <c r="K752" s="24"/>
      <c r="L752" s="24">
        <v>1</v>
      </c>
      <c r="M752" s="24"/>
      <c r="N752" s="24"/>
      <c r="O752" s="24"/>
      <c r="P752" s="24"/>
      <c r="Q752" s="24"/>
      <c r="R752" s="24"/>
      <c r="S752" s="24"/>
      <c r="T752" s="24"/>
      <c r="U752" s="20" t="s">
        <v>2849</v>
      </c>
      <c r="V752" s="20" t="s">
        <v>873</v>
      </c>
      <c r="W752" s="20" t="s">
        <v>279</v>
      </c>
      <c r="X752" s="20" t="s">
        <v>227</v>
      </c>
      <c r="Y752" s="20"/>
      <c r="Z752" s="20"/>
      <c r="AA752" s="20" t="s">
        <v>2667</v>
      </c>
      <c r="AB752" s="20" t="s">
        <v>1815</v>
      </c>
      <c r="AC752" s="24">
        <v>13</v>
      </c>
      <c r="AD752" s="24"/>
      <c r="AE752" s="24"/>
      <c r="AF752" s="24"/>
      <c r="AG752" s="24"/>
      <c r="AH752" s="20"/>
      <c r="AI752" s="42"/>
    </row>
    <row r="753" spans="1:35">
      <c r="A753" s="14"/>
      <c r="B753" s="20"/>
      <c r="C753" s="20"/>
      <c r="D753" s="20"/>
      <c r="E753" s="20"/>
      <c r="F753" s="20"/>
      <c r="G753" s="20"/>
      <c r="H753" s="20"/>
      <c r="I753" s="211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0"/>
      <c r="V753" s="20"/>
      <c r="W753" s="20"/>
      <c r="X753" s="20"/>
      <c r="Y753" s="20"/>
      <c r="Z753" s="20"/>
      <c r="AA753" s="20" t="s">
        <v>2527</v>
      </c>
      <c r="AB753" s="20" t="s">
        <v>1815</v>
      </c>
      <c r="AC753" s="225">
        <v>1.5</v>
      </c>
      <c r="AD753" s="24"/>
      <c r="AE753" s="24"/>
      <c r="AF753" s="24"/>
      <c r="AG753" s="24"/>
      <c r="AH753" s="20"/>
      <c r="AI753" s="42"/>
    </row>
    <row r="754" spans="1:35">
      <c r="A754" s="14"/>
      <c r="B754" s="20"/>
      <c r="C754" s="20"/>
      <c r="D754" s="20"/>
      <c r="E754" s="20"/>
      <c r="F754" s="20"/>
      <c r="G754" s="20"/>
      <c r="H754" s="20"/>
      <c r="I754" s="211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0"/>
      <c r="V754" s="20"/>
      <c r="W754" s="20"/>
      <c r="X754" s="20"/>
      <c r="Y754" s="20"/>
      <c r="Z754" s="20"/>
      <c r="AA754" s="20" t="s">
        <v>1961</v>
      </c>
      <c r="AB754" s="20" t="s">
        <v>1815</v>
      </c>
      <c r="AC754" s="225">
        <v>2.5</v>
      </c>
      <c r="AD754" s="24"/>
      <c r="AE754" s="24"/>
      <c r="AF754" s="24"/>
      <c r="AG754" s="24"/>
      <c r="AH754" s="20"/>
      <c r="AI754" s="42"/>
    </row>
    <row r="755" spans="1:35">
      <c r="A755" s="14"/>
      <c r="B755" s="20"/>
      <c r="C755" s="20"/>
      <c r="D755" s="20"/>
      <c r="E755" s="20"/>
      <c r="F755" s="20"/>
      <c r="G755" s="20"/>
      <c r="H755" s="20"/>
      <c r="I755" s="211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0"/>
      <c r="V755" s="20"/>
      <c r="W755" s="20"/>
      <c r="X755" s="20"/>
      <c r="Y755" s="20"/>
      <c r="Z755" s="20"/>
      <c r="AA755" s="20" t="s">
        <v>2055</v>
      </c>
      <c r="AB755" s="20" t="s">
        <v>526</v>
      </c>
      <c r="AC755" s="24">
        <v>666</v>
      </c>
      <c r="AD755" s="24"/>
      <c r="AE755" s="24"/>
      <c r="AF755" s="24"/>
      <c r="AG755" s="24"/>
      <c r="AH755" s="20"/>
      <c r="AI755" s="42"/>
    </row>
    <row r="756" spans="1:35">
      <c r="A756" s="14"/>
      <c r="B756" s="20"/>
      <c r="C756" s="84" t="s">
        <v>2420</v>
      </c>
      <c r="D756" s="20" t="s">
        <v>79</v>
      </c>
      <c r="E756" s="20" t="s">
        <v>80</v>
      </c>
      <c r="F756" s="20" t="s">
        <v>2856</v>
      </c>
      <c r="G756" s="20" t="s">
        <v>2857</v>
      </c>
      <c r="H756" s="20" t="s">
        <v>144</v>
      </c>
      <c r="I756" s="211">
        <v>27877</v>
      </c>
      <c r="J756" s="24">
        <v>1</v>
      </c>
      <c r="K756" s="24"/>
      <c r="L756" s="24">
        <v>1</v>
      </c>
      <c r="M756" s="24"/>
      <c r="N756" s="24"/>
      <c r="O756" s="24"/>
      <c r="P756" s="24"/>
      <c r="Q756" s="24"/>
      <c r="R756" s="24"/>
      <c r="S756" s="24"/>
      <c r="T756" s="24"/>
      <c r="U756" s="20" t="s">
        <v>2849</v>
      </c>
      <c r="V756" s="20" t="s">
        <v>873</v>
      </c>
      <c r="W756" s="20" t="s">
        <v>279</v>
      </c>
      <c r="X756" s="20" t="s">
        <v>227</v>
      </c>
      <c r="Y756" s="20"/>
      <c r="Z756" s="20"/>
      <c r="AA756" s="20" t="s">
        <v>2667</v>
      </c>
      <c r="AB756" s="20" t="s">
        <v>1815</v>
      </c>
      <c r="AC756" s="24">
        <v>13</v>
      </c>
      <c r="AD756" s="24"/>
      <c r="AE756" s="24"/>
      <c r="AF756" s="24"/>
      <c r="AG756" s="24"/>
      <c r="AH756" s="20"/>
      <c r="AI756" s="42"/>
    </row>
    <row r="757" spans="1:35">
      <c r="A757" s="14"/>
      <c r="B757" s="20"/>
      <c r="C757" s="20"/>
      <c r="D757" s="20"/>
      <c r="E757" s="20"/>
      <c r="F757" s="20"/>
      <c r="G757" s="20"/>
      <c r="H757" s="20"/>
      <c r="I757" s="211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0"/>
      <c r="V757" s="20"/>
      <c r="W757" s="20"/>
      <c r="X757" s="20"/>
      <c r="Y757" s="20"/>
      <c r="Z757" s="20"/>
      <c r="AA757" s="20" t="s">
        <v>2527</v>
      </c>
      <c r="AB757" s="20" t="s">
        <v>1815</v>
      </c>
      <c r="AC757" s="225">
        <v>1.5</v>
      </c>
      <c r="AD757" s="24"/>
      <c r="AE757" s="24"/>
      <c r="AF757" s="24"/>
      <c r="AG757" s="24"/>
      <c r="AH757" s="20"/>
      <c r="AI757" s="42"/>
    </row>
    <row r="758" spans="1:35">
      <c r="A758" s="14"/>
      <c r="B758" s="20"/>
      <c r="C758" s="20"/>
      <c r="D758" s="20"/>
      <c r="E758" s="20"/>
      <c r="F758" s="20"/>
      <c r="G758" s="20"/>
      <c r="H758" s="20"/>
      <c r="I758" s="211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0"/>
      <c r="V758" s="20"/>
      <c r="W758" s="20"/>
      <c r="X758" s="20"/>
      <c r="Y758" s="20"/>
      <c r="Z758" s="20"/>
      <c r="AA758" s="20" t="s">
        <v>1961</v>
      </c>
      <c r="AB758" s="20" t="s">
        <v>1815</v>
      </c>
      <c r="AC758" s="225">
        <v>2.5</v>
      </c>
      <c r="AD758" s="24"/>
      <c r="AE758" s="24"/>
      <c r="AF758" s="24"/>
      <c r="AG758" s="24"/>
      <c r="AH758" s="20"/>
      <c r="AI758" s="42"/>
    </row>
    <row r="759" spans="1:35">
      <c r="A759" s="14"/>
      <c r="B759" s="20"/>
      <c r="C759" s="20"/>
      <c r="D759" s="20"/>
      <c r="E759" s="20"/>
      <c r="F759" s="20"/>
      <c r="G759" s="20"/>
      <c r="H759" s="20"/>
      <c r="I759" s="211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0"/>
      <c r="V759" s="20"/>
      <c r="W759" s="20"/>
      <c r="X759" s="20"/>
      <c r="Y759" s="20"/>
      <c r="Z759" s="20"/>
      <c r="AA759" s="20" t="s">
        <v>2055</v>
      </c>
      <c r="AB759" s="20" t="s">
        <v>526</v>
      </c>
      <c r="AC759" s="24">
        <v>666</v>
      </c>
      <c r="AD759" s="24"/>
      <c r="AE759" s="24"/>
      <c r="AF759" s="24"/>
      <c r="AG759" s="24"/>
      <c r="AH759" s="20"/>
      <c r="AI759" s="42"/>
    </row>
    <row r="760" spans="1:35">
      <c r="A760" s="14"/>
      <c r="B760" s="20"/>
      <c r="C760" s="84" t="s">
        <v>2420</v>
      </c>
      <c r="D760" s="20" t="s">
        <v>79</v>
      </c>
      <c r="E760" s="20" t="s">
        <v>80</v>
      </c>
      <c r="F760" s="20" t="s">
        <v>2858</v>
      </c>
      <c r="G760" s="20" t="s">
        <v>2859</v>
      </c>
      <c r="H760" s="20"/>
      <c r="I760" s="211">
        <v>28180</v>
      </c>
      <c r="J760" s="24">
        <v>1</v>
      </c>
      <c r="K760" s="24"/>
      <c r="L760" s="24">
        <v>1</v>
      </c>
      <c r="M760" s="24"/>
      <c r="N760" s="24"/>
      <c r="O760" s="24"/>
      <c r="P760" s="24"/>
      <c r="Q760" s="24"/>
      <c r="R760" s="24"/>
      <c r="S760" s="24"/>
      <c r="T760" s="24"/>
      <c r="U760" s="20" t="s">
        <v>2849</v>
      </c>
      <c r="V760" s="20" t="s">
        <v>873</v>
      </c>
      <c r="W760" s="20" t="s">
        <v>279</v>
      </c>
      <c r="X760" s="20" t="s">
        <v>227</v>
      </c>
      <c r="Y760" s="20"/>
      <c r="Z760" s="20"/>
      <c r="AA760" s="20" t="s">
        <v>2667</v>
      </c>
      <c r="AB760" s="20" t="s">
        <v>1815</v>
      </c>
      <c r="AC760" s="24">
        <v>13</v>
      </c>
      <c r="AD760" s="24"/>
      <c r="AE760" s="24"/>
      <c r="AF760" s="24"/>
      <c r="AG760" s="24"/>
      <c r="AH760" s="20"/>
      <c r="AI760" s="42"/>
    </row>
    <row r="761" spans="1:35">
      <c r="A761" s="14"/>
      <c r="B761" s="20"/>
      <c r="C761" s="20"/>
      <c r="D761" s="20"/>
      <c r="E761" s="20"/>
      <c r="F761" s="20"/>
      <c r="G761" s="20"/>
      <c r="H761" s="20"/>
      <c r="I761" s="211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0"/>
      <c r="V761" s="20"/>
      <c r="W761" s="20"/>
      <c r="X761" s="20"/>
      <c r="Y761" s="20"/>
      <c r="Z761" s="20"/>
      <c r="AA761" s="20" t="s">
        <v>2527</v>
      </c>
      <c r="AB761" s="20" t="s">
        <v>1815</v>
      </c>
      <c r="AC761" s="225">
        <v>1.5</v>
      </c>
      <c r="AD761" s="24"/>
      <c r="AE761" s="24"/>
      <c r="AF761" s="24"/>
      <c r="AG761" s="24"/>
      <c r="AH761" s="20"/>
      <c r="AI761" s="42"/>
    </row>
    <row r="762" spans="1:35">
      <c r="A762" s="14"/>
      <c r="B762" s="20"/>
      <c r="C762" s="20"/>
      <c r="D762" s="20"/>
      <c r="E762" s="20"/>
      <c r="F762" s="20"/>
      <c r="G762" s="20"/>
      <c r="H762" s="20"/>
      <c r="I762" s="211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0"/>
      <c r="V762" s="20"/>
      <c r="W762" s="20"/>
      <c r="X762" s="20"/>
      <c r="Y762" s="20"/>
      <c r="Z762" s="20"/>
      <c r="AA762" s="20" t="s">
        <v>1961</v>
      </c>
      <c r="AB762" s="20" t="s">
        <v>1815</v>
      </c>
      <c r="AC762" s="225">
        <v>2.5</v>
      </c>
      <c r="AD762" s="24"/>
      <c r="AE762" s="24"/>
      <c r="AF762" s="24"/>
      <c r="AG762" s="24"/>
      <c r="AH762" s="20"/>
      <c r="AI762" s="42"/>
    </row>
    <row r="763" spans="1:35">
      <c r="A763" s="14"/>
      <c r="B763" s="20"/>
      <c r="C763" s="20"/>
      <c r="D763" s="20"/>
      <c r="E763" s="20"/>
      <c r="F763" s="20"/>
      <c r="G763" s="20"/>
      <c r="H763" s="20"/>
      <c r="I763" s="211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0"/>
      <c r="V763" s="20"/>
      <c r="W763" s="20"/>
      <c r="X763" s="20"/>
      <c r="Y763" s="20"/>
      <c r="Z763" s="20"/>
      <c r="AA763" s="20" t="s">
        <v>2055</v>
      </c>
      <c r="AB763" s="20" t="s">
        <v>526</v>
      </c>
      <c r="AC763" s="24">
        <v>666</v>
      </c>
      <c r="AD763" s="24"/>
      <c r="AE763" s="24"/>
      <c r="AF763" s="24"/>
      <c r="AG763" s="24"/>
      <c r="AH763" s="20"/>
      <c r="AI763" s="42"/>
    </row>
    <row r="764" spans="1:35">
      <c r="A764" s="14"/>
      <c r="B764" s="20"/>
      <c r="C764" s="84" t="s">
        <v>2420</v>
      </c>
      <c r="D764" s="20" t="s">
        <v>79</v>
      </c>
      <c r="E764" s="20" t="s">
        <v>80</v>
      </c>
      <c r="F764" s="20" t="s">
        <v>2860</v>
      </c>
      <c r="G764" s="20" t="s">
        <v>2861</v>
      </c>
      <c r="H764" s="20" t="s">
        <v>113</v>
      </c>
      <c r="I764" s="211">
        <v>24380</v>
      </c>
      <c r="J764" s="24">
        <v>1</v>
      </c>
      <c r="K764" s="24"/>
      <c r="L764" s="24">
        <v>1</v>
      </c>
      <c r="M764" s="24"/>
      <c r="N764" s="24"/>
      <c r="O764" s="24"/>
      <c r="P764" s="24"/>
      <c r="Q764" s="24"/>
      <c r="R764" s="24"/>
      <c r="S764" s="24"/>
      <c r="T764" s="24"/>
      <c r="U764" s="20" t="s">
        <v>2849</v>
      </c>
      <c r="V764" s="20" t="s">
        <v>873</v>
      </c>
      <c r="W764" s="20" t="s">
        <v>279</v>
      </c>
      <c r="X764" s="20" t="s">
        <v>227</v>
      </c>
      <c r="Y764" s="20"/>
      <c r="Z764" s="20"/>
      <c r="AA764" s="20" t="s">
        <v>2667</v>
      </c>
      <c r="AB764" s="20" t="s">
        <v>1815</v>
      </c>
      <c r="AC764" s="24">
        <v>13</v>
      </c>
      <c r="AD764" s="24"/>
      <c r="AE764" s="24"/>
      <c r="AF764" s="24"/>
      <c r="AG764" s="24"/>
      <c r="AH764" s="20"/>
      <c r="AI764" s="42"/>
    </row>
    <row r="765" spans="1:35">
      <c r="A765" s="14"/>
      <c r="B765" s="20"/>
      <c r="C765" s="20"/>
      <c r="D765" s="20"/>
      <c r="E765" s="20"/>
      <c r="F765" s="20"/>
      <c r="G765" s="20"/>
      <c r="H765" s="20"/>
      <c r="I765" s="211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0"/>
      <c r="V765" s="20"/>
      <c r="W765" s="20"/>
      <c r="X765" s="20"/>
      <c r="Y765" s="20"/>
      <c r="Z765" s="20"/>
      <c r="AA765" s="20" t="s">
        <v>2527</v>
      </c>
      <c r="AB765" s="20" t="s">
        <v>1815</v>
      </c>
      <c r="AC765" s="225">
        <v>1.5</v>
      </c>
      <c r="AD765" s="24"/>
      <c r="AE765" s="24"/>
      <c r="AF765" s="24"/>
      <c r="AG765" s="24"/>
      <c r="AH765" s="20"/>
      <c r="AI765" s="42"/>
    </row>
    <row r="766" spans="1:35">
      <c r="A766" s="14"/>
      <c r="B766" s="20"/>
      <c r="C766" s="20"/>
      <c r="D766" s="20"/>
      <c r="E766" s="20"/>
      <c r="F766" s="20"/>
      <c r="G766" s="20"/>
      <c r="H766" s="20"/>
      <c r="I766" s="211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0"/>
      <c r="V766" s="20"/>
      <c r="W766" s="20"/>
      <c r="X766" s="20"/>
      <c r="Y766" s="20"/>
      <c r="Z766" s="20"/>
      <c r="AA766" s="20" t="s">
        <v>1961</v>
      </c>
      <c r="AB766" s="20" t="s">
        <v>1815</v>
      </c>
      <c r="AC766" s="225">
        <v>2.5</v>
      </c>
      <c r="AD766" s="24"/>
      <c r="AE766" s="24"/>
      <c r="AF766" s="24"/>
      <c r="AG766" s="24"/>
      <c r="AH766" s="20"/>
      <c r="AI766" s="42"/>
    </row>
    <row r="767" spans="1:35">
      <c r="A767" s="14"/>
      <c r="B767" s="20"/>
      <c r="C767" s="20"/>
      <c r="D767" s="20"/>
      <c r="E767" s="20"/>
      <c r="F767" s="20"/>
      <c r="G767" s="20"/>
      <c r="H767" s="20"/>
      <c r="I767" s="211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0"/>
      <c r="V767" s="20"/>
      <c r="W767" s="20"/>
      <c r="X767" s="20"/>
      <c r="Y767" s="20"/>
      <c r="Z767" s="20"/>
      <c r="AA767" s="20" t="s">
        <v>2055</v>
      </c>
      <c r="AB767" s="20" t="s">
        <v>526</v>
      </c>
      <c r="AC767" s="24">
        <v>666</v>
      </c>
      <c r="AD767" s="24"/>
      <c r="AE767" s="24"/>
      <c r="AF767" s="24"/>
      <c r="AG767" s="24"/>
      <c r="AH767" s="20"/>
      <c r="AI767" s="42"/>
    </row>
    <row r="768" spans="1:35">
      <c r="A768" s="14"/>
      <c r="B768" s="20"/>
      <c r="C768" s="84" t="s">
        <v>2420</v>
      </c>
      <c r="D768" s="20" t="s">
        <v>79</v>
      </c>
      <c r="E768" s="20" t="s">
        <v>80</v>
      </c>
      <c r="F768" s="20" t="s">
        <v>2862</v>
      </c>
      <c r="G768" s="20" t="s">
        <v>196</v>
      </c>
      <c r="H768" s="20" t="s">
        <v>126</v>
      </c>
      <c r="I768" s="211">
        <v>27877</v>
      </c>
      <c r="J768" s="24">
        <v>1</v>
      </c>
      <c r="K768" s="24"/>
      <c r="L768" s="24">
        <v>1</v>
      </c>
      <c r="M768" s="24"/>
      <c r="N768" s="24"/>
      <c r="O768" s="24"/>
      <c r="P768" s="24"/>
      <c r="Q768" s="24"/>
      <c r="R768" s="24"/>
      <c r="S768" s="24"/>
      <c r="T768" s="24"/>
      <c r="U768" s="20" t="s">
        <v>2849</v>
      </c>
      <c r="V768" s="20" t="s">
        <v>873</v>
      </c>
      <c r="W768" s="20" t="s">
        <v>279</v>
      </c>
      <c r="X768" s="20" t="s">
        <v>227</v>
      </c>
      <c r="Y768" s="20"/>
      <c r="Z768" s="20"/>
      <c r="AA768" s="20" t="s">
        <v>2667</v>
      </c>
      <c r="AB768" s="20" t="s">
        <v>1815</v>
      </c>
      <c r="AC768" s="24">
        <v>13</v>
      </c>
      <c r="AD768" s="24"/>
      <c r="AE768" s="24"/>
      <c r="AF768" s="24"/>
      <c r="AG768" s="24"/>
      <c r="AH768" s="20"/>
      <c r="AI768" s="42"/>
    </row>
    <row r="769" spans="1:35">
      <c r="A769" s="14"/>
      <c r="B769" s="20"/>
      <c r="C769" s="20"/>
      <c r="D769" s="20"/>
      <c r="E769" s="20"/>
      <c r="F769" s="20"/>
      <c r="G769" s="20"/>
      <c r="H769" s="20"/>
      <c r="I769" s="211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0"/>
      <c r="V769" s="20"/>
      <c r="W769" s="20"/>
      <c r="X769" s="20"/>
      <c r="Y769" s="20"/>
      <c r="Z769" s="20"/>
      <c r="AA769" s="20" t="s">
        <v>2527</v>
      </c>
      <c r="AB769" s="20" t="s">
        <v>1815</v>
      </c>
      <c r="AC769" s="225">
        <v>1.5</v>
      </c>
      <c r="AD769" s="24"/>
      <c r="AE769" s="24"/>
      <c r="AF769" s="24"/>
      <c r="AG769" s="24"/>
      <c r="AH769" s="20"/>
      <c r="AI769" s="42"/>
    </row>
    <row r="770" spans="1:35">
      <c r="A770" s="14"/>
      <c r="B770" s="20"/>
      <c r="C770" s="20"/>
      <c r="D770" s="20"/>
      <c r="E770" s="20"/>
      <c r="F770" s="20"/>
      <c r="G770" s="20"/>
      <c r="H770" s="20"/>
      <c r="I770" s="211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0"/>
      <c r="V770" s="20"/>
      <c r="W770" s="20"/>
      <c r="X770" s="20"/>
      <c r="Y770" s="20"/>
      <c r="Z770" s="20"/>
      <c r="AA770" s="20" t="s">
        <v>1961</v>
      </c>
      <c r="AB770" s="20" t="s">
        <v>1815</v>
      </c>
      <c r="AC770" s="225">
        <v>2.5</v>
      </c>
      <c r="AD770" s="24"/>
      <c r="AE770" s="24"/>
      <c r="AF770" s="24"/>
      <c r="AG770" s="24"/>
      <c r="AH770" s="20"/>
      <c r="AI770" s="42"/>
    </row>
    <row r="771" spans="1:35">
      <c r="A771" s="14"/>
      <c r="B771" s="20"/>
      <c r="C771" s="20"/>
      <c r="D771" s="20"/>
      <c r="E771" s="20"/>
      <c r="F771" s="20"/>
      <c r="G771" s="20"/>
      <c r="H771" s="20"/>
      <c r="I771" s="211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0"/>
      <c r="V771" s="20"/>
      <c r="W771" s="20"/>
      <c r="X771" s="20"/>
      <c r="Y771" s="20"/>
      <c r="Z771" s="20"/>
      <c r="AA771" s="20" t="s">
        <v>2055</v>
      </c>
      <c r="AB771" s="20" t="s">
        <v>526</v>
      </c>
      <c r="AC771" s="24">
        <v>666</v>
      </c>
      <c r="AD771" s="24"/>
      <c r="AE771" s="24"/>
      <c r="AF771" s="24"/>
      <c r="AG771" s="24"/>
      <c r="AH771" s="20"/>
      <c r="AI771" s="42"/>
    </row>
    <row r="772" spans="1:35">
      <c r="A772" s="14"/>
      <c r="B772" s="20"/>
      <c r="C772" s="84" t="s">
        <v>2420</v>
      </c>
      <c r="D772" s="20" t="s">
        <v>79</v>
      </c>
      <c r="E772" s="20" t="s">
        <v>80</v>
      </c>
      <c r="F772" s="20" t="s">
        <v>2863</v>
      </c>
      <c r="G772" s="20" t="s">
        <v>457</v>
      </c>
      <c r="H772" s="20" t="s">
        <v>126</v>
      </c>
      <c r="I772" s="211">
        <v>26219</v>
      </c>
      <c r="J772" s="24"/>
      <c r="K772" s="24">
        <v>1</v>
      </c>
      <c r="L772" s="24">
        <v>1</v>
      </c>
      <c r="M772" s="24"/>
      <c r="N772" s="24"/>
      <c r="O772" s="24"/>
      <c r="P772" s="24"/>
      <c r="Q772" s="24"/>
      <c r="R772" s="24"/>
      <c r="S772" s="24"/>
      <c r="T772" s="24"/>
      <c r="U772" s="20" t="s">
        <v>2849</v>
      </c>
      <c r="V772" s="20" t="s">
        <v>873</v>
      </c>
      <c r="W772" s="20" t="s">
        <v>279</v>
      </c>
      <c r="X772" s="20" t="s">
        <v>227</v>
      </c>
      <c r="Y772" s="20"/>
      <c r="Z772" s="20"/>
      <c r="AA772" s="20" t="s">
        <v>2667</v>
      </c>
      <c r="AB772" s="20" t="s">
        <v>1815</v>
      </c>
      <c r="AC772" s="24">
        <v>13</v>
      </c>
      <c r="AD772" s="24"/>
      <c r="AE772" s="24"/>
      <c r="AF772" s="24"/>
      <c r="AG772" s="24"/>
      <c r="AH772" s="20"/>
      <c r="AI772" s="42"/>
    </row>
    <row r="773" spans="1:35">
      <c r="A773" s="14"/>
      <c r="B773" s="20"/>
      <c r="C773" s="20"/>
      <c r="D773" s="20"/>
      <c r="E773" s="20"/>
      <c r="F773" s="20"/>
      <c r="G773" s="20"/>
      <c r="H773" s="20"/>
      <c r="I773" s="211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0"/>
      <c r="V773" s="20"/>
      <c r="W773" s="20"/>
      <c r="X773" s="20"/>
      <c r="Y773" s="20"/>
      <c r="Z773" s="20"/>
      <c r="AA773" s="20" t="s">
        <v>2527</v>
      </c>
      <c r="AB773" s="20" t="s">
        <v>1815</v>
      </c>
      <c r="AC773" s="225">
        <v>1.5</v>
      </c>
      <c r="AD773" s="24"/>
      <c r="AE773" s="24"/>
      <c r="AF773" s="24"/>
      <c r="AG773" s="24"/>
      <c r="AH773" s="20"/>
      <c r="AI773" s="42"/>
    </row>
    <row r="774" spans="1:35">
      <c r="A774" s="14"/>
      <c r="B774" s="20"/>
      <c r="C774" s="20"/>
      <c r="D774" s="20"/>
      <c r="E774" s="20"/>
      <c r="F774" s="20"/>
      <c r="G774" s="20"/>
      <c r="H774" s="20"/>
      <c r="I774" s="211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0"/>
      <c r="V774" s="20"/>
      <c r="W774" s="20"/>
      <c r="X774" s="20"/>
      <c r="Y774" s="20"/>
      <c r="Z774" s="20"/>
      <c r="AA774" s="20" t="s">
        <v>1961</v>
      </c>
      <c r="AB774" s="20" t="s">
        <v>1815</v>
      </c>
      <c r="AC774" s="225">
        <v>2.5</v>
      </c>
      <c r="AD774" s="24"/>
      <c r="AE774" s="24"/>
      <c r="AF774" s="24"/>
      <c r="AG774" s="24"/>
      <c r="AH774" s="20"/>
      <c r="AI774" s="42"/>
    </row>
    <row r="775" spans="1:35">
      <c r="A775" s="14"/>
      <c r="B775" s="20"/>
      <c r="C775" s="20"/>
      <c r="D775" s="20"/>
      <c r="E775" s="20"/>
      <c r="F775" s="20"/>
      <c r="G775" s="20"/>
      <c r="H775" s="20"/>
      <c r="I775" s="211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0"/>
      <c r="V775" s="20"/>
      <c r="W775" s="20"/>
      <c r="X775" s="20"/>
      <c r="Y775" s="20"/>
      <c r="Z775" s="20"/>
      <c r="AA775" s="20" t="s">
        <v>2055</v>
      </c>
      <c r="AB775" s="20" t="s">
        <v>526</v>
      </c>
      <c r="AC775" s="24">
        <v>666</v>
      </c>
      <c r="AD775" s="24"/>
      <c r="AE775" s="24"/>
      <c r="AF775" s="24"/>
      <c r="AG775" s="24"/>
      <c r="AH775" s="20"/>
      <c r="AI775" s="42"/>
    </row>
    <row r="776" spans="1:35">
      <c r="A776" s="14"/>
      <c r="B776" s="20"/>
      <c r="C776" s="84" t="s">
        <v>2420</v>
      </c>
      <c r="D776" s="20" t="s">
        <v>79</v>
      </c>
      <c r="E776" s="20" t="s">
        <v>80</v>
      </c>
      <c r="F776" s="20" t="s">
        <v>2860</v>
      </c>
      <c r="G776" s="20" t="s">
        <v>119</v>
      </c>
      <c r="H776" s="20" t="s">
        <v>113</v>
      </c>
      <c r="I776" s="211">
        <v>31330</v>
      </c>
      <c r="J776" s="24">
        <v>1</v>
      </c>
      <c r="K776" s="24"/>
      <c r="L776" s="24">
        <v>1</v>
      </c>
      <c r="M776" s="24"/>
      <c r="N776" s="24"/>
      <c r="O776" s="24"/>
      <c r="P776" s="24"/>
      <c r="Q776" s="24"/>
      <c r="R776" s="24"/>
      <c r="S776" s="24"/>
      <c r="T776" s="24"/>
      <c r="U776" s="20" t="s">
        <v>2849</v>
      </c>
      <c r="V776" s="20" t="s">
        <v>873</v>
      </c>
      <c r="W776" s="20" t="s">
        <v>279</v>
      </c>
      <c r="X776" s="20" t="s">
        <v>227</v>
      </c>
      <c r="Y776" s="20"/>
      <c r="Z776" s="20"/>
      <c r="AA776" s="20" t="s">
        <v>2667</v>
      </c>
      <c r="AB776" s="20" t="s">
        <v>1815</v>
      </c>
      <c r="AC776" s="24">
        <v>13</v>
      </c>
      <c r="AD776" s="24"/>
      <c r="AE776" s="24"/>
      <c r="AF776" s="24"/>
      <c r="AG776" s="24"/>
      <c r="AH776" s="20"/>
      <c r="AI776" s="42"/>
    </row>
    <row r="777" spans="1:35">
      <c r="A777" s="14"/>
      <c r="B777" s="20"/>
      <c r="C777" s="20"/>
      <c r="D777" s="20"/>
      <c r="E777" s="20"/>
      <c r="F777" s="20"/>
      <c r="G777" s="20"/>
      <c r="H777" s="20"/>
      <c r="I777" s="211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0"/>
      <c r="V777" s="20"/>
      <c r="W777" s="20"/>
      <c r="X777" s="20"/>
      <c r="Y777" s="20"/>
      <c r="Z777" s="20"/>
      <c r="AA777" s="20" t="s">
        <v>2527</v>
      </c>
      <c r="AB777" s="20" t="s">
        <v>1815</v>
      </c>
      <c r="AC777" s="225">
        <v>1.5</v>
      </c>
      <c r="AD777" s="24"/>
      <c r="AE777" s="24"/>
      <c r="AF777" s="24"/>
      <c r="AG777" s="24"/>
      <c r="AH777" s="20"/>
      <c r="AI777" s="42"/>
    </row>
    <row r="778" spans="1:35">
      <c r="A778" s="14"/>
      <c r="B778" s="20"/>
      <c r="C778" s="20"/>
      <c r="D778" s="20"/>
      <c r="E778" s="20"/>
      <c r="F778" s="20"/>
      <c r="G778" s="20"/>
      <c r="H778" s="20"/>
      <c r="I778" s="211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0"/>
      <c r="V778" s="20"/>
      <c r="W778" s="20"/>
      <c r="X778" s="20"/>
      <c r="Y778" s="20"/>
      <c r="Z778" s="20"/>
      <c r="AA778" s="20" t="s">
        <v>1961</v>
      </c>
      <c r="AB778" s="20" t="s">
        <v>1815</v>
      </c>
      <c r="AC778" s="225">
        <v>2.5</v>
      </c>
      <c r="AD778" s="24"/>
      <c r="AE778" s="24"/>
      <c r="AF778" s="24"/>
      <c r="AG778" s="24"/>
      <c r="AH778" s="20"/>
      <c r="AI778" s="42"/>
    </row>
    <row r="779" spans="1:35">
      <c r="A779" s="14"/>
      <c r="B779" s="20"/>
      <c r="C779" s="20"/>
      <c r="D779" s="20"/>
      <c r="E779" s="20"/>
      <c r="F779" s="20"/>
      <c r="G779" s="20"/>
      <c r="H779" s="20"/>
      <c r="I779" s="211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0"/>
      <c r="V779" s="20"/>
      <c r="W779" s="20"/>
      <c r="X779" s="20"/>
      <c r="Y779" s="20"/>
      <c r="Z779" s="20"/>
      <c r="AA779" s="20" t="s">
        <v>2055</v>
      </c>
      <c r="AB779" s="20" t="s">
        <v>526</v>
      </c>
      <c r="AC779" s="24">
        <v>667</v>
      </c>
      <c r="AD779" s="24"/>
      <c r="AE779" s="24"/>
      <c r="AF779" s="24"/>
      <c r="AG779" s="24"/>
      <c r="AH779" s="20"/>
      <c r="AI779" s="42"/>
    </row>
    <row r="780" spans="1:35">
      <c r="A780" s="14"/>
      <c r="B780" s="20"/>
      <c r="C780" s="84" t="s">
        <v>2420</v>
      </c>
      <c r="D780" s="20" t="s">
        <v>79</v>
      </c>
      <c r="E780" s="20" t="s">
        <v>80</v>
      </c>
      <c r="F780" s="20" t="s">
        <v>2860</v>
      </c>
      <c r="G780" s="20" t="s">
        <v>1239</v>
      </c>
      <c r="H780" s="20" t="s">
        <v>113</v>
      </c>
      <c r="I780" s="211">
        <v>26207</v>
      </c>
      <c r="J780" s="24">
        <v>1</v>
      </c>
      <c r="K780" s="24"/>
      <c r="L780" s="24">
        <v>1</v>
      </c>
      <c r="M780" s="24"/>
      <c r="N780" s="24"/>
      <c r="O780" s="24"/>
      <c r="P780" s="24"/>
      <c r="Q780" s="24"/>
      <c r="R780" s="24"/>
      <c r="S780" s="24"/>
      <c r="T780" s="24"/>
      <c r="U780" s="20" t="s">
        <v>2849</v>
      </c>
      <c r="V780" s="20" t="s">
        <v>873</v>
      </c>
      <c r="W780" s="20" t="s">
        <v>279</v>
      </c>
      <c r="X780" s="20" t="s">
        <v>227</v>
      </c>
      <c r="Y780" s="20">
        <v>9634584958</v>
      </c>
      <c r="Z780" s="20"/>
      <c r="AA780" s="20" t="s">
        <v>2667</v>
      </c>
      <c r="AB780" s="20" t="s">
        <v>1815</v>
      </c>
      <c r="AC780" s="24">
        <v>13</v>
      </c>
      <c r="AD780" s="24"/>
      <c r="AE780" s="24"/>
      <c r="AF780" s="24"/>
      <c r="AG780" s="24"/>
      <c r="AH780" s="20"/>
      <c r="AI780" s="42"/>
    </row>
    <row r="781" spans="1:35">
      <c r="A781" s="14"/>
      <c r="B781" s="20"/>
      <c r="C781" s="20"/>
      <c r="D781" s="20"/>
      <c r="E781" s="20"/>
      <c r="F781" s="20"/>
      <c r="G781" s="20"/>
      <c r="H781" s="20"/>
      <c r="I781" s="211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0"/>
      <c r="V781" s="20"/>
      <c r="W781" s="20"/>
      <c r="X781" s="20"/>
      <c r="Y781" s="20"/>
      <c r="Z781" s="20"/>
      <c r="AA781" s="20" t="s">
        <v>2527</v>
      </c>
      <c r="AB781" s="20" t="s">
        <v>1815</v>
      </c>
      <c r="AC781" s="225">
        <v>1.5</v>
      </c>
      <c r="AD781" s="24"/>
      <c r="AE781" s="24"/>
      <c r="AF781" s="24"/>
      <c r="AG781" s="24"/>
      <c r="AH781" s="20"/>
      <c r="AI781" s="42"/>
    </row>
    <row r="782" spans="1:35">
      <c r="A782" s="14"/>
      <c r="B782" s="20"/>
      <c r="C782" s="20"/>
      <c r="D782" s="20"/>
      <c r="E782" s="20"/>
      <c r="F782" s="20"/>
      <c r="G782" s="20"/>
      <c r="H782" s="20"/>
      <c r="I782" s="211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0"/>
      <c r="V782" s="20"/>
      <c r="W782" s="20"/>
      <c r="X782" s="20"/>
      <c r="Y782" s="20"/>
      <c r="Z782" s="20"/>
      <c r="AA782" s="20" t="s">
        <v>1961</v>
      </c>
      <c r="AB782" s="20" t="s">
        <v>1815</v>
      </c>
      <c r="AC782" s="225">
        <v>2.5</v>
      </c>
      <c r="AD782" s="24"/>
      <c r="AE782" s="24"/>
      <c r="AF782" s="24"/>
      <c r="AG782" s="24"/>
      <c r="AH782" s="20"/>
      <c r="AI782" s="42"/>
    </row>
    <row r="783" spans="1:35">
      <c r="A783" s="14"/>
      <c r="B783" s="20"/>
      <c r="C783" s="20"/>
      <c r="D783" s="20"/>
      <c r="E783" s="20"/>
      <c r="F783" s="20"/>
      <c r="G783" s="20"/>
      <c r="H783" s="20"/>
      <c r="I783" s="211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0"/>
      <c r="V783" s="20"/>
      <c r="W783" s="20"/>
      <c r="X783" s="20"/>
      <c r="Y783" s="20"/>
      <c r="Z783" s="20"/>
      <c r="AA783" s="20" t="s">
        <v>2055</v>
      </c>
      <c r="AB783" s="20" t="s">
        <v>526</v>
      </c>
      <c r="AC783" s="24">
        <v>667</v>
      </c>
      <c r="AD783" s="24"/>
      <c r="AE783" s="24"/>
      <c r="AF783" s="24"/>
      <c r="AG783" s="24"/>
      <c r="AH783" s="20"/>
      <c r="AI783" s="42"/>
    </row>
    <row r="784" spans="1:35">
      <c r="A784" s="14"/>
      <c r="B784" s="20"/>
      <c r="C784" s="84" t="s">
        <v>2420</v>
      </c>
      <c r="D784" s="20" t="s">
        <v>79</v>
      </c>
      <c r="E784" s="20" t="s">
        <v>80</v>
      </c>
      <c r="F784" s="20" t="s">
        <v>2864</v>
      </c>
      <c r="G784" s="20" t="s">
        <v>2316</v>
      </c>
      <c r="H784" s="20" t="s">
        <v>160</v>
      </c>
      <c r="I784" s="211">
        <v>30569</v>
      </c>
      <c r="J784" s="24">
        <v>1</v>
      </c>
      <c r="K784" s="24"/>
      <c r="L784" s="24">
        <v>1</v>
      </c>
      <c r="M784" s="24"/>
      <c r="N784" s="24"/>
      <c r="O784" s="24"/>
      <c r="P784" s="24"/>
      <c r="Q784" s="24"/>
      <c r="R784" s="24"/>
      <c r="S784" s="24"/>
      <c r="T784" s="24"/>
      <c r="U784" s="20" t="s">
        <v>2849</v>
      </c>
      <c r="V784" s="20" t="s">
        <v>873</v>
      </c>
      <c r="W784" s="20" t="s">
        <v>279</v>
      </c>
      <c r="X784" s="20" t="s">
        <v>227</v>
      </c>
      <c r="Y784" s="20">
        <v>9051483739</v>
      </c>
      <c r="Z784" s="20"/>
      <c r="AA784" s="20" t="s">
        <v>2667</v>
      </c>
      <c r="AB784" s="20" t="s">
        <v>1815</v>
      </c>
      <c r="AC784" s="24">
        <v>13</v>
      </c>
      <c r="AD784" s="24"/>
      <c r="AE784" s="24"/>
      <c r="AF784" s="24"/>
      <c r="AG784" s="24"/>
      <c r="AH784" s="20"/>
      <c r="AI784" s="42"/>
    </row>
    <row r="785" spans="1:35">
      <c r="A785" s="14"/>
      <c r="B785" s="20"/>
      <c r="C785" s="20"/>
      <c r="D785" s="20"/>
      <c r="E785" s="20"/>
      <c r="F785" s="20"/>
      <c r="G785" s="20"/>
      <c r="H785" s="20"/>
      <c r="I785" s="211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0"/>
      <c r="V785" s="20"/>
      <c r="W785" s="20"/>
      <c r="X785" s="20"/>
      <c r="Y785" s="20"/>
      <c r="Z785" s="20"/>
      <c r="AA785" s="20" t="s">
        <v>2527</v>
      </c>
      <c r="AB785" s="20" t="s">
        <v>1815</v>
      </c>
      <c r="AC785" s="225">
        <v>1.5</v>
      </c>
      <c r="AD785" s="24"/>
      <c r="AE785" s="24"/>
      <c r="AF785" s="24"/>
      <c r="AG785" s="24"/>
      <c r="AH785" s="20"/>
      <c r="AI785" s="42"/>
    </row>
    <row r="786" spans="1:35">
      <c r="A786" s="14"/>
      <c r="B786" s="20"/>
      <c r="C786" s="20"/>
      <c r="D786" s="20"/>
      <c r="E786" s="20"/>
      <c r="F786" s="20"/>
      <c r="G786" s="20"/>
      <c r="H786" s="20"/>
      <c r="I786" s="211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0"/>
      <c r="V786" s="20"/>
      <c r="W786" s="20"/>
      <c r="X786" s="20"/>
      <c r="Y786" s="20"/>
      <c r="Z786" s="20"/>
      <c r="AA786" s="20" t="s">
        <v>1961</v>
      </c>
      <c r="AB786" s="20" t="s">
        <v>1815</v>
      </c>
      <c r="AC786" s="225">
        <v>2.5</v>
      </c>
      <c r="AD786" s="24"/>
      <c r="AE786" s="24"/>
      <c r="AF786" s="24"/>
      <c r="AG786" s="24"/>
      <c r="AH786" s="20"/>
      <c r="AI786" s="42"/>
    </row>
    <row r="787" spans="1:35">
      <c r="A787" s="14"/>
      <c r="B787" s="20"/>
      <c r="C787" s="20"/>
      <c r="D787" s="20"/>
      <c r="E787" s="20"/>
      <c r="F787" s="20"/>
      <c r="G787" s="20"/>
      <c r="H787" s="20"/>
      <c r="I787" s="211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0"/>
      <c r="V787" s="20"/>
      <c r="W787" s="20"/>
      <c r="X787" s="20"/>
      <c r="Y787" s="20"/>
      <c r="Z787" s="20"/>
      <c r="AA787" s="20" t="s">
        <v>2055</v>
      </c>
      <c r="AB787" s="20" t="s">
        <v>526</v>
      </c>
      <c r="AC787" s="24">
        <v>667</v>
      </c>
      <c r="AD787" s="24"/>
      <c r="AE787" s="24"/>
      <c r="AF787" s="24"/>
      <c r="AG787" s="24"/>
      <c r="AH787" s="20"/>
      <c r="AI787" s="42"/>
    </row>
    <row r="788" spans="1:35">
      <c r="A788" s="14"/>
      <c r="B788" s="20"/>
      <c r="C788" s="84" t="s">
        <v>2420</v>
      </c>
      <c r="D788" s="20" t="s">
        <v>79</v>
      </c>
      <c r="E788" s="20" t="s">
        <v>80</v>
      </c>
      <c r="F788" s="20" t="s">
        <v>2860</v>
      </c>
      <c r="G788" s="20" t="s">
        <v>1492</v>
      </c>
      <c r="H788" s="20" t="s">
        <v>113</v>
      </c>
      <c r="I788" s="211">
        <v>30131</v>
      </c>
      <c r="J788" s="24">
        <v>1</v>
      </c>
      <c r="K788" s="24"/>
      <c r="L788" s="24">
        <v>1</v>
      </c>
      <c r="M788" s="24"/>
      <c r="N788" s="24"/>
      <c r="O788" s="24"/>
      <c r="P788" s="24"/>
      <c r="Q788" s="24"/>
      <c r="R788" s="24"/>
      <c r="S788" s="24"/>
      <c r="T788" s="24"/>
      <c r="U788" s="20" t="s">
        <v>2849</v>
      </c>
      <c r="V788" s="20" t="s">
        <v>873</v>
      </c>
      <c r="W788" s="20" t="s">
        <v>279</v>
      </c>
      <c r="X788" s="20" t="s">
        <v>227</v>
      </c>
      <c r="Y788" s="20"/>
      <c r="Z788" s="20"/>
      <c r="AA788" s="20" t="s">
        <v>2667</v>
      </c>
      <c r="AB788" s="20" t="s">
        <v>1815</v>
      </c>
      <c r="AC788" s="24">
        <v>13</v>
      </c>
      <c r="AD788" s="24"/>
      <c r="AE788" s="24"/>
      <c r="AF788" s="24"/>
      <c r="AG788" s="24"/>
      <c r="AH788" s="20"/>
      <c r="AI788" s="42"/>
    </row>
    <row r="789" spans="1:35">
      <c r="A789" s="14"/>
      <c r="B789" s="20"/>
      <c r="C789" s="20"/>
      <c r="D789" s="20"/>
      <c r="E789" s="20"/>
      <c r="F789" s="20"/>
      <c r="G789" s="20"/>
      <c r="H789" s="20"/>
      <c r="I789" s="211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0"/>
      <c r="V789" s="20"/>
      <c r="W789" s="20"/>
      <c r="X789" s="20"/>
      <c r="Y789" s="20"/>
      <c r="Z789" s="20"/>
      <c r="AA789" s="20" t="s">
        <v>2527</v>
      </c>
      <c r="AB789" s="20" t="s">
        <v>1815</v>
      </c>
      <c r="AC789" s="225">
        <v>1.5</v>
      </c>
      <c r="AD789" s="24"/>
      <c r="AE789" s="24"/>
      <c r="AF789" s="24"/>
      <c r="AG789" s="24"/>
      <c r="AH789" s="20"/>
      <c r="AI789" s="42"/>
    </row>
    <row r="790" spans="1:35">
      <c r="A790" s="14"/>
      <c r="B790" s="20"/>
      <c r="C790" s="20"/>
      <c r="D790" s="20"/>
      <c r="E790" s="20"/>
      <c r="F790" s="20"/>
      <c r="G790" s="20"/>
      <c r="H790" s="20"/>
      <c r="I790" s="211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0"/>
      <c r="V790" s="20"/>
      <c r="W790" s="20"/>
      <c r="X790" s="20"/>
      <c r="Y790" s="20"/>
      <c r="Z790" s="20"/>
      <c r="AA790" s="20" t="s">
        <v>1961</v>
      </c>
      <c r="AB790" s="20" t="s">
        <v>1815</v>
      </c>
      <c r="AC790" s="225">
        <v>2.5</v>
      </c>
      <c r="AD790" s="24"/>
      <c r="AE790" s="24"/>
      <c r="AF790" s="24"/>
      <c r="AG790" s="24"/>
      <c r="AH790" s="20"/>
      <c r="AI790" s="42"/>
    </row>
    <row r="791" spans="1:35">
      <c r="A791" s="14"/>
      <c r="B791" s="20"/>
      <c r="C791" s="20"/>
      <c r="D791" s="20"/>
      <c r="E791" s="20"/>
      <c r="F791" s="20"/>
      <c r="G791" s="20"/>
      <c r="H791" s="20"/>
      <c r="I791" s="211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0"/>
      <c r="V791" s="20"/>
      <c r="W791" s="20"/>
      <c r="X791" s="20"/>
      <c r="Y791" s="20"/>
      <c r="Z791" s="20"/>
      <c r="AA791" s="20" t="s">
        <v>2055</v>
      </c>
      <c r="AB791" s="20" t="s">
        <v>526</v>
      </c>
      <c r="AC791" s="24">
        <v>667</v>
      </c>
      <c r="AD791" s="24"/>
      <c r="AE791" s="24"/>
      <c r="AF791" s="24"/>
      <c r="AG791" s="24"/>
      <c r="AH791" s="20"/>
      <c r="AI791" s="42"/>
    </row>
    <row r="792" spans="1:35">
      <c r="A792" s="14"/>
      <c r="B792" s="20"/>
      <c r="C792" s="84" t="s">
        <v>2420</v>
      </c>
      <c r="D792" s="20" t="s">
        <v>79</v>
      </c>
      <c r="E792" s="20" t="s">
        <v>80</v>
      </c>
      <c r="F792" s="20" t="s">
        <v>2860</v>
      </c>
      <c r="G792" s="20" t="s">
        <v>2865</v>
      </c>
      <c r="H792" s="20" t="s">
        <v>113</v>
      </c>
      <c r="I792" s="211">
        <v>28236</v>
      </c>
      <c r="J792" s="24">
        <v>1</v>
      </c>
      <c r="K792" s="24"/>
      <c r="L792" s="24">
        <v>1</v>
      </c>
      <c r="M792" s="24"/>
      <c r="N792" s="24"/>
      <c r="O792" s="24"/>
      <c r="P792" s="24"/>
      <c r="Q792" s="24"/>
      <c r="R792" s="24"/>
      <c r="S792" s="24"/>
      <c r="T792" s="24"/>
      <c r="U792" s="20" t="s">
        <v>2849</v>
      </c>
      <c r="V792" s="20" t="s">
        <v>873</v>
      </c>
      <c r="W792" s="20" t="s">
        <v>279</v>
      </c>
      <c r="X792" s="20" t="s">
        <v>227</v>
      </c>
      <c r="Y792" s="20"/>
      <c r="Z792" s="20"/>
      <c r="AA792" s="20" t="s">
        <v>2667</v>
      </c>
      <c r="AB792" s="20" t="s">
        <v>1815</v>
      </c>
      <c r="AC792" s="24">
        <v>13</v>
      </c>
      <c r="AD792" s="24"/>
      <c r="AE792" s="24"/>
      <c r="AF792" s="24"/>
      <c r="AG792" s="24"/>
      <c r="AH792" s="20"/>
      <c r="AI792" s="42"/>
    </row>
    <row r="793" spans="1:35">
      <c r="A793" s="14"/>
      <c r="B793" s="20"/>
      <c r="C793" s="20"/>
      <c r="D793" s="20"/>
      <c r="E793" s="20"/>
      <c r="F793" s="20"/>
      <c r="G793" s="20"/>
      <c r="H793" s="20"/>
      <c r="I793" s="211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0"/>
      <c r="V793" s="20"/>
      <c r="W793" s="20"/>
      <c r="X793" s="20"/>
      <c r="Y793" s="20"/>
      <c r="Z793" s="20"/>
      <c r="AA793" s="20" t="s">
        <v>2527</v>
      </c>
      <c r="AB793" s="20" t="s">
        <v>1815</v>
      </c>
      <c r="AC793" s="225">
        <v>1.5</v>
      </c>
      <c r="AD793" s="24"/>
      <c r="AE793" s="24"/>
      <c r="AF793" s="24"/>
      <c r="AG793" s="24"/>
      <c r="AH793" s="20"/>
      <c r="AI793" s="42"/>
    </row>
    <row r="794" spans="1:35">
      <c r="A794" s="14"/>
      <c r="B794" s="20"/>
      <c r="C794" s="20"/>
      <c r="D794" s="20"/>
      <c r="E794" s="20"/>
      <c r="F794" s="20"/>
      <c r="G794" s="20"/>
      <c r="H794" s="20"/>
      <c r="I794" s="211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0"/>
      <c r="V794" s="20"/>
      <c r="W794" s="20"/>
      <c r="X794" s="20"/>
      <c r="Y794" s="20"/>
      <c r="Z794" s="20"/>
      <c r="AA794" s="20" t="s">
        <v>1961</v>
      </c>
      <c r="AB794" s="20" t="s">
        <v>1815</v>
      </c>
      <c r="AC794" s="225">
        <v>2.5</v>
      </c>
      <c r="AD794" s="24"/>
      <c r="AE794" s="24"/>
      <c r="AF794" s="24"/>
      <c r="AG794" s="24"/>
      <c r="AH794" s="20"/>
      <c r="AI794" s="42"/>
    </row>
    <row r="795" spans="1:35">
      <c r="A795" s="14"/>
      <c r="B795" s="20"/>
      <c r="C795" s="20"/>
      <c r="D795" s="20"/>
      <c r="E795" s="20"/>
      <c r="F795" s="20"/>
      <c r="G795" s="20"/>
      <c r="H795" s="20"/>
      <c r="I795" s="211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0"/>
      <c r="V795" s="20"/>
      <c r="W795" s="20"/>
      <c r="X795" s="20"/>
      <c r="Y795" s="20"/>
      <c r="Z795" s="20"/>
      <c r="AA795" s="20" t="s">
        <v>2055</v>
      </c>
      <c r="AB795" s="20" t="s">
        <v>526</v>
      </c>
      <c r="AC795" s="24">
        <v>667</v>
      </c>
      <c r="AD795" s="24"/>
      <c r="AE795" s="24"/>
      <c r="AF795" s="24"/>
      <c r="AG795" s="24"/>
      <c r="AH795" s="20"/>
      <c r="AI795" s="42"/>
    </row>
    <row r="796" spans="1:35">
      <c r="A796" s="14"/>
      <c r="B796" s="20"/>
      <c r="C796" s="84" t="s">
        <v>2420</v>
      </c>
      <c r="D796" s="20" t="s">
        <v>79</v>
      </c>
      <c r="E796" s="20" t="s">
        <v>80</v>
      </c>
      <c r="F796" s="20" t="s">
        <v>2860</v>
      </c>
      <c r="G796" s="20" t="s">
        <v>2590</v>
      </c>
      <c r="H796" s="20" t="s">
        <v>113</v>
      </c>
      <c r="I796" s="211">
        <v>33922</v>
      </c>
      <c r="J796" s="24">
        <v>1</v>
      </c>
      <c r="K796" s="24"/>
      <c r="L796" s="24">
        <v>1</v>
      </c>
      <c r="M796" s="24"/>
      <c r="N796" s="24"/>
      <c r="O796" s="24"/>
      <c r="P796" s="24"/>
      <c r="Q796" s="24"/>
      <c r="R796" s="24"/>
      <c r="S796" s="24"/>
      <c r="T796" s="24"/>
      <c r="U796" s="20" t="s">
        <v>2849</v>
      </c>
      <c r="V796" s="20" t="s">
        <v>873</v>
      </c>
      <c r="W796" s="20" t="s">
        <v>279</v>
      </c>
      <c r="X796" s="20" t="s">
        <v>227</v>
      </c>
      <c r="Y796" s="20"/>
      <c r="Z796" s="20"/>
      <c r="AA796" s="20" t="s">
        <v>2667</v>
      </c>
      <c r="AB796" s="20" t="s">
        <v>1815</v>
      </c>
      <c r="AC796" s="24">
        <v>13</v>
      </c>
      <c r="AD796" s="24"/>
      <c r="AE796" s="24"/>
      <c r="AF796" s="24"/>
      <c r="AG796" s="24"/>
      <c r="AH796" s="20"/>
      <c r="AI796" s="42"/>
    </row>
    <row r="797" spans="1:35">
      <c r="A797" s="14"/>
      <c r="B797" s="20"/>
      <c r="C797" s="20"/>
      <c r="D797" s="20"/>
      <c r="E797" s="20"/>
      <c r="F797" s="20"/>
      <c r="G797" s="20"/>
      <c r="H797" s="20"/>
      <c r="I797" s="211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0"/>
      <c r="V797" s="20"/>
      <c r="W797" s="20"/>
      <c r="X797" s="20"/>
      <c r="Y797" s="20"/>
      <c r="Z797" s="20"/>
      <c r="AA797" s="20" t="s">
        <v>2527</v>
      </c>
      <c r="AB797" s="20" t="s">
        <v>1815</v>
      </c>
      <c r="AC797" s="225">
        <v>1.5</v>
      </c>
      <c r="AD797" s="24"/>
      <c r="AE797" s="24"/>
      <c r="AF797" s="24"/>
      <c r="AG797" s="24"/>
      <c r="AH797" s="20"/>
      <c r="AI797" s="42"/>
    </row>
    <row r="798" spans="1:35">
      <c r="A798" s="14"/>
      <c r="B798" s="20"/>
      <c r="C798" s="20"/>
      <c r="D798" s="20"/>
      <c r="E798" s="20"/>
      <c r="F798" s="20"/>
      <c r="G798" s="20"/>
      <c r="H798" s="20"/>
      <c r="I798" s="211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0"/>
      <c r="V798" s="20"/>
      <c r="W798" s="20"/>
      <c r="X798" s="20"/>
      <c r="Y798" s="20"/>
      <c r="Z798" s="20"/>
      <c r="AA798" s="20" t="s">
        <v>1961</v>
      </c>
      <c r="AB798" s="20" t="s">
        <v>1815</v>
      </c>
      <c r="AC798" s="225">
        <v>2.5</v>
      </c>
      <c r="AD798" s="24"/>
      <c r="AE798" s="24"/>
      <c r="AF798" s="24"/>
      <c r="AG798" s="24"/>
      <c r="AH798" s="20"/>
      <c r="AI798" s="42"/>
    </row>
    <row r="799" spans="1:35">
      <c r="A799" s="223" t="s">
        <v>93</v>
      </c>
      <c r="B799" s="20"/>
      <c r="C799" s="20"/>
      <c r="D799" s="20"/>
      <c r="E799" s="20"/>
      <c r="F799" s="20"/>
      <c r="G799" s="20"/>
      <c r="H799" s="20"/>
      <c r="I799" s="211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0"/>
      <c r="V799" s="20"/>
      <c r="W799" s="20"/>
      <c r="X799" s="20"/>
      <c r="Y799" s="20"/>
      <c r="Z799" s="20"/>
      <c r="AA799" s="20" t="s">
        <v>2055</v>
      </c>
      <c r="AB799" s="20" t="s">
        <v>526</v>
      </c>
      <c r="AC799" s="24">
        <v>667</v>
      </c>
      <c r="AD799" s="24"/>
      <c r="AE799" s="24"/>
      <c r="AF799" s="24"/>
      <c r="AG799" s="24"/>
      <c r="AH799" s="20"/>
      <c r="AI799" s="42"/>
    </row>
    <row r="800" spans="1:35">
      <c r="A800" s="14"/>
      <c r="B800" s="20"/>
      <c r="C800" s="84" t="s">
        <v>2420</v>
      </c>
      <c r="D800" s="20" t="s">
        <v>79</v>
      </c>
      <c r="E800" s="20" t="s">
        <v>80</v>
      </c>
      <c r="F800" s="20" t="s">
        <v>2542</v>
      </c>
      <c r="G800" s="20" t="s">
        <v>2866</v>
      </c>
      <c r="H800" s="20" t="s">
        <v>409</v>
      </c>
      <c r="I800" s="211">
        <v>30639</v>
      </c>
      <c r="J800" s="24">
        <v>1</v>
      </c>
      <c r="K800" s="24"/>
      <c r="L800" s="24">
        <v>1</v>
      </c>
      <c r="M800" s="24"/>
      <c r="N800" s="24"/>
      <c r="O800" s="24"/>
      <c r="P800" s="24"/>
      <c r="Q800" s="24"/>
      <c r="R800" s="24"/>
      <c r="S800" s="24"/>
      <c r="T800" s="24"/>
      <c r="U800" s="20" t="s">
        <v>2849</v>
      </c>
      <c r="V800" s="20" t="s">
        <v>873</v>
      </c>
      <c r="W800" s="20" t="s">
        <v>279</v>
      </c>
      <c r="X800" s="20" t="s">
        <v>227</v>
      </c>
      <c r="Y800" s="20">
        <v>9368331891</v>
      </c>
      <c r="Z800" s="20"/>
      <c r="AA800" s="20" t="s">
        <v>2667</v>
      </c>
      <c r="AB800" s="20" t="s">
        <v>1815</v>
      </c>
      <c r="AC800" s="24">
        <v>13</v>
      </c>
      <c r="AD800" s="24"/>
      <c r="AE800" s="24"/>
      <c r="AF800" s="24"/>
      <c r="AG800" s="24"/>
      <c r="AH800" s="20"/>
      <c r="AI800" s="42"/>
    </row>
    <row r="801" spans="1:35">
      <c r="A801" s="14"/>
      <c r="B801" s="20"/>
      <c r="C801" s="20"/>
      <c r="D801" s="20"/>
      <c r="E801" s="20"/>
      <c r="F801" s="20"/>
      <c r="G801" s="20"/>
      <c r="H801" s="20"/>
      <c r="I801" s="211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0"/>
      <c r="V801" s="20"/>
      <c r="W801" s="20"/>
      <c r="X801" s="20"/>
      <c r="Y801" s="20"/>
      <c r="Z801" s="20"/>
      <c r="AA801" s="20" t="s">
        <v>2527</v>
      </c>
      <c r="AB801" s="20" t="s">
        <v>1815</v>
      </c>
      <c r="AC801" s="225">
        <v>1.5</v>
      </c>
      <c r="AD801" s="24"/>
      <c r="AE801" s="24"/>
      <c r="AF801" s="24"/>
      <c r="AG801" s="24"/>
      <c r="AH801" s="20"/>
      <c r="AI801" s="42"/>
    </row>
    <row r="802" spans="1:35">
      <c r="A802" s="14"/>
      <c r="B802" s="20"/>
      <c r="C802" s="20"/>
      <c r="D802" s="20"/>
      <c r="E802" s="20"/>
      <c r="F802" s="20"/>
      <c r="G802" s="20"/>
      <c r="H802" s="20"/>
      <c r="I802" s="211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0"/>
      <c r="V802" s="20"/>
      <c r="W802" s="20"/>
      <c r="X802" s="20"/>
      <c r="Y802" s="20"/>
      <c r="Z802" s="20"/>
      <c r="AA802" s="20" t="s">
        <v>1961</v>
      </c>
      <c r="AB802" s="20" t="s">
        <v>1815</v>
      </c>
      <c r="AC802" s="225">
        <v>2.5</v>
      </c>
      <c r="AD802" s="24"/>
      <c r="AE802" s="24"/>
      <c r="AF802" s="24"/>
      <c r="AG802" s="24"/>
      <c r="AH802" s="20"/>
      <c r="AI802" s="42"/>
    </row>
    <row r="803" spans="1:35">
      <c r="A803" s="14"/>
      <c r="B803" s="20"/>
      <c r="C803" s="20"/>
      <c r="D803" s="20"/>
      <c r="E803" s="20"/>
      <c r="F803" s="20"/>
      <c r="G803" s="20"/>
      <c r="H803" s="20"/>
      <c r="I803" s="211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0"/>
      <c r="V803" s="20"/>
      <c r="W803" s="20"/>
      <c r="X803" s="20"/>
      <c r="Y803" s="20"/>
      <c r="Z803" s="20"/>
      <c r="AA803" s="20" t="s">
        <v>2055</v>
      </c>
      <c r="AB803" s="20" t="s">
        <v>526</v>
      </c>
      <c r="AC803" s="24">
        <v>667</v>
      </c>
      <c r="AD803" s="24"/>
      <c r="AE803" s="24"/>
      <c r="AF803" s="24"/>
      <c r="AG803" s="24"/>
      <c r="AH803" s="20"/>
      <c r="AI803" s="42"/>
    </row>
    <row r="804" spans="1:35">
      <c r="A804" s="14"/>
      <c r="B804" s="20"/>
      <c r="C804" s="84" t="s">
        <v>2420</v>
      </c>
      <c r="D804" s="20" t="s">
        <v>79</v>
      </c>
      <c r="E804" s="20" t="s">
        <v>80</v>
      </c>
      <c r="F804" s="20" t="s">
        <v>2761</v>
      </c>
      <c r="G804" s="20" t="s">
        <v>2867</v>
      </c>
      <c r="H804" s="20" t="s">
        <v>126</v>
      </c>
      <c r="I804" s="211">
        <v>25060</v>
      </c>
      <c r="J804" s="24">
        <v>1</v>
      </c>
      <c r="K804" s="24"/>
      <c r="L804" s="24">
        <v>1</v>
      </c>
      <c r="M804" s="24"/>
      <c r="N804" s="24"/>
      <c r="O804" s="24"/>
      <c r="P804" s="24"/>
      <c r="Q804" s="24"/>
      <c r="R804" s="24"/>
      <c r="S804" s="24"/>
      <c r="T804" s="24"/>
      <c r="U804" s="20" t="s">
        <v>2849</v>
      </c>
      <c r="V804" s="20" t="s">
        <v>873</v>
      </c>
      <c r="W804" s="20" t="s">
        <v>279</v>
      </c>
      <c r="X804" s="20" t="s">
        <v>227</v>
      </c>
      <c r="Y804" s="20"/>
      <c r="Z804" s="20"/>
      <c r="AA804" s="20" t="s">
        <v>2667</v>
      </c>
      <c r="AB804" s="20" t="s">
        <v>1815</v>
      </c>
      <c r="AC804" s="24">
        <v>13</v>
      </c>
      <c r="AD804" s="24"/>
      <c r="AE804" s="24"/>
      <c r="AF804" s="24"/>
      <c r="AG804" s="24"/>
      <c r="AH804" s="20"/>
      <c r="AI804" s="42"/>
    </row>
    <row r="805" spans="1:35">
      <c r="A805" s="14"/>
      <c r="B805" s="20"/>
      <c r="C805" s="20"/>
      <c r="D805" s="20"/>
      <c r="E805" s="20"/>
      <c r="F805" s="20"/>
      <c r="G805" s="20"/>
      <c r="H805" s="20"/>
      <c r="I805" s="211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0"/>
      <c r="V805" s="20"/>
      <c r="W805" s="20"/>
      <c r="X805" s="20"/>
      <c r="Y805" s="20"/>
      <c r="Z805" s="20"/>
      <c r="AA805" s="20" t="s">
        <v>2527</v>
      </c>
      <c r="AB805" s="20" t="s">
        <v>1815</v>
      </c>
      <c r="AC805" s="225">
        <v>1.5</v>
      </c>
      <c r="AD805" s="24"/>
      <c r="AE805" s="24"/>
      <c r="AF805" s="24"/>
      <c r="AG805" s="24"/>
      <c r="AH805" s="20"/>
      <c r="AI805" s="42"/>
    </row>
    <row r="806" spans="1:35">
      <c r="A806" s="14"/>
      <c r="B806" s="20"/>
      <c r="C806" s="20"/>
      <c r="D806" s="20"/>
      <c r="E806" s="20"/>
      <c r="F806" s="20"/>
      <c r="G806" s="20"/>
      <c r="H806" s="20"/>
      <c r="I806" s="211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0"/>
      <c r="V806" s="20"/>
      <c r="W806" s="20"/>
      <c r="X806" s="20"/>
      <c r="Y806" s="20"/>
      <c r="Z806" s="20"/>
      <c r="AA806" s="20" t="s">
        <v>1961</v>
      </c>
      <c r="AB806" s="20" t="s">
        <v>1815</v>
      </c>
      <c r="AC806" s="225">
        <v>2.5</v>
      </c>
      <c r="AD806" s="24"/>
      <c r="AE806" s="24"/>
      <c r="AF806" s="24"/>
      <c r="AG806" s="24"/>
      <c r="AH806" s="20"/>
      <c r="AI806" s="42"/>
    </row>
    <row r="807" spans="1:35">
      <c r="A807" s="14"/>
      <c r="B807" s="20"/>
      <c r="C807" s="20"/>
      <c r="D807" s="20"/>
      <c r="E807" s="20"/>
      <c r="F807" s="20"/>
      <c r="G807" s="20"/>
      <c r="H807" s="20"/>
      <c r="I807" s="211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0"/>
      <c r="V807" s="20"/>
      <c r="W807" s="20"/>
      <c r="X807" s="20"/>
      <c r="Y807" s="20"/>
      <c r="Z807" s="20"/>
      <c r="AA807" s="20" t="s">
        <v>2055</v>
      </c>
      <c r="AB807" s="20" t="s">
        <v>526</v>
      </c>
      <c r="AC807" s="24">
        <v>667</v>
      </c>
      <c r="AD807" s="24"/>
      <c r="AE807" s="24"/>
      <c r="AF807" s="24"/>
      <c r="AG807" s="24"/>
      <c r="AH807" s="20"/>
      <c r="AI807" s="42"/>
    </row>
    <row r="808" spans="1:35">
      <c r="A808" s="14"/>
      <c r="B808" s="20"/>
      <c r="C808" s="84" t="s">
        <v>2420</v>
      </c>
      <c r="D808" s="20" t="s">
        <v>79</v>
      </c>
      <c r="E808" s="20" t="s">
        <v>80</v>
      </c>
      <c r="F808" s="20" t="s">
        <v>2846</v>
      </c>
      <c r="G808" s="20" t="s">
        <v>2868</v>
      </c>
      <c r="H808" s="20" t="s">
        <v>283</v>
      </c>
      <c r="I808" s="211">
        <v>31084</v>
      </c>
      <c r="J808" s="24">
        <v>1</v>
      </c>
      <c r="K808" s="24"/>
      <c r="L808" s="24">
        <v>1</v>
      </c>
      <c r="M808" s="24"/>
      <c r="N808" s="24"/>
      <c r="O808" s="24"/>
      <c r="P808" s="24"/>
      <c r="Q808" s="24"/>
      <c r="R808" s="24"/>
      <c r="S808" s="24"/>
      <c r="T808" s="24"/>
      <c r="U808" s="20" t="s">
        <v>2849</v>
      </c>
      <c r="V808" s="20" t="s">
        <v>873</v>
      </c>
      <c r="W808" s="20" t="s">
        <v>279</v>
      </c>
      <c r="X808" s="20" t="s">
        <v>227</v>
      </c>
      <c r="Y808" s="20"/>
      <c r="Z808" s="20"/>
      <c r="AA808" s="20" t="s">
        <v>2667</v>
      </c>
      <c r="AB808" s="20" t="s">
        <v>1815</v>
      </c>
      <c r="AC808" s="24">
        <v>13</v>
      </c>
      <c r="AD808" s="24"/>
      <c r="AE808" s="24"/>
      <c r="AF808" s="24"/>
      <c r="AG808" s="24"/>
      <c r="AH808" s="20"/>
      <c r="AI808" s="42"/>
    </row>
    <row r="809" spans="1:35">
      <c r="A809" s="14"/>
      <c r="B809" s="20"/>
      <c r="C809" s="20"/>
      <c r="D809" s="20"/>
      <c r="E809" s="20"/>
      <c r="F809" s="20"/>
      <c r="G809" s="20"/>
      <c r="H809" s="20"/>
      <c r="I809" s="211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0"/>
      <c r="V809" s="20"/>
      <c r="W809" s="20"/>
      <c r="X809" s="20"/>
      <c r="Y809" s="20"/>
      <c r="Z809" s="20"/>
      <c r="AA809" s="20" t="s">
        <v>2527</v>
      </c>
      <c r="AB809" s="20" t="s">
        <v>1815</v>
      </c>
      <c r="AC809" s="225">
        <v>1.5</v>
      </c>
      <c r="AD809" s="24"/>
      <c r="AE809" s="24"/>
      <c r="AF809" s="24"/>
      <c r="AG809" s="24"/>
      <c r="AH809" s="20"/>
      <c r="AI809" s="42"/>
    </row>
    <row r="810" spans="1:35">
      <c r="A810" s="14"/>
      <c r="B810" s="20"/>
      <c r="C810" s="20"/>
      <c r="D810" s="20"/>
      <c r="E810" s="20"/>
      <c r="F810" s="20"/>
      <c r="G810" s="20"/>
      <c r="H810" s="20"/>
      <c r="I810" s="211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0"/>
      <c r="V810" s="20"/>
      <c r="W810" s="20"/>
      <c r="X810" s="20"/>
      <c r="Y810" s="20"/>
      <c r="Z810" s="20"/>
      <c r="AA810" s="20" t="s">
        <v>1961</v>
      </c>
      <c r="AB810" s="20" t="s">
        <v>1815</v>
      </c>
      <c r="AC810" s="225">
        <v>2.5</v>
      </c>
      <c r="AD810" s="24"/>
      <c r="AE810" s="24"/>
      <c r="AF810" s="24"/>
      <c r="AG810" s="24"/>
      <c r="AH810" s="20"/>
      <c r="AI810" s="42"/>
    </row>
    <row r="811" spans="1:35">
      <c r="A811" s="14"/>
      <c r="B811" s="20"/>
      <c r="C811" s="20"/>
      <c r="D811" s="20"/>
      <c r="E811" s="20"/>
      <c r="F811" s="20"/>
      <c r="G811" s="20"/>
      <c r="H811" s="20"/>
      <c r="I811" s="211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0"/>
      <c r="V811" s="20"/>
      <c r="W811" s="20"/>
      <c r="X811" s="20"/>
      <c r="Y811" s="20"/>
      <c r="Z811" s="20"/>
      <c r="AA811" s="20" t="s">
        <v>2055</v>
      </c>
      <c r="AB811" s="20" t="s">
        <v>526</v>
      </c>
      <c r="AC811" s="24">
        <v>667</v>
      </c>
      <c r="AD811" s="24"/>
      <c r="AE811" s="24"/>
      <c r="AF811" s="24"/>
      <c r="AG811" s="24"/>
      <c r="AH811" s="20"/>
      <c r="AI811" s="42"/>
    </row>
    <row r="812" spans="1:35">
      <c r="A812" s="14"/>
      <c r="B812" s="20"/>
      <c r="C812" s="84" t="s">
        <v>2420</v>
      </c>
      <c r="D812" s="20" t="s">
        <v>79</v>
      </c>
      <c r="E812" s="20" t="s">
        <v>80</v>
      </c>
      <c r="F812" s="20" t="s">
        <v>2851</v>
      </c>
      <c r="G812" s="20" t="s">
        <v>2869</v>
      </c>
      <c r="H812" s="20" t="s">
        <v>202</v>
      </c>
      <c r="I812" s="211">
        <v>29145</v>
      </c>
      <c r="J812" s="24">
        <v>1</v>
      </c>
      <c r="K812" s="24"/>
      <c r="L812" s="24">
        <v>1</v>
      </c>
      <c r="M812" s="24"/>
      <c r="N812" s="24"/>
      <c r="O812" s="24"/>
      <c r="P812" s="24"/>
      <c r="Q812" s="24"/>
      <c r="R812" s="24"/>
      <c r="S812" s="24"/>
      <c r="T812" s="24"/>
      <c r="U812" s="20" t="s">
        <v>2849</v>
      </c>
      <c r="V812" s="20" t="s">
        <v>873</v>
      </c>
      <c r="W812" s="20" t="s">
        <v>279</v>
      </c>
      <c r="X812" s="20" t="s">
        <v>227</v>
      </c>
      <c r="Y812" s="20"/>
      <c r="Z812" s="20"/>
      <c r="AA812" s="20" t="s">
        <v>2667</v>
      </c>
      <c r="AB812" s="20" t="s">
        <v>1815</v>
      </c>
      <c r="AC812" s="24">
        <v>13</v>
      </c>
      <c r="AD812" s="24"/>
      <c r="AE812" s="24"/>
      <c r="AF812" s="24"/>
      <c r="AG812" s="24"/>
      <c r="AH812" s="20"/>
      <c r="AI812" s="42"/>
    </row>
    <row r="813" spans="1:35">
      <c r="A813" s="14"/>
      <c r="B813" s="20"/>
      <c r="C813" s="20"/>
      <c r="D813" s="20"/>
      <c r="E813" s="20"/>
      <c r="F813" s="20"/>
      <c r="G813" s="20"/>
      <c r="H813" s="20"/>
      <c r="I813" s="211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0"/>
      <c r="V813" s="20"/>
      <c r="W813" s="20"/>
      <c r="X813" s="20"/>
      <c r="Y813" s="20"/>
      <c r="Z813" s="20"/>
      <c r="AA813" s="20" t="s">
        <v>2527</v>
      </c>
      <c r="AB813" s="20" t="s">
        <v>1815</v>
      </c>
      <c r="AC813" s="225">
        <v>1.5</v>
      </c>
      <c r="AD813" s="24"/>
      <c r="AE813" s="24"/>
      <c r="AF813" s="24"/>
      <c r="AG813" s="24"/>
      <c r="AH813" s="20"/>
      <c r="AI813" s="42"/>
    </row>
    <row r="814" spans="1:35">
      <c r="A814" s="14"/>
      <c r="B814" s="20"/>
      <c r="C814" s="20"/>
      <c r="D814" s="20"/>
      <c r="E814" s="20"/>
      <c r="F814" s="20"/>
      <c r="G814" s="20"/>
      <c r="H814" s="20"/>
      <c r="I814" s="211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0"/>
      <c r="V814" s="20"/>
      <c r="W814" s="20"/>
      <c r="X814" s="20"/>
      <c r="Y814" s="20"/>
      <c r="Z814" s="20"/>
      <c r="AA814" s="20" t="s">
        <v>1961</v>
      </c>
      <c r="AB814" s="20" t="s">
        <v>1815</v>
      </c>
      <c r="AC814" s="225">
        <v>2.5</v>
      </c>
      <c r="AD814" s="24"/>
      <c r="AE814" s="24"/>
      <c r="AF814" s="24"/>
      <c r="AG814" s="24"/>
      <c r="AH814" s="20"/>
      <c r="AI814" s="42"/>
    </row>
    <row r="815" spans="1:35">
      <c r="A815" s="14"/>
      <c r="B815" s="20"/>
      <c r="C815" s="20"/>
      <c r="D815" s="20"/>
      <c r="E815" s="20"/>
      <c r="F815" s="20"/>
      <c r="G815" s="20"/>
      <c r="H815" s="20"/>
      <c r="I815" s="211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0"/>
      <c r="V815" s="20"/>
      <c r="W815" s="20"/>
      <c r="X815" s="20"/>
      <c r="Y815" s="20"/>
      <c r="Z815" s="20"/>
      <c r="AA815" s="20" t="s">
        <v>2055</v>
      </c>
      <c r="AB815" s="20" t="s">
        <v>526</v>
      </c>
      <c r="AC815" s="24">
        <v>667</v>
      </c>
      <c r="AD815" s="24"/>
      <c r="AE815" s="24"/>
      <c r="AF815" s="24"/>
      <c r="AG815" s="24"/>
      <c r="AH815" s="20"/>
      <c r="AI815" s="42"/>
    </row>
    <row r="816" spans="1:35">
      <c r="A816" s="14"/>
      <c r="B816" s="20"/>
      <c r="C816" s="84" t="s">
        <v>2420</v>
      </c>
      <c r="D816" s="20" t="s">
        <v>79</v>
      </c>
      <c r="E816" s="20" t="s">
        <v>80</v>
      </c>
      <c r="F816" s="20" t="s">
        <v>2870</v>
      </c>
      <c r="G816" s="20" t="s">
        <v>1932</v>
      </c>
      <c r="H816" s="20" t="s">
        <v>1040</v>
      </c>
      <c r="I816" s="211">
        <v>31430</v>
      </c>
      <c r="J816" s="24">
        <v>1</v>
      </c>
      <c r="K816" s="24"/>
      <c r="L816" s="24">
        <v>1</v>
      </c>
      <c r="M816" s="24"/>
      <c r="N816" s="24"/>
      <c r="O816" s="24"/>
      <c r="P816" s="24"/>
      <c r="Q816" s="24"/>
      <c r="R816" s="24"/>
      <c r="S816" s="24"/>
      <c r="T816" s="24"/>
      <c r="U816" s="20" t="s">
        <v>2849</v>
      </c>
      <c r="V816" s="20" t="s">
        <v>873</v>
      </c>
      <c r="W816" s="20" t="s">
        <v>279</v>
      </c>
      <c r="X816" s="20" t="s">
        <v>227</v>
      </c>
      <c r="Y816" s="20">
        <v>9369323759</v>
      </c>
      <c r="Z816" s="20"/>
      <c r="AA816" s="20" t="s">
        <v>2667</v>
      </c>
      <c r="AB816" s="20" t="s">
        <v>1815</v>
      </c>
      <c r="AC816" s="24">
        <v>13</v>
      </c>
      <c r="AD816" s="24"/>
      <c r="AE816" s="24"/>
      <c r="AF816" s="24"/>
      <c r="AG816" s="24"/>
      <c r="AH816" s="20"/>
      <c r="AI816" s="42"/>
    </row>
    <row r="817" spans="1:35">
      <c r="A817" s="14"/>
      <c r="B817" s="20"/>
      <c r="C817" s="20"/>
      <c r="D817" s="20"/>
      <c r="E817" s="20"/>
      <c r="F817" s="20"/>
      <c r="G817" s="20"/>
      <c r="H817" s="20"/>
      <c r="I817" s="211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0"/>
      <c r="V817" s="20"/>
      <c r="W817" s="20"/>
      <c r="X817" s="20"/>
      <c r="Y817" s="20"/>
      <c r="Z817" s="20"/>
      <c r="AA817" s="20" t="s">
        <v>2527</v>
      </c>
      <c r="AB817" s="20" t="s">
        <v>1815</v>
      </c>
      <c r="AC817" s="225">
        <v>1.5</v>
      </c>
      <c r="AD817" s="24"/>
      <c r="AE817" s="24"/>
      <c r="AF817" s="24"/>
      <c r="AG817" s="24"/>
      <c r="AH817" s="20"/>
      <c r="AI817" s="42"/>
    </row>
    <row r="818" spans="1:35">
      <c r="A818" s="14"/>
      <c r="B818" s="20"/>
      <c r="C818" s="20"/>
      <c r="D818" s="20"/>
      <c r="E818" s="20"/>
      <c r="F818" s="20"/>
      <c r="G818" s="20"/>
      <c r="H818" s="20"/>
      <c r="I818" s="211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0"/>
      <c r="V818" s="20"/>
      <c r="W818" s="20"/>
      <c r="X818" s="20"/>
      <c r="Y818" s="20"/>
      <c r="Z818" s="20"/>
      <c r="AA818" s="20" t="s">
        <v>1961</v>
      </c>
      <c r="AB818" s="20" t="s">
        <v>1815</v>
      </c>
      <c r="AC818" s="225">
        <v>2.5</v>
      </c>
      <c r="AD818" s="24"/>
      <c r="AE818" s="24"/>
      <c r="AF818" s="24"/>
      <c r="AG818" s="24"/>
      <c r="AH818" s="20"/>
      <c r="AI818" s="42"/>
    </row>
    <row r="819" spans="1:35">
      <c r="A819" s="14"/>
      <c r="B819" s="20"/>
      <c r="C819" s="20"/>
      <c r="D819" s="20"/>
      <c r="E819" s="20"/>
      <c r="F819" s="20"/>
      <c r="G819" s="20"/>
      <c r="H819" s="20"/>
      <c r="I819" s="211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0"/>
      <c r="V819" s="20"/>
      <c r="W819" s="20"/>
      <c r="X819" s="20"/>
      <c r="Y819" s="20"/>
      <c r="Z819" s="20"/>
      <c r="AA819" s="20" t="s">
        <v>2055</v>
      </c>
      <c r="AB819" s="20" t="s">
        <v>526</v>
      </c>
      <c r="AC819" s="24">
        <v>667</v>
      </c>
      <c r="AD819" s="24"/>
      <c r="AE819" s="24"/>
      <c r="AF819" s="24"/>
      <c r="AG819" s="24"/>
      <c r="AH819" s="20"/>
      <c r="AI819" s="42"/>
    </row>
    <row r="820" spans="1:35">
      <c r="A820" s="14"/>
      <c r="B820" s="20"/>
      <c r="C820" s="84" t="s">
        <v>2420</v>
      </c>
      <c r="D820" s="20" t="s">
        <v>79</v>
      </c>
      <c r="E820" s="20" t="s">
        <v>80</v>
      </c>
      <c r="F820" s="20" t="s">
        <v>2871</v>
      </c>
      <c r="G820" s="20" t="s">
        <v>2872</v>
      </c>
      <c r="H820" s="20" t="s">
        <v>160</v>
      </c>
      <c r="I820" s="211">
        <v>37892</v>
      </c>
      <c r="J820" s="24">
        <v>1</v>
      </c>
      <c r="K820" s="24"/>
      <c r="L820" s="24">
        <v>1</v>
      </c>
      <c r="M820" s="24"/>
      <c r="N820" s="24"/>
      <c r="O820" s="24"/>
      <c r="P820" s="24"/>
      <c r="Q820" s="24"/>
      <c r="R820" s="24"/>
      <c r="S820" s="24"/>
      <c r="T820" s="24"/>
      <c r="U820" s="20" t="s">
        <v>2849</v>
      </c>
      <c r="V820" s="20" t="s">
        <v>873</v>
      </c>
      <c r="W820" s="20" t="s">
        <v>279</v>
      </c>
      <c r="X820" s="20" t="s">
        <v>227</v>
      </c>
      <c r="Y820" s="20">
        <v>9266010453</v>
      </c>
      <c r="Z820" s="20"/>
      <c r="AA820" s="20" t="s">
        <v>2667</v>
      </c>
      <c r="AB820" s="20" t="s">
        <v>1815</v>
      </c>
      <c r="AC820" s="24">
        <v>13</v>
      </c>
      <c r="AD820" s="24"/>
      <c r="AE820" s="24"/>
      <c r="AF820" s="24"/>
      <c r="AG820" s="24"/>
      <c r="AH820" s="20"/>
      <c r="AI820" s="42"/>
    </row>
    <row r="821" spans="1:35">
      <c r="A821" s="14"/>
      <c r="B821" s="20"/>
      <c r="C821" s="20"/>
      <c r="D821" s="20"/>
      <c r="E821" s="20"/>
      <c r="F821" s="20"/>
      <c r="G821" s="20"/>
      <c r="H821" s="20"/>
      <c r="I821" s="211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0"/>
      <c r="V821" s="20"/>
      <c r="W821" s="20"/>
      <c r="X821" s="20"/>
      <c r="Y821" s="20"/>
      <c r="Z821" s="20"/>
      <c r="AA821" s="20" t="s">
        <v>2527</v>
      </c>
      <c r="AB821" s="20" t="s">
        <v>1815</v>
      </c>
      <c r="AC821" s="225">
        <v>1.5</v>
      </c>
      <c r="AD821" s="24"/>
      <c r="AE821" s="24"/>
      <c r="AF821" s="24"/>
      <c r="AG821" s="24"/>
      <c r="AH821" s="20"/>
      <c r="AI821" s="42"/>
    </row>
    <row r="822" spans="1:35">
      <c r="A822" s="14"/>
      <c r="B822" s="20"/>
      <c r="C822" s="20"/>
      <c r="D822" s="20"/>
      <c r="E822" s="20"/>
      <c r="F822" s="20"/>
      <c r="G822" s="20"/>
      <c r="H822" s="20"/>
      <c r="I822" s="211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0"/>
      <c r="V822" s="20"/>
      <c r="W822" s="20"/>
      <c r="X822" s="20"/>
      <c r="Y822" s="20"/>
      <c r="Z822" s="20"/>
      <c r="AA822" s="20" t="s">
        <v>1961</v>
      </c>
      <c r="AB822" s="20" t="s">
        <v>1815</v>
      </c>
      <c r="AC822" s="225">
        <v>2.5</v>
      </c>
      <c r="AD822" s="24"/>
      <c r="AE822" s="24"/>
      <c r="AF822" s="24"/>
      <c r="AG822" s="24"/>
      <c r="AH822" s="20"/>
      <c r="AI822" s="42"/>
    </row>
    <row r="823" spans="1:35">
      <c r="A823" s="14"/>
      <c r="B823" s="20"/>
      <c r="C823" s="20"/>
      <c r="D823" s="20"/>
      <c r="E823" s="20"/>
      <c r="F823" s="20"/>
      <c r="G823" s="20"/>
      <c r="H823" s="20"/>
      <c r="I823" s="211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0"/>
      <c r="V823" s="20"/>
      <c r="W823" s="20"/>
      <c r="X823" s="20"/>
      <c r="Y823" s="20"/>
      <c r="Z823" s="20"/>
      <c r="AA823" s="20" t="s">
        <v>2055</v>
      </c>
      <c r="AB823" s="20" t="s">
        <v>526</v>
      </c>
      <c r="AC823" s="24">
        <v>667</v>
      </c>
      <c r="AD823" s="24"/>
      <c r="AE823" s="24"/>
      <c r="AF823" s="24"/>
      <c r="AG823" s="24"/>
      <c r="AH823" s="20"/>
      <c r="AI823" s="42"/>
    </row>
    <row r="824" spans="1:35">
      <c r="A824" s="14"/>
      <c r="B824" s="20"/>
      <c r="C824" s="84" t="s">
        <v>2420</v>
      </c>
      <c r="D824" s="20" t="s">
        <v>79</v>
      </c>
      <c r="E824" s="20" t="s">
        <v>80</v>
      </c>
      <c r="F824" s="20" t="s">
        <v>2873</v>
      </c>
      <c r="G824" s="20" t="s">
        <v>420</v>
      </c>
      <c r="H824" s="20"/>
      <c r="I824" s="211">
        <v>27781</v>
      </c>
      <c r="J824" s="24">
        <v>1</v>
      </c>
      <c r="K824" s="24"/>
      <c r="L824" s="24">
        <v>1</v>
      </c>
      <c r="M824" s="24"/>
      <c r="N824" s="24"/>
      <c r="O824" s="24"/>
      <c r="P824" s="24"/>
      <c r="Q824" s="24"/>
      <c r="R824" s="24"/>
      <c r="S824" s="24"/>
      <c r="T824" s="24"/>
      <c r="U824" s="20" t="s">
        <v>222</v>
      </c>
      <c r="V824" s="20" t="s">
        <v>873</v>
      </c>
      <c r="W824" s="20" t="s">
        <v>279</v>
      </c>
      <c r="X824" s="20" t="s">
        <v>227</v>
      </c>
      <c r="Y824" s="20">
        <v>9203206656</v>
      </c>
      <c r="Z824" s="20"/>
      <c r="AA824" s="20" t="s">
        <v>2667</v>
      </c>
      <c r="AB824" s="20" t="s">
        <v>1815</v>
      </c>
      <c r="AC824" s="24">
        <v>13</v>
      </c>
      <c r="AD824" s="24"/>
      <c r="AE824" s="24"/>
      <c r="AF824" s="24"/>
      <c r="AG824" s="24"/>
      <c r="AH824" s="20"/>
      <c r="AI824" s="42"/>
    </row>
    <row r="825" spans="1:35">
      <c r="A825" s="14"/>
      <c r="B825" s="20"/>
      <c r="C825" s="20"/>
      <c r="D825" s="20"/>
      <c r="E825" s="20"/>
      <c r="F825" s="20"/>
      <c r="G825" s="20"/>
      <c r="H825" s="20"/>
      <c r="I825" s="211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0"/>
      <c r="V825" s="20"/>
      <c r="W825" s="20"/>
      <c r="X825" s="20"/>
      <c r="Y825" s="20"/>
      <c r="Z825" s="20"/>
      <c r="AA825" s="20" t="s">
        <v>2527</v>
      </c>
      <c r="AB825" s="20" t="s">
        <v>1815</v>
      </c>
      <c r="AC825" s="225">
        <v>1.5</v>
      </c>
      <c r="AD825" s="24"/>
      <c r="AE825" s="24"/>
      <c r="AF825" s="24"/>
      <c r="AG825" s="24"/>
      <c r="AH825" s="20"/>
      <c r="AI825" s="42"/>
    </row>
    <row r="826" spans="1:35">
      <c r="A826" s="14"/>
      <c r="B826" s="20"/>
      <c r="C826" s="20"/>
      <c r="D826" s="20"/>
      <c r="E826" s="20"/>
      <c r="F826" s="20"/>
      <c r="G826" s="20"/>
      <c r="H826" s="20"/>
      <c r="I826" s="211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0"/>
      <c r="V826" s="20"/>
      <c r="W826" s="20"/>
      <c r="X826" s="20"/>
      <c r="Y826" s="20"/>
      <c r="Z826" s="20"/>
      <c r="AA826" s="20" t="s">
        <v>1961</v>
      </c>
      <c r="AB826" s="20" t="s">
        <v>1815</v>
      </c>
      <c r="AC826" s="225">
        <v>2.5</v>
      </c>
      <c r="AD826" s="24"/>
      <c r="AE826" s="24"/>
      <c r="AF826" s="24"/>
      <c r="AG826" s="24"/>
      <c r="AH826" s="20"/>
      <c r="AI826" s="42"/>
    </row>
    <row r="827" spans="1:35">
      <c r="A827" s="14"/>
      <c r="B827" s="20"/>
      <c r="C827" s="20"/>
      <c r="D827" s="20"/>
      <c r="E827" s="20"/>
      <c r="F827" s="20"/>
      <c r="G827" s="20"/>
      <c r="H827" s="20"/>
      <c r="I827" s="211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0"/>
      <c r="V827" s="20"/>
      <c r="W827" s="20"/>
      <c r="X827" s="20"/>
      <c r="Y827" s="20"/>
      <c r="Z827" s="20"/>
      <c r="AA827" s="20" t="s">
        <v>2055</v>
      </c>
      <c r="AB827" s="20" t="s">
        <v>526</v>
      </c>
      <c r="AC827" s="24">
        <v>667</v>
      </c>
      <c r="AD827" s="24"/>
      <c r="AE827" s="24"/>
      <c r="AF827" s="24"/>
      <c r="AG827" s="24"/>
      <c r="AH827" s="20"/>
      <c r="AI827" s="42"/>
    </row>
    <row r="828" spans="1:35">
      <c r="A828" s="14"/>
      <c r="B828" s="20"/>
      <c r="C828" s="84" t="s">
        <v>2420</v>
      </c>
      <c r="D828" s="20" t="s">
        <v>79</v>
      </c>
      <c r="E828" s="20" t="s">
        <v>80</v>
      </c>
      <c r="F828" s="20" t="s">
        <v>2873</v>
      </c>
      <c r="G828" s="20" t="s">
        <v>2874</v>
      </c>
      <c r="H828" s="20"/>
      <c r="I828" s="211">
        <v>26361</v>
      </c>
      <c r="J828" s="24" t="s">
        <v>93</v>
      </c>
      <c r="K828" s="24">
        <v>1</v>
      </c>
      <c r="L828" s="24">
        <v>1</v>
      </c>
      <c r="M828" s="24"/>
      <c r="N828" s="24"/>
      <c r="O828" s="24"/>
      <c r="P828" s="24"/>
      <c r="Q828" s="24"/>
      <c r="R828" s="24"/>
      <c r="S828" s="24"/>
      <c r="T828" s="24"/>
      <c r="U828" s="20" t="s">
        <v>222</v>
      </c>
      <c r="V828" s="20" t="s">
        <v>873</v>
      </c>
      <c r="W828" s="20" t="s">
        <v>279</v>
      </c>
      <c r="X828" s="20" t="s">
        <v>227</v>
      </c>
      <c r="Y828" s="20">
        <v>9203206656</v>
      </c>
      <c r="Z828" s="20"/>
      <c r="AA828" s="20" t="s">
        <v>2667</v>
      </c>
      <c r="AB828" s="20" t="s">
        <v>1815</v>
      </c>
      <c r="AC828" s="24">
        <v>13</v>
      </c>
      <c r="AD828" s="24"/>
      <c r="AE828" s="24"/>
      <c r="AF828" s="24"/>
      <c r="AG828" s="24"/>
      <c r="AH828" s="20"/>
      <c r="AI828" s="42"/>
    </row>
    <row r="829" spans="1:35">
      <c r="A829" s="14"/>
      <c r="B829" s="20"/>
      <c r="C829" s="20"/>
      <c r="D829" s="20"/>
      <c r="E829" s="20"/>
      <c r="F829" s="20"/>
      <c r="G829" s="20"/>
      <c r="H829" s="20"/>
      <c r="I829" s="211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0"/>
      <c r="V829" s="20"/>
      <c r="W829" s="20"/>
      <c r="X829" s="20"/>
      <c r="Y829" s="20"/>
      <c r="Z829" s="20"/>
      <c r="AA829" s="20" t="s">
        <v>2527</v>
      </c>
      <c r="AB829" s="20" t="s">
        <v>1815</v>
      </c>
      <c r="AC829" s="225">
        <v>1.5</v>
      </c>
      <c r="AD829" s="24"/>
      <c r="AE829" s="24"/>
      <c r="AF829" s="24"/>
      <c r="AG829" s="24"/>
      <c r="AH829" s="20"/>
      <c r="AI829" s="42"/>
    </row>
    <row r="830" spans="1:35">
      <c r="A830" s="14"/>
      <c r="B830" s="20"/>
      <c r="C830" s="20"/>
      <c r="D830" s="20"/>
      <c r="E830" s="20"/>
      <c r="F830" s="20"/>
      <c r="G830" s="20"/>
      <c r="H830" s="20"/>
      <c r="I830" s="211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0"/>
      <c r="V830" s="20"/>
      <c r="W830" s="20"/>
      <c r="X830" s="20"/>
      <c r="Y830" s="20"/>
      <c r="Z830" s="20"/>
      <c r="AA830" s="20" t="s">
        <v>1961</v>
      </c>
      <c r="AB830" s="20" t="s">
        <v>1815</v>
      </c>
      <c r="AC830" s="225">
        <v>2.5</v>
      </c>
      <c r="AD830" s="24"/>
      <c r="AE830" s="24"/>
      <c r="AF830" s="24"/>
      <c r="AG830" s="24"/>
      <c r="AH830" s="20"/>
      <c r="AI830" s="42"/>
    </row>
    <row r="831" spans="1:35">
      <c r="A831" s="14"/>
      <c r="B831" s="20"/>
      <c r="C831" s="20"/>
      <c r="D831" s="20"/>
      <c r="E831" s="20"/>
      <c r="F831" s="20"/>
      <c r="G831" s="20"/>
      <c r="H831" s="20"/>
      <c r="I831" s="211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0"/>
      <c r="V831" s="20"/>
      <c r="W831" s="20"/>
      <c r="X831" s="20"/>
      <c r="Y831" s="20"/>
      <c r="Z831" s="20"/>
      <c r="AA831" s="20" t="s">
        <v>2055</v>
      </c>
      <c r="AB831" s="20" t="s">
        <v>526</v>
      </c>
      <c r="AC831" s="24">
        <v>667</v>
      </c>
      <c r="AD831" s="24"/>
      <c r="AE831" s="24"/>
      <c r="AF831" s="24"/>
      <c r="AG831" s="24"/>
      <c r="AH831" s="20"/>
      <c r="AI831" s="42"/>
    </row>
    <row r="832" spans="1:35">
      <c r="A832" s="14"/>
      <c r="B832" s="20"/>
      <c r="C832" s="84" t="s">
        <v>2420</v>
      </c>
      <c r="D832" s="20" t="s">
        <v>79</v>
      </c>
      <c r="E832" s="20" t="s">
        <v>80</v>
      </c>
      <c r="F832" s="20" t="s">
        <v>1445</v>
      </c>
      <c r="G832" s="20" t="s">
        <v>2875</v>
      </c>
      <c r="H832" s="20" t="s">
        <v>136</v>
      </c>
      <c r="I832" s="211">
        <v>30790</v>
      </c>
      <c r="J832" s="24">
        <v>1</v>
      </c>
      <c r="K832" s="24"/>
      <c r="L832" s="24">
        <v>1</v>
      </c>
      <c r="M832" s="24"/>
      <c r="N832" s="24"/>
      <c r="O832" s="24"/>
      <c r="P832" s="24"/>
      <c r="Q832" s="24"/>
      <c r="R832" s="24"/>
      <c r="S832" s="24"/>
      <c r="T832" s="24"/>
      <c r="U832" s="20" t="s">
        <v>2876</v>
      </c>
      <c r="V832" s="20" t="s">
        <v>873</v>
      </c>
      <c r="W832" s="20" t="s">
        <v>279</v>
      </c>
      <c r="X832" s="20" t="s">
        <v>227</v>
      </c>
      <c r="Y832" s="20"/>
      <c r="Z832" s="20"/>
      <c r="AA832" s="20" t="s">
        <v>2667</v>
      </c>
      <c r="AB832" s="20" t="s">
        <v>1815</v>
      </c>
      <c r="AC832" s="24">
        <v>13</v>
      </c>
      <c r="AD832" s="24"/>
      <c r="AE832" s="24"/>
      <c r="AF832" s="24"/>
      <c r="AG832" s="24"/>
      <c r="AH832" s="20"/>
      <c r="AI832" s="42"/>
    </row>
    <row r="833" spans="1:35">
      <c r="A833" s="14"/>
      <c r="B833" s="20"/>
      <c r="C833" s="20"/>
      <c r="D833" s="20"/>
      <c r="E833" s="20"/>
      <c r="F833" s="20"/>
      <c r="G833" s="20"/>
      <c r="H833" s="20"/>
      <c r="I833" s="211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0"/>
      <c r="V833" s="20"/>
      <c r="W833" s="20"/>
      <c r="X833" s="20"/>
      <c r="Y833" s="20"/>
      <c r="Z833" s="20"/>
      <c r="AA833" s="20" t="s">
        <v>2527</v>
      </c>
      <c r="AB833" s="20" t="s">
        <v>1815</v>
      </c>
      <c r="AC833" s="225">
        <v>1.5</v>
      </c>
      <c r="AD833" s="24"/>
      <c r="AE833" s="24"/>
      <c r="AF833" s="24"/>
      <c r="AG833" s="24"/>
      <c r="AH833" s="20"/>
      <c r="AI833" s="42"/>
    </row>
    <row r="834" spans="1:35">
      <c r="A834" s="14"/>
      <c r="B834" s="20"/>
      <c r="C834" s="20"/>
      <c r="D834" s="20"/>
      <c r="E834" s="20"/>
      <c r="F834" s="20"/>
      <c r="G834" s="20"/>
      <c r="H834" s="20"/>
      <c r="I834" s="211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0"/>
      <c r="V834" s="20"/>
      <c r="W834" s="20"/>
      <c r="X834" s="20"/>
      <c r="Y834" s="20"/>
      <c r="Z834" s="20"/>
      <c r="AA834" s="20" t="s">
        <v>1961</v>
      </c>
      <c r="AB834" s="20" t="s">
        <v>1815</v>
      </c>
      <c r="AC834" s="225">
        <v>2.5</v>
      </c>
      <c r="AD834" s="24"/>
      <c r="AE834" s="24"/>
      <c r="AF834" s="24"/>
      <c r="AG834" s="24"/>
      <c r="AH834" s="20"/>
      <c r="AI834" s="42"/>
    </row>
    <row r="835" spans="1:35">
      <c r="A835" s="14"/>
      <c r="B835" s="20"/>
      <c r="C835" s="20"/>
      <c r="D835" s="20"/>
      <c r="E835" s="20"/>
      <c r="F835" s="20"/>
      <c r="G835" s="20"/>
      <c r="H835" s="20"/>
      <c r="I835" s="211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0"/>
      <c r="V835" s="20"/>
      <c r="W835" s="20"/>
      <c r="X835" s="20"/>
      <c r="Y835" s="20"/>
      <c r="Z835" s="20"/>
      <c r="AA835" s="20" t="s">
        <v>2055</v>
      </c>
      <c r="AB835" s="20" t="s">
        <v>526</v>
      </c>
      <c r="AC835" s="24">
        <v>667</v>
      </c>
      <c r="AD835" s="24"/>
      <c r="AE835" s="24"/>
      <c r="AF835" s="24"/>
      <c r="AG835" s="24"/>
      <c r="AH835" s="20"/>
      <c r="AI835" s="42"/>
    </row>
    <row r="836" spans="1:35">
      <c r="A836" s="14"/>
      <c r="B836" s="20"/>
      <c r="C836" s="84" t="s">
        <v>2420</v>
      </c>
      <c r="D836" s="20" t="s">
        <v>79</v>
      </c>
      <c r="E836" s="20" t="s">
        <v>80</v>
      </c>
      <c r="F836" s="20" t="s">
        <v>2957</v>
      </c>
      <c r="G836" s="20" t="s">
        <v>2958</v>
      </c>
      <c r="H836" s="20" t="s">
        <v>115</v>
      </c>
      <c r="I836" s="211"/>
      <c r="J836" s="24" t="s">
        <v>93</v>
      </c>
      <c r="K836" s="24">
        <v>1</v>
      </c>
      <c r="L836" s="24">
        <v>1</v>
      </c>
      <c r="M836" s="24"/>
      <c r="N836" s="24"/>
      <c r="O836" s="24"/>
      <c r="P836" s="24"/>
      <c r="Q836" s="24"/>
      <c r="R836" s="24"/>
      <c r="S836" s="24"/>
      <c r="T836" s="24" t="s">
        <v>93</v>
      </c>
      <c r="U836" s="20" t="s">
        <v>2959</v>
      </c>
      <c r="V836" s="20" t="s">
        <v>952</v>
      </c>
      <c r="W836" s="20" t="s">
        <v>280</v>
      </c>
      <c r="X836" s="20" t="s">
        <v>227</v>
      </c>
      <c r="Y836" s="20">
        <v>9103248297</v>
      </c>
      <c r="Z836" s="20"/>
      <c r="AA836" s="20" t="s">
        <v>2667</v>
      </c>
      <c r="AB836" s="20" t="s">
        <v>1815</v>
      </c>
      <c r="AC836" s="24">
        <v>6</v>
      </c>
      <c r="AD836" s="24"/>
      <c r="AE836" s="24"/>
      <c r="AF836" s="24"/>
      <c r="AG836" s="24"/>
      <c r="AH836" s="20"/>
      <c r="AI836" s="42"/>
    </row>
    <row r="837" spans="1:35">
      <c r="A837" s="14"/>
      <c r="B837" s="20"/>
      <c r="C837" s="20"/>
      <c r="D837" s="20"/>
      <c r="E837" s="20"/>
      <c r="F837" s="20"/>
      <c r="G837" s="20"/>
      <c r="H837" s="20"/>
      <c r="I837" s="211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0"/>
      <c r="V837" s="20"/>
      <c r="W837" s="20"/>
      <c r="X837" s="20"/>
      <c r="Y837" s="20"/>
      <c r="Z837" s="20"/>
      <c r="AA837" s="20" t="s">
        <v>1961</v>
      </c>
      <c r="AB837" s="20" t="s">
        <v>1815</v>
      </c>
      <c r="AC837" s="24">
        <v>1</v>
      </c>
      <c r="AD837" s="24"/>
      <c r="AE837" s="24"/>
      <c r="AF837" s="24"/>
      <c r="AG837" s="24"/>
      <c r="AH837" s="20"/>
      <c r="AI837" s="42"/>
    </row>
    <row r="838" spans="1:35">
      <c r="A838" s="14"/>
      <c r="B838" s="20"/>
      <c r="C838" s="20"/>
      <c r="D838" s="20"/>
      <c r="E838" s="20"/>
      <c r="F838" s="20"/>
      <c r="G838" s="20"/>
      <c r="H838" s="20"/>
      <c r="I838" s="211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0"/>
      <c r="V838" s="20"/>
      <c r="W838" s="20"/>
      <c r="X838" s="20"/>
      <c r="Y838" s="20"/>
      <c r="Z838" s="20"/>
      <c r="AA838" s="20" t="s">
        <v>2055</v>
      </c>
      <c r="AB838" s="20" t="s">
        <v>526</v>
      </c>
      <c r="AC838" s="24">
        <v>100</v>
      </c>
      <c r="AD838" s="24"/>
      <c r="AE838" s="24"/>
      <c r="AF838" s="24"/>
      <c r="AG838" s="24"/>
      <c r="AH838" s="20"/>
      <c r="AI838" s="42"/>
    </row>
    <row r="839" spans="1:35">
      <c r="A839" s="14"/>
      <c r="B839" s="20"/>
      <c r="C839" s="84" t="s">
        <v>2420</v>
      </c>
      <c r="D839" s="20" t="s">
        <v>79</v>
      </c>
      <c r="E839" s="20" t="s">
        <v>80</v>
      </c>
      <c r="F839" s="20" t="s">
        <v>2957</v>
      </c>
      <c r="G839" s="20" t="s">
        <v>2454</v>
      </c>
      <c r="H839" s="20" t="s">
        <v>115</v>
      </c>
      <c r="I839" s="211"/>
      <c r="J839" s="24"/>
      <c r="K839" s="24">
        <v>1</v>
      </c>
      <c r="L839" s="24">
        <v>1</v>
      </c>
      <c r="M839" s="24"/>
      <c r="N839" s="24"/>
      <c r="O839" s="24"/>
      <c r="P839" s="24"/>
      <c r="Q839" s="24"/>
      <c r="R839" s="24"/>
      <c r="S839" s="24"/>
      <c r="T839" s="24"/>
      <c r="U839" s="20" t="s">
        <v>2959</v>
      </c>
      <c r="V839" s="20" t="s">
        <v>952</v>
      </c>
      <c r="W839" s="20" t="s">
        <v>280</v>
      </c>
      <c r="X839" s="20" t="s">
        <v>227</v>
      </c>
      <c r="Y839" s="20">
        <v>9707302258</v>
      </c>
      <c r="Z839" s="20"/>
      <c r="AA839" s="20" t="s">
        <v>2667</v>
      </c>
      <c r="AB839" s="20" t="s">
        <v>1815</v>
      </c>
      <c r="AC839" s="24">
        <v>6</v>
      </c>
      <c r="AD839" s="24"/>
      <c r="AE839" s="24"/>
      <c r="AF839" s="24"/>
      <c r="AG839" s="24"/>
      <c r="AH839" s="20"/>
      <c r="AI839" s="42"/>
    </row>
    <row r="840" spans="1:35">
      <c r="A840" s="14"/>
      <c r="B840" s="20"/>
      <c r="C840" s="20"/>
      <c r="D840" s="20"/>
      <c r="E840" s="20"/>
      <c r="F840" s="20"/>
      <c r="G840" s="20"/>
      <c r="H840" s="20"/>
      <c r="I840" s="211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0"/>
      <c r="V840" s="20"/>
      <c r="W840" s="20"/>
      <c r="X840" s="20"/>
      <c r="Y840" s="20"/>
      <c r="Z840" s="20"/>
      <c r="AA840" s="20" t="s">
        <v>1961</v>
      </c>
      <c r="AB840" s="20" t="s">
        <v>1815</v>
      </c>
      <c r="AC840" s="24">
        <v>1</v>
      </c>
      <c r="AD840" s="24"/>
      <c r="AE840" s="24"/>
      <c r="AF840" s="24"/>
      <c r="AG840" s="24"/>
      <c r="AH840" s="20"/>
      <c r="AI840" s="42"/>
    </row>
    <row r="841" spans="1:35">
      <c r="A841" s="14"/>
      <c r="B841" s="20"/>
      <c r="C841" s="20"/>
      <c r="D841" s="20"/>
      <c r="E841" s="20"/>
      <c r="F841" s="20"/>
      <c r="G841" s="20"/>
      <c r="H841" s="20"/>
      <c r="I841" s="211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0"/>
      <c r="V841" s="20"/>
      <c r="W841" s="20"/>
      <c r="X841" s="20"/>
      <c r="Y841" s="20"/>
      <c r="Z841" s="20"/>
      <c r="AA841" s="20" t="s">
        <v>2055</v>
      </c>
      <c r="AB841" s="20" t="s">
        <v>526</v>
      </c>
      <c r="AC841" s="24">
        <v>100</v>
      </c>
      <c r="AD841" s="24"/>
      <c r="AE841" s="24"/>
      <c r="AF841" s="24"/>
      <c r="AG841" s="24"/>
      <c r="AH841" s="20"/>
      <c r="AI841" s="42"/>
    </row>
    <row r="842" spans="1:35">
      <c r="A842" s="14"/>
      <c r="B842" s="20"/>
      <c r="C842" s="84" t="s">
        <v>2420</v>
      </c>
      <c r="D842" s="20" t="s">
        <v>79</v>
      </c>
      <c r="E842" s="20" t="s">
        <v>80</v>
      </c>
      <c r="F842" s="20" t="s">
        <v>2960</v>
      </c>
      <c r="G842" s="20" t="s">
        <v>2961</v>
      </c>
      <c r="H842" s="20" t="s">
        <v>1040</v>
      </c>
      <c r="I842" s="211"/>
      <c r="J842" s="24">
        <v>1</v>
      </c>
      <c r="K842" s="24"/>
      <c r="L842" s="24">
        <v>1</v>
      </c>
      <c r="M842" s="24"/>
      <c r="N842" s="24"/>
      <c r="O842" s="24"/>
      <c r="P842" s="24"/>
      <c r="Q842" s="24"/>
      <c r="R842" s="24"/>
      <c r="S842" s="24"/>
      <c r="T842" s="24"/>
      <c r="U842" s="20" t="s">
        <v>2959</v>
      </c>
      <c r="V842" s="20" t="s">
        <v>952</v>
      </c>
      <c r="W842" s="20" t="s">
        <v>280</v>
      </c>
      <c r="X842" s="20" t="s">
        <v>227</v>
      </c>
      <c r="Y842" s="20">
        <v>93033457466</v>
      </c>
      <c r="Z842" s="20"/>
      <c r="AA842" s="20" t="s">
        <v>2667</v>
      </c>
      <c r="AB842" s="20" t="s">
        <v>1815</v>
      </c>
      <c r="AC842" s="24">
        <v>6</v>
      </c>
      <c r="AD842" s="24"/>
      <c r="AE842" s="24"/>
      <c r="AF842" s="24"/>
      <c r="AG842" s="24"/>
      <c r="AH842" s="20"/>
      <c r="AI842" s="42"/>
    </row>
    <row r="843" spans="1:35">
      <c r="A843" s="14"/>
      <c r="B843" s="20"/>
      <c r="C843" s="20"/>
      <c r="D843" s="20"/>
      <c r="E843" s="20"/>
      <c r="F843" s="20"/>
      <c r="G843" s="20"/>
      <c r="H843" s="20"/>
      <c r="I843" s="211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0"/>
      <c r="V843" s="20"/>
      <c r="W843" s="20"/>
      <c r="X843" s="20"/>
      <c r="Y843" s="20"/>
      <c r="Z843" s="20"/>
      <c r="AA843" s="20" t="s">
        <v>1961</v>
      </c>
      <c r="AB843" s="20" t="s">
        <v>1815</v>
      </c>
      <c r="AC843" s="24">
        <v>1</v>
      </c>
      <c r="AD843" s="24"/>
      <c r="AE843" s="24"/>
      <c r="AF843" s="24"/>
      <c r="AG843" s="24"/>
      <c r="AH843" s="20"/>
      <c r="AI843" s="42"/>
    </row>
    <row r="844" spans="1:35">
      <c r="A844" s="14"/>
      <c r="B844" s="20"/>
      <c r="C844" s="20"/>
      <c r="D844" s="20"/>
      <c r="E844" s="20"/>
      <c r="F844" s="20"/>
      <c r="G844" s="20"/>
      <c r="H844" s="20"/>
      <c r="I844" s="211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0"/>
      <c r="V844" s="20"/>
      <c r="W844" s="20"/>
      <c r="X844" s="20"/>
      <c r="Y844" s="20"/>
      <c r="Z844" s="20"/>
      <c r="AA844" s="20" t="s">
        <v>2055</v>
      </c>
      <c r="AB844" s="20" t="s">
        <v>526</v>
      </c>
      <c r="AC844" s="24">
        <v>100</v>
      </c>
      <c r="AD844" s="24"/>
      <c r="AE844" s="24"/>
      <c r="AF844" s="24"/>
      <c r="AG844" s="24"/>
      <c r="AH844" s="20"/>
      <c r="AI844" s="42"/>
    </row>
    <row r="845" spans="1:35">
      <c r="A845" s="14"/>
      <c r="B845" s="20"/>
      <c r="C845" s="84" t="s">
        <v>2420</v>
      </c>
      <c r="D845" s="20" t="s">
        <v>79</v>
      </c>
      <c r="E845" s="20" t="s">
        <v>80</v>
      </c>
      <c r="F845" s="20" t="s">
        <v>2962</v>
      </c>
      <c r="G845" s="20" t="s">
        <v>2029</v>
      </c>
      <c r="H845" s="20" t="s">
        <v>588</v>
      </c>
      <c r="I845" s="211"/>
      <c r="J845" s="24">
        <v>1</v>
      </c>
      <c r="K845" s="24"/>
      <c r="L845" s="24">
        <v>1</v>
      </c>
      <c r="M845" s="24"/>
      <c r="N845" s="24"/>
      <c r="O845" s="24"/>
      <c r="P845" s="24"/>
      <c r="Q845" s="24"/>
      <c r="R845" s="24"/>
      <c r="S845" s="24"/>
      <c r="T845" s="24"/>
      <c r="U845" s="20" t="s">
        <v>2959</v>
      </c>
      <c r="V845" s="20" t="s">
        <v>952</v>
      </c>
      <c r="W845" s="20" t="s">
        <v>280</v>
      </c>
      <c r="X845" s="20" t="s">
        <v>227</v>
      </c>
      <c r="Y845" s="20">
        <v>9530684117</v>
      </c>
      <c r="Z845" s="20"/>
      <c r="AA845" s="20" t="s">
        <v>2667</v>
      </c>
      <c r="AB845" s="20" t="s">
        <v>1815</v>
      </c>
      <c r="AC845" s="24">
        <v>6</v>
      </c>
      <c r="AD845" s="24"/>
      <c r="AE845" s="24"/>
      <c r="AF845" s="24"/>
      <c r="AG845" s="24"/>
      <c r="AH845" s="20"/>
      <c r="AI845" s="42"/>
    </row>
    <row r="846" spans="1:35">
      <c r="A846" s="14"/>
      <c r="B846" s="20"/>
      <c r="C846" s="20"/>
      <c r="D846" s="20"/>
      <c r="E846" s="20"/>
      <c r="F846" s="20"/>
      <c r="G846" s="20"/>
      <c r="H846" s="20"/>
      <c r="I846" s="211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0"/>
      <c r="V846" s="20"/>
      <c r="W846" s="20"/>
      <c r="X846" s="20"/>
      <c r="Y846" s="20"/>
      <c r="Z846" s="20"/>
      <c r="AA846" s="20" t="s">
        <v>1961</v>
      </c>
      <c r="AB846" s="20" t="s">
        <v>1815</v>
      </c>
      <c r="AC846" s="24">
        <v>1</v>
      </c>
      <c r="AD846" s="24"/>
      <c r="AE846" s="24"/>
      <c r="AF846" s="24"/>
      <c r="AG846" s="24"/>
      <c r="AH846" s="20"/>
      <c r="AI846" s="42"/>
    </row>
    <row r="847" spans="1:35">
      <c r="A847" s="14"/>
      <c r="B847" s="20"/>
      <c r="C847" s="20"/>
      <c r="D847" s="20"/>
      <c r="E847" s="20"/>
      <c r="F847" s="20"/>
      <c r="G847" s="20"/>
      <c r="H847" s="20"/>
      <c r="I847" s="211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0"/>
      <c r="V847" s="20"/>
      <c r="W847" s="20"/>
      <c r="X847" s="20"/>
      <c r="Y847" s="20"/>
      <c r="Z847" s="20"/>
      <c r="AA847" s="20" t="s">
        <v>2055</v>
      </c>
      <c r="AB847" s="20" t="s">
        <v>526</v>
      </c>
      <c r="AC847" s="24">
        <v>100</v>
      </c>
      <c r="AD847" s="24"/>
      <c r="AE847" s="24"/>
      <c r="AF847" s="24"/>
      <c r="AG847" s="24"/>
      <c r="AH847" s="20"/>
      <c r="AI847" s="42"/>
    </row>
    <row r="848" spans="1:35">
      <c r="A848" s="14"/>
      <c r="B848" s="20"/>
      <c r="C848" s="84" t="s">
        <v>2420</v>
      </c>
      <c r="D848" s="20" t="s">
        <v>79</v>
      </c>
      <c r="E848" s="20" t="s">
        <v>80</v>
      </c>
      <c r="F848" s="20" t="s">
        <v>2963</v>
      </c>
      <c r="G848" s="20" t="s">
        <v>2964</v>
      </c>
      <c r="H848" s="20" t="s">
        <v>113</v>
      </c>
      <c r="I848" s="211"/>
      <c r="J848" s="24"/>
      <c r="K848" s="24">
        <v>1</v>
      </c>
      <c r="L848" s="24">
        <v>1</v>
      </c>
      <c r="M848" s="24"/>
      <c r="N848" s="24"/>
      <c r="O848" s="24"/>
      <c r="P848" s="24"/>
      <c r="Q848" s="24"/>
      <c r="R848" s="24"/>
      <c r="S848" s="24"/>
      <c r="T848" s="24"/>
      <c r="U848" s="20" t="s">
        <v>2959</v>
      </c>
      <c r="V848" s="20" t="s">
        <v>952</v>
      </c>
      <c r="W848" s="20" t="s">
        <v>280</v>
      </c>
      <c r="X848" s="20" t="s">
        <v>227</v>
      </c>
      <c r="Y848" s="20">
        <v>9050973807</v>
      </c>
      <c r="Z848" s="20"/>
      <c r="AA848" s="20" t="s">
        <v>2667</v>
      </c>
      <c r="AB848" s="20" t="s">
        <v>1815</v>
      </c>
      <c r="AC848" s="24">
        <v>6</v>
      </c>
      <c r="AD848" s="24"/>
      <c r="AE848" s="24"/>
      <c r="AF848" s="24"/>
      <c r="AG848" s="24"/>
      <c r="AH848" s="20"/>
      <c r="AI848" s="42"/>
    </row>
    <row r="849" spans="1:35">
      <c r="A849" s="14"/>
      <c r="B849" s="20"/>
      <c r="C849" s="20"/>
      <c r="D849" s="20"/>
      <c r="E849" s="20"/>
      <c r="F849" s="20"/>
      <c r="G849" s="20"/>
      <c r="H849" s="20"/>
      <c r="I849" s="211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0"/>
      <c r="V849" s="20"/>
      <c r="W849" s="20"/>
      <c r="X849" s="20"/>
      <c r="Y849" s="20"/>
      <c r="Z849" s="20"/>
      <c r="AA849" s="20" t="s">
        <v>1961</v>
      </c>
      <c r="AB849" s="20" t="s">
        <v>1815</v>
      </c>
      <c r="AC849" s="24">
        <v>1</v>
      </c>
      <c r="AD849" s="24"/>
      <c r="AE849" s="24"/>
      <c r="AF849" s="24"/>
      <c r="AG849" s="24"/>
      <c r="AH849" s="20"/>
      <c r="AI849" s="42"/>
    </row>
    <row r="850" spans="1:35">
      <c r="A850" s="14"/>
      <c r="B850" s="20"/>
      <c r="C850" s="20"/>
      <c r="D850" s="20"/>
      <c r="E850" s="20"/>
      <c r="F850" s="20"/>
      <c r="G850" s="20"/>
      <c r="H850" s="20"/>
      <c r="I850" s="211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0"/>
      <c r="V850" s="20"/>
      <c r="W850" s="20"/>
      <c r="X850" s="20"/>
      <c r="Y850" s="20"/>
      <c r="Z850" s="20"/>
      <c r="AA850" s="20" t="s">
        <v>2055</v>
      </c>
      <c r="AB850" s="20" t="s">
        <v>526</v>
      </c>
      <c r="AC850" s="24">
        <v>100</v>
      </c>
      <c r="AD850" s="24"/>
      <c r="AE850" s="24"/>
      <c r="AF850" s="24"/>
      <c r="AG850" s="24"/>
      <c r="AH850" s="20"/>
      <c r="AI850" s="42"/>
    </row>
    <row r="851" spans="1:35">
      <c r="A851" s="14"/>
      <c r="B851" s="20"/>
      <c r="C851" s="84" t="s">
        <v>2420</v>
      </c>
      <c r="D851" s="20" t="s">
        <v>79</v>
      </c>
      <c r="E851" s="20" t="s">
        <v>80</v>
      </c>
      <c r="F851" s="20" t="s">
        <v>2965</v>
      </c>
      <c r="G851" s="20" t="s">
        <v>2966</v>
      </c>
      <c r="H851" s="20" t="s">
        <v>409</v>
      </c>
      <c r="I851" s="211"/>
      <c r="J851" s="24">
        <v>1</v>
      </c>
      <c r="K851" s="24"/>
      <c r="L851" s="24">
        <v>1</v>
      </c>
      <c r="M851" s="24"/>
      <c r="N851" s="24"/>
      <c r="O851" s="24"/>
      <c r="P851" s="24"/>
      <c r="Q851" s="24"/>
      <c r="R851" s="24"/>
      <c r="S851" s="24"/>
      <c r="T851" s="24"/>
      <c r="U851" s="20" t="s">
        <v>2959</v>
      </c>
      <c r="V851" s="20" t="s">
        <v>952</v>
      </c>
      <c r="W851" s="20" t="s">
        <v>280</v>
      </c>
      <c r="X851" s="20" t="s">
        <v>227</v>
      </c>
      <c r="Y851" s="20"/>
      <c r="Z851" s="20"/>
      <c r="AA851" s="20" t="s">
        <v>2667</v>
      </c>
      <c r="AB851" s="20" t="s">
        <v>1815</v>
      </c>
      <c r="AC851" s="24">
        <v>6</v>
      </c>
      <c r="AD851" s="24"/>
      <c r="AE851" s="24"/>
      <c r="AF851" s="24"/>
      <c r="AG851" s="24"/>
      <c r="AH851" s="20"/>
      <c r="AI851" s="42"/>
    </row>
    <row r="852" spans="1:35">
      <c r="A852" s="14"/>
      <c r="B852" s="20"/>
      <c r="C852" s="20"/>
      <c r="D852" s="20"/>
      <c r="E852" s="20"/>
      <c r="F852" s="20"/>
      <c r="G852" s="20"/>
      <c r="H852" s="20"/>
      <c r="I852" s="211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0"/>
      <c r="V852" s="20"/>
      <c r="W852" s="20"/>
      <c r="X852" s="20"/>
      <c r="Y852" s="20"/>
      <c r="Z852" s="20"/>
      <c r="AA852" s="20" t="s">
        <v>1961</v>
      </c>
      <c r="AB852" s="20" t="s">
        <v>1815</v>
      </c>
      <c r="AC852" s="24">
        <v>1</v>
      </c>
      <c r="AD852" s="24"/>
      <c r="AE852" s="24"/>
      <c r="AF852" s="24"/>
      <c r="AG852" s="24"/>
      <c r="AH852" s="20"/>
      <c r="AI852" s="42"/>
    </row>
    <row r="853" spans="1:35">
      <c r="A853" s="14"/>
      <c r="B853" s="20"/>
      <c r="C853" s="20"/>
      <c r="D853" s="20"/>
      <c r="E853" s="20"/>
      <c r="F853" s="20"/>
      <c r="G853" s="20"/>
      <c r="H853" s="20"/>
      <c r="I853" s="211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0"/>
      <c r="V853" s="20"/>
      <c r="W853" s="20"/>
      <c r="X853" s="20"/>
      <c r="Y853" s="20"/>
      <c r="Z853" s="20"/>
      <c r="AA853" s="20" t="s">
        <v>2055</v>
      </c>
      <c r="AB853" s="20" t="s">
        <v>526</v>
      </c>
      <c r="AC853" s="24">
        <v>100</v>
      </c>
      <c r="AD853" s="24"/>
      <c r="AE853" s="24"/>
      <c r="AF853" s="24"/>
      <c r="AG853" s="24"/>
      <c r="AH853" s="20"/>
      <c r="AI853" s="42"/>
    </row>
    <row r="854" spans="1:35">
      <c r="A854" s="14"/>
      <c r="B854" s="20"/>
      <c r="C854" s="84" t="s">
        <v>2420</v>
      </c>
      <c r="D854" s="20" t="s">
        <v>79</v>
      </c>
      <c r="E854" s="20" t="s">
        <v>80</v>
      </c>
      <c r="F854" s="20" t="s">
        <v>2963</v>
      </c>
      <c r="G854" s="20" t="s">
        <v>2967</v>
      </c>
      <c r="H854" s="20" t="s">
        <v>283</v>
      </c>
      <c r="I854" s="211"/>
      <c r="J854" s="24">
        <v>1</v>
      </c>
      <c r="K854" s="24"/>
      <c r="L854" s="24">
        <v>1</v>
      </c>
      <c r="M854" s="24"/>
      <c r="N854" s="24"/>
      <c r="O854" s="24"/>
      <c r="P854" s="24"/>
      <c r="Q854" s="24"/>
      <c r="R854" s="24"/>
      <c r="S854" s="24"/>
      <c r="T854" s="24"/>
      <c r="U854" s="20" t="s">
        <v>2959</v>
      </c>
      <c r="V854" s="20" t="s">
        <v>952</v>
      </c>
      <c r="W854" s="20" t="s">
        <v>280</v>
      </c>
      <c r="X854" s="20" t="s">
        <v>227</v>
      </c>
      <c r="Y854" s="20">
        <v>9096145496</v>
      </c>
      <c r="Z854" s="20"/>
      <c r="AA854" s="20" t="s">
        <v>2667</v>
      </c>
      <c r="AB854" s="20" t="s">
        <v>1815</v>
      </c>
      <c r="AC854" s="24">
        <v>6</v>
      </c>
      <c r="AD854" s="24"/>
      <c r="AE854" s="24"/>
      <c r="AF854" s="24"/>
      <c r="AG854" s="24"/>
      <c r="AH854" s="20"/>
      <c r="AI854" s="42"/>
    </row>
    <row r="855" spans="1:35">
      <c r="A855" s="14"/>
      <c r="B855" s="20"/>
      <c r="C855" s="20"/>
      <c r="D855" s="20"/>
      <c r="E855" s="20"/>
      <c r="F855" s="20"/>
      <c r="G855" s="20"/>
      <c r="H855" s="20"/>
      <c r="I855" s="211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0"/>
      <c r="V855" s="20"/>
      <c r="W855" s="20"/>
      <c r="X855" s="20"/>
      <c r="Y855" s="20"/>
      <c r="Z855" s="20"/>
      <c r="AA855" s="20" t="s">
        <v>1961</v>
      </c>
      <c r="AB855" s="20" t="s">
        <v>1815</v>
      </c>
      <c r="AC855" s="24">
        <v>1</v>
      </c>
      <c r="AD855" s="24"/>
      <c r="AE855" s="24"/>
      <c r="AF855" s="24"/>
      <c r="AG855" s="24"/>
      <c r="AH855" s="20"/>
      <c r="AI855" s="42"/>
    </row>
    <row r="856" spans="1:35">
      <c r="A856" s="14"/>
      <c r="B856" s="20"/>
      <c r="C856" s="20"/>
      <c r="D856" s="20"/>
      <c r="E856" s="20"/>
      <c r="F856" s="20"/>
      <c r="G856" s="20"/>
      <c r="H856" s="20"/>
      <c r="I856" s="211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0"/>
      <c r="V856" s="20"/>
      <c r="W856" s="20"/>
      <c r="X856" s="20"/>
      <c r="Y856" s="20"/>
      <c r="Z856" s="20"/>
      <c r="AA856" s="20" t="s">
        <v>2055</v>
      </c>
      <c r="AB856" s="20" t="s">
        <v>526</v>
      </c>
      <c r="AC856" s="24">
        <v>100</v>
      </c>
      <c r="AD856" s="24"/>
      <c r="AE856" s="24"/>
      <c r="AF856" s="24"/>
      <c r="AG856" s="24"/>
      <c r="AH856" s="20"/>
      <c r="AI856" s="42"/>
    </row>
    <row r="857" spans="1:35">
      <c r="A857" s="14"/>
      <c r="B857" s="20"/>
      <c r="C857" s="84" t="s">
        <v>2420</v>
      </c>
      <c r="D857" s="20" t="s">
        <v>79</v>
      </c>
      <c r="E857" s="20" t="s">
        <v>80</v>
      </c>
      <c r="F857" s="20" t="s">
        <v>2968</v>
      </c>
      <c r="G857" s="20" t="s">
        <v>2969</v>
      </c>
      <c r="H857" s="20" t="s">
        <v>283</v>
      </c>
      <c r="I857" s="211"/>
      <c r="J857" s="24"/>
      <c r="K857" s="24">
        <v>1</v>
      </c>
      <c r="L857" s="24">
        <v>1</v>
      </c>
      <c r="M857" s="24"/>
      <c r="N857" s="24"/>
      <c r="O857" s="24"/>
      <c r="P857" s="24"/>
      <c r="Q857" s="24"/>
      <c r="R857" s="24"/>
      <c r="S857" s="24"/>
      <c r="T857" s="24"/>
      <c r="U857" s="20" t="s">
        <v>2959</v>
      </c>
      <c r="V857" s="20" t="s">
        <v>952</v>
      </c>
      <c r="W857" s="20" t="s">
        <v>280</v>
      </c>
      <c r="X857" s="20" t="s">
        <v>227</v>
      </c>
      <c r="Y857" s="20">
        <v>9506087349</v>
      </c>
      <c r="Z857" s="20"/>
      <c r="AA857" s="20" t="s">
        <v>2667</v>
      </c>
      <c r="AB857" s="20" t="s">
        <v>1815</v>
      </c>
      <c r="AC857" s="24">
        <v>6</v>
      </c>
      <c r="AD857" s="24"/>
      <c r="AE857" s="24"/>
      <c r="AF857" s="24"/>
      <c r="AG857" s="24"/>
      <c r="AH857" s="20"/>
      <c r="AI857" s="42"/>
    </row>
    <row r="858" spans="1:35">
      <c r="A858" s="14"/>
      <c r="B858" s="20"/>
      <c r="C858" s="20"/>
      <c r="D858" s="20"/>
      <c r="E858" s="20"/>
      <c r="F858" s="20"/>
      <c r="G858" s="20"/>
      <c r="H858" s="20"/>
      <c r="I858" s="211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0"/>
      <c r="V858" s="20"/>
      <c r="W858" s="20"/>
      <c r="X858" s="20"/>
      <c r="Y858" s="20"/>
      <c r="Z858" s="20"/>
      <c r="AA858" s="20" t="s">
        <v>1961</v>
      </c>
      <c r="AB858" s="20" t="s">
        <v>1815</v>
      </c>
      <c r="AC858" s="24">
        <v>1</v>
      </c>
      <c r="AD858" s="24"/>
      <c r="AE858" s="24"/>
      <c r="AF858" s="24"/>
      <c r="AG858" s="24"/>
      <c r="AH858" s="20"/>
      <c r="AI858" s="42"/>
    </row>
    <row r="859" spans="1:35">
      <c r="A859" s="14"/>
      <c r="B859" s="20"/>
      <c r="C859" s="20"/>
      <c r="D859" s="20"/>
      <c r="E859" s="20"/>
      <c r="F859" s="20"/>
      <c r="G859" s="20"/>
      <c r="H859" s="20"/>
      <c r="I859" s="211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0"/>
      <c r="V859" s="20"/>
      <c r="W859" s="20"/>
      <c r="X859" s="20"/>
      <c r="Y859" s="20"/>
      <c r="Z859" s="20"/>
      <c r="AA859" s="20" t="s">
        <v>2055</v>
      </c>
      <c r="AB859" s="20" t="s">
        <v>526</v>
      </c>
      <c r="AC859" s="24">
        <v>100</v>
      </c>
      <c r="AD859" s="24"/>
      <c r="AE859" s="24"/>
      <c r="AF859" s="24"/>
      <c r="AG859" s="24"/>
      <c r="AH859" s="20"/>
      <c r="AI859" s="42"/>
    </row>
    <row r="860" spans="1:35">
      <c r="A860" s="14"/>
      <c r="B860" s="20"/>
      <c r="C860" s="84" t="s">
        <v>2420</v>
      </c>
      <c r="D860" s="20" t="s">
        <v>79</v>
      </c>
      <c r="E860" s="20" t="s">
        <v>80</v>
      </c>
      <c r="F860" s="20" t="s">
        <v>2970</v>
      </c>
      <c r="G860" s="20" t="s">
        <v>717</v>
      </c>
      <c r="H860" s="20" t="s">
        <v>144</v>
      </c>
      <c r="I860" s="211"/>
      <c r="J860" s="24">
        <v>1</v>
      </c>
      <c r="K860" s="24"/>
      <c r="L860" s="24">
        <v>1</v>
      </c>
      <c r="M860" s="24"/>
      <c r="N860" s="24"/>
      <c r="O860" s="24"/>
      <c r="P860" s="24"/>
      <c r="Q860" s="24"/>
      <c r="R860" s="24"/>
      <c r="S860" s="24"/>
      <c r="T860" s="24"/>
      <c r="U860" s="20" t="s">
        <v>2959</v>
      </c>
      <c r="V860" s="20" t="s">
        <v>952</v>
      </c>
      <c r="W860" s="20" t="s">
        <v>280</v>
      </c>
      <c r="X860" s="20" t="s">
        <v>227</v>
      </c>
      <c r="Y860" s="20">
        <v>9187549541</v>
      </c>
      <c r="Z860" s="20"/>
      <c r="AA860" s="20" t="s">
        <v>2667</v>
      </c>
      <c r="AB860" s="20" t="s">
        <v>1815</v>
      </c>
      <c r="AC860" s="24">
        <v>6</v>
      </c>
      <c r="AD860" s="24"/>
      <c r="AE860" s="24"/>
      <c r="AF860" s="24"/>
      <c r="AG860" s="24"/>
      <c r="AH860" s="20"/>
      <c r="AI860" s="42"/>
    </row>
    <row r="861" spans="1:35">
      <c r="A861" s="14"/>
      <c r="B861" s="20"/>
      <c r="C861" s="20"/>
      <c r="D861" s="20"/>
      <c r="E861" s="20"/>
      <c r="F861" s="20"/>
      <c r="G861" s="20"/>
      <c r="H861" s="20"/>
      <c r="I861" s="211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0"/>
      <c r="V861" s="20"/>
      <c r="W861" s="20"/>
      <c r="X861" s="20"/>
      <c r="Y861" s="20"/>
      <c r="Z861" s="20"/>
      <c r="AA861" s="20" t="s">
        <v>1961</v>
      </c>
      <c r="AB861" s="20" t="s">
        <v>1815</v>
      </c>
      <c r="AC861" s="24">
        <v>1</v>
      </c>
      <c r="AD861" s="24"/>
      <c r="AE861" s="24"/>
      <c r="AF861" s="24"/>
      <c r="AG861" s="24"/>
      <c r="AH861" s="20"/>
      <c r="AI861" s="42"/>
    </row>
    <row r="862" spans="1:35">
      <c r="A862" s="14"/>
      <c r="B862" s="20"/>
      <c r="C862" s="20"/>
      <c r="D862" s="20"/>
      <c r="E862" s="20"/>
      <c r="F862" s="20"/>
      <c r="G862" s="20"/>
      <c r="H862" s="20"/>
      <c r="I862" s="211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0"/>
      <c r="V862" s="20"/>
      <c r="W862" s="20"/>
      <c r="X862" s="20"/>
      <c r="Y862" s="20"/>
      <c r="Z862" s="20"/>
      <c r="AA862" s="20" t="s">
        <v>2055</v>
      </c>
      <c r="AB862" s="20" t="s">
        <v>526</v>
      </c>
      <c r="AC862" s="24">
        <v>100</v>
      </c>
      <c r="AD862" s="24"/>
      <c r="AE862" s="24"/>
      <c r="AF862" s="24"/>
      <c r="AG862" s="24"/>
      <c r="AH862" s="20"/>
      <c r="AI862" s="42"/>
    </row>
    <row r="863" spans="1:35">
      <c r="A863" s="14"/>
      <c r="B863" s="20"/>
      <c r="C863" s="84" t="s">
        <v>2420</v>
      </c>
      <c r="D863" s="20" t="s">
        <v>79</v>
      </c>
      <c r="E863" s="20" t="s">
        <v>80</v>
      </c>
      <c r="F863" s="20" t="s">
        <v>2971</v>
      </c>
      <c r="G863" s="20" t="s">
        <v>2972</v>
      </c>
      <c r="H863" s="20" t="s">
        <v>409</v>
      </c>
      <c r="I863" s="211"/>
      <c r="J863" s="24">
        <v>1</v>
      </c>
      <c r="K863" s="24"/>
      <c r="L863" s="24">
        <v>1</v>
      </c>
      <c r="M863" s="24"/>
      <c r="N863" s="24"/>
      <c r="O863" s="24"/>
      <c r="P863" s="24"/>
      <c r="Q863" s="24"/>
      <c r="R863" s="24"/>
      <c r="S863" s="24"/>
      <c r="T863" s="24"/>
      <c r="U863" s="20" t="s">
        <v>2959</v>
      </c>
      <c r="V863" s="20" t="s">
        <v>952</v>
      </c>
      <c r="W863" s="20" t="s">
        <v>280</v>
      </c>
      <c r="X863" s="20" t="s">
        <v>227</v>
      </c>
      <c r="Y863" s="20">
        <v>9752016456</v>
      </c>
      <c r="Z863" s="20"/>
      <c r="AA863" s="20" t="s">
        <v>2667</v>
      </c>
      <c r="AB863" s="20" t="s">
        <v>1815</v>
      </c>
      <c r="AC863" s="24">
        <v>6</v>
      </c>
      <c r="AD863" s="24"/>
      <c r="AE863" s="24"/>
      <c r="AF863" s="24"/>
      <c r="AG863" s="24"/>
      <c r="AH863" s="20"/>
      <c r="AI863" s="42"/>
    </row>
    <row r="864" spans="1:35">
      <c r="A864" s="14"/>
      <c r="B864" s="20"/>
      <c r="C864" s="20"/>
      <c r="D864" s="20"/>
      <c r="E864" s="20"/>
      <c r="F864" s="20"/>
      <c r="G864" s="20"/>
      <c r="H864" s="20"/>
      <c r="I864" s="211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0"/>
      <c r="V864" s="20"/>
      <c r="W864" s="20"/>
      <c r="X864" s="20"/>
      <c r="Y864" s="20"/>
      <c r="Z864" s="20"/>
      <c r="AA864" s="20" t="s">
        <v>1961</v>
      </c>
      <c r="AB864" s="20" t="s">
        <v>1815</v>
      </c>
      <c r="AC864" s="24">
        <v>1</v>
      </c>
      <c r="AD864" s="24"/>
      <c r="AE864" s="24"/>
      <c r="AF864" s="24"/>
      <c r="AG864" s="24"/>
      <c r="AH864" s="20"/>
      <c r="AI864" s="42"/>
    </row>
    <row r="865" spans="1:35">
      <c r="A865" s="14"/>
      <c r="B865" s="20"/>
      <c r="C865" s="20"/>
      <c r="D865" s="20"/>
      <c r="E865" s="20"/>
      <c r="F865" s="20"/>
      <c r="G865" s="20"/>
      <c r="H865" s="20"/>
      <c r="I865" s="211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0"/>
      <c r="V865" s="20"/>
      <c r="W865" s="20"/>
      <c r="X865" s="20"/>
      <c r="Y865" s="20"/>
      <c r="Z865" s="20"/>
      <c r="AA865" s="20" t="s">
        <v>2055</v>
      </c>
      <c r="AB865" s="20" t="s">
        <v>526</v>
      </c>
      <c r="AC865" s="24">
        <v>100</v>
      </c>
      <c r="AD865" s="24"/>
      <c r="AE865" s="24"/>
      <c r="AF865" s="24"/>
      <c r="AG865" s="24"/>
      <c r="AH865" s="20"/>
      <c r="AI865" s="42"/>
    </row>
    <row r="866" spans="1:35">
      <c r="A866" s="14"/>
      <c r="B866" s="20"/>
      <c r="C866" s="84" t="s">
        <v>2420</v>
      </c>
      <c r="D866" s="20" t="s">
        <v>79</v>
      </c>
      <c r="E866" s="20" t="s">
        <v>80</v>
      </c>
      <c r="F866" s="20" t="s">
        <v>2973</v>
      </c>
      <c r="G866" s="20" t="s">
        <v>2974</v>
      </c>
      <c r="H866" s="20" t="s">
        <v>126</v>
      </c>
      <c r="I866" s="211"/>
      <c r="J866" s="24"/>
      <c r="K866" s="24">
        <v>1</v>
      </c>
      <c r="L866" s="24">
        <v>1</v>
      </c>
      <c r="M866" s="24"/>
      <c r="N866" s="24"/>
      <c r="O866" s="24"/>
      <c r="P866" s="24"/>
      <c r="Q866" s="24"/>
      <c r="R866" s="24"/>
      <c r="S866" s="24"/>
      <c r="T866" s="24"/>
      <c r="U866" s="20" t="s">
        <v>2959</v>
      </c>
      <c r="V866" s="20" t="s">
        <v>952</v>
      </c>
      <c r="W866" s="20" t="s">
        <v>280</v>
      </c>
      <c r="X866" s="20" t="s">
        <v>227</v>
      </c>
      <c r="Y866" s="20">
        <v>9505032385</v>
      </c>
      <c r="Z866" s="20"/>
      <c r="AA866" s="20" t="s">
        <v>2667</v>
      </c>
      <c r="AB866" s="20" t="s">
        <v>1815</v>
      </c>
      <c r="AC866" s="24">
        <v>6</v>
      </c>
      <c r="AD866" s="24"/>
      <c r="AE866" s="24"/>
      <c r="AF866" s="24"/>
      <c r="AG866" s="24"/>
      <c r="AH866" s="20"/>
      <c r="AI866" s="42"/>
    </row>
    <row r="867" spans="1:35">
      <c r="A867" s="14"/>
      <c r="B867" s="20"/>
      <c r="C867" s="20"/>
      <c r="D867" s="20"/>
      <c r="E867" s="20"/>
      <c r="F867" s="20"/>
      <c r="G867" s="20"/>
      <c r="H867" s="20"/>
      <c r="I867" s="211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0"/>
      <c r="V867" s="20"/>
      <c r="W867" s="20"/>
      <c r="X867" s="20"/>
      <c r="Y867" s="20"/>
      <c r="Z867" s="20"/>
      <c r="AA867" s="20" t="s">
        <v>1961</v>
      </c>
      <c r="AB867" s="20" t="s">
        <v>1815</v>
      </c>
      <c r="AC867" s="24">
        <v>1</v>
      </c>
      <c r="AD867" s="24"/>
      <c r="AE867" s="24"/>
      <c r="AF867" s="24"/>
      <c r="AG867" s="24"/>
      <c r="AH867" s="20"/>
      <c r="AI867" s="42"/>
    </row>
    <row r="868" spans="1:35">
      <c r="A868" s="14"/>
      <c r="B868" s="20"/>
      <c r="C868" s="20"/>
      <c r="D868" s="20"/>
      <c r="E868" s="20"/>
      <c r="F868" s="20"/>
      <c r="G868" s="20"/>
      <c r="H868" s="20"/>
      <c r="I868" s="211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0"/>
      <c r="V868" s="20"/>
      <c r="W868" s="20"/>
      <c r="X868" s="20"/>
      <c r="Y868" s="20"/>
      <c r="Z868" s="20"/>
      <c r="AA868" s="20" t="s">
        <v>2055</v>
      </c>
      <c r="AB868" s="20" t="s">
        <v>526</v>
      </c>
      <c r="AC868" s="24">
        <v>100</v>
      </c>
      <c r="AD868" s="24"/>
      <c r="AE868" s="24"/>
      <c r="AF868" s="24"/>
      <c r="AG868" s="24"/>
      <c r="AH868" s="20"/>
      <c r="AI868" s="42"/>
    </row>
    <row r="869" spans="1:35">
      <c r="A869" s="14"/>
      <c r="B869" s="20"/>
      <c r="C869" s="84" t="s">
        <v>2420</v>
      </c>
      <c r="D869" s="20" t="s">
        <v>79</v>
      </c>
      <c r="E869" s="20" t="s">
        <v>80</v>
      </c>
      <c r="F869" s="20" t="s">
        <v>2975</v>
      </c>
      <c r="G869" s="20" t="s">
        <v>2976</v>
      </c>
      <c r="H869" s="20" t="s">
        <v>113</v>
      </c>
      <c r="I869" s="211"/>
      <c r="J869" s="24" t="s">
        <v>93</v>
      </c>
      <c r="K869" s="24">
        <v>1</v>
      </c>
      <c r="L869" s="24">
        <v>1</v>
      </c>
      <c r="M869" s="24"/>
      <c r="N869" s="24"/>
      <c r="O869" s="24"/>
      <c r="P869" s="24"/>
      <c r="Q869" s="24"/>
      <c r="R869" s="24"/>
      <c r="S869" s="24"/>
      <c r="T869" s="24"/>
      <c r="U869" s="20" t="s">
        <v>2959</v>
      </c>
      <c r="V869" s="20" t="s">
        <v>952</v>
      </c>
      <c r="W869" s="20" t="s">
        <v>280</v>
      </c>
      <c r="X869" s="20" t="s">
        <v>227</v>
      </c>
      <c r="Y869" s="20">
        <v>9308109059</v>
      </c>
      <c r="Z869" s="20"/>
      <c r="AA869" s="20" t="s">
        <v>2667</v>
      </c>
      <c r="AB869" s="20" t="s">
        <v>1815</v>
      </c>
      <c r="AC869" s="24">
        <v>6</v>
      </c>
      <c r="AD869" s="24"/>
      <c r="AE869" s="24"/>
      <c r="AF869" s="24"/>
      <c r="AG869" s="24"/>
      <c r="AH869" s="20"/>
      <c r="AI869" s="42"/>
    </row>
    <row r="870" spans="1:35">
      <c r="A870" s="14"/>
      <c r="B870" s="20"/>
      <c r="C870" s="20"/>
      <c r="D870" s="20"/>
      <c r="E870" s="20"/>
      <c r="F870" s="20"/>
      <c r="G870" s="20"/>
      <c r="H870" s="20"/>
      <c r="I870" s="211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0"/>
      <c r="V870" s="20"/>
      <c r="W870" s="20"/>
      <c r="X870" s="20"/>
      <c r="Y870" s="20"/>
      <c r="Z870" s="20"/>
      <c r="AA870" s="20" t="s">
        <v>1961</v>
      </c>
      <c r="AB870" s="20" t="s">
        <v>1815</v>
      </c>
      <c r="AC870" s="24">
        <v>1</v>
      </c>
      <c r="AD870" s="24"/>
      <c r="AE870" s="24"/>
      <c r="AF870" s="24"/>
      <c r="AG870" s="24"/>
      <c r="AH870" s="20"/>
      <c r="AI870" s="42"/>
    </row>
    <row r="871" spans="1:35">
      <c r="A871" s="14"/>
      <c r="B871" s="20"/>
      <c r="C871" s="20"/>
      <c r="D871" s="20"/>
      <c r="E871" s="20"/>
      <c r="F871" s="20"/>
      <c r="G871" s="20"/>
      <c r="H871" s="20"/>
      <c r="I871" s="211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0"/>
      <c r="V871" s="20"/>
      <c r="W871" s="20"/>
      <c r="X871" s="20"/>
      <c r="Y871" s="20"/>
      <c r="Z871" s="20"/>
      <c r="AA871" s="20" t="s">
        <v>2055</v>
      </c>
      <c r="AB871" s="20" t="s">
        <v>526</v>
      </c>
      <c r="AC871" s="24">
        <v>100</v>
      </c>
      <c r="AD871" s="24"/>
      <c r="AE871" s="24"/>
      <c r="AF871" s="24"/>
      <c r="AG871" s="24"/>
      <c r="AH871" s="20"/>
      <c r="AI871" s="42"/>
    </row>
    <row r="872" spans="1:35">
      <c r="A872" s="14"/>
      <c r="B872" s="20"/>
      <c r="C872" s="84" t="s">
        <v>2420</v>
      </c>
      <c r="D872" s="20" t="s">
        <v>79</v>
      </c>
      <c r="E872" s="20" t="s">
        <v>80</v>
      </c>
      <c r="F872" s="20" t="s">
        <v>2977</v>
      </c>
      <c r="G872" s="20" t="s">
        <v>2978</v>
      </c>
      <c r="H872" s="20" t="s">
        <v>133</v>
      </c>
      <c r="I872" s="211"/>
      <c r="J872" s="24"/>
      <c r="K872" s="24">
        <v>1</v>
      </c>
      <c r="L872" s="24">
        <v>1</v>
      </c>
      <c r="M872" s="24"/>
      <c r="N872" s="24"/>
      <c r="O872" s="24"/>
      <c r="P872" s="24"/>
      <c r="Q872" s="24"/>
      <c r="R872" s="24"/>
      <c r="S872" s="24"/>
      <c r="T872" s="24"/>
      <c r="U872" s="20" t="s">
        <v>2959</v>
      </c>
      <c r="V872" s="20" t="s">
        <v>952</v>
      </c>
      <c r="W872" s="20" t="s">
        <v>280</v>
      </c>
      <c r="X872" s="20" t="s">
        <v>227</v>
      </c>
      <c r="Y872" s="20">
        <v>9758537909</v>
      </c>
      <c r="Z872" s="20"/>
      <c r="AA872" s="20" t="s">
        <v>2667</v>
      </c>
      <c r="AB872" s="20" t="s">
        <v>1815</v>
      </c>
      <c r="AC872" s="24">
        <v>6</v>
      </c>
      <c r="AD872" s="24"/>
      <c r="AE872" s="24"/>
      <c r="AF872" s="24"/>
      <c r="AG872" s="24"/>
      <c r="AH872" s="20"/>
      <c r="AI872" s="42"/>
    </row>
    <row r="873" spans="1:35">
      <c r="A873" s="14"/>
      <c r="B873" s="20"/>
      <c r="C873" s="20"/>
      <c r="D873" s="20"/>
      <c r="E873" s="20"/>
      <c r="F873" s="20"/>
      <c r="G873" s="20"/>
      <c r="H873" s="20"/>
      <c r="I873" s="211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0"/>
      <c r="V873" s="20"/>
      <c r="W873" s="20"/>
      <c r="X873" s="20"/>
      <c r="Y873" s="20"/>
      <c r="Z873" s="20"/>
      <c r="AA873" s="20" t="s">
        <v>1961</v>
      </c>
      <c r="AB873" s="20" t="s">
        <v>1815</v>
      </c>
      <c r="AC873" s="24">
        <v>1</v>
      </c>
      <c r="AD873" s="24"/>
      <c r="AE873" s="24"/>
      <c r="AF873" s="24"/>
      <c r="AG873" s="24"/>
      <c r="AH873" s="20"/>
      <c r="AI873" s="42"/>
    </row>
    <row r="874" spans="1:35">
      <c r="A874" s="14"/>
      <c r="B874" s="20"/>
      <c r="C874" s="20"/>
      <c r="D874" s="20"/>
      <c r="E874" s="20"/>
      <c r="F874" s="20"/>
      <c r="G874" s="20"/>
      <c r="H874" s="20"/>
      <c r="I874" s="211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0"/>
      <c r="V874" s="20"/>
      <c r="W874" s="20"/>
      <c r="X874" s="20"/>
      <c r="Y874" s="20"/>
      <c r="Z874" s="20"/>
      <c r="AA874" s="20" t="s">
        <v>2055</v>
      </c>
      <c r="AB874" s="20" t="s">
        <v>526</v>
      </c>
      <c r="AC874" s="24">
        <v>100</v>
      </c>
      <c r="AD874" s="24"/>
      <c r="AE874" s="24"/>
      <c r="AF874" s="24"/>
      <c r="AG874" s="24"/>
      <c r="AH874" s="20"/>
      <c r="AI874" s="42"/>
    </row>
    <row r="875" spans="1:35">
      <c r="A875" s="14"/>
      <c r="B875" s="20"/>
      <c r="C875" s="84" t="s">
        <v>2420</v>
      </c>
      <c r="D875" s="20" t="s">
        <v>79</v>
      </c>
      <c r="E875" s="20" t="s">
        <v>80</v>
      </c>
      <c r="F875" s="20" t="s">
        <v>2979</v>
      </c>
      <c r="G875" s="20" t="s">
        <v>2980</v>
      </c>
      <c r="H875" s="20" t="s">
        <v>115</v>
      </c>
      <c r="I875" s="211"/>
      <c r="J875" s="24">
        <v>1</v>
      </c>
      <c r="K875" s="24"/>
      <c r="L875" s="24">
        <v>1</v>
      </c>
      <c r="M875" s="24"/>
      <c r="N875" s="24"/>
      <c r="O875" s="24"/>
      <c r="P875" s="24"/>
      <c r="Q875" s="24"/>
      <c r="R875" s="24"/>
      <c r="S875" s="24"/>
      <c r="T875" s="24"/>
      <c r="U875" s="20" t="s">
        <v>2959</v>
      </c>
      <c r="V875" s="20" t="s">
        <v>952</v>
      </c>
      <c r="W875" s="20" t="s">
        <v>280</v>
      </c>
      <c r="X875" s="20" t="s">
        <v>227</v>
      </c>
      <c r="Y875" s="20"/>
      <c r="Z875" s="20"/>
      <c r="AA875" s="20" t="s">
        <v>2667</v>
      </c>
      <c r="AB875" s="20" t="s">
        <v>1815</v>
      </c>
      <c r="AC875" s="24">
        <v>6</v>
      </c>
      <c r="AD875" s="24"/>
      <c r="AE875" s="24"/>
      <c r="AF875" s="24"/>
      <c r="AG875" s="24"/>
      <c r="AH875" s="20"/>
      <c r="AI875" s="42"/>
    </row>
    <row r="876" spans="1:35">
      <c r="A876" s="14"/>
      <c r="B876" s="20"/>
      <c r="C876" s="20"/>
      <c r="D876" s="20"/>
      <c r="E876" s="20"/>
      <c r="F876" s="20"/>
      <c r="G876" s="20"/>
      <c r="H876" s="20"/>
      <c r="I876" s="211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0"/>
      <c r="V876" s="20"/>
      <c r="W876" s="20"/>
      <c r="X876" s="20"/>
      <c r="Y876" s="20"/>
      <c r="Z876" s="20"/>
      <c r="AA876" s="20" t="s">
        <v>1961</v>
      </c>
      <c r="AB876" s="20" t="s">
        <v>1815</v>
      </c>
      <c r="AC876" s="24">
        <v>1</v>
      </c>
      <c r="AD876" s="24"/>
      <c r="AE876" s="24"/>
      <c r="AF876" s="24"/>
      <c r="AG876" s="24"/>
      <c r="AH876" s="20"/>
      <c r="AI876" s="42"/>
    </row>
    <row r="877" spans="1:35">
      <c r="A877" s="14"/>
      <c r="B877" s="20"/>
      <c r="C877" s="20"/>
      <c r="D877" s="20"/>
      <c r="E877" s="20"/>
      <c r="F877" s="20"/>
      <c r="G877" s="20"/>
      <c r="H877" s="20"/>
      <c r="I877" s="211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0"/>
      <c r="V877" s="20"/>
      <c r="W877" s="20"/>
      <c r="X877" s="20"/>
      <c r="Y877" s="20"/>
      <c r="Z877" s="20"/>
      <c r="AA877" s="20" t="s">
        <v>2055</v>
      </c>
      <c r="AB877" s="20" t="s">
        <v>526</v>
      </c>
      <c r="AC877" s="24">
        <v>100</v>
      </c>
      <c r="AD877" s="24"/>
      <c r="AE877" s="24"/>
      <c r="AF877" s="24"/>
      <c r="AG877" s="24"/>
      <c r="AH877" s="20"/>
      <c r="AI877" s="42"/>
    </row>
    <row r="878" spans="1:35">
      <c r="A878" s="14"/>
      <c r="B878" s="20"/>
      <c r="C878" s="84" t="s">
        <v>2420</v>
      </c>
      <c r="D878" s="20" t="s">
        <v>79</v>
      </c>
      <c r="E878" s="20" t="s">
        <v>80</v>
      </c>
      <c r="F878" s="20" t="s">
        <v>2981</v>
      </c>
      <c r="G878" s="20" t="s">
        <v>2982</v>
      </c>
      <c r="H878" s="20" t="s">
        <v>421</v>
      </c>
      <c r="I878" s="211"/>
      <c r="J878" s="24">
        <v>1</v>
      </c>
      <c r="K878" s="24"/>
      <c r="L878" s="24">
        <v>1</v>
      </c>
      <c r="M878" s="24"/>
      <c r="N878" s="24"/>
      <c r="O878" s="24"/>
      <c r="P878" s="24"/>
      <c r="Q878" s="24"/>
      <c r="R878" s="24"/>
      <c r="S878" s="24"/>
      <c r="T878" s="24"/>
      <c r="U878" s="20" t="s">
        <v>2959</v>
      </c>
      <c r="V878" s="20" t="s">
        <v>952</v>
      </c>
      <c r="W878" s="20" t="s">
        <v>280</v>
      </c>
      <c r="X878" s="20" t="s">
        <v>227</v>
      </c>
      <c r="Y878" s="20"/>
      <c r="Z878" s="20"/>
      <c r="AA878" s="20" t="s">
        <v>2667</v>
      </c>
      <c r="AB878" s="20" t="s">
        <v>1815</v>
      </c>
      <c r="AC878" s="24">
        <v>7</v>
      </c>
      <c r="AD878" s="24"/>
      <c r="AE878" s="24"/>
      <c r="AF878" s="24"/>
      <c r="AG878" s="24"/>
      <c r="AH878" s="20"/>
      <c r="AI878" s="42"/>
    </row>
    <row r="879" spans="1:35">
      <c r="A879" s="14"/>
      <c r="B879" s="20"/>
      <c r="C879" s="20"/>
      <c r="D879" s="20"/>
      <c r="E879" s="20"/>
      <c r="F879" s="20"/>
      <c r="G879" s="20"/>
      <c r="H879" s="20"/>
      <c r="I879" s="211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0"/>
      <c r="V879" s="20"/>
      <c r="W879" s="20"/>
      <c r="X879" s="20"/>
      <c r="Y879" s="20"/>
      <c r="Z879" s="20"/>
      <c r="AA879" s="20" t="s">
        <v>1961</v>
      </c>
      <c r="AB879" s="20" t="s">
        <v>1815</v>
      </c>
      <c r="AC879" s="24">
        <v>1</v>
      </c>
      <c r="AD879" s="24"/>
      <c r="AE879" s="24"/>
      <c r="AF879" s="24"/>
      <c r="AG879" s="24"/>
      <c r="AH879" s="20"/>
      <c r="AI879" s="42"/>
    </row>
    <row r="880" spans="1:35">
      <c r="A880" s="14"/>
      <c r="B880" s="20"/>
      <c r="C880" s="20"/>
      <c r="D880" s="20"/>
      <c r="E880" s="20"/>
      <c r="F880" s="20"/>
      <c r="G880" s="20"/>
      <c r="H880" s="20"/>
      <c r="I880" s="211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0"/>
      <c r="V880" s="20"/>
      <c r="W880" s="20"/>
      <c r="X880" s="20"/>
      <c r="Y880" s="20"/>
      <c r="Z880" s="20"/>
      <c r="AA880" s="20" t="s">
        <v>2055</v>
      </c>
      <c r="AB880" s="20" t="s">
        <v>526</v>
      </c>
      <c r="AC880" s="24">
        <v>58</v>
      </c>
      <c r="AD880" s="24"/>
      <c r="AE880" s="24"/>
      <c r="AF880" s="24"/>
      <c r="AG880" s="24"/>
      <c r="AH880" s="20"/>
      <c r="AI880" s="42"/>
    </row>
    <row r="881" spans="1:35">
      <c r="A881" s="14"/>
      <c r="B881" s="20"/>
      <c r="C881" s="84" t="s">
        <v>2420</v>
      </c>
      <c r="D881" s="20" t="s">
        <v>79</v>
      </c>
      <c r="E881" s="20" t="s">
        <v>80</v>
      </c>
      <c r="F881" s="20" t="s">
        <v>2983</v>
      </c>
      <c r="G881" s="20" t="s">
        <v>2984</v>
      </c>
      <c r="H881" s="20" t="s">
        <v>202</v>
      </c>
      <c r="I881" s="211"/>
      <c r="J881" s="24">
        <v>1</v>
      </c>
      <c r="K881" s="24"/>
      <c r="L881" s="24">
        <v>1</v>
      </c>
      <c r="M881" s="24"/>
      <c r="N881" s="24"/>
      <c r="O881" s="24"/>
      <c r="P881" s="24"/>
      <c r="Q881" s="24"/>
      <c r="R881" s="24"/>
      <c r="S881" s="24"/>
      <c r="T881" s="24"/>
      <c r="U881" s="20" t="s">
        <v>2988</v>
      </c>
      <c r="V881" s="20" t="s">
        <v>952</v>
      </c>
      <c r="W881" s="20" t="s">
        <v>280</v>
      </c>
      <c r="X881" s="20" t="s">
        <v>227</v>
      </c>
      <c r="Y881" s="20"/>
      <c r="Z881" s="20"/>
      <c r="AA881" s="20" t="s">
        <v>2667</v>
      </c>
      <c r="AB881" s="20" t="s">
        <v>1815</v>
      </c>
      <c r="AC881" s="24">
        <v>7</v>
      </c>
      <c r="AD881" s="24"/>
      <c r="AE881" s="24"/>
      <c r="AF881" s="24"/>
      <c r="AG881" s="24"/>
      <c r="AH881" s="20"/>
      <c r="AI881" s="42"/>
    </row>
    <row r="882" spans="1:35">
      <c r="A882" s="14"/>
      <c r="B882" s="20"/>
      <c r="C882" s="20"/>
      <c r="D882" s="20"/>
      <c r="E882" s="20"/>
      <c r="F882" s="20"/>
      <c r="G882" s="20"/>
      <c r="H882" s="20"/>
      <c r="I882" s="211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0"/>
      <c r="V882" s="20"/>
      <c r="W882" s="20"/>
      <c r="X882" s="20"/>
      <c r="Y882" s="20"/>
      <c r="Z882" s="20"/>
      <c r="AA882" s="20" t="s">
        <v>1961</v>
      </c>
      <c r="AB882" s="20" t="s">
        <v>1815</v>
      </c>
      <c r="AC882" s="24">
        <v>1</v>
      </c>
      <c r="AD882" s="24"/>
      <c r="AE882" s="24"/>
      <c r="AF882" s="24"/>
      <c r="AG882" s="24"/>
      <c r="AH882" s="20"/>
      <c r="AI882" s="42"/>
    </row>
    <row r="883" spans="1:35">
      <c r="A883" s="14"/>
      <c r="B883" s="20"/>
      <c r="C883" s="20"/>
      <c r="D883" s="20"/>
      <c r="E883" s="20"/>
      <c r="F883" s="20"/>
      <c r="G883" s="20"/>
      <c r="H883" s="20"/>
      <c r="I883" s="211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0"/>
      <c r="V883" s="20"/>
      <c r="W883" s="20"/>
      <c r="X883" s="20"/>
      <c r="Y883" s="20"/>
      <c r="Z883" s="20"/>
      <c r="AA883" s="20" t="s">
        <v>2055</v>
      </c>
      <c r="AB883" s="20" t="s">
        <v>526</v>
      </c>
      <c r="AC883" s="24">
        <v>58</v>
      </c>
      <c r="AD883" s="24"/>
      <c r="AE883" s="24"/>
      <c r="AF883" s="24"/>
      <c r="AG883" s="24"/>
      <c r="AH883" s="20"/>
      <c r="AI883" s="42"/>
    </row>
    <row r="884" spans="1:35">
      <c r="A884" s="14"/>
      <c r="B884" s="20"/>
      <c r="C884" s="84" t="s">
        <v>2420</v>
      </c>
      <c r="D884" s="20" t="s">
        <v>79</v>
      </c>
      <c r="E884" s="20" t="s">
        <v>80</v>
      </c>
      <c r="F884" s="20" t="s">
        <v>2985</v>
      </c>
      <c r="G884" s="20" t="s">
        <v>891</v>
      </c>
      <c r="H884" s="20" t="s">
        <v>588</v>
      </c>
      <c r="I884" s="211"/>
      <c r="J884" s="24">
        <v>1</v>
      </c>
      <c r="K884" s="24"/>
      <c r="L884" s="24">
        <v>1</v>
      </c>
      <c r="M884" s="24"/>
      <c r="N884" s="24"/>
      <c r="O884" s="24"/>
      <c r="P884" s="24"/>
      <c r="Q884" s="24"/>
      <c r="R884" s="24"/>
      <c r="S884" s="24"/>
      <c r="T884" s="24"/>
      <c r="U884" s="20" t="s">
        <v>2988</v>
      </c>
      <c r="V884" s="20" t="s">
        <v>952</v>
      </c>
      <c r="W884" s="20" t="s">
        <v>280</v>
      </c>
      <c r="X884" s="20" t="s">
        <v>227</v>
      </c>
      <c r="Y884" s="20"/>
      <c r="Z884" s="20"/>
      <c r="AA884" s="20" t="s">
        <v>2667</v>
      </c>
      <c r="AB884" s="20" t="s">
        <v>1815</v>
      </c>
      <c r="AC884" s="24">
        <v>7</v>
      </c>
      <c r="AD884" s="24"/>
      <c r="AE884" s="24"/>
      <c r="AF884" s="24"/>
      <c r="AG884" s="24"/>
      <c r="AH884" s="20"/>
      <c r="AI884" s="42"/>
    </row>
    <row r="885" spans="1:35">
      <c r="A885" s="14"/>
      <c r="B885" s="20"/>
      <c r="C885" s="20"/>
      <c r="D885" s="20"/>
      <c r="E885" s="20"/>
      <c r="F885" s="20"/>
      <c r="G885" s="20"/>
      <c r="H885" s="20"/>
      <c r="I885" s="211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0"/>
      <c r="V885" s="20"/>
      <c r="W885" s="20"/>
      <c r="X885" s="20"/>
      <c r="Y885" s="20"/>
      <c r="Z885" s="20"/>
      <c r="AA885" s="20" t="s">
        <v>1961</v>
      </c>
      <c r="AB885" s="20" t="s">
        <v>1815</v>
      </c>
      <c r="AC885" s="24">
        <v>1</v>
      </c>
      <c r="AD885" s="24"/>
      <c r="AE885" s="24"/>
      <c r="AF885" s="24"/>
      <c r="AG885" s="24"/>
      <c r="AH885" s="20"/>
      <c r="AI885" s="42"/>
    </row>
    <row r="886" spans="1:35">
      <c r="A886" s="14"/>
      <c r="B886" s="20"/>
      <c r="C886" s="20"/>
      <c r="D886" s="20"/>
      <c r="E886" s="20"/>
      <c r="F886" s="20"/>
      <c r="G886" s="20"/>
      <c r="H886" s="20"/>
      <c r="I886" s="211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0"/>
      <c r="V886" s="20"/>
      <c r="W886" s="20"/>
      <c r="X886" s="20"/>
      <c r="Y886" s="20"/>
      <c r="Z886" s="20"/>
      <c r="AA886" s="20" t="s">
        <v>2055</v>
      </c>
      <c r="AB886" s="20" t="s">
        <v>526</v>
      </c>
      <c r="AC886" s="24">
        <v>58</v>
      </c>
      <c r="AD886" s="24"/>
      <c r="AE886" s="24"/>
      <c r="AF886" s="24"/>
      <c r="AG886" s="24"/>
      <c r="AH886" s="20"/>
      <c r="AI886" s="42"/>
    </row>
    <row r="887" spans="1:35">
      <c r="A887" s="14"/>
      <c r="B887" s="20"/>
      <c r="C887" s="84" t="s">
        <v>2420</v>
      </c>
      <c r="D887" s="20" t="s">
        <v>79</v>
      </c>
      <c r="E887" s="20" t="s">
        <v>80</v>
      </c>
      <c r="F887" s="20" t="s">
        <v>2986</v>
      </c>
      <c r="G887" s="20" t="s">
        <v>1322</v>
      </c>
      <c r="H887" s="20" t="s">
        <v>120</v>
      </c>
      <c r="I887" s="211"/>
      <c r="J887" s="24">
        <v>1</v>
      </c>
      <c r="K887" s="24"/>
      <c r="L887" s="24">
        <v>1</v>
      </c>
      <c r="M887" s="24"/>
      <c r="N887" s="24"/>
      <c r="O887" s="24"/>
      <c r="P887" s="24"/>
      <c r="Q887" s="24"/>
      <c r="R887" s="24"/>
      <c r="S887" s="24"/>
      <c r="T887" s="24"/>
      <c r="U887" s="20" t="s">
        <v>2988</v>
      </c>
      <c r="V887" s="20" t="s">
        <v>952</v>
      </c>
      <c r="W887" s="20" t="s">
        <v>280</v>
      </c>
      <c r="X887" s="20" t="s">
        <v>227</v>
      </c>
      <c r="Y887" s="20"/>
      <c r="Z887" s="20"/>
      <c r="AA887" s="20" t="s">
        <v>2667</v>
      </c>
      <c r="AB887" s="20" t="s">
        <v>1815</v>
      </c>
      <c r="AC887" s="24">
        <v>7</v>
      </c>
      <c r="AD887" s="24"/>
      <c r="AE887" s="24"/>
      <c r="AF887" s="24"/>
      <c r="AG887" s="24"/>
      <c r="AH887" s="20"/>
      <c r="AI887" s="42"/>
    </row>
    <row r="888" spans="1:35">
      <c r="A888" s="14"/>
      <c r="B888" s="20"/>
      <c r="C888" s="20"/>
      <c r="D888" s="20"/>
      <c r="E888" s="20"/>
      <c r="F888" s="20"/>
      <c r="G888" s="20"/>
      <c r="H888" s="20"/>
      <c r="I888" s="211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0"/>
      <c r="V888" s="20"/>
      <c r="W888" s="20"/>
      <c r="X888" s="20"/>
      <c r="Y888" s="20"/>
      <c r="Z888" s="20"/>
      <c r="AA888" s="20" t="s">
        <v>1961</v>
      </c>
      <c r="AB888" s="20" t="s">
        <v>1815</v>
      </c>
      <c r="AC888" s="24">
        <v>1</v>
      </c>
      <c r="AD888" s="24"/>
      <c r="AE888" s="24"/>
      <c r="AF888" s="24"/>
      <c r="AG888" s="24"/>
      <c r="AH888" s="20"/>
      <c r="AI888" s="42"/>
    </row>
    <row r="889" spans="1:35">
      <c r="A889" s="14"/>
      <c r="B889" s="20"/>
      <c r="C889" s="20"/>
      <c r="D889" s="20"/>
      <c r="E889" s="20"/>
      <c r="F889" s="20"/>
      <c r="G889" s="20"/>
      <c r="H889" s="20"/>
      <c r="I889" s="211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0"/>
      <c r="V889" s="20"/>
      <c r="W889" s="20"/>
      <c r="X889" s="20"/>
      <c r="Y889" s="20"/>
      <c r="Z889" s="20"/>
      <c r="AA889" s="20" t="s">
        <v>2055</v>
      </c>
      <c r="AB889" s="20" t="s">
        <v>526</v>
      </c>
      <c r="AC889" s="24">
        <v>58</v>
      </c>
      <c r="AD889" s="24"/>
      <c r="AE889" s="24"/>
      <c r="AF889" s="24"/>
      <c r="AG889" s="24"/>
      <c r="AH889" s="20"/>
      <c r="AI889" s="42"/>
    </row>
    <row r="890" spans="1:35">
      <c r="A890" s="14"/>
      <c r="B890" s="20"/>
      <c r="C890" s="84" t="s">
        <v>2420</v>
      </c>
      <c r="D890" s="20" t="s">
        <v>79</v>
      </c>
      <c r="E890" s="20" t="s">
        <v>80</v>
      </c>
      <c r="F890" s="20" t="s">
        <v>2985</v>
      </c>
      <c r="G890" s="20" t="s">
        <v>2987</v>
      </c>
      <c r="H890" s="20" t="s">
        <v>588</v>
      </c>
      <c r="I890" s="211"/>
      <c r="J890" s="24">
        <v>1</v>
      </c>
      <c r="K890" s="24"/>
      <c r="L890" s="24">
        <v>1</v>
      </c>
      <c r="M890" s="24"/>
      <c r="N890" s="24"/>
      <c r="O890" s="24"/>
      <c r="P890" s="24"/>
      <c r="Q890" s="24"/>
      <c r="R890" s="24"/>
      <c r="S890" s="24"/>
      <c r="T890" s="24"/>
      <c r="U890" s="20" t="s">
        <v>2988</v>
      </c>
      <c r="V890" s="20" t="s">
        <v>952</v>
      </c>
      <c r="W890" s="20" t="s">
        <v>280</v>
      </c>
      <c r="X890" s="20" t="s">
        <v>227</v>
      </c>
      <c r="Y890" s="20"/>
      <c r="Z890" s="20"/>
      <c r="AA890" s="20" t="s">
        <v>2667</v>
      </c>
      <c r="AB890" s="20" t="s">
        <v>1815</v>
      </c>
      <c r="AC890" s="24">
        <v>7</v>
      </c>
      <c r="AD890" s="24"/>
      <c r="AE890" s="24"/>
      <c r="AF890" s="24"/>
      <c r="AG890" s="24"/>
      <c r="AH890" s="20"/>
      <c r="AI890" s="42"/>
    </row>
    <row r="891" spans="1:35">
      <c r="A891" s="14"/>
      <c r="B891" s="20"/>
      <c r="C891" s="20"/>
      <c r="D891" s="20"/>
      <c r="E891" s="20"/>
      <c r="F891" s="20"/>
      <c r="G891" s="20"/>
      <c r="H891" s="20"/>
      <c r="I891" s="211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0"/>
      <c r="V891" s="20"/>
      <c r="W891" s="20"/>
      <c r="X891" s="20"/>
      <c r="Y891" s="20"/>
      <c r="Z891" s="20"/>
      <c r="AA891" s="20" t="s">
        <v>1961</v>
      </c>
      <c r="AB891" s="20" t="s">
        <v>1815</v>
      </c>
      <c r="AC891" s="24">
        <v>1</v>
      </c>
      <c r="AD891" s="24"/>
      <c r="AE891" s="24"/>
      <c r="AF891" s="24"/>
      <c r="AG891" s="24"/>
      <c r="AH891" s="20"/>
      <c r="AI891" s="42"/>
    </row>
    <row r="892" spans="1:35">
      <c r="A892" s="14"/>
      <c r="B892" s="20"/>
      <c r="C892" s="20"/>
      <c r="D892" s="20"/>
      <c r="E892" s="20"/>
      <c r="F892" s="20"/>
      <c r="G892" s="20"/>
      <c r="H892" s="20"/>
      <c r="I892" s="211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0"/>
      <c r="V892" s="20"/>
      <c r="W892" s="20"/>
      <c r="X892" s="20"/>
      <c r="Y892" s="20"/>
      <c r="Z892" s="20"/>
      <c r="AA892" s="20" t="s">
        <v>2055</v>
      </c>
      <c r="AB892" s="20" t="s">
        <v>526</v>
      </c>
      <c r="AC892" s="24">
        <v>58</v>
      </c>
      <c r="AD892" s="24"/>
      <c r="AE892" s="24"/>
      <c r="AF892" s="24"/>
      <c r="AG892" s="24"/>
      <c r="AH892" s="20"/>
      <c r="AI892" s="42"/>
    </row>
    <row r="893" spans="1:35">
      <c r="A893" s="14"/>
      <c r="B893" s="20"/>
      <c r="C893" s="84" t="s">
        <v>2420</v>
      </c>
      <c r="D893" s="20" t="s">
        <v>79</v>
      </c>
      <c r="E893" s="20" t="s">
        <v>80</v>
      </c>
      <c r="F893" s="84" t="s">
        <v>2989</v>
      </c>
      <c r="G893" s="84" t="s">
        <v>2990</v>
      </c>
      <c r="H893" s="84" t="s">
        <v>133</v>
      </c>
      <c r="I893" s="211"/>
      <c r="J893" s="24">
        <v>1</v>
      </c>
      <c r="K893" s="24"/>
      <c r="L893" s="24">
        <v>1</v>
      </c>
      <c r="M893" s="24"/>
      <c r="N893" s="24"/>
      <c r="O893" s="24"/>
      <c r="P893" s="24"/>
      <c r="Q893" s="24"/>
      <c r="R893" s="24"/>
      <c r="S893" s="24"/>
      <c r="T893" s="24"/>
      <c r="U893" s="20" t="s">
        <v>2988</v>
      </c>
      <c r="V893" s="20" t="s">
        <v>952</v>
      </c>
      <c r="W893" s="20" t="s">
        <v>280</v>
      </c>
      <c r="X893" s="20" t="s">
        <v>227</v>
      </c>
      <c r="Y893" s="20"/>
      <c r="Z893" s="20"/>
      <c r="AA893" s="20" t="s">
        <v>2667</v>
      </c>
      <c r="AB893" s="20" t="s">
        <v>1815</v>
      </c>
      <c r="AC893" s="24">
        <v>7</v>
      </c>
      <c r="AD893" s="24"/>
      <c r="AE893" s="24"/>
      <c r="AF893" s="24"/>
      <c r="AG893" s="24"/>
      <c r="AH893" s="20"/>
      <c r="AI893" s="42"/>
    </row>
    <row r="894" spans="1:35">
      <c r="A894" s="14"/>
      <c r="B894" s="20"/>
      <c r="C894" s="20"/>
      <c r="D894" s="20"/>
      <c r="E894" s="20"/>
      <c r="F894" s="20"/>
      <c r="G894" s="20"/>
      <c r="H894" s="20"/>
      <c r="I894" s="211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0"/>
      <c r="V894" s="20"/>
      <c r="W894" s="20"/>
      <c r="X894" s="20"/>
      <c r="Y894" s="20"/>
      <c r="Z894" s="20"/>
      <c r="AA894" s="20" t="s">
        <v>1961</v>
      </c>
      <c r="AB894" s="20" t="s">
        <v>1815</v>
      </c>
      <c r="AC894" s="24">
        <v>1</v>
      </c>
      <c r="AD894" s="24"/>
      <c r="AE894" s="24"/>
      <c r="AF894" s="24"/>
      <c r="AG894" s="24"/>
      <c r="AH894" s="20"/>
      <c r="AI894" s="42"/>
    </row>
    <row r="895" spans="1:35">
      <c r="A895" s="14"/>
      <c r="B895" s="20"/>
      <c r="C895" s="20"/>
      <c r="D895" s="20"/>
      <c r="E895" s="20"/>
      <c r="F895" s="20"/>
      <c r="G895" s="20"/>
      <c r="H895" s="20"/>
      <c r="I895" s="211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0"/>
      <c r="V895" s="20"/>
      <c r="W895" s="20"/>
      <c r="X895" s="20"/>
      <c r="Y895" s="20"/>
      <c r="Z895" s="20"/>
      <c r="AA895" s="20" t="s">
        <v>2055</v>
      </c>
      <c r="AB895" s="20" t="s">
        <v>526</v>
      </c>
      <c r="AC895" s="24">
        <v>58</v>
      </c>
      <c r="AD895" s="24"/>
      <c r="AE895" s="24"/>
      <c r="AF895" s="24"/>
      <c r="AG895" s="24"/>
      <c r="AH895" s="20"/>
      <c r="AI895" s="42"/>
    </row>
    <row r="896" spans="1:35">
      <c r="A896" s="14"/>
      <c r="B896" s="20"/>
      <c r="C896" s="84" t="s">
        <v>2420</v>
      </c>
      <c r="D896" s="20" t="s">
        <v>79</v>
      </c>
      <c r="E896" s="20" t="s">
        <v>80</v>
      </c>
      <c r="F896" s="84" t="s">
        <v>2991</v>
      </c>
      <c r="G896" s="84" t="s">
        <v>2992</v>
      </c>
      <c r="H896" s="84" t="s">
        <v>115</v>
      </c>
      <c r="I896" s="211"/>
      <c r="J896" s="24">
        <v>1</v>
      </c>
      <c r="K896" s="24"/>
      <c r="L896" s="24">
        <v>1</v>
      </c>
      <c r="M896" s="24"/>
      <c r="N896" s="24"/>
      <c r="O896" s="24"/>
      <c r="P896" s="24"/>
      <c r="Q896" s="24"/>
      <c r="R896" s="24"/>
      <c r="S896" s="24"/>
      <c r="T896" s="24"/>
      <c r="U896" s="20" t="s">
        <v>2988</v>
      </c>
      <c r="V896" s="20" t="s">
        <v>952</v>
      </c>
      <c r="W896" s="20" t="s">
        <v>280</v>
      </c>
      <c r="X896" s="20" t="s">
        <v>227</v>
      </c>
      <c r="Y896" s="20"/>
      <c r="Z896" s="20"/>
      <c r="AA896" s="20" t="s">
        <v>2667</v>
      </c>
      <c r="AB896" s="20" t="s">
        <v>1815</v>
      </c>
      <c r="AC896" s="24">
        <v>7</v>
      </c>
      <c r="AD896" s="24"/>
      <c r="AE896" s="24"/>
      <c r="AF896" s="24"/>
      <c r="AG896" s="24"/>
      <c r="AH896" s="20"/>
      <c r="AI896" s="42"/>
    </row>
    <row r="897" spans="1:35">
      <c r="A897" s="14"/>
      <c r="B897" s="20"/>
      <c r="C897" s="20"/>
      <c r="D897" s="20"/>
      <c r="E897" s="20"/>
      <c r="F897" s="20"/>
      <c r="G897" s="20"/>
      <c r="H897" s="20"/>
      <c r="I897" s="211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0"/>
      <c r="V897" s="20"/>
      <c r="W897" s="20"/>
      <c r="X897" s="20"/>
      <c r="Y897" s="20"/>
      <c r="Z897" s="20"/>
      <c r="AA897" s="20" t="s">
        <v>1961</v>
      </c>
      <c r="AB897" s="20" t="s">
        <v>1815</v>
      </c>
      <c r="AC897" s="24">
        <v>1</v>
      </c>
      <c r="AD897" s="24"/>
      <c r="AE897" s="24"/>
      <c r="AF897" s="24"/>
      <c r="AG897" s="24"/>
      <c r="AH897" s="20"/>
      <c r="AI897" s="42"/>
    </row>
    <row r="898" spans="1:35">
      <c r="A898" s="14"/>
      <c r="B898" s="20" t="s">
        <v>93</v>
      </c>
      <c r="C898" s="20"/>
      <c r="D898" s="20"/>
      <c r="E898" s="20"/>
      <c r="F898" s="20"/>
      <c r="G898" s="20"/>
      <c r="H898" s="20"/>
      <c r="I898" s="211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0"/>
      <c r="V898" s="20"/>
      <c r="W898" s="20"/>
      <c r="X898" s="20"/>
      <c r="Y898" s="20"/>
      <c r="Z898" s="20"/>
      <c r="AA898" s="20" t="s">
        <v>2055</v>
      </c>
      <c r="AB898" s="20" t="s">
        <v>526</v>
      </c>
      <c r="AC898" s="24">
        <v>58</v>
      </c>
      <c r="AD898" s="24"/>
      <c r="AE898" s="24"/>
      <c r="AF898" s="24"/>
      <c r="AG898" s="24"/>
      <c r="AH898" s="20"/>
      <c r="AI898" s="42"/>
    </row>
    <row r="899" spans="1:35">
      <c r="A899" s="14"/>
      <c r="B899" s="20" t="s">
        <v>93</v>
      </c>
      <c r="C899" s="84" t="s">
        <v>2420</v>
      </c>
      <c r="D899" s="20" t="s">
        <v>79</v>
      </c>
      <c r="E899" s="20" t="s">
        <v>80</v>
      </c>
      <c r="F899" s="84" t="s">
        <v>2993</v>
      </c>
      <c r="G899" s="84" t="s">
        <v>2994</v>
      </c>
      <c r="H899" s="20"/>
      <c r="I899" s="211"/>
      <c r="J899" s="24">
        <v>1</v>
      </c>
      <c r="K899" s="24"/>
      <c r="L899" s="24">
        <v>1</v>
      </c>
      <c r="M899" s="24"/>
      <c r="N899" s="24"/>
      <c r="O899" s="24"/>
      <c r="P899" s="24"/>
      <c r="Q899" s="24"/>
      <c r="R899" s="24"/>
      <c r="S899" s="24"/>
      <c r="T899" s="24"/>
      <c r="U899" s="20" t="s">
        <v>2988</v>
      </c>
      <c r="V899" s="20" t="s">
        <v>952</v>
      </c>
      <c r="W899" s="20" t="s">
        <v>280</v>
      </c>
      <c r="X899" s="20" t="s">
        <v>227</v>
      </c>
      <c r="Y899" s="20"/>
      <c r="Z899" s="20"/>
      <c r="AA899" s="20" t="s">
        <v>2667</v>
      </c>
      <c r="AB899" s="20" t="s">
        <v>1815</v>
      </c>
      <c r="AC899" s="24">
        <v>7</v>
      </c>
      <c r="AD899" s="24"/>
      <c r="AE899" s="24"/>
      <c r="AF899" s="24"/>
      <c r="AG899" s="24"/>
      <c r="AH899" s="20"/>
      <c r="AI899" s="42"/>
    </row>
    <row r="900" spans="1:35">
      <c r="A900" s="14"/>
      <c r="B900" s="20"/>
      <c r="C900" s="20"/>
      <c r="D900" s="20"/>
      <c r="E900" s="20"/>
      <c r="F900" s="20"/>
      <c r="G900" s="20"/>
      <c r="H900" s="20"/>
      <c r="I900" s="211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0"/>
      <c r="V900" s="20"/>
      <c r="W900" s="20"/>
      <c r="X900" s="20"/>
      <c r="Y900" s="20"/>
      <c r="Z900" s="20"/>
      <c r="AA900" s="20" t="s">
        <v>1961</v>
      </c>
      <c r="AB900" s="20" t="s">
        <v>1815</v>
      </c>
      <c r="AC900" s="24">
        <v>1</v>
      </c>
      <c r="AD900" s="24"/>
      <c r="AE900" s="24"/>
      <c r="AF900" s="24"/>
      <c r="AG900" s="24"/>
      <c r="AH900" s="20"/>
      <c r="AI900" s="42"/>
    </row>
    <row r="901" spans="1:35">
      <c r="A901" s="14"/>
      <c r="B901" s="20"/>
      <c r="C901" s="20"/>
      <c r="D901" s="20"/>
      <c r="E901" s="20"/>
      <c r="F901" s="20"/>
      <c r="G901" s="20"/>
      <c r="H901" s="20"/>
      <c r="I901" s="211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0"/>
      <c r="V901" s="20"/>
      <c r="W901" s="20"/>
      <c r="X901" s="20"/>
      <c r="Y901" s="20"/>
      <c r="Z901" s="20"/>
      <c r="AA901" s="20" t="s">
        <v>2055</v>
      </c>
      <c r="AB901" s="20" t="s">
        <v>526</v>
      </c>
      <c r="AC901" s="24">
        <v>58</v>
      </c>
      <c r="AD901" s="24"/>
      <c r="AE901" s="24"/>
      <c r="AF901" s="24"/>
      <c r="AG901" s="24"/>
      <c r="AH901" s="20"/>
      <c r="AI901" s="42"/>
    </row>
    <row r="902" spans="1:35">
      <c r="A902" s="14"/>
      <c r="B902" s="20"/>
      <c r="C902" s="84" t="s">
        <v>2420</v>
      </c>
      <c r="D902" s="20" t="s">
        <v>79</v>
      </c>
      <c r="E902" s="20" t="s">
        <v>80</v>
      </c>
      <c r="F902" s="84" t="s">
        <v>2995</v>
      </c>
      <c r="G902" s="84" t="s">
        <v>2996</v>
      </c>
      <c r="H902" s="84" t="s">
        <v>115</v>
      </c>
      <c r="I902" s="211"/>
      <c r="J902" s="24">
        <v>1</v>
      </c>
      <c r="K902" s="24"/>
      <c r="L902" s="24">
        <v>1</v>
      </c>
      <c r="M902" s="24"/>
      <c r="N902" s="24"/>
      <c r="O902" s="24"/>
      <c r="P902" s="24"/>
      <c r="Q902" s="24"/>
      <c r="R902" s="24"/>
      <c r="S902" s="24"/>
      <c r="T902" s="24"/>
      <c r="U902" s="20" t="s">
        <v>2988</v>
      </c>
      <c r="V902" s="20" t="s">
        <v>952</v>
      </c>
      <c r="W902" s="20" t="s">
        <v>280</v>
      </c>
      <c r="X902" s="20" t="s">
        <v>227</v>
      </c>
      <c r="Y902" s="20"/>
      <c r="Z902" s="20"/>
      <c r="AA902" s="20" t="s">
        <v>2667</v>
      </c>
      <c r="AB902" s="20" t="s">
        <v>1815</v>
      </c>
      <c r="AC902" s="24">
        <v>7</v>
      </c>
      <c r="AD902" s="24"/>
      <c r="AE902" s="24"/>
      <c r="AF902" s="24"/>
      <c r="AG902" s="24"/>
      <c r="AH902" s="20"/>
      <c r="AI902" s="42"/>
    </row>
    <row r="903" spans="1:35">
      <c r="A903" s="14"/>
      <c r="B903" s="20"/>
      <c r="C903" s="20"/>
      <c r="D903" s="20"/>
      <c r="E903" s="20"/>
      <c r="F903" s="20"/>
      <c r="G903" s="20"/>
      <c r="H903" s="20"/>
      <c r="I903" s="211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0"/>
      <c r="V903" s="20"/>
      <c r="W903" s="20"/>
      <c r="X903" s="20"/>
      <c r="Y903" s="20"/>
      <c r="Z903" s="20"/>
      <c r="AA903" s="20" t="s">
        <v>1961</v>
      </c>
      <c r="AB903" s="20" t="s">
        <v>1815</v>
      </c>
      <c r="AC903" s="24">
        <v>1</v>
      </c>
      <c r="AD903" s="24"/>
      <c r="AE903" s="24"/>
      <c r="AF903" s="24"/>
      <c r="AG903" s="24"/>
      <c r="AH903" s="20"/>
      <c r="AI903" s="42"/>
    </row>
    <row r="904" spans="1:35">
      <c r="A904" s="14"/>
      <c r="B904" s="20"/>
      <c r="C904" s="20"/>
      <c r="D904" s="20"/>
      <c r="E904" s="20"/>
      <c r="F904" s="20"/>
      <c r="G904" s="20"/>
      <c r="H904" s="20"/>
      <c r="I904" s="211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0"/>
      <c r="V904" s="20"/>
      <c r="W904" s="20"/>
      <c r="X904" s="20"/>
      <c r="Y904" s="20"/>
      <c r="Z904" s="20"/>
      <c r="AA904" s="20" t="s">
        <v>2055</v>
      </c>
      <c r="AB904" s="20" t="s">
        <v>526</v>
      </c>
      <c r="AC904" s="24">
        <v>58</v>
      </c>
      <c r="AD904" s="24"/>
      <c r="AE904" s="24"/>
      <c r="AF904" s="24"/>
      <c r="AG904" s="24"/>
      <c r="AH904" s="20"/>
      <c r="AI904" s="42"/>
    </row>
    <row r="905" spans="1:35">
      <c r="A905" s="14"/>
      <c r="B905" s="20"/>
      <c r="C905" s="84" t="s">
        <v>2420</v>
      </c>
      <c r="D905" s="20" t="s">
        <v>79</v>
      </c>
      <c r="E905" s="20" t="s">
        <v>80</v>
      </c>
      <c r="F905" s="84" t="s">
        <v>2997</v>
      </c>
      <c r="G905" s="84" t="s">
        <v>185</v>
      </c>
      <c r="H905" s="84" t="s">
        <v>133</v>
      </c>
      <c r="I905" s="211"/>
      <c r="J905" s="24">
        <v>1</v>
      </c>
      <c r="K905" s="24"/>
      <c r="L905" s="24">
        <v>1</v>
      </c>
      <c r="M905" s="24"/>
      <c r="N905" s="24"/>
      <c r="O905" s="24"/>
      <c r="P905" s="24"/>
      <c r="Q905" s="24"/>
      <c r="R905" s="24"/>
      <c r="S905" s="24"/>
      <c r="T905" s="24"/>
      <c r="U905" s="20" t="s">
        <v>2988</v>
      </c>
      <c r="V905" s="20" t="s">
        <v>952</v>
      </c>
      <c r="W905" s="20" t="s">
        <v>280</v>
      </c>
      <c r="X905" s="20" t="s">
        <v>227</v>
      </c>
      <c r="Y905" s="20"/>
      <c r="Z905" s="20"/>
      <c r="AA905" s="20" t="s">
        <v>2667</v>
      </c>
      <c r="AB905" s="20" t="s">
        <v>1815</v>
      </c>
      <c r="AC905" s="24">
        <v>6</v>
      </c>
      <c r="AD905" s="24"/>
      <c r="AE905" s="24"/>
      <c r="AF905" s="24"/>
      <c r="AG905" s="24"/>
      <c r="AH905" s="20"/>
      <c r="AI905" s="42"/>
    </row>
    <row r="906" spans="1:35">
      <c r="A906" s="14"/>
      <c r="B906" s="20"/>
      <c r="C906" s="20"/>
      <c r="D906" s="20"/>
      <c r="E906" s="20"/>
      <c r="F906" s="20"/>
      <c r="G906" s="20"/>
      <c r="H906" s="20"/>
      <c r="I906" s="211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0"/>
      <c r="V906" s="20"/>
      <c r="W906" s="20"/>
      <c r="X906" s="20"/>
      <c r="Y906" s="20"/>
      <c r="Z906" s="20"/>
      <c r="AA906" s="20" t="s">
        <v>1961</v>
      </c>
      <c r="AB906" s="20" t="s">
        <v>1815</v>
      </c>
      <c r="AC906" s="24">
        <v>1</v>
      </c>
      <c r="AD906" s="24"/>
      <c r="AE906" s="24"/>
      <c r="AF906" s="24"/>
      <c r="AG906" s="24"/>
      <c r="AH906" s="20"/>
      <c r="AI906" s="42"/>
    </row>
    <row r="907" spans="1:35">
      <c r="A907" s="14"/>
      <c r="B907" s="20"/>
      <c r="C907" s="20"/>
      <c r="D907" s="20"/>
      <c r="E907" s="20"/>
      <c r="F907" s="20"/>
      <c r="G907" s="20"/>
      <c r="H907" s="20"/>
      <c r="I907" s="211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0"/>
      <c r="V907" s="20"/>
      <c r="W907" s="20"/>
      <c r="X907" s="20"/>
      <c r="Y907" s="20"/>
      <c r="Z907" s="20"/>
      <c r="AA907" s="20" t="s">
        <v>2055</v>
      </c>
      <c r="AB907" s="20" t="s">
        <v>526</v>
      </c>
      <c r="AC907" s="24">
        <v>59</v>
      </c>
      <c r="AD907" s="24"/>
      <c r="AE907" s="24"/>
      <c r="AF907" s="24"/>
      <c r="AG907" s="24"/>
      <c r="AH907" s="20"/>
      <c r="AI907" s="42"/>
    </row>
    <row r="908" spans="1:35">
      <c r="A908" s="14"/>
      <c r="B908" s="20"/>
      <c r="C908" s="84" t="s">
        <v>2420</v>
      </c>
      <c r="D908" s="20" t="s">
        <v>79</v>
      </c>
      <c r="E908" s="20" t="s">
        <v>80</v>
      </c>
      <c r="F908" s="84" t="s">
        <v>2998</v>
      </c>
      <c r="G908" s="84" t="s">
        <v>2375</v>
      </c>
      <c r="H908" s="84" t="s">
        <v>120</v>
      </c>
      <c r="I908" s="211"/>
      <c r="J908" s="24">
        <v>1</v>
      </c>
      <c r="K908" s="24"/>
      <c r="L908" s="24">
        <v>1</v>
      </c>
      <c r="M908" s="24"/>
      <c r="N908" s="24"/>
      <c r="O908" s="24"/>
      <c r="P908" s="24"/>
      <c r="Q908" s="24"/>
      <c r="R908" s="24"/>
      <c r="S908" s="24"/>
      <c r="T908" s="24"/>
      <c r="U908" s="20" t="s">
        <v>2988</v>
      </c>
      <c r="V908" s="20" t="s">
        <v>952</v>
      </c>
      <c r="W908" s="20" t="s">
        <v>280</v>
      </c>
      <c r="X908" s="20" t="s">
        <v>227</v>
      </c>
      <c r="Y908" s="20"/>
      <c r="Z908" s="20"/>
      <c r="AA908" s="20" t="s">
        <v>2667</v>
      </c>
      <c r="AB908" s="20" t="s">
        <v>1815</v>
      </c>
      <c r="AC908" s="24">
        <v>6</v>
      </c>
      <c r="AD908" s="24"/>
      <c r="AE908" s="24"/>
      <c r="AF908" s="24"/>
      <c r="AG908" s="24"/>
      <c r="AH908" s="20"/>
      <c r="AI908" s="42"/>
    </row>
    <row r="909" spans="1:35">
      <c r="A909" s="14"/>
      <c r="B909" s="84" t="s">
        <v>93</v>
      </c>
      <c r="C909" s="20"/>
      <c r="D909" s="20"/>
      <c r="E909" s="20"/>
      <c r="F909" s="20"/>
      <c r="G909" s="20"/>
      <c r="H909" s="20"/>
      <c r="I909" s="211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0"/>
      <c r="V909" s="20"/>
      <c r="W909" s="20"/>
      <c r="X909" s="20"/>
      <c r="Y909" s="20"/>
      <c r="Z909" s="20"/>
      <c r="AA909" s="20" t="s">
        <v>1961</v>
      </c>
      <c r="AB909" s="20" t="s">
        <v>1815</v>
      </c>
      <c r="AC909" s="24">
        <v>1</v>
      </c>
      <c r="AD909" s="24"/>
      <c r="AE909" s="24"/>
      <c r="AF909" s="24"/>
      <c r="AG909" s="24"/>
      <c r="AH909" s="20"/>
      <c r="AI909" s="42"/>
    </row>
    <row r="910" spans="1:35">
      <c r="A910" s="14"/>
      <c r="B910" s="20"/>
      <c r="C910" s="20"/>
      <c r="D910" s="20"/>
      <c r="E910" s="20"/>
      <c r="F910" s="20"/>
      <c r="G910" s="20"/>
      <c r="H910" s="20"/>
      <c r="I910" s="211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0"/>
      <c r="V910" s="20"/>
      <c r="W910" s="20"/>
      <c r="X910" s="20"/>
      <c r="Y910" s="20"/>
      <c r="Z910" s="20"/>
      <c r="AA910" s="20" t="s">
        <v>2055</v>
      </c>
      <c r="AB910" s="20" t="s">
        <v>526</v>
      </c>
      <c r="AC910" s="24">
        <v>59</v>
      </c>
      <c r="AD910" s="24"/>
      <c r="AE910" s="24"/>
      <c r="AF910" s="24"/>
      <c r="AG910" s="24"/>
      <c r="AH910" s="20"/>
      <c r="AI910" s="42"/>
    </row>
    <row r="911" spans="1:35">
      <c r="A911" s="14"/>
      <c r="B911" s="20"/>
      <c r="C911" s="84" t="s">
        <v>2420</v>
      </c>
      <c r="D911" s="20" t="s">
        <v>79</v>
      </c>
      <c r="E911" s="20" t="s">
        <v>80</v>
      </c>
      <c r="F911" s="84" t="s">
        <v>2999</v>
      </c>
      <c r="G911" s="84" t="s">
        <v>3000</v>
      </c>
      <c r="H911" s="84" t="s">
        <v>3001</v>
      </c>
      <c r="I911" s="211"/>
      <c r="J911" s="24">
        <v>1</v>
      </c>
      <c r="K911" s="24"/>
      <c r="L911" s="24">
        <v>1</v>
      </c>
      <c r="M911" s="24"/>
      <c r="N911" s="24"/>
      <c r="O911" s="24"/>
      <c r="P911" s="24"/>
      <c r="Q911" s="24"/>
      <c r="R911" s="24"/>
      <c r="S911" s="24"/>
      <c r="T911" s="24"/>
      <c r="U911" s="20" t="s">
        <v>2988</v>
      </c>
      <c r="V911" s="20" t="s">
        <v>952</v>
      </c>
      <c r="W911" s="20" t="s">
        <v>280</v>
      </c>
      <c r="X911" s="20" t="s">
        <v>227</v>
      </c>
      <c r="Y911" s="20"/>
      <c r="Z911" s="20"/>
      <c r="AA911" s="20" t="s">
        <v>2667</v>
      </c>
      <c r="AB911" s="20" t="s">
        <v>1815</v>
      </c>
      <c r="AC911" s="24">
        <v>6</v>
      </c>
      <c r="AD911" s="24"/>
      <c r="AE911" s="24"/>
      <c r="AF911" s="24"/>
      <c r="AG911" s="24"/>
      <c r="AH911" s="20"/>
      <c r="AI911" s="42"/>
    </row>
    <row r="912" spans="1:35">
      <c r="A912" s="14"/>
      <c r="B912" s="20"/>
      <c r="C912" s="20"/>
      <c r="D912" s="20"/>
      <c r="E912" s="20"/>
      <c r="F912" s="20"/>
      <c r="G912" s="20"/>
      <c r="H912" s="20"/>
      <c r="I912" s="211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0"/>
      <c r="V912" s="20"/>
      <c r="W912" s="20"/>
      <c r="X912" s="20"/>
      <c r="Y912" s="20"/>
      <c r="Z912" s="20"/>
      <c r="AA912" s="20" t="s">
        <v>2055</v>
      </c>
      <c r="AB912" s="20" t="s">
        <v>526</v>
      </c>
      <c r="AC912" s="24">
        <v>59</v>
      </c>
      <c r="AD912" s="24"/>
      <c r="AE912" s="24"/>
      <c r="AF912" s="24"/>
      <c r="AG912" s="24"/>
      <c r="AH912" s="20"/>
      <c r="AI912" s="42"/>
    </row>
    <row r="913" spans="1:35">
      <c r="A913" s="14"/>
      <c r="B913" s="20"/>
      <c r="C913" s="84" t="s">
        <v>2420</v>
      </c>
      <c r="D913" s="20" t="s">
        <v>79</v>
      </c>
      <c r="E913" s="20" t="s">
        <v>80</v>
      </c>
      <c r="F913" s="84" t="s">
        <v>2301</v>
      </c>
      <c r="G913" s="84" t="s">
        <v>3002</v>
      </c>
      <c r="H913" s="84" t="s">
        <v>115</v>
      </c>
      <c r="I913" s="211"/>
      <c r="J913" s="24">
        <v>1</v>
      </c>
      <c r="K913" s="24"/>
      <c r="L913" s="24">
        <v>1</v>
      </c>
      <c r="M913" s="24"/>
      <c r="N913" s="24"/>
      <c r="O913" s="24"/>
      <c r="P913" s="24"/>
      <c r="Q913" s="24"/>
      <c r="R913" s="24"/>
      <c r="S913" s="24"/>
      <c r="T913" s="24"/>
      <c r="U913" s="20" t="s">
        <v>2988</v>
      </c>
      <c r="V913" s="20" t="s">
        <v>952</v>
      </c>
      <c r="W913" s="20" t="s">
        <v>298</v>
      </c>
      <c r="X913" s="20" t="s">
        <v>227</v>
      </c>
      <c r="Y913" s="20"/>
      <c r="Z913" s="20"/>
      <c r="AA913" s="20" t="s">
        <v>2667</v>
      </c>
      <c r="AB913" s="20" t="s">
        <v>1815</v>
      </c>
      <c r="AC913" s="24">
        <v>6</v>
      </c>
      <c r="AD913" s="24"/>
      <c r="AE913" s="24"/>
      <c r="AF913" s="24"/>
      <c r="AG913" s="24"/>
      <c r="AH913" s="20"/>
      <c r="AI913" s="42"/>
    </row>
    <row r="914" spans="1:35">
      <c r="A914" s="14"/>
      <c r="B914" s="20"/>
      <c r="C914" s="20"/>
      <c r="D914" s="20"/>
      <c r="E914" s="20"/>
      <c r="F914" s="20"/>
      <c r="G914" s="20"/>
      <c r="H914" s="20"/>
      <c r="I914" s="211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0"/>
      <c r="V914" s="20"/>
      <c r="W914" s="20"/>
      <c r="X914" s="20"/>
      <c r="Y914" s="20"/>
      <c r="Z914" s="20"/>
      <c r="AA914" s="20" t="s">
        <v>2055</v>
      </c>
      <c r="AB914" s="20" t="s">
        <v>526</v>
      </c>
      <c r="AC914" s="24">
        <v>59</v>
      </c>
      <c r="AD914" s="24"/>
      <c r="AE914" s="24"/>
      <c r="AF914" s="24"/>
      <c r="AG914" s="24"/>
      <c r="AH914" s="20"/>
      <c r="AI914" s="42"/>
    </row>
    <row r="915" spans="1:35">
      <c r="A915" s="14"/>
      <c r="B915" s="20"/>
      <c r="C915" s="84" t="s">
        <v>2420</v>
      </c>
      <c r="D915" s="20" t="s">
        <v>79</v>
      </c>
      <c r="E915" s="20" t="s">
        <v>80</v>
      </c>
      <c r="F915" s="84" t="s">
        <v>1886</v>
      </c>
      <c r="G915" s="84" t="s">
        <v>3003</v>
      </c>
      <c r="H915" s="84" t="s">
        <v>115</v>
      </c>
      <c r="I915" s="211"/>
      <c r="J915" s="24">
        <v>1</v>
      </c>
      <c r="K915" s="24"/>
      <c r="L915" s="24">
        <v>1</v>
      </c>
      <c r="M915" s="24"/>
      <c r="N915" s="24"/>
      <c r="O915" s="24"/>
      <c r="P915" s="24"/>
      <c r="Q915" s="24"/>
      <c r="R915" s="24"/>
      <c r="S915" s="24"/>
      <c r="T915" s="24"/>
      <c r="U915" s="20" t="s">
        <v>2988</v>
      </c>
      <c r="V915" s="20" t="s">
        <v>952</v>
      </c>
      <c r="W915" s="20" t="s">
        <v>1921</v>
      </c>
      <c r="X915" s="20" t="s">
        <v>227</v>
      </c>
      <c r="Y915" s="20"/>
      <c r="Z915" s="20"/>
      <c r="AA915" s="20" t="s">
        <v>2667</v>
      </c>
      <c r="AB915" s="20" t="s">
        <v>1815</v>
      </c>
      <c r="AC915" s="24">
        <v>6</v>
      </c>
      <c r="AD915" s="24"/>
      <c r="AE915" s="24"/>
      <c r="AF915" s="24"/>
      <c r="AG915" s="24"/>
      <c r="AH915" s="20"/>
      <c r="AI915" s="42"/>
    </row>
    <row r="916" spans="1:35">
      <c r="A916" s="14"/>
      <c r="B916" s="20"/>
      <c r="C916" s="20"/>
      <c r="D916" s="20"/>
      <c r="E916" s="20"/>
      <c r="F916" s="20"/>
      <c r="G916" s="20"/>
      <c r="H916" s="20"/>
      <c r="I916" s="211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0"/>
      <c r="V916" s="20"/>
      <c r="W916" s="20"/>
      <c r="X916" s="20"/>
      <c r="Y916" s="20"/>
      <c r="Z916" s="20"/>
      <c r="AA916" s="20" t="s">
        <v>2055</v>
      </c>
      <c r="AB916" s="20" t="s">
        <v>526</v>
      </c>
      <c r="AC916" s="24">
        <v>60</v>
      </c>
      <c r="AD916" s="24"/>
      <c r="AE916" s="24"/>
      <c r="AF916" s="24"/>
      <c r="AG916" s="24"/>
      <c r="AH916" s="20"/>
      <c r="AI916" s="42"/>
    </row>
    <row r="917" spans="1:35">
      <c r="A917" s="14"/>
      <c r="B917" s="20"/>
      <c r="C917" s="84" t="s">
        <v>2420</v>
      </c>
      <c r="D917" s="20" t="s">
        <v>79</v>
      </c>
      <c r="E917" s="20" t="s">
        <v>80</v>
      </c>
      <c r="F917" s="84" t="s">
        <v>3004</v>
      </c>
      <c r="G917" s="84" t="s">
        <v>3003</v>
      </c>
      <c r="H917" s="84" t="s">
        <v>115</v>
      </c>
      <c r="I917" s="211"/>
      <c r="J917" s="24">
        <v>1</v>
      </c>
      <c r="K917" s="24"/>
      <c r="L917" s="24">
        <v>1</v>
      </c>
      <c r="M917" s="24"/>
      <c r="N917" s="24"/>
      <c r="O917" s="24"/>
      <c r="P917" s="24"/>
      <c r="Q917" s="24"/>
      <c r="R917" s="24"/>
      <c r="S917" s="24"/>
      <c r="T917" s="24"/>
      <c r="U917" s="20" t="s">
        <v>2988</v>
      </c>
      <c r="V917" s="20" t="s">
        <v>952</v>
      </c>
      <c r="W917" s="20" t="s">
        <v>3005</v>
      </c>
      <c r="X917" s="20" t="s">
        <v>227</v>
      </c>
      <c r="Y917" s="20"/>
      <c r="Z917" s="20"/>
      <c r="AA917" s="20" t="s">
        <v>2667</v>
      </c>
      <c r="AB917" s="20" t="s">
        <v>1815</v>
      </c>
      <c r="AC917" s="24">
        <v>6</v>
      </c>
      <c r="AD917" s="24"/>
      <c r="AE917" s="24"/>
      <c r="AF917" s="24"/>
      <c r="AG917" s="24"/>
      <c r="AH917" s="20"/>
      <c r="AI917" s="42"/>
    </row>
    <row r="918" spans="1:35">
      <c r="A918" s="14"/>
      <c r="B918" s="20"/>
      <c r="C918" s="20"/>
      <c r="D918" s="20"/>
      <c r="E918" s="20"/>
      <c r="F918" s="20"/>
      <c r="G918" s="20"/>
      <c r="H918" s="20"/>
      <c r="I918" s="211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0"/>
      <c r="V918" s="20"/>
      <c r="W918" s="20"/>
      <c r="X918" s="20"/>
      <c r="Y918" s="20"/>
      <c r="Z918" s="20"/>
      <c r="AA918" s="20" t="s">
        <v>2055</v>
      </c>
      <c r="AB918" s="20" t="s">
        <v>526</v>
      </c>
      <c r="AC918" s="24">
        <v>60</v>
      </c>
      <c r="AD918" s="24"/>
      <c r="AE918" s="24"/>
      <c r="AF918" s="24"/>
      <c r="AG918" s="24"/>
      <c r="AH918" s="20"/>
      <c r="AI918" s="42"/>
    </row>
    <row r="919" spans="1:35">
      <c r="A919" s="14"/>
      <c r="B919" s="20"/>
      <c r="C919" s="84" t="s">
        <v>2420</v>
      </c>
      <c r="D919" s="20" t="s">
        <v>79</v>
      </c>
      <c r="E919" s="20" t="s">
        <v>80</v>
      </c>
      <c r="F919" s="84" t="s">
        <v>3006</v>
      </c>
      <c r="G919" s="84" t="s">
        <v>3007</v>
      </c>
      <c r="H919" s="20"/>
      <c r="I919" s="211"/>
      <c r="J919" s="24">
        <v>1</v>
      </c>
      <c r="K919" s="24"/>
      <c r="L919" s="24">
        <v>1</v>
      </c>
      <c r="M919" s="24"/>
      <c r="N919" s="24"/>
      <c r="O919" s="24"/>
      <c r="P919" s="24"/>
      <c r="Q919" s="24"/>
      <c r="R919" s="24"/>
      <c r="S919" s="24"/>
      <c r="T919" s="24"/>
      <c r="U919" s="20" t="s">
        <v>2988</v>
      </c>
      <c r="V919" s="20" t="s">
        <v>952</v>
      </c>
      <c r="W919" s="20" t="s">
        <v>3008</v>
      </c>
      <c r="X919" s="20" t="s">
        <v>227</v>
      </c>
      <c r="Y919" s="20"/>
      <c r="Z919" s="20"/>
      <c r="AA919" s="20" t="s">
        <v>2667</v>
      </c>
      <c r="AB919" s="20" t="s">
        <v>1815</v>
      </c>
      <c r="AC919" s="24">
        <v>6</v>
      </c>
      <c r="AD919" s="24"/>
      <c r="AE919" s="24"/>
      <c r="AF919" s="24"/>
      <c r="AG919" s="24"/>
      <c r="AH919" s="20"/>
      <c r="AI919" s="42"/>
    </row>
    <row r="920" spans="1:35">
      <c r="A920" s="14"/>
      <c r="B920" s="20"/>
      <c r="C920" s="20"/>
      <c r="D920" s="20"/>
      <c r="E920" s="20"/>
      <c r="F920" s="20"/>
      <c r="G920" s="20"/>
      <c r="H920" s="20"/>
      <c r="I920" s="211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0"/>
      <c r="V920" s="20"/>
      <c r="W920" s="20"/>
      <c r="X920" s="20"/>
      <c r="Y920" s="20"/>
      <c r="Z920" s="20"/>
      <c r="AA920" s="20" t="s">
        <v>2055</v>
      </c>
      <c r="AB920" s="20" t="s">
        <v>526</v>
      </c>
      <c r="AC920" s="24">
        <v>60</v>
      </c>
      <c r="AD920" s="24"/>
      <c r="AE920" s="24"/>
      <c r="AF920" s="24"/>
      <c r="AG920" s="24"/>
      <c r="AH920" s="20"/>
      <c r="AI920" s="42"/>
    </row>
    <row r="921" spans="1:35">
      <c r="A921" s="14"/>
      <c r="B921" s="20"/>
      <c r="C921" s="84" t="s">
        <v>2420</v>
      </c>
      <c r="D921" s="20" t="s">
        <v>79</v>
      </c>
      <c r="E921" s="20" t="s">
        <v>80</v>
      </c>
      <c r="F921" s="84" t="s">
        <v>3009</v>
      </c>
      <c r="G921" s="84" t="s">
        <v>3003</v>
      </c>
      <c r="H921" s="84" t="s">
        <v>588</v>
      </c>
      <c r="I921" s="211"/>
      <c r="J921" s="24">
        <v>1</v>
      </c>
      <c r="K921" s="24"/>
      <c r="L921" s="24">
        <v>1</v>
      </c>
      <c r="M921" s="24"/>
      <c r="N921" s="24"/>
      <c r="O921" s="24"/>
      <c r="P921" s="24"/>
      <c r="Q921" s="24"/>
      <c r="R921" s="24"/>
      <c r="S921" s="24"/>
      <c r="T921" s="24"/>
      <c r="U921" s="20" t="s">
        <v>2988</v>
      </c>
      <c r="V921" s="20" t="s">
        <v>952</v>
      </c>
      <c r="W921" s="20" t="s">
        <v>3010</v>
      </c>
      <c r="X921" s="20" t="s">
        <v>227</v>
      </c>
      <c r="Y921" s="20"/>
      <c r="Z921" s="20"/>
      <c r="AA921" s="20" t="s">
        <v>2667</v>
      </c>
      <c r="AB921" s="20" t="s">
        <v>1815</v>
      </c>
      <c r="AC921" s="24">
        <v>6</v>
      </c>
      <c r="AD921" s="24"/>
      <c r="AE921" s="24"/>
      <c r="AF921" s="24"/>
      <c r="AG921" s="24"/>
      <c r="AH921" s="20"/>
      <c r="AI921" s="42"/>
    </row>
    <row r="922" spans="1:35">
      <c r="A922" s="14"/>
      <c r="B922" s="20"/>
      <c r="C922" s="20"/>
      <c r="D922" s="20"/>
      <c r="E922" s="20"/>
      <c r="F922" s="20"/>
      <c r="G922" s="20"/>
      <c r="H922" s="20"/>
      <c r="I922" s="211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0"/>
      <c r="V922" s="20"/>
      <c r="W922" s="20"/>
      <c r="X922" s="20"/>
      <c r="Y922" s="20"/>
      <c r="Z922" s="20"/>
      <c r="AA922" s="20" t="s">
        <v>2055</v>
      </c>
      <c r="AB922" s="20" t="s">
        <v>526</v>
      </c>
      <c r="AC922" s="24">
        <v>60</v>
      </c>
      <c r="AD922" s="24"/>
      <c r="AE922" s="24"/>
      <c r="AF922" s="24"/>
      <c r="AG922" s="24"/>
      <c r="AH922" s="20"/>
      <c r="AI922" s="42"/>
    </row>
    <row r="923" spans="1:35">
      <c r="A923" s="14"/>
      <c r="B923" s="20"/>
      <c r="C923" s="84" t="s">
        <v>2420</v>
      </c>
      <c r="D923" s="20" t="s">
        <v>79</v>
      </c>
      <c r="E923" s="20" t="s">
        <v>80</v>
      </c>
      <c r="F923" s="84" t="s">
        <v>3011</v>
      </c>
      <c r="G923" s="84" t="s">
        <v>3012</v>
      </c>
      <c r="H923" s="20"/>
      <c r="I923" s="211"/>
      <c r="J923" s="24">
        <v>1</v>
      </c>
      <c r="K923" s="24"/>
      <c r="L923" s="24">
        <v>1</v>
      </c>
      <c r="M923" s="24"/>
      <c r="N923" s="24"/>
      <c r="O923" s="24"/>
      <c r="P923" s="24"/>
      <c r="Q923" s="24"/>
      <c r="R923" s="24"/>
      <c r="S923" s="24"/>
      <c r="T923" s="24"/>
      <c r="U923" s="20" t="s">
        <v>2988</v>
      </c>
      <c r="V923" s="20" t="s">
        <v>952</v>
      </c>
      <c r="W923" s="20" t="s">
        <v>3013</v>
      </c>
      <c r="X923" s="20" t="s">
        <v>227</v>
      </c>
      <c r="Y923" s="20"/>
      <c r="Z923" s="20"/>
      <c r="AA923" s="20" t="s">
        <v>2667</v>
      </c>
      <c r="AB923" s="20" t="s">
        <v>1815</v>
      </c>
      <c r="AC923" s="24">
        <v>6</v>
      </c>
      <c r="AD923" s="24"/>
      <c r="AE923" s="24"/>
      <c r="AF923" s="24"/>
      <c r="AG923" s="24"/>
      <c r="AH923" s="20"/>
      <c r="AI923" s="42"/>
    </row>
    <row r="924" spans="1:35">
      <c r="A924" s="14"/>
      <c r="B924" s="20"/>
      <c r="C924" s="20"/>
      <c r="D924" s="20"/>
      <c r="E924" s="20"/>
      <c r="F924" s="20"/>
      <c r="G924" s="20"/>
      <c r="H924" s="20"/>
      <c r="I924" s="211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0"/>
      <c r="V924" s="20"/>
      <c r="W924" s="20"/>
      <c r="X924" s="20"/>
      <c r="Y924" s="20"/>
      <c r="Z924" s="20"/>
      <c r="AA924" s="20" t="s">
        <v>2055</v>
      </c>
      <c r="AB924" s="20" t="s">
        <v>526</v>
      </c>
      <c r="AC924" s="24">
        <v>60</v>
      </c>
      <c r="AD924" s="24"/>
      <c r="AE924" s="24"/>
      <c r="AF924" s="24"/>
      <c r="AG924" s="24"/>
      <c r="AH924" s="20"/>
      <c r="AI924" s="42"/>
    </row>
    <row r="925" spans="1:35">
      <c r="A925" s="14"/>
      <c r="B925" s="20"/>
      <c r="C925" s="20" t="s">
        <v>2420</v>
      </c>
      <c r="D925" s="20" t="s">
        <v>37</v>
      </c>
      <c r="E925" s="20" t="s">
        <v>2664</v>
      </c>
      <c r="F925" s="20" t="s">
        <v>2663</v>
      </c>
      <c r="G925" s="20" t="s">
        <v>285</v>
      </c>
      <c r="H925" s="20"/>
      <c r="I925" s="220"/>
      <c r="J925" s="24">
        <v>1</v>
      </c>
      <c r="K925" s="24"/>
      <c r="L925" s="24"/>
      <c r="M925" s="24"/>
      <c r="N925" s="24"/>
      <c r="O925" s="24"/>
      <c r="P925" s="24"/>
      <c r="Q925" s="24">
        <v>1</v>
      </c>
      <c r="R925" s="24" t="s">
        <v>2666</v>
      </c>
      <c r="S925" s="24"/>
      <c r="T925" s="24"/>
      <c r="U925" s="20"/>
      <c r="V925" s="20" t="s">
        <v>873</v>
      </c>
      <c r="W925" s="20" t="s">
        <v>279</v>
      </c>
      <c r="X925" s="20" t="s">
        <v>227</v>
      </c>
      <c r="Y925" s="20"/>
      <c r="Z925" s="20"/>
      <c r="AA925" s="20" t="s">
        <v>2667</v>
      </c>
      <c r="AB925" s="20" t="s">
        <v>1815</v>
      </c>
      <c r="AC925" s="24">
        <v>200</v>
      </c>
      <c r="AD925" s="24"/>
      <c r="AE925" s="24"/>
      <c r="AF925" s="24"/>
      <c r="AG925" s="24"/>
      <c r="AH925" s="20"/>
      <c r="AI925" s="42"/>
    </row>
    <row r="926" spans="1:35">
      <c r="A926" s="14"/>
      <c r="B926" s="20"/>
      <c r="C926" s="20"/>
      <c r="D926" s="20"/>
      <c r="E926" s="20"/>
      <c r="F926" s="20"/>
      <c r="G926" s="20"/>
      <c r="H926" s="20"/>
      <c r="I926" s="211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0"/>
      <c r="V926" s="20"/>
      <c r="W926" s="20"/>
      <c r="X926" s="20"/>
      <c r="Y926" s="20"/>
      <c r="Z926" s="20"/>
      <c r="AA926" s="20" t="s">
        <v>1961</v>
      </c>
      <c r="AB926" s="20" t="s">
        <v>1815</v>
      </c>
      <c r="AC926" s="24">
        <v>50</v>
      </c>
      <c r="AD926" s="24"/>
      <c r="AE926" s="24"/>
      <c r="AF926" s="24"/>
      <c r="AG926" s="24"/>
      <c r="AH926" s="20"/>
      <c r="AI926" s="42"/>
    </row>
    <row r="927" spans="1:35">
      <c r="A927" s="14"/>
      <c r="B927" s="20"/>
      <c r="C927" s="20"/>
      <c r="D927" s="20"/>
      <c r="E927" s="20"/>
      <c r="F927" s="20"/>
      <c r="G927" s="20"/>
      <c r="H927" s="20"/>
      <c r="I927" s="211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0"/>
      <c r="V927" s="20"/>
      <c r="W927" s="20"/>
      <c r="X927" s="20"/>
      <c r="Y927" s="20"/>
      <c r="Z927" s="20"/>
      <c r="AA927" s="20" t="s">
        <v>2055</v>
      </c>
      <c r="AB927" s="20" t="s">
        <v>526</v>
      </c>
      <c r="AC927" s="24">
        <v>5000</v>
      </c>
      <c r="AD927" s="24"/>
      <c r="AE927" s="24"/>
      <c r="AF927" s="24"/>
      <c r="AG927" s="24"/>
      <c r="AH927" s="20"/>
      <c r="AI927" s="42"/>
    </row>
    <row r="928" spans="1:35">
      <c r="A928" s="14"/>
      <c r="B928" s="20"/>
      <c r="C928" s="20" t="s">
        <v>3158</v>
      </c>
      <c r="D928" s="20" t="s">
        <v>79</v>
      </c>
      <c r="E928" s="20" t="s">
        <v>80</v>
      </c>
      <c r="F928" s="20" t="s">
        <v>3170</v>
      </c>
      <c r="G928" s="20" t="s">
        <v>3171</v>
      </c>
      <c r="H928" s="20" t="s">
        <v>604</v>
      </c>
      <c r="I928" s="211"/>
      <c r="J928" s="24">
        <v>1</v>
      </c>
      <c r="K928" s="24"/>
      <c r="L928" s="24">
        <v>1</v>
      </c>
      <c r="M928" s="24"/>
      <c r="N928" s="24"/>
      <c r="O928" s="24"/>
      <c r="P928" s="24"/>
      <c r="Q928" s="24"/>
      <c r="R928" s="24"/>
      <c r="S928" s="24"/>
      <c r="T928" s="24"/>
      <c r="U928" s="20" t="s">
        <v>3172</v>
      </c>
      <c r="V928" s="20" t="s">
        <v>293</v>
      </c>
      <c r="W928" s="20" t="s">
        <v>298</v>
      </c>
      <c r="X928" s="20" t="s">
        <v>227</v>
      </c>
      <c r="Y928" s="20"/>
      <c r="Z928" s="20"/>
      <c r="AA928" s="20" t="s">
        <v>2667</v>
      </c>
      <c r="AB928" s="20" t="s">
        <v>1815</v>
      </c>
      <c r="AC928" s="24">
        <v>3</v>
      </c>
      <c r="AD928" s="24"/>
      <c r="AE928" s="24"/>
      <c r="AF928" s="24"/>
      <c r="AG928" s="24"/>
      <c r="AH928" s="20"/>
      <c r="AI928" s="42"/>
    </row>
    <row r="929" spans="1:35">
      <c r="A929" s="14"/>
      <c r="B929" s="20"/>
      <c r="C929" s="20"/>
      <c r="D929" s="20"/>
      <c r="E929" s="20"/>
      <c r="F929" s="20"/>
      <c r="G929" s="20"/>
      <c r="H929" s="20"/>
      <c r="I929" s="211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0"/>
      <c r="V929" s="20"/>
      <c r="W929" s="20"/>
      <c r="X929" s="20"/>
      <c r="Y929" s="20"/>
      <c r="Z929" s="20"/>
      <c r="AA929" s="20" t="s">
        <v>1961</v>
      </c>
      <c r="AB929" s="20" t="s">
        <v>1815</v>
      </c>
      <c r="AC929" s="24">
        <v>2</v>
      </c>
      <c r="AD929" s="24"/>
      <c r="AE929" s="24"/>
      <c r="AF929" s="24"/>
      <c r="AG929" s="24"/>
      <c r="AH929" s="20"/>
      <c r="AI929" s="42"/>
    </row>
    <row r="930" spans="1:35">
      <c r="A930" s="14"/>
      <c r="B930" s="20"/>
      <c r="C930" s="20" t="s">
        <v>3158</v>
      </c>
      <c r="D930" s="20" t="s">
        <v>37</v>
      </c>
      <c r="E930" s="20" t="s">
        <v>1963</v>
      </c>
      <c r="F930" s="20" t="s">
        <v>885</v>
      </c>
      <c r="G930" s="20" t="s">
        <v>884</v>
      </c>
      <c r="H930" s="20" t="s">
        <v>144</v>
      </c>
      <c r="I930" s="211"/>
      <c r="J930" s="24"/>
      <c r="K930" s="24">
        <v>1</v>
      </c>
      <c r="L930" s="24"/>
      <c r="M930" s="24"/>
      <c r="N930" s="24"/>
      <c r="O930" s="24"/>
      <c r="P930" s="24"/>
      <c r="Q930" s="24">
        <v>1</v>
      </c>
      <c r="R930" s="24" t="s">
        <v>1009</v>
      </c>
      <c r="S930" s="24"/>
      <c r="T930" s="24"/>
      <c r="U930" s="20" t="s">
        <v>222</v>
      </c>
      <c r="V930" s="20" t="s">
        <v>218</v>
      </c>
      <c r="W930" s="20" t="s">
        <v>279</v>
      </c>
      <c r="X930" s="20" t="s">
        <v>227</v>
      </c>
      <c r="Y930" s="20"/>
      <c r="Z930" s="20"/>
      <c r="AA930" s="20" t="s">
        <v>1961</v>
      </c>
      <c r="AB930" s="20" t="s">
        <v>1793</v>
      </c>
      <c r="AC930" s="24">
        <v>68</v>
      </c>
      <c r="AD930" s="24"/>
      <c r="AE930" s="24"/>
      <c r="AF930" s="24"/>
      <c r="AG930" s="24"/>
      <c r="AH930" s="20"/>
      <c r="AI930" s="42"/>
    </row>
    <row r="931" spans="1:35">
      <c r="A931" s="14"/>
      <c r="B931" s="20"/>
      <c r="C931" s="20"/>
      <c r="D931" s="20"/>
      <c r="E931" s="20"/>
      <c r="F931" s="20"/>
      <c r="G931" s="20"/>
      <c r="H931" s="20"/>
      <c r="I931" s="211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0"/>
      <c r="V931" s="20"/>
      <c r="W931" s="20"/>
      <c r="X931" s="20"/>
      <c r="Y931" s="20"/>
      <c r="Z931" s="20"/>
      <c r="AA931" s="20" t="s">
        <v>3198</v>
      </c>
      <c r="AB931" s="20" t="s">
        <v>1793</v>
      </c>
      <c r="AC931" s="24">
        <v>84</v>
      </c>
      <c r="AD931" s="24"/>
      <c r="AE931" s="24"/>
      <c r="AF931" s="24"/>
      <c r="AG931" s="24"/>
      <c r="AH931" s="20"/>
      <c r="AI931" s="42"/>
    </row>
    <row r="932" spans="1:35">
      <c r="A932" s="14"/>
      <c r="B932" s="20"/>
      <c r="C932" s="20"/>
      <c r="D932" s="20"/>
      <c r="E932" s="20"/>
      <c r="F932" s="20"/>
      <c r="G932" s="20"/>
      <c r="H932" s="20"/>
      <c r="I932" s="211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0"/>
      <c r="V932" s="20"/>
      <c r="W932" s="20"/>
      <c r="X932" s="20"/>
      <c r="Y932" s="20"/>
      <c r="Z932" s="20"/>
      <c r="AA932" s="7" t="s">
        <v>3199</v>
      </c>
      <c r="AB932" s="7" t="s">
        <v>1793</v>
      </c>
      <c r="AC932" s="7">
        <v>73</v>
      </c>
      <c r="AD932" s="24"/>
      <c r="AE932" s="24"/>
      <c r="AF932" s="24"/>
      <c r="AG932" s="24"/>
      <c r="AH932" s="20"/>
      <c r="AI932" s="42"/>
    </row>
    <row r="933" spans="1:35">
      <c r="A933" s="14"/>
      <c r="B933" s="20"/>
      <c r="C933" s="20"/>
      <c r="D933" s="20"/>
      <c r="E933" s="20"/>
      <c r="F933" s="20"/>
      <c r="G933" s="20"/>
      <c r="H933" s="20"/>
      <c r="I933" s="211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0"/>
      <c r="V933" s="20"/>
      <c r="W933" s="20"/>
      <c r="X933" s="20"/>
      <c r="Y933" s="20"/>
      <c r="Z933" s="20"/>
      <c r="AA933" s="20" t="s">
        <v>1792</v>
      </c>
      <c r="AB933" s="20" t="s">
        <v>526</v>
      </c>
      <c r="AC933" s="24">
        <v>10000</v>
      </c>
      <c r="AD933" s="24"/>
      <c r="AE933" s="24"/>
      <c r="AF933" s="24"/>
      <c r="AG933" s="24"/>
      <c r="AH933" s="20"/>
      <c r="AI933" s="42"/>
    </row>
    <row r="934" spans="1:35">
      <c r="A934" s="14"/>
      <c r="B934" s="20"/>
      <c r="C934" s="20" t="s">
        <v>3158</v>
      </c>
      <c r="D934" s="20" t="s">
        <v>79</v>
      </c>
      <c r="E934" s="20" t="s">
        <v>80</v>
      </c>
      <c r="F934" s="20" t="s">
        <v>3170</v>
      </c>
      <c r="G934" s="20" t="s">
        <v>3171</v>
      </c>
      <c r="H934" s="20" t="s">
        <v>604</v>
      </c>
      <c r="I934" s="211"/>
      <c r="J934" s="24">
        <v>1</v>
      </c>
      <c r="K934" s="24"/>
      <c r="L934" s="24">
        <v>1</v>
      </c>
      <c r="M934" s="24">
        <v>1</v>
      </c>
      <c r="N934" s="24"/>
      <c r="O934" s="24"/>
      <c r="P934" s="24"/>
      <c r="Q934" s="24">
        <v>1</v>
      </c>
      <c r="R934" s="24"/>
      <c r="S934" s="24"/>
      <c r="T934" s="24"/>
      <c r="U934" s="20" t="s">
        <v>3172</v>
      </c>
      <c r="V934" s="20" t="s">
        <v>293</v>
      </c>
      <c r="W934" s="20" t="s">
        <v>298</v>
      </c>
      <c r="X934" s="20" t="s">
        <v>227</v>
      </c>
      <c r="Y934" s="20"/>
      <c r="Z934" s="20"/>
      <c r="AA934" s="20" t="s">
        <v>3198</v>
      </c>
      <c r="AB934" s="20" t="s">
        <v>1793</v>
      </c>
      <c r="AC934" s="24">
        <v>3</v>
      </c>
      <c r="AD934" s="24"/>
      <c r="AE934" s="24"/>
      <c r="AF934" s="24"/>
      <c r="AG934" s="24"/>
      <c r="AH934" s="20"/>
      <c r="AI934" s="42"/>
    </row>
    <row r="935" spans="1:35">
      <c r="A935" s="14"/>
      <c r="B935" s="20"/>
      <c r="C935" s="243"/>
      <c r="D935" s="243"/>
      <c r="E935" s="243"/>
      <c r="F935" s="243"/>
      <c r="G935" s="243"/>
      <c r="H935" s="243"/>
      <c r="I935" s="244"/>
      <c r="J935" s="245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0"/>
      <c r="Z935" s="20"/>
      <c r="AA935" s="20" t="s">
        <v>1961</v>
      </c>
      <c r="AB935" s="20" t="s">
        <v>1793</v>
      </c>
      <c r="AC935" s="24">
        <v>2</v>
      </c>
      <c r="AD935" s="24"/>
      <c r="AE935" s="24"/>
      <c r="AF935" s="24"/>
      <c r="AG935" s="24"/>
      <c r="AH935" s="20"/>
      <c r="AI935" s="42"/>
    </row>
    <row r="936" spans="1:35">
      <c r="A936" s="14"/>
      <c r="B936" s="20"/>
      <c r="C936" s="20" t="s">
        <v>3158</v>
      </c>
      <c r="D936" s="20" t="s">
        <v>37</v>
      </c>
      <c r="E936" s="20" t="s">
        <v>3207</v>
      </c>
      <c r="F936" s="20" t="s">
        <v>3208</v>
      </c>
      <c r="G936" s="20" t="s">
        <v>198</v>
      </c>
      <c r="H936" s="20" t="s">
        <v>160</v>
      </c>
      <c r="I936" s="211"/>
      <c r="J936" s="24">
        <v>1</v>
      </c>
      <c r="K936" s="24"/>
      <c r="L936" s="24">
        <v>1</v>
      </c>
      <c r="M936" s="24"/>
      <c r="N936" s="24">
        <v>1</v>
      </c>
      <c r="O936" s="24"/>
      <c r="P936" s="24"/>
      <c r="Q936" s="24">
        <v>1</v>
      </c>
      <c r="R936" s="24"/>
      <c r="S936" s="24"/>
      <c r="T936" s="24"/>
      <c r="U936" s="20" t="s">
        <v>1446</v>
      </c>
      <c r="V936" s="20" t="s">
        <v>949</v>
      </c>
      <c r="W936" s="20" t="s">
        <v>280</v>
      </c>
      <c r="X936" s="20" t="s">
        <v>227</v>
      </c>
      <c r="Y936" s="20"/>
      <c r="Z936" s="20"/>
      <c r="AA936" s="20" t="s">
        <v>1792</v>
      </c>
      <c r="AB936" s="20" t="s">
        <v>526</v>
      </c>
      <c r="AC936" s="24">
        <v>2500</v>
      </c>
      <c r="AD936" s="24"/>
      <c r="AE936" s="24"/>
      <c r="AF936" s="24"/>
      <c r="AG936" s="24"/>
      <c r="AH936" s="20"/>
      <c r="AI936" s="42"/>
    </row>
    <row r="937" spans="1:35">
      <c r="A937" s="14"/>
      <c r="B937" s="20"/>
      <c r="C937" s="20"/>
      <c r="D937" s="20"/>
      <c r="E937" s="20"/>
      <c r="F937" s="20"/>
      <c r="G937" s="20"/>
      <c r="H937" s="20"/>
      <c r="I937" s="211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0"/>
      <c r="V937" s="20"/>
      <c r="W937" s="20"/>
      <c r="X937" s="20"/>
      <c r="Y937" s="20"/>
      <c r="Z937" s="20"/>
      <c r="AA937" s="20"/>
      <c r="AB937" s="20"/>
      <c r="AC937" s="24"/>
      <c r="AD937" s="24"/>
      <c r="AE937" s="24"/>
      <c r="AF937" s="24"/>
      <c r="AG937" s="24"/>
      <c r="AH937" s="20"/>
      <c r="AI937" s="42"/>
    </row>
    <row r="938" spans="1:35" s="246" customFormat="1">
      <c r="A938" s="19"/>
      <c r="B938" s="19"/>
      <c r="C938" s="19" t="s">
        <v>84</v>
      </c>
      <c r="D938" s="19"/>
      <c r="E938" s="19"/>
      <c r="F938" s="19"/>
      <c r="G938" s="19"/>
      <c r="H938" s="19"/>
      <c r="I938" s="212"/>
      <c r="J938" s="31">
        <f t="shared" ref="J938:T938" si="1">SUM(J939:J1116)</f>
        <v>144</v>
      </c>
      <c r="K938" s="31">
        <f t="shared" si="1"/>
        <v>32</v>
      </c>
      <c r="L938" s="31">
        <f t="shared" si="1"/>
        <v>176</v>
      </c>
      <c r="M938" s="31">
        <f t="shared" si="1"/>
        <v>0</v>
      </c>
      <c r="N938" s="31">
        <f t="shared" si="1"/>
        <v>0</v>
      </c>
      <c r="O938" s="31">
        <f t="shared" si="1"/>
        <v>0</v>
      </c>
      <c r="P938" s="31">
        <f t="shared" si="1"/>
        <v>0</v>
      </c>
      <c r="Q938" s="31">
        <f t="shared" si="1"/>
        <v>0</v>
      </c>
      <c r="R938" s="31">
        <f t="shared" si="1"/>
        <v>0</v>
      </c>
      <c r="S938" s="31">
        <f t="shared" si="1"/>
        <v>0</v>
      </c>
      <c r="T938" s="31">
        <f t="shared" si="1"/>
        <v>0</v>
      </c>
      <c r="U938" s="19"/>
      <c r="V938" s="19"/>
      <c r="W938" s="19"/>
      <c r="X938" s="19"/>
      <c r="Y938" s="19"/>
      <c r="Z938" s="19"/>
      <c r="AA938" s="19"/>
      <c r="AB938" s="19"/>
      <c r="AC938" s="31">
        <f>SUM(AC975:AC1116)</f>
        <v>212</v>
      </c>
      <c r="AD938" s="31">
        <f>SUM(AD975:AD1116)</f>
        <v>0</v>
      </c>
      <c r="AE938" s="31" t="e">
        <f>AVERAGE(AE975:AE1116)</f>
        <v>#DIV/0!</v>
      </c>
      <c r="AF938" s="31" t="e">
        <f>AVERAGE(AF975:AF1116)</f>
        <v>#DIV/0!</v>
      </c>
      <c r="AG938" s="31" t="e">
        <f>AVERAGE(AG975:AG1116)</f>
        <v>#DIV/0!</v>
      </c>
      <c r="AH938" s="19"/>
      <c r="AI938" s="41"/>
    </row>
    <row r="939" spans="1:35">
      <c r="A939" s="14"/>
      <c r="B939" s="20"/>
      <c r="C939" s="84" t="s">
        <v>3230</v>
      </c>
      <c r="D939" s="53" t="s">
        <v>79</v>
      </c>
      <c r="E939" s="53" t="s">
        <v>80</v>
      </c>
      <c r="F939" s="53" t="s">
        <v>161</v>
      </c>
      <c r="G939" s="53" t="s">
        <v>1208</v>
      </c>
      <c r="H939" s="53" t="s">
        <v>115</v>
      </c>
      <c r="I939" s="224">
        <v>29273</v>
      </c>
      <c r="J939" s="24">
        <v>1</v>
      </c>
      <c r="K939" s="24"/>
      <c r="L939" s="24">
        <v>1</v>
      </c>
      <c r="M939" s="24"/>
      <c r="N939" s="24"/>
      <c r="O939" s="24"/>
      <c r="P939" s="24"/>
      <c r="Q939" s="24"/>
      <c r="R939" s="24"/>
      <c r="S939" s="24"/>
      <c r="T939" s="24"/>
      <c r="U939" s="53" t="s">
        <v>216</v>
      </c>
      <c r="V939" s="53" t="s">
        <v>218</v>
      </c>
      <c r="W939" s="53" t="s">
        <v>279</v>
      </c>
      <c r="X939" s="53" t="s">
        <v>227</v>
      </c>
      <c r="Y939" s="20"/>
      <c r="Z939" s="20"/>
      <c r="AA939" s="53" t="s">
        <v>3307</v>
      </c>
      <c r="AB939" s="53" t="s">
        <v>528</v>
      </c>
      <c r="AC939" s="24">
        <v>1</v>
      </c>
      <c r="AD939" s="24"/>
      <c r="AE939" s="24"/>
      <c r="AF939" s="24"/>
      <c r="AG939" s="24"/>
      <c r="AH939" s="20"/>
      <c r="AI939" s="42"/>
    </row>
    <row r="940" spans="1:35">
      <c r="A940" s="14"/>
      <c r="B940" s="20"/>
      <c r="C940" s="84" t="s">
        <v>3230</v>
      </c>
      <c r="D940" s="53" t="s">
        <v>79</v>
      </c>
      <c r="E940" s="53" t="s">
        <v>80</v>
      </c>
      <c r="F940" s="53" t="s">
        <v>3245</v>
      </c>
      <c r="G940" s="53" t="s">
        <v>2758</v>
      </c>
      <c r="H940" s="20"/>
      <c r="I940" s="211">
        <v>23970</v>
      </c>
      <c r="J940" s="24">
        <v>1</v>
      </c>
      <c r="K940" s="24"/>
      <c r="L940" s="24">
        <v>1</v>
      </c>
      <c r="M940" s="24"/>
      <c r="N940" s="24"/>
      <c r="O940" s="24"/>
      <c r="P940" s="24"/>
      <c r="Q940" s="24"/>
      <c r="R940" s="24"/>
      <c r="S940" s="24"/>
      <c r="T940" s="24"/>
      <c r="U940" s="53" t="s">
        <v>216</v>
      </c>
      <c r="V940" s="53" t="s">
        <v>218</v>
      </c>
      <c r="W940" s="53" t="s">
        <v>279</v>
      </c>
      <c r="X940" s="53" t="s">
        <v>227</v>
      </c>
      <c r="Y940" s="20"/>
      <c r="Z940" s="20"/>
      <c r="AA940" s="53" t="s">
        <v>3307</v>
      </c>
      <c r="AB940" s="53" t="s">
        <v>528</v>
      </c>
      <c r="AC940" s="24">
        <v>1</v>
      </c>
      <c r="AD940" s="24"/>
      <c r="AE940" s="24"/>
      <c r="AF940" s="24"/>
      <c r="AG940" s="24"/>
      <c r="AH940" s="20"/>
      <c r="AI940" s="42"/>
    </row>
    <row r="941" spans="1:35">
      <c r="A941" s="14"/>
      <c r="B941" s="20"/>
      <c r="C941" s="84" t="s">
        <v>3230</v>
      </c>
      <c r="D941" s="53" t="s">
        <v>79</v>
      </c>
      <c r="E941" s="53" t="s">
        <v>80</v>
      </c>
      <c r="F941" s="84" t="s">
        <v>3246</v>
      </c>
      <c r="G941" s="53" t="s">
        <v>2457</v>
      </c>
      <c r="H941" s="53" t="s">
        <v>115</v>
      </c>
      <c r="I941" s="211">
        <v>26218</v>
      </c>
      <c r="J941" s="24"/>
      <c r="K941" s="24">
        <v>1</v>
      </c>
      <c r="L941" s="24">
        <v>1</v>
      </c>
      <c r="M941" s="24"/>
      <c r="N941" s="24"/>
      <c r="O941" s="24"/>
      <c r="P941" s="24"/>
      <c r="Q941" s="24"/>
      <c r="R941" s="24"/>
      <c r="S941" s="24"/>
      <c r="T941" s="24"/>
      <c r="U941" s="53" t="s">
        <v>216</v>
      </c>
      <c r="V941" s="53" t="s">
        <v>218</v>
      </c>
      <c r="W941" s="53" t="s">
        <v>279</v>
      </c>
      <c r="X941" s="53" t="s">
        <v>227</v>
      </c>
      <c r="Y941" s="20"/>
      <c r="Z941" s="20"/>
      <c r="AA941" s="53" t="s">
        <v>3307</v>
      </c>
      <c r="AB941" s="53" t="s">
        <v>528</v>
      </c>
      <c r="AC941" s="24">
        <v>1</v>
      </c>
      <c r="AD941" s="24"/>
      <c r="AE941" s="24"/>
      <c r="AF941" s="24"/>
      <c r="AG941" s="24"/>
      <c r="AH941" s="20"/>
      <c r="AI941" s="42"/>
    </row>
    <row r="942" spans="1:35">
      <c r="A942" s="14"/>
      <c r="B942" s="20"/>
      <c r="C942" s="84" t="s">
        <v>3230</v>
      </c>
      <c r="D942" s="53" t="s">
        <v>79</v>
      </c>
      <c r="E942" s="53" t="s">
        <v>80</v>
      </c>
      <c r="F942" s="84" t="s">
        <v>3247</v>
      </c>
      <c r="G942" s="53" t="s">
        <v>134</v>
      </c>
      <c r="H942" s="53" t="s">
        <v>115</v>
      </c>
      <c r="I942" s="211">
        <v>25053</v>
      </c>
      <c r="J942" s="24"/>
      <c r="K942" s="24">
        <v>1</v>
      </c>
      <c r="L942" s="24">
        <v>1</v>
      </c>
      <c r="M942" s="24"/>
      <c r="N942" s="24"/>
      <c r="O942" s="24"/>
      <c r="P942" s="24"/>
      <c r="Q942" s="24"/>
      <c r="R942" s="24"/>
      <c r="S942" s="24"/>
      <c r="T942" s="24"/>
      <c r="U942" s="53" t="s">
        <v>216</v>
      </c>
      <c r="V942" s="53" t="s">
        <v>218</v>
      </c>
      <c r="W942" s="53" t="s">
        <v>279</v>
      </c>
      <c r="X942" s="53" t="s">
        <v>227</v>
      </c>
      <c r="Y942" s="20"/>
      <c r="Z942" s="20"/>
      <c r="AA942" s="53" t="s">
        <v>3307</v>
      </c>
      <c r="AB942" s="53" t="s">
        <v>528</v>
      </c>
      <c r="AC942" s="24">
        <v>1</v>
      </c>
      <c r="AD942" s="24"/>
      <c r="AE942" s="24"/>
      <c r="AF942" s="24"/>
      <c r="AG942" s="24"/>
      <c r="AH942" s="20"/>
      <c r="AI942" s="42"/>
    </row>
    <row r="943" spans="1:35">
      <c r="A943" s="14"/>
      <c r="B943" s="20"/>
      <c r="C943" s="84" t="s">
        <v>3230</v>
      </c>
      <c r="D943" s="53" t="s">
        <v>79</v>
      </c>
      <c r="E943" s="53" t="s">
        <v>80</v>
      </c>
      <c r="F943" s="84" t="s">
        <v>3248</v>
      </c>
      <c r="G943" s="53" t="s">
        <v>1983</v>
      </c>
      <c r="H943" s="53" t="s">
        <v>421</v>
      </c>
      <c r="I943" s="211">
        <v>24100</v>
      </c>
      <c r="J943" s="24"/>
      <c r="K943" s="24">
        <v>1</v>
      </c>
      <c r="L943" s="24">
        <v>1</v>
      </c>
      <c r="M943" s="24"/>
      <c r="N943" s="24"/>
      <c r="O943" s="24"/>
      <c r="P943" s="24"/>
      <c r="Q943" s="24"/>
      <c r="R943" s="24"/>
      <c r="S943" s="24"/>
      <c r="T943" s="24"/>
      <c r="U943" s="53" t="s">
        <v>216</v>
      </c>
      <c r="V943" s="53" t="s">
        <v>218</v>
      </c>
      <c r="W943" s="53" t="s">
        <v>279</v>
      </c>
      <c r="X943" s="53" t="s">
        <v>227</v>
      </c>
      <c r="Y943" s="20"/>
      <c r="Z943" s="20"/>
      <c r="AA943" s="53" t="s">
        <v>3307</v>
      </c>
      <c r="AB943" s="53" t="s">
        <v>528</v>
      </c>
      <c r="AC943" s="24">
        <v>1</v>
      </c>
      <c r="AD943" s="24"/>
      <c r="AE943" s="24"/>
      <c r="AF943" s="24"/>
      <c r="AG943" s="24"/>
      <c r="AH943" s="20"/>
      <c r="AI943" s="42"/>
    </row>
    <row r="944" spans="1:35">
      <c r="A944" s="14"/>
      <c r="B944" s="20"/>
      <c r="C944" s="84" t="s">
        <v>3230</v>
      </c>
      <c r="D944" s="53" t="s">
        <v>79</v>
      </c>
      <c r="E944" s="53" t="s">
        <v>80</v>
      </c>
      <c r="F944" s="84" t="s">
        <v>490</v>
      </c>
      <c r="G944" s="53" t="s">
        <v>3249</v>
      </c>
      <c r="H944" s="53" t="s">
        <v>421</v>
      </c>
      <c r="I944" s="211">
        <v>25252</v>
      </c>
      <c r="J944" s="24"/>
      <c r="K944" s="24">
        <v>1</v>
      </c>
      <c r="L944" s="24">
        <v>1</v>
      </c>
      <c r="M944" s="24"/>
      <c r="N944" s="24"/>
      <c r="O944" s="24"/>
      <c r="P944" s="24"/>
      <c r="Q944" s="24"/>
      <c r="R944" s="24"/>
      <c r="S944" s="24"/>
      <c r="T944" s="24"/>
      <c r="U944" s="53" t="s">
        <v>216</v>
      </c>
      <c r="V944" s="53" t="s">
        <v>218</v>
      </c>
      <c r="W944" s="53" t="s">
        <v>279</v>
      </c>
      <c r="X944" s="53" t="s">
        <v>227</v>
      </c>
      <c r="Y944" s="20"/>
      <c r="Z944" s="20"/>
      <c r="AA944" s="53" t="s">
        <v>3307</v>
      </c>
      <c r="AB944" s="53" t="s">
        <v>528</v>
      </c>
      <c r="AC944" s="24">
        <v>1</v>
      </c>
      <c r="AD944" s="24"/>
      <c r="AE944" s="24"/>
      <c r="AF944" s="24"/>
      <c r="AG944" s="24"/>
      <c r="AH944" s="20"/>
      <c r="AI944" s="42"/>
    </row>
    <row r="945" spans="1:35">
      <c r="A945" s="14"/>
      <c r="B945" s="20"/>
      <c r="C945" s="84" t="s">
        <v>3230</v>
      </c>
      <c r="D945" s="53" t="s">
        <v>79</v>
      </c>
      <c r="E945" s="53" t="s">
        <v>80</v>
      </c>
      <c r="F945" s="84" t="s">
        <v>3250</v>
      </c>
      <c r="G945" s="53" t="s">
        <v>3251</v>
      </c>
      <c r="H945" s="53" t="s">
        <v>202</v>
      </c>
      <c r="I945" s="211">
        <v>29232</v>
      </c>
      <c r="J945" s="24"/>
      <c r="K945" s="24">
        <v>1</v>
      </c>
      <c r="L945" s="24">
        <v>1</v>
      </c>
      <c r="M945" s="24"/>
      <c r="N945" s="24"/>
      <c r="O945" s="24"/>
      <c r="P945" s="24"/>
      <c r="Q945" s="24"/>
      <c r="R945" s="24"/>
      <c r="S945" s="24"/>
      <c r="T945" s="24"/>
      <c r="U945" s="53" t="s">
        <v>216</v>
      </c>
      <c r="V945" s="53" t="s">
        <v>218</v>
      </c>
      <c r="W945" s="53" t="s">
        <v>279</v>
      </c>
      <c r="X945" s="53" t="s">
        <v>227</v>
      </c>
      <c r="Y945" s="20"/>
      <c r="Z945" s="20"/>
      <c r="AA945" s="53" t="s">
        <v>3307</v>
      </c>
      <c r="AB945" s="53" t="s">
        <v>528</v>
      </c>
      <c r="AC945" s="24">
        <v>1</v>
      </c>
      <c r="AD945" s="24"/>
      <c r="AE945" s="24"/>
      <c r="AF945" s="24"/>
      <c r="AG945" s="24"/>
      <c r="AH945" s="20"/>
      <c r="AI945" s="42"/>
    </row>
    <row r="946" spans="1:35">
      <c r="A946" s="14"/>
      <c r="B946" s="20"/>
      <c r="C946" s="84" t="s">
        <v>3230</v>
      </c>
      <c r="D946" s="53" t="s">
        <v>79</v>
      </c>
      <c r="E946" s="53" t="s">
        <v>80</v>
      </c>
      <c r="F946" s="53" t="s">
        <v>3248</v>
      </c>
      <c r="G946" s="53" t="s">
        <v>3252</v>
      </c>
      <c r="H946" s="20"/>
      <c r="I946" s="211">
        <v>24516</v>
      </c>
      <c r="J946" s="24"/>
      <c r="K946" s="24">
        <v>1</v>
      </c>
      <c r="L946" s="24">
        <v>1</v>
      </c>
      <c r="M946" s="24"/>
      <c r="N946" s="24"/>
      <c r="O946" s="24"/>
      <c r="P946" s="24"/>
      <c r="Q946" s="24"/>
      <c r="R946" s="24"/>
      <c r="S946" s="24"/>
      <c r="T946" s="24"/>
      <c r="U946" s="53" t="s">
        <v>216</v>
      </c>
      <c r="V946" s="53" t="s">
        <v>218</v>
      </c>
      <c r="W946" s="53" t="s">
        <v>279</v>
      </c>
      <c r="X946" s="53" t="s">
        <v>227</v>
      </c>
      <c r="Y946" s="20"/>
      <c r="Z946" s="20"/>
      <c r="AA946" s="53" t="s">
        <v>3307</v>
      </c>
      <c r="AB946" s="53" t="s">
        <v>528</v>
      </c>
      <c r="AC946" s="24">
        <v>1</v>
      </c>
      <c r="AD946" s="24"/>
      <c r="AE946" s="24"/>
      <c r="AF946" s="24"/>
      <c r="AG946" s="24"/>
      <c r="AH946" s="20"/>
      <c r="AI946" s="42"/>
    </row>
    <row r="947" spans="1:35">
      <c r="A947" s="14"/>
      <c r="B947" s="20"/>
      <c r="C947" s="84" t="s">
        <v>3230</v>
      </c>
      <c r="D947" s="53" t="s">
        <v>79</v>
      </c>
      <c r="E947" s="53" t="s">
        <v>80</v>
      </c>
      <c r="F947" s="53" t="s">
        <v>3253</v>
      </c>
      <c r="G947" s="53" t="s">
        <v>1231</v>
      </c>
      <c r="H947" s="53" t="s">
        <v>283</v>
      </c>
      <c r="I947" s="211">
        <v>25484</v>
      </c>
      <c r="J947" s="24">
        <v>1</v>
      </c>
      <c r="K947" s="24"/>
      <c r="L947" s="24">
        <v>1</v>
      </c>
      <c r="M947" s="24"/>
      <c r="N947" s="24"/>
      <c r="O947" s="24"/>
      <c r="P947" s="24"/>
      <c r="Q947" s="24"/>
      <c r="R947" s="24"/>
      <c r="S947" s="24"/>
      <c r="T947" s="24"/>
      <c r="U947" s="53" t="s">
        <v>216</v>
      </c>
      <c r="V947" s="53" t="s">
        <v>218</v>
      </c>
      <c r="W947" s="53" t="s">
        <v>279</v>
      </c>
      <c r="X947" s="53" t="s">
        <v>227</v>
      </c>
      <c r="Y947" s="20"/>
      <c r="Z947" s="20"/>
      <c r="AA947" s="53" t="s">
        <v>3308</v>
      </c>
      <c r="AB947" s="53" t="s">
        <v>528</v>
      </c>
      <c r="AC947" s="24">
        <v>1</v>
      </c>
      <c r="AD947" s="24"/>
      <c r="AE947" s="24"/>
      <c r="AF947" s="24"/>
      <c r="AG947" s="24"/>
      <c r="AH947" s="20"/>
      <c r="AI947" s="42"/>
    </row>
    <row r="948" spans="1:35">
      <c r="A948" s="14"/>
      <c r="B948" s="20"/>
      <c r="C948" s="84" t="s">
        <v>3230</v>
      </c>
      <c r="D948" s="53" t="s">
        <v>79</v>
      </c>
      <c r="E948" s="53" t="s">
        <v>80</v>
      </c>
      <c r="F948" s="84" t="s">
        <v>3254</v>
      </c>
      <c r="G948" s="53" t="s">
        <v>3255</v>
      </c>
      <c r="H948" s="53" t="s">
        <v>133</v>
      </c>
      <c r="I948" s="211">
        <v>31204</v>
      </c>
      <c r="J948" s="24"/>
      <c r="K948" s="24">
        <v>1</v>
      </c>
      <c r="L948" s="24">
        <v>1</v>
      </c>
      <c r="M948" s="24"/>
      <c r="N948" s="24"/>
      <c r="O948" s="24"/>
      <c r="P948" s="24"/>
      <c r="Q948" s="24"/>
      <c r="R948" s="24"/>
      <c r="S948" s="24"/>
      <c r="T948" s="24"/>
      <c r="U948" s="53" t="s">
        <v>216</v>
      </c>
      <c r="V948" s="53" t="s">
        <v>218</v>
      </c>
      <c r="W948" s="53" t="s">
        <v>279</v>
      </c>
      <c r="X948" s="53" t="s">
        <v>227</v>
      </c>
      <c r="Y948" s="20"/>
      <c r="Z948" s="20"/>
      <c r="AA948" s="53" t="s">
        <v>3308</v>
      </c>
      <c r="AB948" s="53" t="s">
        <v>528</v>
      </c>
      <c r="AC948" s="24">
        <v>1</v>
      </c>
      <c r="AD948" s="24"/>
      <c r="AE948" s="24"/>
      <c r="AF948" s="24"/>
      <c r="AG948" s="24"/>
      <c r="AH948" s="20"/>
      <c r="AI948" s="42"/>
    </row>
    <row r="949" spans="1:35">
      <c r="A949" s="14"/>
      <c r="B949" s="20"/>
      <c r="C949" s="84" t="s">
        <v>3230</v>
      </c>
      <c r="D949" s="53" t="s">
        <v>79</v>
      </c>
      <c r="E949" s="53" t="s">
        <v>80</v>
      </c>
      <c r="F949" s="84" t="s">
        <v>3256</v>
      </c>
      <c r="G949" s="53" t="s">
        <v>3257</v>
      </c>
      <c r="H949" s="20"/>
      <c r="I949" s="211">
        <v>30993</v>
      </c>
      <c r="J949" s="24">
        <v>1</v>
      </c>
      <c r="K949" s="24"/>
      <c r="L949" s="24">
        <v>1</v>
      </c>
      <c r="M949" s="24"/>
      <c r="N949" s="24"/>
      <c r="O949" s="24"/>
      <c r="P949" s="24"/>
      <c r="Q949" s="24"/>
      <c r="R949" s="24"/>
      <c r="S949" s="24"/>
      <c r="T949" s="24"/>
      <c r="U949" s="53" t="s">
        <v>216</v>
      </c>
      <c r="V949" s="53" t="s">
        <v>218</v>
      </c>
      <c r="W949" s="53" t="s">
        <v>279</v>
      </c>
      <c r="X949" s="53" t="s">
        <v>227</v>
      </c>
      <c r="Y949" s="20"/>
      <c r="Z949" s="20"/>
      <c r="AA949" s="53" t="s">
        <v>3308</v>
      </c>
      <c r="AB949" s="53" t="s">
        <v>528</v>
      </c>
      <c r="AC949" s="24">
        <v>1</v>
      </c>
      <c r="AD949" s="24"/>
      <c r="AE949" s="24"/>
      <c r="AF949" s="24"/>
      <c r="AG949" s="24"/>
      <c r="AH949" s="20"/>
      <c r="AI949" s="42"/>
    </row>
    <row r="950" spans="1:35">
      <c r="A950" s="14"/>
      <c r="B950" s="20"/>
      <c r="C950" s="84" t="s">
        <v>3230</v>
      </c>
      <c r="D950" s="53" t="s">
        <v>79</v>
      </c>
      <c r="E950" s="53" t="s">
        <v>80</v>
      </c>
      <c r="F950" s="84" t="s">
        <v>3258</v>
      </c>
      <c r="G950" s="53" t="s">
        <v>698</v>
      </c>
      <c r="H950" s="20"/>
      <c r="I950" s="211">
        <v>29268</v>
      </c>
      <c r="J950" s="24">
        <v>1</v>
      </c>
      <c r="K950" s="24"/>
      <c r="L950" s="24">
        <v>1</v>
      </c>
      <c r="M950" s="24"/>
      <c r="N950" s="24"/>
      <c r="O950" s="24"/>
      <c r="P950" s="24"/>
      <c r="Q950" s="24"/>
      <c r="R950" s="24"/>
      <c r="S950" s="24"/>
      <c r="T950" s="24"/>
      <c r="U950" s="53" t="s">
        <v>216</v>
      </c>
      <c r="V950" s="53" t="s">
        <v>218</v>
      </c>
      <c r="W950" s="53" t="s">
        <v>279</v>
      </c>
      <c r="X950" s="53" t="s">
        <v>227</v>
      </c>
      <c r="Y950" s="20"/>
      <c r="Z950" s="20"/>
      <c r="AA950" s="53" t="s">
        <v>3308</v>
      </c>
      <c r="AB950" s="53" t="s">
        <v>528</v>
      </c>
      <c r="AC950" s="24">
        <v>1</v>
      </c>
      <c r="AD950" s="24"/>
      <c r="AE950" s="24"/>
      <c r="AF950" s="24"/>
      <c r="AG950" s="24"/>
      <c r="AH950" s="20"/>
      <c r="AI950" s="42"/>
    </row>
    <row r="951" spans="1:35">
      <c r="A951" s="14"/>
      <c r="B951" s="20"/>
      <c r="C951" s="84" t="s">
        <v>3230</v>
      </c>
      <c r="D951" s="53" t="s">
        <v>79</v>
      </c>
      <c r="E951" s="53" t="s">
        <v>80</v>
      </c>
      <c r="F951" s="84" t="s">
        <v>3253</v>
      </c>
      <c r="G951" s="53" t="s">
        <v>795</v>
      </c>
      <c r="H951" s="20"/>
      <c r="I951" s="211">
        <v>25025</v>
      </c>
      <c r="J951" s="24">
        <v>1</v>
      </c>
      <c r="K951" s="24"/>
      <c r="L951" s="24">
        <v>1</v>
      </c>
      <c r="M951" s="24"/>
      <c r="N951" s="24"/>
      <c r="O951" s="24"/>
      <c r="P951" s="24"/>
      <c r="Q951" s="24"/>
      <c r="R951" s="24"/>
      <c r="S951" s="24"/>
      <c r="T951" s="24"/>
      <c r="U951" s="53" t="s">
        <v>216</v>
      </c>
      <c r="V951" s="53" t="s">
        <v>218</v>
      </c>
      <c r="W951" s="53" t="s">
        <v>279</v>
      </c>
      <c r="X951" s="53" t="s">
        <v>227</v>
      </c>
      <c r="Y951" s="20"/>
      <c r="Z951" s="20"/>
      <c r="AA951" s="53" t="s">
        <v>3309</v>
      </c>
      <c r="AB951" s="53" t="s">
        <v>528</v>
      </c>
      <c r="AC951" s="24">
        <v>1</v>
      </c>
      <c r="AD951" s="24"/>
      <c r="AE951" s="24"/>
      <c r="AF951" s="24"/>
      <c r="AG951" s="24"/>
      <c r="AH951" s="20"/>
      <c r="AI951" s="42"/>
    </row>
    <row r="952" spans="1:35">
      <c r="A952" s="14"/>
      <c r="B952" s="20"/>
      <c r="C952" s="84" t="s">
        <v>3230</v>
      </c>
      <c r="D952" s="53" t="s">
        <v>79</v>
      </c>
      <c r="E952" s="53" t="s">
        <v>80</v>
      </c>
      <c r="F952" s="84" t="s">
        <v>109</v>
      </c>
      <c r="G952" s="53" t="s">
        <v>3259</v>
      </c>
      <c r="H952" s="20"/>
      <c r="I952" s="211"/>
      <c r="J952" s="24">
        <v>1</v>
      </c>
      <c r="K952" s="24"/>
      <c r="L952" s="24">
        <v>1</v>
      </c>
      <c r="M952" s="24"/>
      <c r="N952" s="24"/>
      <c r="O952" s="24"/>
      <c r="P952" s="24"/>
      <c r="Q952" s="24"/>
      <c r="R952" s="24"/>
      <c r="S952" s="24"/>
      <c r="T952" s="24"/>
      <c r="U952" s="53" t="s">
        <v>216</v>
      </c>
      <c r="V952" s="53" t="s">
        <v>218</v>
      </c>
      <c r="W952" s="53" t="s">
        <v>279</v>
      </c>
      <c r="X952" s="53" t="s">
        <v>227</v>
      </c>
      <c r="Y952" s="20"/>
      <c r="Z952" s="20"/>
      <c r="AA952" s="53" t="s">
        <v>3309</v>
      </c>
      <c r="AB952" s="53" t="s">
        <v>528</v>
      </c>
      <c r="AC952" s="24">
        <v>1</v>
      </c>
      <c r="AD952" s="24"/>
      <c r="AE952" s="24"/>
      <c r="AF952" s="24"/>
      <c r="AG952" s="24"/>
      <c r="AH952" s="20"/>
      <c r="AI952" s="42"/>
    </row>
    <row r="953" spans="1:35">
      <c r="A953" s="14"/>
      <c r="B953" s="20"/>
      <c r="C953" s="84" t="s">
        <v>3230</v>
      </c>
      <c r="D953" s="53" t="s">
        <v>79</v>
      </c>
      <c r="E953" s="53" t="s">
        <v>80</v>
      </c>
      <c r="F953" s="84" t="s">
        <v>573</v>
      </c>
      <c r="G953" s="53" t="s">
        <v>1324</v>
      </c>
      <c r="H953" s="53" t="s">
        <v>115</v>
      </c>
      <c r="I953" s="211">
        <v>32126</v>
      </c>
      <c r="J953" s="24">
        <v>1</v>
      </c>
      <c r="K953" s="24"/>
      <c r="L953" s="24">
        <v>1</v>
      </c>
      <c r="M953" s="24"/>
      <c r="N953" s="24"/>
      <c r="O953" s="24"/>
      <c r="P953" s="24"/>
      <c r="Q953" s="24"/>
      <c r="R953" s="24"/>
      <c r="S953" s="24"/>
      <c r="T953" s="24"/>
      <c r="U953" s="53" t="s">
        <v>216</v>
      </c>
      <c r="V953" s="53" t="s">
        <v>218</v>
      </c>
      <c r="W953" s="53" t="s">
        <v>279</v>
      </c>
      <c r="X953" s="53" t="s">
        <v>227</v>
      </c>
      <c r="Y953" s="20"/>
      <c r="Z953" s="20"/>
      <c r="AA953" s="53" t="s">
        <v>3309</v>
      </c>
      <c r="AB953" s="53" t="s">
        <v>528</v>
      </c>
      <c r="AC953" s="24">
        <v>1</v>
      </c>
      <c r="AD953" s="24"/>
      <c r="AE953" s="24"/>
      <c r="AF953" s="24"/>
      <c r="AG953" s="24"/>
      <c r="AH953" s="20"/>
      <c r="AI953" s="42"/>
    </row>
    <row r="954" spans="1:35">
      <c r="A954" s="14"/>
      <c r="B954" s="20"/>
      <c r="C954" s="84" t="s">
        <v>3230</v>
      </c>
      <c r="D954" s="53" t="s">
        <v>79</v>
      </c>
      <c r="E954" s="53" t="s">
        <v>80</v>
      </c>
      <c r="F954" s="84" t="s">
        <v>3248</v>
      </c>
      <c r="G954" s="53" t="s">
        <v>1037</v>
      </c>
      <c r="H954" s="20"/>
      <c r="I954" s="211">
        <v>25666</v>
      </c>
      <c r="J954" s="24">
        <v>1</v>
      </c>
      <c r="K954" s="24"/>
      <c r="L954" s="24">
        <v>1</v>
      </c>
      <c r="M954" s="24"/>
      <c r="N954" s="24"/>
      <c r="O954" s="24"/>
      <c r="P954" s="24"/>
      <c r="Q954" s="24"/>
      <c r="R954" s="24"/>
      <c r="S954" s="24"/>
      <c r="T954" s="24"/>
      <c r="U954" s="53" t="s">
        <v>216</v>
      </c>
      <c r="V954" s="53" t="s">
        <v>218</v>
      </c>
      <c r="W954" s="53" t="s">
        <v>279</v>
      </c>
      <c r="X954" s="53" t="s">
        <v>227</v>
      </c>
      <c r="Y954" s="20"/>
      <c r="Z954" s="20"/>
      <c r="AA954" s="53" t="s">
        <v>3309</v>
      </c>
      <c r="AB954" s="53" t="s">
        <v>528</v>
      </c>
      <c r="AC954" s="24">
        <v>1</v>
      </c>
      <c r="AD954" s="24"/>
      <c r="AE954" s="24"/>
      <c r="AF954" s="24"/>
      <c r="AG954" s="24"/>
      <c r="AH954" s="20"/>
      <c r="AI954" s="42"/>
    </row>
    <row r="955" spans="1:35">
      <c r="A955" s="14"/>
      <c r="B955" s="20"/>
      <c r="C955" s="84" t="s">
        <v>3230</v>
      </c>
      <c r="D955" s="53" t="s">
        <v>79</v>
      </c>
      <c r="E955" s="53" t="s">
        <v>80</v>
      </c>
      <c r="F955" s="84" t="s">
        <v>106</v>
      </c>
      <c r="G955" s="53" t="s">
        <v>3260</v>
      </c>
      <c r="H955" s="20"/>
      <c r="I955" s="211">
        <v>25998</v>
      </c>
      <c r="J955" s="24">
        <v>1</v>
      </c>
      <c r="K955" s="24"/>
      <c r="L955" s="24">
        <v>1</v>
      </c>
      <c r="M955" s="24"/>
      <c r="N955" s="24"/>
      <c r="O955" s="24"/>
      <c r="P955" s="24"/>
      <c r="Q955" s="24"/>
      <c r="R955" s="24"/>
      <c r="S955" s="24"/>
      <c r="T955" s="24"/>
      <c r="U955" s="53" t="s">
        <v>216</v>
      </c>
      <c r="V955" s="53" t="s">
        <v>218</v>
      </c>
      <c r="W955" s="53" t="s">
        <v>279</v>
      </c>
      <c r="X955" s="53" t="s">
        <v>227</v>
      </c>
      <c r="Y955" s="20"/>
      <c r="Z955" s="20"/>
      <c r="AA955" s="53" t="s">
        <v>3309</v>
      </c>
      <c r="AB955" s="53" t="s">
        <v>528</v>
      </c>
      <c r="AC955" s="24">
        <v>1</v>
      </c>
      <c r="AD955" s="24"/>
      <c r="AE955" s="24"/>
      <c r="AF955" s="24"/>
      <c r="AG955" s="24"/>
      <c r="AH955" s="20"/>
      <c r="AI955" s="42"/>
    </row>
    <row r="956" spans="1:35">
      <c r="A956" s="14"/>
      <c r="B956" s="20"/>
      <c r="C956" s="84" t="s">
        <v>3230</v>
      </c>
      <c r="D956" s="53" t="s">
        <v>79</v>
      </c>
      <c r="E956" s="53" t="s">
        <v>80</v>
      </c>
      <c r="F956" s="84" t="s">
        <v>161</v>
      </c>
      <c r="G956" s="53" t="s">
        <v>2261</v>
      </c>
      <c r="H956" s="53" t="s">
        <v>115</v>
      </c>
      <c r="I956" s="211">
        <v>31940</v>
      </c>
      <c r="J956" s="24">
        <v>1</v>
      </c>
      <c r="K956" s="24"/>
      <c r="L956" s="24">
        <v>1</v>
      </c>
      <c r="M956" s="24"/>
      <c r="N956" s="24"/>
      <c r="O956" s="24"/>
      <c r="P956" s="24"/>
      <c r="Q956" s="24"/>
      <c r="R956" s="24"/>
      <c r="S956" s="24"/>
      <c r="T956" s="24"/>
      <c r="U956" s="53" t="s">
        <v>216</v>
      </c>
      <c r="V956" s="53" t="s">
        <v>218</v>
      </c>
      <c r="W956" s="53" t="s">
        <v>279</v>
      </c>
      <c r="X956" s="53" t="s">
        <v>227</v>
      </c>
      <c r="Y956" s="20"/>
      <c r="Z956" s="20"/>
      <c r="AA956" s="53" t="s">
        <v>3309</v>
      </c>
      <c r="AB956" s="53" t="s">
        <v>528</v>
      </c>
      <c r="AC956" s="24">
        <v>1</v>
      </c>
      <c r="AD956" s="24"/>
      <c r="AE956" s="24"/>
      <c r="AF956" s="24"/>
      <c r="AG956" s="24"/>
      <c r="AH956" s="20"/>
      <c r="AI956" s="42"/>
    </row>
    <row r="957" spans="1:35">
      <c r="A957" s="14"/>
      <c r="B957" s="20"/>
      <c r="C957" s="84" t="s">
        <v>3230</v>
      </c>
      <c r="D957" s="53" t="s">
        <v>79</v>
      </c>
      <c r="E957" s="53" t="s">
        <v>80</v>
      </c>
      <c r="F957" s="84" t="s">
        <v>161</v>
      </c>
      <c r="G957" s="53" t="s">
        <v>2868</v>
      </c>
      <c r="H957" s="53" t="s">
        <v>115</v>
      </c>
      <c r="I957" s="211">
        <v>31247</v>
      </c>
      <c r="J957" s="24">
        <v>1</v>
      </c>
      <c r="K957" s="24"/>
      <c r="L957" s="24">
        <v>1</v>
      </c>
      <c r="M957" s="24"/>
      <c r="N957" s="24"/>
      <c r="O957" s="24"/>
      <c r="P957" s="24"/>
      <c r="Q957" s="24"/>
      <c r="R957" s="24"/>
      <c r="S957" s="24"/>
      <c r="T957" s="24"/>
      <c r="U957" s="53" t="s">
        <v>216</v>
      </c>
      <c r="V957" s="53" t="s">
        <v>218</v>
      </c>
      <c r="W957" s="53" t="s">
        <v>279</v>
      </c>
      <c r="X957" s="53" t="s">
        <v>227</v>
      </c>
      <c r="Y957" s="20"/>
      <c r="Z957" s="20"/>
      <c r="AA957" s="53" t="s">
        <v>3308</v>
      </c>
      <c r="AB957" s="53" t="s">
        <v>528</v>
      </c>
      <c r="AC957" s="24">
        <v>1</v>
      </c>
      <c r="AD957" s="24"/>
      <c r="AE957" s="24"/>
      <c r="AF957" s="24"/>
      <c r="AG957" s="24"/>
      <c r="AH957" s="20"/>
      <c r="AI957" s="42"/>
    </row>
    <row r="958" spans="1:35">
      <c r="A958" s="14"/>
      <c r="B958" s="20"/>
      <c r="C958" s="84" t="s">
        <v>3230</v>
      </c>
      <c r="D958" s="53" t="s">
        <v>79</v>
      </c>
      <c r="E958" s="53" t="s">
        <v>80</v>
      </c>
      <c r="F958" s="84" t="s">
        <v>3261</v>
      </c>
      <c r="G958" s="53" t="s">
        <v>3262</v>
      </c>
      <c r="H958" s="53" t="s">
        <v>113</v>
      </c>
      <c r="I958" s="220">
        <v>30065</v>
      </c>
      <c r="J958" s="24"/>
      <c r="K958" s="24">
        <v>1</v>
      </c>
      <c r="L958" s="24">
        <v>1</v>
      </c>
      <c r="M958" s="24"/>
      <c r="N958" s="24"/>
      <c r="O958" s="24"/>
      <c r="P958" s="24"/>
      <c r="Q958" s="24"/>
      <c r="R958" s="24"/>
      <c r="S958" s="24"/>
      <c r="T958" s="24"/>
      <c r="U958" s="53" t="s">
        <v>216</v>
      </c>
      <c r="V958" s="53" t="s">
        <v>218</v>
      </c>
      <c r="W958" s="53" t="s">
        <v>279</v>
      </c>
      <c r="X958" s="53" t="s">
        <v>227</v>
      </c>
      <c r="Y958" s="20"/>
      <c r="Z958" s="20"/>
      <c r="AA958" s="53" t="s">
        <v>3308</v>
      </c>
      <c r="AB958" s="53" t="s">
        <v>528</v>
      </c>
      <c r="AC958" s="24">
        <v>1</v>
      </c>
      <c r="AD958" s="24"/>
      <c r="AE958" s="24"/>
      <c r="AF958" s="24"/>
      <c r="AG958" s="24"/>
      <c r="AH958" s="20"/>
      <c r="AI958" s="42"/>
    </row>
    <row r="959" spans="1:35">
      <c r="A959" s="14"/>
      <c r="B959" s="20"/>
      <c r="C959" s="84" t="s">
        <v>3230</v>
      </c>
      <c r="D959" s="53" t="s">
        <v>79</v>
      </c>
      <c r="E959" s="53" t="s">
        <v>80</v>
      </c>
      <c r="F959" s="84" t="s">
        <v>191</v>
      </c>
      <c r="G959" s="53" t="s">
        <v>2349</v>
      </c>
      <c r="H959" s="20"/>
      <c r="I959" s="211">
        <v>30818</v>
      </c>
      <c r="J959" s="24"/>
      <c r="K959" s="24">
        <v>1</v>
      </c>
      <c r="L959" s="24">
        <v>1</v>
      </c>
      <c r="M959" s="24"/>
      <c r="N959" s="24"/>
      <c r="O959" s="24"/>
      <c r="P959" s="24"/>
      <c r="Q959" s="24"/>
      <c r="R959" s="24"/>
      <c r="S959" s="24"/>
      <c r="T959" s="24"/>
      <c r="U959" s="53" t="s">
        <v>216</v>
      </c>
      <c r="V959" s="53" t="s">
        <v>218</v>
      </c>
      <c r="W959" s="53" t="s">
        <v>279</v>
      </c>
      <c r="X959" s="53" t="s">
        <v>227</v>
      </c>
      <c r="Y959" s="20"/>
      <c r="Z959" s="20"/>
      <c r="AA959" s="53" t="s">
        <v>3308</v>
      </c>
      <c r="AB959" s="53" t="s">
        <v>528</v>
      </c>
      <c r="AC959" s="24">
        <v>1</v>
      </c>
      <c r="AD959" s="24"/>
      <c r="AE959" s="24"/>
      <c r="AF959" s="24"/>
      <c r="AG959" s="24"/>
      <c r="AH959" s="20"/>
      <c r="AI959" s="42"/>
    </row>
    <row r="960" spans="1:35">
      <c r="A960" s="14"/>
      <c r="B960" s="20"/>
      <c r="C960" s="84" t="s">
        <v>3230</v>
      </c>
      <c r="D960" s="53" t="s">
        <v>79</v>
      </c>
      <c r="E960" s="53" t="s">
        <v>80</v>
      </c>
      <c r="F960" s="84" t="s">
        <v>3263</v>
      </c>
      <c r="G960" s="53" t="s">
        <v>3264</v>
      </c>
      <c r="H960" s="20"/>
      <c r="I960" s="211">
        <v>28691</v>
      </c>
      <c r="J960" s="24"/>
      <c r="K960" s="24">
        <v>1</v>
      </c>
      <c r="L960" s="24">
        <v>1</v>
      </c>
      <c r="M960" s="24"/>
      <c r="N960" s="24"/>
      <c r="O960" s="24"/>
      <c r="P960" s="24"/>
      <c r="Q960" s="24"/>
      <c r="R960" s="24"/>
      <c r="S960" s="24"/>
      <c r="T960" s="24"/>
      <c r="U960" s="53" t="s">
        <v>216</v>
      </c>
      <c r="V960" s="53" t="s">
        <v>218</v>
      </c>
      <c r="W960" s="53" t="s">
        <v>279</v>
      </c>
      <c r="X960" s="53" t="s">
        <v>227</v>
      </c>
      <c r="Y960" s="20"/>
      <c r="Z960" s="20"/>
      <c r="AA960" s="53" t="s">
        <v>3308</v>
      </c>
      <c r="AB960" s="53" t="s">
        <v>528</v>
      </c>
      <c r="AC960" s="24">
        <v>1</v>
      </c>
      <c r="AD960" s="24"/>
      <c r="AE960" s="24"/>
      <c r="AF960" s="24"/>
      <c r="AG960" s="24"/>
      <c r="AH960" s="20"/>
      <c r="AI960" s="42"/>
    </row>
    <row r="961" spans="1:35">
      <c r="A961" s="14"/>
      <c r="B961" s="20"/>
      <c r="C961" s="84" t="s">
        <v>3230</v>
      </c>
      <c r="D961" s="53" t="s">
        <v>79</v>
      </c>
      <c r="E961" s="53" t="s">
        <v>80</v>
      </c>
      <c r="F961" s="84" t="s">
        <v>3265</v>
      </c>
      <c r="G961" s="53" t="s">
        <v>1117</v>
      </c>
      <c r="H961" s="53" t="s">
        <v>136</v>
      </c>
      <c r="I961" s="211">
        <v>26403</v>
      </c>
      <c r="J961" s="24">
        <v>1</v>
      </c>
      <c r="K961" s="24"/>
      <c r="L961" s="24">
        <v>1</v>
      </c>
      <c r="M961" s="24"/>
      <c r="N961" s="24"/>
      <c r="O961" s="24"/>
      <c r="P961" s="24"/>
      <c r="Q961" s="24"/>
      <c r="R961" s="24"/>
      <c r="S961" s="24"/>
      <c r="T961" s="24"/>
      <c r="U961" s="53" t="s">
        <v>216</v>
      </c>
      <c r="V961" s="53" t="s">
        <v>218</v>
      </c>
      <c r="W961" s="53" t="s">
        <v>279</v>
      </c>
      <c r="X961" s="53" t="s">
        <v>227</v>
      </c>
      <c r="Y961" s="20"/>
      <c r="Z961" s="20"/>
      <c r="AA961" s="53" t="s">
        <v>3308</v>
      </c>
      <c r="AB961" s="53" t="s">
        <v>528</v>
      </c>
      <c r="AC961" s="24">
        <v>1</v>
      </c>
      <c r="AD961" s="24"/>
      <c r="AE961" s="24"/>
      <c r="AF961" s="24"/>
      <c r="AG961" s="24"/>
      <c r="AH961" s="20"/>
      <c r="AI961" s="42"/>
    </row>
    <row r="962" spans="1:35">
      <c r="A962" s="14"/>
      <c r="B962" s="20"/>
      <c r="C962" s="84" t="s">
        <v>3230</v>
      </c>
      <c r="D962" s="53" t="s">
        <v>79</v>
      </c>
      <c r="E962" s="53" t="s">
        <v>80</v>
      </c>
      <c r="F962" s="84" t="s">
        <v>3246</v>
      </c>
      <c r="G962" s="53" t="s">
        <v>703</v>
      </c>
      <c r="H962" s="53" t="s">
        <v>115</v>
      </c>
      <c r="I962" s="211">
        <v>30910</v>
      </c>
      <c r="J962" s="24"/>
      <c r="K962" s="24">
        <v>1</v>
      </c>
      <c r="L962" s="24">
        <v>1</v>
      </c>
      <c r="M962" s="24"/>
      <c r="N962" s="24"/>
      <c r="O962" s="24"/>
      <c r="P962" s="24"/>
      <c r="Q962" s="24"/>
      <c r="R962" s="24"/>
      <c r="S962" s="24"/>
      <c r="T962" s="24"/>
      <c r="U962" s="53" t="s">
        <v>216</v>
      </c>
      <c r="V962" s="53" t="s">
        <v>218</v>
      </c>
      <c r="W962" s="53" t="s">
        <v>279</v>
      </c>
      <c r="X962" s="53" t="s">
        <v>227</v>
      </c>
      <c r="Y962" s="20"/>
      <c r="Z962" s="20"/>
      <c r="AA962" s="53" t="s">
        <v>3308</v>
      </c>
      <c r="AB962" s="53" t="s">
        <v>528</v>
      </c>
      <c r="AC962" s="24">
        <v>1</v>
      </c>
      <c r="AD962" s="24"/>
      <c r="AE962" s="24"/>
      <c r="AF962" s="24"/>
      <c r="AG962" s="24"/>
      <c r="AH962" s="20"/>
      <c r="AI962" s="42"/>
    </row>
    <row r="963" spans="1:35">
      <c r="A963" s="14"/>
      <c r="B963" s="20"/>
      <c r="C963" s="84" t="s">
        <v>3230</v>
      </c>
      <c r="D963" s="53" t="s">
        <v>79</v>
      </c>
      <c r="E963" s="53" t="s">
        <v>80</v>
      </c>
      <c r="F963" s="84" t="s">
        <v>3266</v>
      </c>
      <c r="G963" s="53" t="s">
        <v>3267</v>
      </c>
      <c r="H963" s="53" t="s">
        <v>144</v>
      </c>
      <c r="I963" s="211">
        <v>28994</v>
      </c>
      <c r="J963" s="24"/>
      <c r="K963" s="24">
        <v>1</v>
      </c>
      <c r="L963" s="24">
        <v>1</v>
      </c>
      <c r="M963" s="24"/>
      <c r="N963" s="24"/>
      <c r="O963" s="24"/>
      <c r="P963" s="24"/>
      <c r="Q963" s="24"/>
      <c r="R963" s="24"/>
      <c r="S963" s="24"/>
      <c r="T963" s="24"/>
      <c r="U963" s="53" t="s">
        <v>216</v>
      </c>
      <c r="V963" s="53" t="s">
        <v>218</v>
      </c>
      <c r="W963" s="53" t="s">
        <v>279</v>
      </c>
      <c r="X963" s="53" t="s">
        <v>227</v>
      </c>
      <c r="Y963" s="20"/>
      <c r="Z963" s="20"/>
      <c r="AA963" s="53" t="s">
        <v>3308</v>
      </c>
      <c r="AB963" s="53" t="s">
        <v>528</v>
      </c>
      <c r="AC963" s="24">
        <v>1</v>
      </c>
      <c r="AD963" s="24"/>
      <c r="AE963" s="24"/>
      <c r="AF963" s="24"/>
      <c r="AG963" s="24"/>
      <c r="AH963" s="20"/>
      <c r="AI963" s="42"/>
    </row>
    <row r="964" spans="1:35">
      <c r="A964" s="14"/>
      <c r="B964" s="20"/>
      <c r="C964" s="84" t="s">
        <v>3230</v>
      </c>
      <c r="D964" s="53" t="s">
        <v>79</v>
      </c>
      <c r="E964" s="53" t="s">
        <v>80</v>
      </c>
      <c r="F964" s="84" t="s">
        <v>3268</v>
      </c>
      <c r="G964" s="53" t="s">
        <v>465</v>
      </c>
      <c r="H964" s="53" t="s">
        <v>421</v>
      </c>
      <c r="I964" s="211">
        <v>26708</v>
      </c>
      <c r="J964" s="24"/>
      <c r="K964" s="24">
        <v>1</v>
      </c>
      <c r="L964" s="24">
        <v>1</v>
      </c>
      <c r="M964" s="24"/>
      <c r="N964" s="24"/>
      <c r="O964" s="24"/>
      <c r="P964" s="24"/>
      <c r="Q964" s="24"/>
      <c r="R964" s="24"/>
      <c r="S964" s="24"/>
      <c r="T964" s="24"/>
      <c r="U964" s="53" t="s">
        <v>216</v>
      </c>
      <c r="V964" s="53" t="s">
        <v>218</v>
      </c>
      <c r="W964" s="53" t="s">
        <v>279</v>
      </c>
      <c r="X964" s="53" t="s">
        <v>227</v>
      </c>
      <c r="Y964" s="20"/>
      <c r="Z964" s="20"/>
      <c r="AA964" s="53" t="s">
        <v>3308</v>
      </c>
      <c r="AB964" s="53" t="s">
        <v>528</v>
      </c>
      <c r="AC964" s="24">
        <v>1</v>
      </c>
      <c r="AD964" s="24"/>
      <c r="AE964" s="24"/>
      <c r="AF964" s="24"/>
      <c r="AG964" s="24"/>
      <c r="AH964" s="20"/>
      <c r="AI964" s="42"/>
    </row>
    <row r="965" spans="1:35">
      <c r="A965" s="14"/>
      <c r="B965" s="20"/>
      <c r="C965" s="84" t="s">
        <v>3230</v>
      </c>
      <c r="D965" s="53" t="s">
        <v>79</v>
      </c>
      <c r="E965" s="53" t="s">
        <v>80</v>
      </c>
      <c r="F965" s="84" t="s">
        <v>3269</v>
      </c>
      <c r="G965" s="53" t="s">
        <v>3270</v>
      </c>
      <c r="H965" s="53" t="s">
        <v>115</v>
      </c>
      <c r="I965" s="211">
        <v>25064</v>
      </c>
      <c r="J965" s="24">
        <v>1</v>
      </c>
      <c r="K965" s="24"/>
      <c r="L965" s="24">
        <v>1</v>
      </c>
      <c r="M965" s="24"/>
      <c r="N965" s="24"/>
      <c r="O965" s="24"/>
      <c r="P965" s="24"/>
      <c r="Q965" s="24"/>
      <c r="R965" s="24"/>
      <c r="S965" s="24"/>
      <c r="T965" s="24"/>
      <c r="U965" s="53" t="s">
        <v>216</v>
      </c>
      <c r="V965" s="53" t="s">
        <v>218</v>
      </c>
      <c r="W965" s="53" t="s">
        <v>279</v>
      </c>
      <c r="X965" s="53" t="s">
        <v>227</v>
      </c>
      <c r="Y965" s="20"/>
      <c r="Z965" s="20"/>
      <c r="AA965" s="53" t="s">
        <v>3308</v>
      </c>
      <c r="AB965" s="53" t="s">
        <v>528</v>
      </c>
      <c r="AC965" s="24">
        <v>1</v>
      </c>
      <c r="AD965" s="24"/>
      <c r="AE965" s="24"/>
      <c r="AF965" s="24"/>
      <c r="AG965" s="24"/>
      <c r="AH965" s="20"/>
      <c r="AI965" s="42"/>
    </row>
    <row r="966" spans="1:35">
      <c r="A966" s="14"/>
      <c r="B966" s="20"/>
      <c r="C966" s="84" t="s">
        <v>3230</v>
      </c>
      <c r="D966" s="53" t="s">
        <v>79</v>
      </c>
      <c r="E966" s="53" t="s">
        <v>80</v>
      </c>
      <c r="F966" s="84" t="s">
        <v>2746</v>
      </c>
      <c r="G966" s="53" t="s">
        <v>3271</v>
      </c>
      <c r="H966" s="20"/>
      <c r="I966" s="211">
        <v>20682</v>
      </c>
      <c r="J966" s="24"/>
      <c r="K966" s="24">
        <v>1</v>
      </c>
      <c r="L966" s="24">
        <v>1</v>
      </c>
      <c r="M966" s="24"/>
      <c r="N966" s="24"/>
      <c r="O966" s="24"/>
      <c r="P966" s="24"/>
      <c r="Q966" s="24"/>
      <c r="R966" s="24"/>
      <c r="S966" s="24"/>
      <c r="T966" s="24"/>
      <c r="U966" s="53" t="s">
        <v>216</v>
      </c>
      <c r="V966" s="53" t="s">
        <v>218</v>
      </c>
      <c r="W966" s="53" t="s">
        <v>279</v>
      </c>
      <c r="X966" s="53" t="s">
        <v>227</v>
      </c>
      <c r="Y966" s="20"/>
      <c r="Z966" s="20"/>
      <c r="AA966" s="53" t="s">
        <v>3308</v>
      </c>
      <c r="AB966" s="53" t="s">
        <v>528</v>
      </c>
      <c r="AC966" s="24">
        <v>1</v>
      </c>
      <c r="AD966" s="24"/>
      <c r="AE966" s="24"/>
      <c r="AF966" s="24"/>
      <c r="AG966" s="24"/>
      <c r="AH966" s="20"/>
      <c r="AI966" s="42"/>
    </row>
    <row r="967" spans="1:35">
      <c r="A967" s="14"/>
      <c r="B967" s="20"/>
      <c r="C967" s="84" t="s">
        <v>3230</v>
      </c>
      <c r="D967" s="53" t="s">
        <v>79</v>
      </c>
      <c r="E967" s="53" t="s">
        <v>80</v>
      </c>
      <c r="F967" s="53" t="s">
        <v>2954</v>
      </c>
      <c r="G967" s="53" t="s">
        <v>3272</v>
      </c>
      <c r="H967" s="53" t="s">
        <v>3273</v>
      </c>
      <c r="I967" s="213" t="s">
        <v>3274</v>
      </c>
      <c r="J967" s="24">
        <v>1</v>
      </c>
      <c r="K967" s="24"/>
      <c r="L967" s="24">
        <v>1</v>
      </c>
      <c r="M967" s="24"/>
      <c r="N967" s="24"/>
      <c r="O967" s="24"/>
      <c r="P967" s="24"/>
      <c r="Q967" s="24"/>
      <c r="R967" s="24"/>
      <c r="S967" s="24"/>
      <c r="T967" s="24"/>
      <c r="U967" s="53" t="s">
        <v>856</v>
      </c>
      <c r="V967" s="53" t="s">
        <v>293</v>
      </c>
      <c r="W967" s="53" t="s">
        <v>298</v>
      </c>
      <c r="X967" s="53" t="s">
        <v>227</v>
      </c>
      <c r="Y967" s="20"/>
      <c r="Z967" s="20"/>
      <c r="AA967" s="53" t="s">
        <v>3309</v>
      </c>
      <c r="AB967" s="53" t="s">
        <v>528</v>
      </c>
      <c r="AC967" s="24">
        <v>1</v>
      </c>
      <c r="AD967" s="24"/>
      <c r="AE967" s="24"/>
      <c r="AF967" s="24"/>
      <c r="AG967" s="24"/>
      <c r="AH967" s="20"/>
      <c r="AI967" s="42"/>
    </row>
    <row r="968" spans="1:35">
      <c r="A968" s="14"/>
      <c r="B968" s="20"/>
      <c r="C968" s="84" t="s">
        <v>3230</v>
      </c>
      <c r="D968" s="53" t="s">
        <v>79</v>
      </c>
      <c r="E968" s="53" t="s">
        <v>80</v>
      </c>
      <c r="F968" s="53" t="s">
        <v>3275</v>
      </c>
      <c r="G968" s="53" t="s">
        <v>3276</v>
      </c>
      <c r="H968" s="53" t="s">
        <v>115</v>
      </c>
      <c r="I968" s="211">
        <v>36062</v>
      </c>
      <c r="J968" s="24">
        <v>1</v>
      </c>
      <c r="K968" s="24"/>
      <c r="L968" s="24">
        <v>1</v>
      </c>
      <c r="M968" s="24"/>
      <c r="N968" s="24"/>
      <c r="O968" s="24"/>
      <c r="P968" s="24"/>
      <c r="Q968" s="24"/>
      <c r="R968" s="24"/>
      <c r="S968" s="24"/>
      <c r="T968" s="24"/>
      <c r="U968" s="53" t="s">
        <v>856</v>
      </c>
      <c r="V968" s="53" t="s">
        <v>293</v>
      </c>
      <c r="W968" s="53" t="s">
        <v>298</v>
      </c>
      <c r="X968" s="53" t="s">
        <v>227</v>
      </c>
      <c r="Y968" s="20"/>
      <c r="Z968" s="20"/>
      <c r="AA968" s="53" t="s">
        <v>3309</v>
      </c>
      <c r="AB968" s="53" t="s">
        <v>528</v>
      </c>
      <c r="AC968" s="24">
        <v>1</v>
      </c>
      <c r="AD968" s="24"/>
      <c r="AE968" s="24"/>
      <c r="AF968" s="24"/>
      <c r="AG968" s="24"/>
      <c r="AH968" s="20"/>
      <c r="AI968" s="42"/>
    </row>
    <row r="969" spans="1:35">
      <c r="A969" s="14"/>
      <c r="B969" s="20"/>
      <c r="C969" s="84" t="s">
        <v>3230</v>
      </c>
      <c r="D969" s="53" t="s">
        <v>79</v>
      </c>
      <c r="E969" s="53" t="s">
        <v>80</v>
      </c>
      <c r="F969" s="53" t="s">
        <v>3277</v>
      </c>
      <c r="G969" s="53" t="s">
        <v>3278</v>
      </c>
      <c r="H969" s="53" t="s">
        <v>286</v>
      </c>
      <c r="I969" s="211">
        <v>35331</v>
      </c>
      <c r="J969" s="24">
        <v>1</v>
      </c>
      <c r="K969" s="24"/>
      <c r="L969" s="24">
        <v>1</v>
      </c>
      <c r="M969" s="24"/>
      <c r="N969" s="24"/>
      <c r="O969" s="24"/>
      <c r="P969" s="24"/>
      <c r="Q969" s="24"/>
      <c r="R969" s="24"/>
      <c r="S969" s="24"/>
      <c r="T969" s="24"/>
      <c r="U969" s="53" t="s">
        <v>856</v>
      </c>
      <c r="V969" s="53" t="s">
        <v>293</v>
      </c>
      <c r="W969" s="53" t="s">
        <v>298</v>
      </c>
      <c r="X969" s="53" t="s">
        <v>227</v>
      </c>
      <c r="Y969" s="20"/>
      <c r="Z969" s="20"/>
      <c r="AA969" s="53" t="s">
        <v>3309</v>
      </c>
      <c r="AB969" s="53" t="s">
        <v>528</v>
      </c>
      <c r="AC969" s="24">
        <v>1</v>
      </c>
      <c r="AD969" s="24"/>
      <c r="AE969" s="24"/>
      <c r="AF969" s="24"/>
      <c r="AG969" s="24"/>
      <c r="AH969" s="20"/>
      <c r="AI969" s="42"/>
    </row>
    <row r="970" spans="1:35">
      <c r="A970" s="14"/>
      <c r="B970" s="20"/>
      <c r="C970" s="84" t="s">
        <v>3230</v>
      </c>
      <c r="D970" s="53" t="s">
        <v>79</v>
      </c>
      <c r="E970" s="53" t="s">
        <v>80</v>
      </c>
      <c r="F970" s="53" t="s">
        <v>3280</v>
      </c>
      <c r="G970" s="53" t="s">
        <v>3279</v>
      </c>
      <c r="H970" s="53" t="s">
        <v>286</v>
      </c>
      <c r="I970" s="211">
        <v>31537</v>
      </c>
      <c r="J970" s="24">
        <v>1</v>
      </c>
      <c r="K970" s="24"/>
      <c r="L970" s="24">
        <v>1</v>
      </c>
      <c r="M970" s="24"/>
      <c r="N970" s="24"/>
      <c r="O970" s="24"/>
      <c r="P970" s="24"/>
      <c r="Q970" s="24"/>
      <c r="R970" s="24"/>
      <c r="S970" s="24"/>
      <c r="T970" s="24"/>
      <c r="U970" s="53" t="s">
        <v>856</v>
      </c>
      <c r="V970" s="53" t="s">
        <v>293</v>
      </c>
      <c r="W970" s="53" t="s">
        <v>298</v>
      </c>
      <c r="X970" s="53" t="s">
        <v>227</v>
      </c>
      <c r="Y970" s="20"/>
      <c r="Z970" s="20"/>
      <c r="AA970" s="53" t="s">
        <v>3309</v>
      </c>
      <c r="AB970" s="53" t="s">
        <v>528</v>
      </c>
      <c r="AC970" s="24">
        <v>1</v>
      </c>
      <c r="AD970" s="24"/>
      <c r="AE970" s="24"/>
      <c r="AF970" s="24"/>
      <c r="AG970" s="24"/>
      <c r="AH970" s="20"/>
      <c r="AI970" s="42"/>
    </row>
    <row r="971" spans="1:35">
      <c r="A971" s="14"/>
      <c r="B971" s="20"/>
      <c r="C971" s="84" t="s">
        <v>3230</v>
      </c>
      <c r="D971" s="53" t="s">
        <v>79</v>
      </c>
      <c r="E971" s="53" t="s">
        <v>80</v>
      </c>
      <c r="F971" s="53" t="s">
        <v>3280</v>
      </c>
      <c r="G971" s="53" t="s">
        <v>3281</v>
      </c>
      <c r="H971" s="53" t="s">
        <v>120</v>
      </c>
      <c r="I971" s="211">
        <v>18096</v>
      </c>
      <c r="J971" s="24">
        <v>1</v>
      </c>
      <c r="K971" s="24"/>
      <c r="L971" s="24">
        <v>1</v>
      </c>
      <c r="M971" s="24"/>
      <c r="N971" s="24"/>
      <c r="O971" s="24"/>
      <c r="P971" s="24"/>
      <c r="Q971" s="24"/>
      <c r="R971" s="24"/>
      <c r="S971" s="24"/>
      <c r="T971" s="24"/>
      <c r="U971" s="53" t="s">
        <v>856</v>
      </c>
      <c r="V971" s="53" t="s">
        <v>293</v>
      </c>
      <c r="W971" s="53" t="s">
        <v>298</v>
      </c>
      <c r="X971" s="53" t="s">
        <v>227</v>
      </c>
      <c r="Y971" s="20"/>
      <c r="Z971" s="20"/>
      <c r="AA971" s="53" t="s">
        <v>3309</v>
      </c>
      <c r="AB971" s="53" t="s">
        <v>528</v>
      </c>
      <c r="AC971" s="24">
        <v>1</v>
      </c>
      <c r="AD971" s="24"/>
      <c r="AE971" s="24"/>
      <c r="AF971" s="24"/>
      <c r="AG971" s="24"/>
      <c r="AH971" s="20"/>
      <c r="AI971" s="42"/>
    </row>
    <row r="972" spans="1:35">
      <c r="A972" s="14"/>
      <c r="B972" s="20"/>
      <c r="C972" s="84" t="s">
        <v>3230</v>
      </c>
      <c r="D972" s="53" t="s">
        <v>79</v>
      </c>
      <c r="E972" s="53" t="s">
        <v>80</v>
      </c>
      <c r="F972" s="53" t="s">
        <v>2954</v>
      </c>
      <c r="G972" s="53" t="s">
        <v>3282</v>
      </c>
      <c r="H972" s="20"/>
      <c r="I972" s="221">
        <v>31157</v>
      </c>
      <c r="J972" s="24">
        <v>1</v>
      </c>
      <c r="K972" s="24"/>
      <c r="L972" s="24">
        <v>1</v>
      </c>
      <c r="M972" s="24"/>
      <c r="N972" s="24"/>
      <c r="O972" s="24"/>
      <c r="P972" s="24"/>
      <c r="Q972" s="24"/>
      <c r="R972" s="24"/>
      <c r="S972" s="24"/>
      <c r="T972" s="24"/>
      <c r="U972" s="53" t="s">
        <v>856</v>
      </c>
      <c r="V972" s="53" t="s">
        <v>293</v>
      </c>
      <c r="W972" s="53" t="s">
        <v>298</v>
      </c>
      <c r="X972" s="53" t="s">
        <v>227</v>
      </c>
      <c r="Y972" s="20"/>
      <c r="Z972" s="20"/>
      <c r="AA972" s="53" t="s">
        <v>3309</v>
      </c>
      <c r="AB972" s="53" t="s">
        <v>528</v>
      </c>
      <c r="AC972" s="24">
        <v>1</v>
      </c>
      <c r="AD972" s="24"/>
      <c r="AE972" s="24"/>
      <c r="AF972" s="24"/>
      <c r="AG972" s="24"/>
      <c r="AH972" s="20"/>
      <c r="AI972" s="42"/>
    </row>
    <row r="973" spans="1:35">
      <c r="A973" s="14"/>
      <c r="B973" s="20"/>
      <c r="C973" s="84" t="s">
        <v>3230</v>
      </c>
      <c r="D973" s="53" t="s">
        <v>79</v>
      </c>
      <c r="E973" s="53" t="s">
        <v>80</v>
      </c>
      <c r="F973" s="53" t="s">
        <v>2954</v>
      </c>
      <c r="G973" s="53" t="s">
        <v>2955</v>
      </c>
      <c r="H973" s="53" t="s">
        <v>588</v>
      </c>
      <c r="I973" s="221">
        <v>27762</v>
      </c>
      <c r="J973" s="24">
        <v>1</v>
      </c>
      <c r="K973" s="24"/>
      <c r="L973" s="24">
        <v>1</v>
      </c>
      <c r="M973" s="24"/>
      <c r="N973" s="24"/>
      <c r="O973" s="24"/>
      <c r="P973" s="24"/>
      <c r="Q973" s="24"/>
      <c r="R973" s="24"/>
      <c r="S973" s="24"/>
      <c r="T973" s="24"/>
      <c r="U973" s="53" t="s">
        <v>856</v>
      </c>
      <c r="V973" s="53" t="s">
        <v>293</v>
      </c>
      <c r="W973" s="53" t="s">
        <v>298</v>
      </c>
      <c r="X973" s="53" t="s">
        <v>227</v>
      </c>
      <c r="Y973" s="20"/>
      <c r="Z973" s="20"/>
      <c r="AA973" s="53" t="s">
        <v>3309</v>
      </c>
      <c r="AB973" s="53" t="s">
        <v>528</v>
      </c>
      <c r="AC973" s="24">
        <v>1</v>
      </c>
      <c r="AD973" s="24"/>
      <c r="AE973" s="24"/>
      <c r="AF973" s="24"/>
      <c r="AG973" s="24"/>
      <c r="AH973" s="20"/>
      <c r="AI973" s="42"/>
    </row>
    <row r="974" spans="1:35">
      <c r="A974" s="14"/>
      <c r="B974" s="20"/>
      <c r="C974" s="84" t="s">
        <v>3230</v>
      </c>
      <c r="D974" s="53" t="s">
        <v>79</v>
      </c>
      <c r="E974" s="53" t="s">
        <v>80</v>
      </c>
      <c r="F974" s="53" t="s">
        <v>3283</v>
      </c>
      <c r="G974" s="53" t="s">
        <v>3284</v>
      </c>
      <c r="H974" s="53" t="s">
        <v>81</v>
      </c>
      <c r="I974" s="211">
        <v>37538</v>
      </c>
      <c r="J974" s="24"/>
      <c r="K974" s="24">
        <v>1</v>
      </c>
      <c r="L974" s="24">
        <v>1</v>
      </c>
      <c r="M974" s="24"/>
      <c r="N974" s="24"/>
      <c r="O974" s="24"/>
      <c r="P974" s="24"/>
      <c r="Q974" s="24"/>
      <c r="R974" s="24"/>
      <c r="S974" s="24"/>
      <c r="T974" s="24"/>
      <c r="U974" s="53" t="s">
        <v>856</v>
      </c>
      <c r="V974" s="53" t="s">
        <v>293</v>
      </c>
      <c r="W974" s="53" t="s">
        <v>298</v>
      </c>
      <c r="X974" s="53" t="s">
        <v>227</v>
      </c>
      <c r="Y974" s="20"/>
      <c r="Z974" s="20"/>
      <c r="AA974" s="53" t="s">
        <v>3309</v>
      </c>
      <c r="AB974" s="53" t="s">
        <v>528</v>
      </c>
      <c r="AC974" s="24">
        <v>1</v>
      </c>
      <c r="AD974" s="24"/>
      <c r="AE974" s="24"/>
      <c r="AF974" s="24"/>
      <c r="AG974" s="24"/>
      <c r="AH974" s="20"/>
      <c r="AI974" s="42"/>
    </row>
    <row r="975" spans="1:35">
      <c r="A975" s="14"/>
      <c r="B975" s="20"/>
      <c r="C975" s="84" t="s">
        <v>3230</v>
      </c>
      <c r="D975" s="53" t="s">
        <v>79</v>
      </c>
      <c r="E975" s="53" t="s">
        <v>80</v>
      </c>
      <c r="F975" s="53" t="s">
        <v>2019</v>
      </c>
      <c r="G975" s="53" t="s">
        <v>3285</v>
      </c>
      <c r="H975" s="53" t="s">
        <v>742</v>
      </c>
      <c r="I975" s="211">
        <v>31413</v>
      </c>
      <c r="J975" s="24"/>
      <c r="K975" s="24">
        <v>1</v>
      </c>
      <c r="L975" s="24">
        <v>1</v>
      </c>
      <c r="M975" s="24"/>
      <c r="N975" s="24"/>
      <c r="O975" s="24"/>
      <c r="P975" s="24"/>
      <c r="Q975" s="24"/>
      <c r="R975" s="24"/>
      <c r="S975" s="24"/>
      <c r="T975" s="24"/>
      <c r="U975" s="53" t="s">
        <v>856</v>
      </c>
      <c r="V975" s="53" t="s">
        <v>293</v>
      </c>
      <c r="W975" s="53" t="s">
        <v>298</v>
      </c>
      <c r="X975" s="53" t="s">
        <v>227</v>
      </c>
      <c r="Y975" s="20"/>
      <c r="Z975" s="20"/>
      <c r="AA975" s="53" t="s">
        <v>3309</v>
      </c>
      <c r="AB975" s="53" t="s">
        <v>528</v>
      </c>
      <c r="AC975" s="24">
        <v>1</v>
      </c>
      <c r="AD975" s="24"/>
      <c r="AE975" s="24"/>
      <c r="AF975" s="24"/>
      <c r="AG975" s="24"/>
      <c r="AH975" s="20"/>
      <c r="AI975" s="42"/>
    </row>
    <row r="976" spans="1:35">
      <c r="A976" s="14"/>
      <c r="B976" s="20"/>
      <c r="C976" s="84" t="s">
        <v>3230</v>
      </c>
      <c r="D976" s="53" t="s">
        <v>79</v>
      </c>
      <c r="E976" s="53" t="s">
        <v>80</v>
      </c>
      <c r="F976" s="53" t="s">
        <v>3286</v>
      </c>
      <c r="G976" s="53" t="s">
        <v>3287</v>
      </c>
      <c r="H976" s="53" t="s">
        <v>126</v>
      </c>
      <c r="I976" s="211">
        <v>26359</v>
      </c>
      <c r="J976" s="24"/>
      <c r="K976" s="24">
        <v>1</v>
      </c>
      <c r="L976" s="24">
        <v>1</v>
      </c>
      <c r="M976" s="24"/>
      <c r="N976" s="24"/>
      <c r="O976" s="24"/>
      <c r="P976" s="24"/>
      <c r="Q976" s="24"/>
      <c r="R976" s="24"/>
      <c r="S976" s="24"/>
      <c r="T976" s="24"/>
      <c r="U976" s="53" t="s">
        <v>856</v>
      </c>
      <c r="V976" s="53" t="s">
        <v>293</v>
      </c>
      <c r="W976" s="53" t="s">
        <v>298</v>
      </c>
      <c r="X976" s="53" t="s">
        <v>227</v>
      </c>
      <c r="Y976" s="20"/>
      <c r="Z976" s="20"/>
      <c r="AA976" s="53" t="s">
        <v>3309</v>
      </c>
      <c r="AB976" s="53" t="s">
        <v>528</v>
      </c>
      <c r="AC976" s="24">
        <v>1</v>
      </c>
      <c r="AD976" s="24"/>
      <c r="AE976" s="24"/>
      <c r="AF976" s="24"/>
      <c r="AG976" s="24"/>
      <c r="AH976" s="20"/>
      <c r="AI976" s="42"/>
    </row>
    <row r="977" spans="1:35">
      <c r="A977" s="14"/>
      <c r="B977" s="20"/>
      <c r="C977" s="84" t="s">
        <v>3230</v>
      </c>
      <c r="D977" s="53" t="s">
        <v>79</v>
      </c>
      <c r="E977" s="53" t="s">
        <v>80</v>
      </c>
      <c r="F977" s="53" t="s">
        <v>3288</v>
      </c>
      <c r="G977" s="53" t="s">
        <v>3289</v>
      </c>
      <c r="H977" s="53" t="s">
        <v>742</v>
      </c>
      <c r="I977" s="211">
        <v>35626</v>
      </c>
      <c r="J977" s="24">
        <v>1</v>
      </c>
      <c r="K977" s="24"/>
      <c r="L977" s="24">
        <v>1</v>
      </c>
      <c r="M977" s="24"/>
      <c r="N977" s="24"/>
      <c r="O977" s="24"/>
      <c r="P977" s="24"/>
      <c r="Q977" s="24"/>
      <c r="R977" s="24"/>
      <c r="S977" s="24"/>
      <c r="T977" s="24"/>
      <c r="U977" s="53" t="s">
        <v>856</v>
      </c>
      <c r="V977" s="53" t="s">
        <v>293</v>
      </c>
      <c r="W977" s="53" t="s">
        <v>298</v>
      </c>
      <c r="X977" s="53" t="s">
        <v>227</v>
      </c>
      <c r="Y977" s="20"/>
      <c r="Z977" s="20"/>
      <c r="AA977" s="53" t="s">
        <v>3309</v>
      </c>
      <c r="AB977" s="53" t="s">
        <v>528</v>
      </c>
      <c r="AC977" s="24">
        <v>1</v>
      </c>
      <c r="AD977" s="24"/>
      <c r="AE977" s="24"/>
      <c r="AF977" s="24"/>
      <c r="AG977" s="24"/>
      <c r="AH977" s="20"/>
      <c r="AI977" s="42"/>
    </row>
    <row r="978" spans="1:35">
      <c r="A978" s="14"/>
      <c r="B978" s="20"/>
      <c r="C978" s="84" t="s">
        <v>3230</v>
      </c>
      <c r="D978" s="53" t="s">
        <v>79</v>
      </c>
      <c r="E978" s="53" t="s">
        <v>80</v>
      </c>
      <c r="F978" s="53" t="s">
        <v>3280</v>
      </c>
      <c r="G978" s="53" t="s">
        <v>3290</v>
      </c>
      <c r="H978" s="53" t="s">
        <v>126</v>
      </c>
      <c r="I978" s="221">
        <v>33739</v>
      </c>
      <c r="J978" s="24"/>
      <c r="K978" s="24">
        <v>1</v>
      </c>
      <c r="L978" s="24">
        <v>1</v>
      </c>
      <c r="M978" s="24"/>
      <c r="N978" s="24"/>
      <c r="O978" s="24"/>
      <c r="P978" s="24"/>
      <c r="Q978" s="24"/>
      <c r="R978" s="24"/>
      <c r="S978" s="24"/>
      <c r="T978" s="24"/>
      <c r="U978" s="53" t="s">
        <v>856</v>
      </c>
      <c r="V978" s="53" t="s">
        <v>293</v>
      </c>
      <c r="W978" s="53" t="s">
        <v>298</v>
      </c>
      <c r="X978" s="53" t="s">
        <v>227</v>
      </c>
      <c r="Y978" s="20"/>
      <c r="Z978" s="20"/>
      <c r="AA978" s="53" t="s">
        <v>3309</v>
      </c>
      <c r="AB978" s="53" t="s">
        <v>528</v>
      </c>
      <c r="AC978" s="24">
        <v>1</v>
      </c>
      <c r="AD978" s="24"/>
      <c r="AE978" s="24"/>
      <c r="AF978" s="24"/>
      <c r="AG978" s="24"/>
      <c r="AH978" s="20"/>
      <c r="AI978" s="42"/>
    </row>
    <row r="979" spans="1:35">
      <c r="A979" s="14"/>
      <c r="B979" s="20"/>
      <c r="C979" s="84" t="s">
        <v>3230</v>
      </c>
      <c r="D979" s="53" t="s">
        <v>79</v>
      </c>
      <c r="E979" s="53" t="s">
        <v>80</v>
      </c>
      <c r="F979" s="53" t="s">
        <v>3280</v>
      </c>
      <c r="G979" s="53" t="s">
        <v>2019</v>
      </c>
      <c r="H979" s="53" t="s">
        <v>742</v>
      </c>
      <c r="I979" s="221">
        <v>38490</v>
      </c>
      <c r="J979" s="24">
        <v>1</v>
      </c>
      <c r="K979" s="24"/>
      <c r="L979" s="24">
        <v>1</v>
      </c>
      <c r="M979" s="24"/>
      <c r="N979" s="24"/>
      <c r="O979" s="24"/>
      <c r="P979" s="24"/>
      <c r="Q979" s="24"/>
      <c r="R979" s="24"/>
      <c r="S979" s="24"/>
      <c r="T979" s="24"/>
      <c r="U979" s="53" t="s">
        <v>856</v>
      </c>
      <c r="V979" s="53" t="s">
        <v>293</v>
      </c>
      <c r="W979" s="53" t="s">
        <v>298</v>
      </c>
      <c r="X979" s="53" t="s">
        <v>227</v>
      </c>
      <c r="Y979" s="20"/>
      <c r="Z979" s="20"/>
      <c r="AA979" s="53" t="s">
        <v>3309</v>
      </c>
      <c r="AB979" s="53" t="s">
        <v>528</v>
      </c>
      <c r="AC979" s="24">
        <v>1</v>
      </c>
      <c r="AD979" s="24"/>
      <c r="AE979" s="24"/>
      <c r="AF979" s="24"/>
      <c r="AG979" s="24"/>
      <c r="AH979" s="20"/>
      <c r="AI979" s="42"/>
    </row>
    <row r="980" spans="1:35">
      <c r="A980" s="14"/>
      <c r="B980" s="20"/>
      <c r="C980" s="84" t="s">
        <v>3230</v>
      </c>
      <c r="D980" s="53" t="s">
        <v>79</v>
      </c>
      <c r="E980" s="53" t="s">
        <v>80</v>
      </c>
      <c r="F980" s="53" t="s">
        <v>3280</v>
      </c>
      <c r="G980" s="53" t="s">
        <v>138</v>
      </c>
      <c r="H980" s="53" t="s">
        <v>126</v>
      </c>
      <c r="I980" s="221">
        <v>38332</v>
      </c>
      <c r="J980" s="24">
        <v>1</v>
      </c>
      <c r="K980" s="24"/>
      <c r="L980" s="24">
        <v>1</v>
      </c>
      <c r="M980" s="24"/>
      <c r="N980" s="24"/>
      <c r="O980" s="24"/>
      <c r="P980" s="24"/>
      <c r="Q980" s="24"/>
      <c r="R980" s="24"/>
      <c r="S980" s="24"/>
      <c r="T980" s="24"/>
      <c r="U980" s="53" t="s">
        <v>856</v>
      </c>
      <c r="V980" s="53" t="s">
        <v>293</v>
      </c>
      <c r="W980" s="53" t="s">
        <v>298</v>
      </c>
      <c r="X980" s="53" t="s">
        <v>227</v>
      </c>
      <c r="Y980" s="20"/>
      <c r="Z980" s="20"/>
      <c r="AA980" s="53" t="s">
        <v>3309</v>
      </c>
      <c r="AB980" s="53" t="s">
        <v>528</v>
      </c>
      <c r="AC980" s="24">
        <v>1</v>
      </c>
      <c r="AD980" s="24"/>
      <c r="AE980" s="24"/>
      <c r="AF980" s="24"/>
      <c r="AG980" s="24"/>
      <c r="AH980" s="20"/>
      <c r="AI980" s="42"/>
    </row>
    <row r="981" spans="1:35">
      <c r="A981" s="14"/>
      <c r="B981" s="20"/>
      <c r="C981" s="84" t="s">
        <v>3230</v>
      </c>
      <c r="D981" s="53" t="s">
        <v>79</v>
      </c>
      <c r="E981" s="53" t="s">
        <v>80</v>
      </c>
      <c r="F981" s="53" t="s">
        <v>2954</v>
      </c>
      <c r="G981" s="53" t="s">
        <v>3291</v>
      </c>
      <c r="H981" s="53" t="s">
        <v>115</v>
      </c>
      <c r="I981" s="211">
        <v>37293</v>
      </c>
      <c r="J981" s="24">
        <v>1</v>
      </c>
      <c r="K981" s="24"/>
      <c r="L981" s="24">
        <v>1</v>
      </c>
      <c r="M981" s="24"/>
      <c r="N981" s="24"/>
      <c r="O981" s="24"/>
      <c r="P981" s="24"/>
      <c r="Q981" s="24"/>
      <c r="R981" s="24"/>
      <c r="S981" s="24"/>
      <c r="T981" s="24"/>
      <c r="U981" s="53" t="s">
        <v>856</v>
      </c>
      <c r="V981" s="53" t="s">
        <v>293</v>
      </c>
      <c r="W981" s="53" t="s">
        <v>298</v>
      </c>
      <c r="X981" s="53" t="s">
        <v>227</v>
      </c>
      <c r="Y981" s="20"/>
      <c r="Z981" s="20"/>
      <c r="AA981" s="53" t="s">
        <v>3309</v>
      </c>
      <c r="AB981" s="53" t="s">
        <v>528</v>
      </c>
      <c r="AC981" s="24">
        <v>1</v>
      </c>
      <c r="AD981" s="24"/>
      <c r="AE981" s="24"/>
      <c r="AF981" s="24"/>
      <c r="AG981" s="24"/>
      <c r="AH981" s="20"/>
      <c r="AI981" s="42"/>
    </row>
    <row r="982" spans="1:35">
      <c r="A982" s="14"/>
      <c r="B982" s="20"/>
      <c r="C982" s="84" t="s">
        <v>3230</v>
      </c>
      <c r="D982" s="53" t="s">
        <v>79</v>
      </c>
      <c r="E982" s="53" t="s">
        <v>80</v>
      </c>
      <c r="F982" s="53" t="s">
        <v>3292</v>
      </c>
      <c r="G982" s="53" t="s">
        <v>3293</v>
      </c>
      <c r="H982" s="53" t="s">
        <v>81</v>
      </c>
      <c r="I982" s="211">
        <v>26456</v>
      </c>
      <c r="J982" s="24">
        <v>1</v>
      </c>
      <c r="K982" s="24"/>
      <c r="L982" s="24">
        <v>1</v>
      </c>
      <c r="M982" s="24"/>
      <c r="N982" s="24"/>
      <c r="O982" s="24"/>
      <c r="P982" s="24"/>
      <c r="Q982" s="24"/>
      <c r="R982" s="24"/>
      <c r="S982" s="24"/>
      <c r="T982" s="24"/>
      <c r="U982" s="53" t="s">
        <v>856</v>
      </c>
      <c r="V982" s="53" t="s">
        <v>293</v>
      </c>
      <c r="W982" s="53" t="s">
        <v>298</v>
      </c>
      <c r="X982" s="53" t="s">
        <v>227</v>
      </c>
      <c r="Y982" s="20"/>
      <c r="Z982" s="20"/>
      <c r="AA982" s="53" t="s">
        <v>3309</v>
      </c>
      <c r="AB982" s="53" t="s">
        <v>528</v>
      </c>
      <c r="AC982" s="24">
        <v>1</v>
      </c>
      <c r="AD982" s="24"/>
      <c r="AE982" s="24"/>
      <c r="AF982" s="24"/>
      <c r="AG982" s="24"/>
      <c r="AH982" s="20"/>
      <c r="AI982" s="42"/>
    </row>
    <row r="983" spans="1:35">
      <c r="A983" s="14"/>
      <c r="B983" s="20"/>
      <c r="C983" s="84" t="s">
        <v>3230</v>
      </c>
      <c r="D983" s="53" t="s">
        <v>79</v>
      </c>
      <c r="E983" s="53" t="s">
        <v>80</v>
      </c>
      <c r="F983" s="53" t="s">
        <v>3294</v>
      </c>
      <c r="G983" s="53" t="s">
        <v>3295</v>
      </c>
      <c r="H983" s="53" t="s">
        <v>604</v>
      </c>
      <c r="I983" s="211">
        <v>24471</v>
      </c>
      <c r="J983" s="24"/>
      <c r="K983" s="24">
        <v>1</v>
      </c>
      <c r="L983" s="24">
        <v>1</v>
      </c>
      <c r="M983" s="24"/>
      <c r="N983" s="24"/>
      <c r="O983" s="24"/>
      <c r="P983" s="24"/>
      <c r="Q983" s="24"/>
      <c r="R983" s="24"/>
      <c r="S983" s="24"/>
      <c r="T983" s="24"/>
      <c r="U983" s="53" t="s">
        <v>856</v>
      </c>
      <c r="V983" s="53" t="s">
        <v>293</v>
      </c>
      <c r="W983" s="53" t="s">
        <v>298</v>
      </c>
      <c r="X983" s="53" t="s">
        <v>227</v>
      </c>
      <c r="Y983" s="20"/>
      <c r="Z983" s="20"/>
      <c r="AA983" s="53" t="s">
        <v>3309</v>
      </c>
      <c r="AB983" s="53" t="s">
        <v>528</v>
      </c>
      <c r="AC983" s="24">
        <v>1</v>
      </c>
      <c r="AD983" s="24"/>
      <c r="AE983" s="24"/>
      <c r="AF983" s="24"/>
      <c r="AG983" s="24"/>
      <c r="AH983" s="20"/>
      <c r="AI983" s="42"/>
    </row>
    <row r="984" spans="1:35">
      <c r="A984" s="14"/>
      <c r="B984" s="20"/>
      <c r="C984" s="84" t="s">
        <v>3230</v>
      </c>
      <c r="D984" s="53" t="s">
        <v>79</v>
      </c>
      <c r="E984" s="53" t="s">
        <v>80</v>
      </c>
      <c r="F984" s="53" t="s">
        <v>3296</v>
      </c>
      <c r="G984" s="53" t="s">
        <v>3293</v>
      </c>
      <c r="H984" s="53" t="s">
        <v>136</v>
      </c>
      <c r="I984" s="213">
        <v>36610</v>
      </c>
      <c r="J984" s="24">
        <v>1</v>
      </c>
      <c r="K984" s="24"/>
      <c r="L984" s="24">
        <v>1</v>
      </c>
      <c r="M984" s="24"/>
      <c r="N984" s="24"/>
      <c r="O984" s="24"/>
      <c r="P984" s="24"/>
      <c r="Q984" s="24"/>
      <c r="R984" s="24"/>
      <c r="S984" s="24"/>
      <c r="T984" s="24"/>
      <c r="U984" s="53" t="s">
        <v>856</v>
      </c>
      <c r="V984" s="53" t="s">
        <v>293</v>
      </c>
      <c r="W984" s="53" t="s">
        <v>298</v>
      </c>
      <c r="X984" s="53" t="s">
        <v>227</v>
      </c>
      <c r="Y984" s="20"/>
      <c r="Z984" s="20"/>
      <c r="AA984" s="53" t="s">
        <v>3309</v>
      </c>
      <c r="AB984" s="53" t="s">
        <v>528</v>
      </c>
      <c r="AC984" s="24">
        <v>1</v>
      </c>
      <c r="AD984" s="24"/>
      <c r="AE984" s="24"/>
      <c r="AF984" s="24"/>
      <c r="AG984" s="24"/>
      <c r="AH984" s="20"/>
      <c r="AI984" s="42"/>
    </row>
    <row r="985" spans="1:35">
      <c r="A985" s="14"/>
      <c r="B985" s="20"/>
      <c r="C985" s="84" t="s">
        <v>3230</v>
      </c>
      <c r="D985" s="53" t="s">
        <v>79</v>
      </c>
      <c r="E985" s="53" t="s">
        <v>80</v>
      </c>
      <c r="F985" s="53" t="s">
        <v>3297</v>
      </c>
      <c r="G985" s="53" t="s">
        <v>3298</v>
      </c>
      <c r="H985" s="53" t="s">
        <v>115</v>
      </c>
      <c r="I985" s="221">
        <v>35614</v>
      </c>
      <c r="J985" s="24">
        <v>1</v>
      </c>
      <c r="K985" s="24"/>
      <c r="L985" s="24">
        <v>1</v>
      </c>
      <c r="M985" s="24"/>
      <c r="N985" s="24"/>
      <c r="O985" s="24"/>
      <c r="P985" s="24"/>
      <c r="Q985" s="24"/>
      <c r="R985" s="24"/>
      <c r="S985" s="24"/>
      <c r="T985" s="24"/>
      <c r="U985" s="53" t="s">
        <v>856</v>
      </c>
      <c r="V985" s="53" t="s">
        <v>293</v>
      </c>
      <c r="W985" s="53" t="s">
        <v>298</v>
      </c>
      <c r="X985" s="53" t="s">
        <v>227</v>
      </c>
      <c r="Y985" s="20"/>
      <c r="Z985" s="20"/>
      <c r="AA985" s="53" t="s">
        <v>3309</v>
      </c>
      <c r="AB985" s="53" t="s">
        <v>528</v>
      </c>
      <c r="AC985" s="24">
        <v>1</v>
      </c>
      <c r="AD985" s="24"/>
      <c r="AE985" s="24"/>
      <c r="AF985" s="24"/>
      <c r="AG985" s="24"/>
      <c r="AH985" s="20"/>
      <c r="AI985" s="42"/>
    </row>
    <row r="986" spans="1:35">
      <c r="A986" s="14"/>
      <c r="B986" s="20"/>
      <c r="C986" s="84" t="s">
        <v>3230</v>
      </c>
      <c r="D986" s="53" t="s">
        <v>79</v>
      </c>
      <c r="E986" s="53" t="s">
        <v>80</v>
      </c>
      <c r="F986" s="53" t="s">
        <v>3299</v>
      </c>
      <c r="G986" s="53" t="s">
        <v>1218</v>
      </c>
      <c r="H986" s="53" t="s">
        <v>421</v>
      </c>
      <c r="I986" s="221">
        <v>33172</v>
      </c>
      <c r="J986" s="24"/>
      <c r="K986" s="24">
        <v>1</v>
      </c>
      <c r="L986" s="24">
        <v>1</v>
      </c>
      <c r="M986" s="24"/>
      <c r="N986" s="24"/>
      <c r="O986" s="24"/>
      <c r="P986" s="24"/>
      <c r="Q986" s="24"/>
      <c r="R986" s="24"/>
      <c r="S986" s="24"/>
      <c r="T986" s="24"/>
      <c r="U986" s="53" t="s">
        <v>856</v>
      </c>
      <c r="V986" s="53" t="s">
        <v>293</v>
      </c>
      <c r="W986" s="53" t="s">
        <v>298</v>
      </c>
      <c r="X986" s="53" t="s">
        <v>227</v>
      </c>
      <c r="Y986" s="20"/>
      <c r="Z986" s="20"/>
      <c r="AA986" s="53" t="s">
        <v>3309</v>
      </c>
      <c r="AB986" s="53" t="s">
        <v>528</v>
      </c>
      <c r="AC986" s="24">
        <v>1</v>
      </c>
      <c r="AD986" s="24"/>
      <c r="AE986" s="24"/>
      <c r="AF986" s="24"/>
      <c r="AG986" s="24"/>
      <c r="AH986" s="20"/>
      <c r="AI986" s="42"/>
    </row>
    <row r="987" spans="1:35">
      <c r="A987" s="14"/>
      <c r="B987" s="20"/>
      <c r="C987" s="84" t="s">
        <v>3230</v>
      </c>
      <c r="D987" s="53" t="s">
        <v>79</v>
      </c>
      <c r="E987" s="53" t="s">
        <v>80</v>
      </c>
      <c r="F987" s="53" t="s">
        <v>3300</v>
      </c>
      <c r="G987" s="53" t="s">
        <v>3301</v>
      </c>
      <c r="H987" s="53" t="s">
        <v>81</v>
      </c>
      <c r="I987" s="211">
        <v>30191</v>
      </c>
      <c r="J987" s="24">
        <v>1</v>
      </c>
      <c r="K987" s="24"/>
      <c r="L987" s="24">
        <v>1</v>
      </c>
      <c r="M987" s="24"/>
      <c r="N987" s="24"/>
      <c r="O987" s="24"/>
      <c r="P987" s="24"/>
      <c r="Q987" s="24"/>
      <c r="R987" s="24"/>
      <c r="S987" s="24"/>
      <c r="T987" s="24"/>
      <c r="U987" s="53" t="s">
        <v>856</v>
      </c>
      <c r="V987" s="53" t="s">
        <v>293</v>
      </c>
      <c r="W987" s="53" t="s">
        <v>298</v>
      </c>
      <c r="X987" s="53" t="s">
        <v>227</v>
      </c>
      <c r="Y987" s="20"/>
      <c r="Z987" s="20"/>
      <c r="AA987" s="53" t="s">
        <v>3309</v>
      </c>
      <c r="AB987" s="53" t="s">
        <v>528</v>
      </c>
      <c r="AC987" s="24">
        <v>1</v>
      </c>
      <c r="AD987" s="24"/>
      <c r="AE987" s="24"/>
      <c r="AF987" s="24"/>
      <c r="AG987" s="24"/>
      <c r="AH987" s="20"/>
      <c r="AI987" s="42"/>
    </row>
    <row r="988" spans="1:35">
      <c r="A988" s="14"/>
      <c r="B988" s="20"/>
      <c r="C988" s="84" t="s">
        <v>3230</v>
      </c>
      <c r="D988" s="53" t="s">
        <v>79</v>
      </c>
      <c r="E988" s="53" t="s">
        <v>80</v>
      </c>
      <c r="F988" s="53" t="s">
        <v>3302</v>
      </c>
      <c r="G988" s="53" t="s">
        <v>3303</v>
      </c>
      <c r="H988" s="53" t="s">
        <v>604</v>
      </c>
      <c r="I988" s="211">
        <v>31788</v>
      </c>
      <c r="J988" s="24">
        <v>1</v>
      </c>
      <c r="K988" s="24"/>
      <c r="L988" s="24">
        <v>1</v>
      </c>
      <c r="M988" s="24"/>
      <c r="N988" s="24"/>
      <c r="O988" s="24"/>
      <c r="P988" s="24"/>
      <c r="Q988" s="24"/>
      <c r="R988" s="24"/>
      <c r="S988" s="24"/>
      <c r="T988" s="24"/>
      <c r="U988" s="53" t="s">
        <v>856</v>
      </c>
      <c r="V988" s="53" t="s">
        <v>293</v>
      </c>
      <c r="W988" s="53" t="s">
        <v>298</v>
      </c>
      <c r="X988" s="53" t="s">
        <v>227</v>
      </c>
      <c r="Y988" s="20"/>
      <c r="Z988" s="20"/>
      <c r="AA988" s="53" t="s">
        <v>3309</v>
      </c>
      <c r="AB988" s="53" t="s">
        <v>528</v>
      </c>
      <c r="AC988" s="24">
        <v>1</v>
      </c>
      <c r="AD988" s="24"/>
      <c r="AE988" s="24"/>
      <c r="AF988" s="24"/>
      <c r="AG988" s="24"/>
      <c r="AH988" s="20"/>
      <c r="AI988" s="42"/>
    </row>
    <row r="989" spans="1:35">
      <c r="A989" s="14"/>
      <c r="B989" s="20"/>
      <c r="C989" s="84" t="s">
        <v>3230</v>
      </c>
      <c r="D989" s="53" t="s">
        <v>79</v>
      </c>
      <c r="E989" s="53" t="s">
        <v>80</v>
      </c>
      <c r="F989" s="20" t="s">
        <v>3313</v>
      </c>
      <c r="G989" s="20" t="s">
        <v>3314</v>
      </c>
      <c r="H989" s="20" t="s">
        <v>126</v>
      </c>
      <c r="I989" s="211">
        <v>27549</v>
      </c>
      <c r="J989" s="24">
        <v>1</v>
      </c>
      <c r="K989" s="24"/>
      <c r="L989" s="24">
        <v>1</v>
      </c>
      <c r="M989" s="24"/>
      <c r="N989" s="24"/>
      <c r="O989" s="24"/>
      <c r="P989" s="24"/>
      <c r="Q989" s="24"/>
      <c r="R989" s="24"/>
      <c r="S989" s="24"/>
      <c r="T989" s="24"/>
      <c r="U989" s="53" t="s">
        <v>221</v>
      </c>
      <c r="V989" s="53" t="s">
        <v>218</v>
      </c>
      <c r="W989" s="53" t="s">
        <v>279</v>
      </c>
      <c r="X989" s="53" t="s">
        <v>227</v>
      </c>
      <c r="Y989" s="20"/>
      <c r="Z989" s="20"/>
      <c r="AA989" s="53" t="s">
        <v>3308</v>
      </c>
      <c r="AB989" s="53" t="s">
        <v>528</v>
      </c>
      <c r="AC989" s="24">
        <v>2</v>
      </c>
      <c r="AD989" s="24"/>
      <c r="AE989" s="24"/>
      <c r="AF989" s="24"/>
      <c r="AG989" s="24"/>
      <c r="AH989" s="20"/>
      <c r="AI989" s="42"/>
    </row>
    <row r="990" spans="1:35">
      <c r="A990" s="14"/>
      <c r="B990" s="20"/>
      <c r="C990" s="84" t="s">
        <v>3230</v>
      </c>
      <c r="D990" s="53" t="s">
        <v>79</v>
      </c>
      <c r="E990" s="53" t="s">
        <v>80</v>
      </c>
      <c r="F990" s="20" t="s">
        <v>3316</v>
      </c>
      <c r="G990" s="20" t="s">
        <v>3315</v>
      </c>
      <c r="H990" s="20" t="s">
        <v>115</v>
      </c>
      <c r="I990" s="211">
        <v>28317</v>
      </c>
      <c r="J990" s="24">
        <v>1</v>
      </c>
      <c r="K990" s="24"/>
      <c r="L990" s="24">
        <v>1</v>
      </c>
      <c r="M990" s="24"/>
      <c r="N990" s="24"/>
      <c r="O990" s="24"/>
      <c r="P990" s="24"/>
      <c r="Q990" s="24"/>
      <c r="R990" s="24"/>
      <c r="S990" s="24"/>
      <c r="T990" s="24"/>
      <c r="U990" s="53" t="s">
        <v>221</v>
      </c>
      <c r="V990" s="53" t="s">
        <v>218</v>
      </c>
      <c r="W990" s="53" t="s">
        <v>279</v>
      </c>
      <c r="X990" s="53" t="s">
        <v>227</v>
      </c>
      <c r="Y990" s="20"/>
      <c r="Z990" s="20"/>
      <c r="AA990" s="53" t="s">
        <v>3308</v>
      </c>
      <c r="AB990" s="53" t="s">
        <v>528</v>
      </c>
      <c r="AC990" s="24">
        <v>2</v>
      </c>
      <c r="AD990" s="24"/>
      <c r="AE990" s="24"/>
      <c r="AF990" s="24"/>
      <c r="AG990" s="24"/>
      <c r="AH990" s="20"/>
      <c r="AI990" s="42"/>
    </row>
    <row r="991" spans="1:35">
      <c r="A991" s="14"/>
      <c r="B991" s="20"/>
      <c r="C991" s="84" t="s">
        <v>3230</v>
      </c>
      <c r="D991" s="53" t="s">
        <v>79</v>
      </c>
      <c r="E991" s="53" t="s">
        <v>80</v>
      </c>
      <c r="F991" s="20" t="s">
        <v>3317</v>
      </c>
      <c r="G991" s="20" t="s">
        <v>3318</v>
      </c>
      <c r="H991" s="20" t="s">
        <v>136</v>
      </c>
      <c r="I991" s="221">
        <v>34109</v>
      </c>
      <c r="J991" s="24">
        <v>1</v>
      </c>
      <c r="K991" s="24"/>
      <c r="L991" s="24">
        <v>1</v>
      </c>
      <c r="M991" s="24"/>
      <c r="N991" s="24"/>
      <c r="O991" s="24"/>
      <c r="P991" s="24"/>
      <c r="Q991" s="24"/>
      <c r="R991" s="24"/>
      <c r="S991" s="24"/>
      <c r="T991" s="24"/>
      <c r="U991" s="53" t="s">
        <v>221</v>
      </c>
      <c r="V991" s="53" t="s">
        <v>218</v>
      </c>
      <c r="W991" s="53" t="s">
        <v>279</v>
      </c>
      <c r="X991" s="53" t="s">
        <v>227</v>
      </c>
      <c r="Y991" s="20"/>
      <c r="Z991" s="20"/>
      <c r="AA991" s="53" t="s">
        <v>3308</v>
      </c>
      <c r="AB991" s="53" t="s">
        <v>528</v>
      </c>
      <c r="AC991" s="24">
        <v>2</v>
      </c>
      <c r="AD991" s="24"/>
      <c r="AE991" s="24"/>
      <c r="AF991" s="24"/>
      <c r="AG991" s="24"/>
      <c r="AH991" s="20"/>
      <c r="AI991" s="42"/>
    </row>
    <row r="992" spans="1:35">
      <c r="A992" s="14"/>
      <c r="B992" s="20"/>
      <c r="C992" s="84" t="s">
        <v>3230</v>
      </c>
      <c r="D992" s="53" t="s">
        <v>79</v>
      </c>
      <c r="E992" s="53" t="s">
        <v>80</v>
      </c>
      <c r="F992" s="20" t="s">
        <v>3317</v>
      </c>
      <c r="G992" s="20" t="s">
        <v>713</v>
      </c>
      <c r="H992" s="20" t="s">
        <v>136</v>
      </c>
      <c r="I992" s="221">
        <v>31992</v>
      </c>
      <c r="J992" s="24">
        <v>1</v>
      </c>
      <c r="K992" s="24"/>
      <c r="L992" s="24">
        <v>1</v>
      </c>
      <c r="M992" s="24"/>
      <c r="N992" s="24"/>
      <c r="O992" s="24"/>
      <c r="P992" s="24"/>
      <c r="Q992" s="24"/>
      <c r="R992" s="24"/>
      <c r="S992" s="24"/>
      <c r="T992" s="24"/>
      <c r="U992" s="53" t="s">
        <v>221</v>
      </c>
      <c r="V992" s="53" t="s">
        <v>218</v>
      </c>
      <c r="W992" s="53" t="s">
        <v>279</v>
      </c>
      <c r="X992" s="53" t="s">
        <v>227</v>
      </c>
      <c r="Y992" s="20"/>
      <c r="Z992" s="20"/>
      <c r="AA992" s="53" t="s">
        <v>3308</v>
      </c>
      <c r="AB992" s="53" t="s">
        <v>528</v>
      </c>
      <c r="AC992" s="24">
        <v>2</v>
      </c>
      <c r="AD992" s="24"/>
      <c r="AE992" s="24"/>
      <c r="AF992" s="24"/>
      <c r="AG992" s="24"/>
      <c r="AH992" s="20"/>
      <c r="AI992" s="42"/>
    </row>
    <row r="993" spans="1:35">
      <c r="A993" s="14"/>
      <c r="B993" s="20"/>
      <c r="C993" s="84" t="s">
        <v>3230</v>
      </c>
      <c r="D993" s="53" t="s">
        <v>79</v>
      </c>
      <c r="E993" s="53" t="s">
        <v>80</v>
      </c>
      <c r="F993" s="20" t="s">
        <v>1336</v>
      </c>
      <c r="G993" s="20" t="s">
        <v>3319</v>
      </c>
      <c r="H993" s="20" t="s">
        <v>160</v>
      </c>
      <c r="I993" s="211"/>
      <c r="J993" s="24">
        <v>1</v>
      </c>
      <c r="K993" s="24"/>
      <c r="L993" s="24">
        <v>1</v>
      </c>
      <c r="M993" s="24"/>
      <c r="N993" s="24"/>
      <c r="O993" s="24"/>
      <c r="P993" s="24"/>
      <c r="Q993" s="24"/>
      <c r="R993" s="24"/>
      <c r="S993" s="24"/>
      <c r="T993" s="24"/>
      <c r="U993" s="53" t="s">
        <v>221</v>
      </c>
      <c r="V993" s="53" t="s">
        <v>218</v>
      </c>
      <c r="W993" s="53" t="s">
        <v>279</v>
      </c>
      <c r="X993" s="53" t="s">
        <v>227</v>
      </c>
      <c r="Y993" s="20"/>
      <c r="Z993" s="20"/>
      <c r="AA993" s="53" t="s">
        <v>3308</v>
      </c>
      <c r="AB993" s="53" t="s">
        <v>528</v>
      </c>
      <c r="AC993" s="24">
        <v>2</v>
      </c>
      <c r="AD993" s="24"/>
      <c r="AE993" s="24"/>
      <c r="AF993" s="24"/>
      <c r="AG993" s="24"/>
      <c r="AH993" s="20"/>
      <c r="AI993" s="42"/>
    </row>
    <row r="994" spans="1:35">
      <c r="A994" s="14"/>
      <c r="B994" s="20"/>
      <c r="C994" s="84" t="s">
        <v>3230</v>
      </c>
      <c r="D994" s="53" t="s">
        <v>79</v>
      </c>
      <c r="E994" s="53" t="s">
        <v>80</v>
      </c>
      <c r="F994" s="20" t="s">
        <v>3320</v>
      </c>
      <c r="G994" s="20" t="s">
        <v>3321</v>
      </c>
      <c r="H994" s="20" t="s">
        <v>126</v>
      </c>
      <c r="I994" s="211">
        <v>30733</v>
      </c>
      <c r="J994" s="24"/>
      <c r="K994" s="24">
        <v>1</v>
      </c>
      <c r="L994" s="24">
        <v>1</v>
      </c>
      <c r="M994" s="24"/>
      <c r="N994" s="24"/>
      <c r="O994" s="24"/>
      <c r="P994" s="24"/>
      <c r="Q994" s="24"/>
      <c r="R994" s="24"/>
      <c r="S994" s="24"/>
      <c r="T994" s="24"/>
      <c r="U994" s="53" t="s">
        <v>221</v>
      </c>
      <c r="V994" s="53" t="s">
        <v>218</v>
      </c>
      <c r="W994" s="53" t="s">
        <v>279</v>
      </c>
      <c r="X994" s="53" t="s">
        <v>227</v>
      </c>
      <c r="Y994" s="20"/>
      <c r="Z994" s="20"/>
      <c r="AA994" s="53" t="s">
        <v>3308</v>
      </c>
      <c r="AB994" s="53" t="s">
        <v>528</v>
      </c>
      <c r="AC994" s="24">
        <v>2</v>
      </c>
      <c r="AD994" s="24"/>
      <c r="AE994" s="24"/>
      <c r="AF994" s="24"/>
      <c r="AG994" s="24"/>
      <c r="AH994" s="20"/>
      <c r="AI994" s="42"/>
    </row>
    <row r="995" spans="1:35">
      <c r="A995" s="14"/>
      <c r="B995" s="20"/>
      <c r="C995" s="84" t="s">
        <v>3230</v>
      </c>
      <c r="D995" s="53" t="s">
        <v>79</v>
      </c>
      <c r="E995" s="53" t="s">
        <v>80</v>
      </c>
      <c r="F995" s="20" t="s">
        <v>3322</v>
      </c>
      <c r="G995" s="20" t="s">
        <v>3323</v>
      </c>
      <c r="H995" s="20" t="s">
        <v>81</v>
      </c>
      <c r="I995" s="211">
        <v>24710</v>
      </c>
      <c r="J995" s="24"/>
      <c r="K995" s="24">
        <v>1</v>
      </c>
      <c r="L995" s="24">
        <v>1</v>
      </c>
      <c r="M995" s="24"/>
      <c r="N995" s="24"/>
      <c r="O995" s="24"/>
      <c r="P995" s="24"/>
      <c r="Q995" s="24"/>
      <c r="R995" s="24"/>
      <c r="S995" s="24"/>
      <c r="T995" s="24"/>
      <c r="U995" s="53" t="s">
        <v>221</v>
      </c>
      <c r="V995" s="53" t="s">
        <v>218</v>
      </c>
      <c r="W995" s="53" t="s">
        <v>279</v>
      </c>
      <c r="X995" s="53" t="s">
        <v>227</v>
      </c>
      <c r="Y995" s="20"/>
      <c r="Z995" s="20"/>
      <c r="AA995" s="53" t="s">
        <v>3308</v>
      </c>
      <c r="AB995" s="53" t="s">
        <v>528</v>
      </c>
      <c r="AC995" s="24">
        <v>2</v>
      </c>
      <c r="AD995" s="24"/>
      <c r="AE995" s="24"/>
      <c r="AF995" s="24"/>
      <c r="AG995" s="24"/>
      <c r="AH995" s="20"/>
      <c r="AI995" s="42"/>
    </row>
    <row r="996" spans="1:35">
      <c r="A996" s="14"/>
      <c r="B996" s="20"/>
      <c r="C996" s="84" t="s">
        <v>3230</v>
      </c>
      <c r="D996" s="53" t="s">
        <v>79</v>
      </c>
      <c r="E996" s="53" t="s">
        <v>80</v>
      </c>
      <c r="F996" s="20" t="s">
        <v>974</v>
      </c>
      <c r="G996" s="20" t="s">
        <v>1098</v>
      </c>
      <c r="H996" s="20" t="s">
        <v>160</v>
      </c>
      <c r="I996" s="211">
        <v>27112</v>
      </c>
      <c r="J996" s="24"/>
      <c r="K996" s="24">
        <v>1</v>
      </c>
      <c r="L996" s="24">
        <v>1</v>
      </c>
      <c r="M996" s="24"/>
      <c r="N996" s="24"/>
      <c r="O996" s="24"/>
      <c r="P996" s="24"/>
      <c r="Q996" s="24"/>
      <c r="R996" s="24"/>
      <c r="S996" s="24"/>
      <c r="T996" s="24"/>
      <c r="U996" s="53" t="s">
        <v>221</v>
      </c>
      <c r="V996" s="53" t="s">
        <v>218</v>
      </c>
      <c r="W996" s="53" t="s">
        <v>279</v>
      </c>
      <c r="X996" s="53" t="s">
        <v>227</v>
      </c>
      <c r="Y996" s="20"/>
      <c r="Z996" s="20"/>
      <c r="AA996" s="53" t="s">
        <v>3308</v>
      </c>
      <c r="AB996" s="53" t="s">
        <v>528</v>
      </c>
      <c r="AC996" s="24">
        <v>2</v>
      </c>
      <c r="AD996" s="24"/>
      <c r="AE996" s="24"/>
      <c r="AF996" s="24"/>
      <c r="AG996" s="24"/>
      <c r="AH996" s="20"/>
      <c r="AI996" s="42"/>
    </row>
    <row r="997" spans="1:35">
      <c r="A997" s="14"/>
      <c r="B997" s="20"/>
      <c r="C997" s="84" t="s">
        <v>3230</v>
      </c>
      <c r="D997" s="53" t="s">
        <v>79</v>
      </c>
      <c r="E997" s="53" t="s">
        <v>80</v>
      </c>
      <c r="F997" s="20" t="s">
        <v>3324</v>
      </c>
      <c r="G997" s="20" t="s">
        <v>3325</v>
      </c>
      <c r="H997" s="20" t="s">
        <v>120</v>
      </c>
      <c r="I997" s="221">
        <v>29590</v>
      </c>
      <c r="J997" s="24"/>
      <c r="K997" s="24">
        <v>1</v>
      </c>
      <c r="L997" s="24">
        <v>1</v>
      </c>
      <c r="M997" s="24"/>
      <c r="N997" s="24"/>
      <c r="O997" s="24"/>
      <c r="P997" s="24"/>
      <c r="Q997" s="24"/>
      <c r="R997" s="24"/>
      <c r="S997" s="24"/>
      <c r="T997" s="24"/>
      <c r="U997" s="53" t="s">
        <v>221</v>
      </c>
      <c r="V997" s="53" t="s">
        <v>218</v>
      </c>
      <c r="W997" s="53" t="s">
        <v>279</v>
      </c>
      <c r="X997" s="53" t="s">
        <v>227</v>
      </c>
      <c r="Y997" s="20"/>
      <c r="Z997" s="20"/>
      <c r="AA997" s="53" t="s">
        <v>3308</v>
      </c>
      <c r="AB997" s="53" t="s">
        <v>528</v>
      </c>
      <c r="AC997" s="24">
        <v>2</v>
      </c>
      <c r="AD997" s="24"/>
      <c r="AE997" s="24"/>
      <c r="AF997" s="24"/>
      <c r="AG997" s="24"/>
      <c r="AH997" s="20"/>
      <c r="AI997" s="42"/>
    </row>
    <row r="998" spans="1:35">
      <c r="A998" s="14"/>
      <c r="B998" s="20"/>
      <c r="C998" s="84" t="s">
        <v>3230</v>
      </c>
      <c r="D998" s="53" t="s">
        <v>79</v>
      </c>
      <c r="E998" s="53" t="s">
        <v>80</v>
      </c>
      <c r="F998" s="20" t="s">
        <v>1340</v>
      </c>
      <c r="G998" s="20" t="s">
        <v>3326</v>
      </c>
      <c r="H998" s="20" t="s">
        <v>117</v>
      </c>
      <c r="I998" s="221">
        <v>28944</v>
      </c>
      <c r="J998" s="24"/>
      <c r="K998" s="24">
        <v>1</v>
      </c>
      <c r="L998" s="24">
        <v>1</v>
      </c>
      <c r="M998" s="24"/>
      <c r="N998" s="24"/>
      <c r="O998" s="24"/>
      <c r="P998" s="24"/>
      <c r="Q998" s="24"/>
      <c r="R998" s="24"/>
      <c r="S998" s="24"/>
      <c r="T998" s="24"/>
      <c r="U998" s="53" t="s">
        <v>221</v>
      </c>
      <c r="V998" s="53" t="s">
        <v>218</v>
      </c>
      <c r="W998" s="53" t="s">
        <v>279</v>
      </c>
      <c r="X998" s="53" t="s">
        <v>227</v>
      </c>
      <c r="Y998" s="20"/>
      <c r="Z998" s="20"/>
      <c r="AA998" s="53" t="s">
        <v>3308</v>
      </c>
      <c r="AB998" s="53" t="s">
        <v>528</v>
      </c>
      <c r="AC998" s="24">
        <v>2</v>
      </c>
      <c r="AD998" s="24"/>
      <c r="AE998" s="24"/>
      <c r="AF998" s="24"/>
      <c r="AG998" s="24"/>
      <c r="AH998" s="20"/>
      <c r="AI998" s="42"/>
    </row>
    <row r="999" spans="1:35">
      <c r="A999" s="14"/>
      <c r="B999" s="20"/>
      <c r="C999" s="84" t="s">
        <v>3230</v>
      </c>
      <c r="D999" s="53" t="s">
        <v>79</v>
      </c>
      <c r="E999" s="53" t="s">
        <v>80</v>
      </c>
      <c r="F999" s="20" t="s">
        <v>3327</v>
      </c>
      <c r="G999" s="20" t="s">
        <v>3328</v>
      </c>
      <c r="H999" s="20" t="s">
        <v>126</v>
      </c>
      <c r="I999" s="211">
        <v>28553</v>
      </c>
      <c r="J999" s="24"/>
      <c r="K999" s="24">
        <v>1</v>
      </c>
      <c r="L999" s="24">
        <v>1</v>
      </c>
      <c r="M999" s="24"/>
      <c r="N999" s="24"/>
      <c r="O999" s="24"/>
      <c r="P999" s="24"/>
      <c r="Q999" s="24"/>
      <c r="R999" s="24"/>
      <c r="S999" s="24"/>
      <c r="T999" s="24"/>
      <c r="U999" s="53" t="s">
        <v>221</v>
      </c>
      <c r="V999" s="53" t="s">
        <v>218</v>
      </c>
      <c r="W999" s="53" t="s">
        <v>279</v>
      </c>
      <c r="X999" s="53" t="s">
        <v>227</v>
      </c>
      <c r="Y999" s="20"/>
      <c r="Z999" s="20"/>
      <c r="AA999" s="53" t="s">
        <v>3308</v>
      </c>
      <c r="AB999" s="53" t="s">
        <v>528</v>
      </c>
      <c r="AC999" s="24">
        <v>2</v>
      </c>
      <c r="AD999" s="24"/>
      <c r="AE999" s="24"/>
      <c r="AF999" s="24"/>
      <c r="AG999" s="24"/>
      <c r="AH999" s="20"/>
      <c r="AI999" s="42"/>
    </row>
    <row r="1000" spans="1:35">
      <c r="A1000" s="14"/>
      <c r="B1000" s="20"/>
      <c r="C1000" s="84" t="s">
        <v>3230</v>
      </c>
      <c r="D1000" s="53" t="s">
        <v>79</v>
      </c>
      <c r="E1000" s="53" t="s">
        <v>80</v>
      </c>
      <c r="F1000" s="20" t="s">
        <v>3329</v>
      </c>
      <c r="G1000" s="20" t="s">
        <v>1974</v>
      </c>
      <c r="H1000" s="20" t="s">
        <v>283</v>
      </c>
      <c r="I1000" s="211">
        <v>27887</v>
      </c>
      <c r="J1000" s="24">
        <v>1</v>
      </c>
      <c r="K1000" s="24"/>
      <c r="L1000" s="24">
        <v>1</v>
      </c>
      <c r="M1000" s="24"/>
      <c r="N1000" s="24"/>
      <c r="O1000" s="24"/>
      <c r="P1000" s="24"/>
      <c r="Q1000" s="24"/>
      <c r="R1000" s="24"/>
      <c r="S1000" s="24"/>
      <c r="T1000" s="24"/>
      <c r="U1000" s="53" t="s">
        <v>221</v>
      </c>
      <c r="V1000" s="53" t="s">
        <v>218</v>
      </c>
      <c r="W1000" s="53" t="s">
        <v>279</v>
      </c>
      <c r="X1000" s="53" t="s">
        <v>227</v>
      </c>
      <c r="Y1000" s="20"/>
      <c r="Z1000" s="20"/>
      <c r="AA1000" s="53" t="s">
        <v>3308</v>
      </c>
      <c r="AB1000" s="53" t="s">
        <v>528</v>
      </c>
      <c r="AC1000" s="24">
        <v>2</v>
      </c>
      <c r="AD1000" s="24"/>
      <c r="AE1000" s="24"/>
      <c r="AF1000" s="24"/>
      <c r="AG1000" s="24"/>
      <c r="AH1000" s="20"/>
      <c r="AI1000" s="42"/>
    </row>
    <row r="1001" spans="1:35">
      <c r="A1001" s="14"/>
      <c r="B1001" s="20"/>
      <c r="C1001" s="84" t="s">
        <v>3230</v>
      </c>
      <c r="D1001" s="53" t="s">
        <v>79</v>
      </c>
      <c r="E1001" s="53" t="s">
        <v>80</v>
      </c>
      <c r="F1001" s="20" t="s">
        <v>3330</v>
      </c>
      <c r="G1001" s="20" t="s">
        <v>2642</v>
      </c>
      <c r="H1001" s="20" t="s">
        <v>120</v>
      </c>
      <c r="I1001" s="211">
        <v>29060</v>
      </c>
      <c r="J1001" s="24">
        <v>1</v>
      </c>
      <c r="K1001" s="24"/>
      <c r="L1001" s="24">
        <v>1</v>
      </c>
      <c r="M1001" s="24"/>
      <c r="N1001" s="24"/>
      <c r="O1001" s="24"/>
      <c r="P1001" s="24"/>
      <c r="Q1001" s="24"/>
      <c r="R1001" s="24"/>
      <c r="S1001" s="24"/>
      <c r="T1001" s="24"/>
      <c r="U1001" s="20"/>
      <c r="V1001" s="53" t="s">
        <v>513</v>
      </c>
      <c r="W1001" s="53" t="s">
        <v>279</v>
      </c>
      <c r="X1001" s="53" t="s">
        <v>227</v>
      </c>
      <c r="Y1001" s="20"/>
      <c r="Z1001" s="20"/>
      <c r="AA1001" s="53" t="s">
        <v>3390</v>
      </c>
      <c r="AB1001" s="53" t="s">
        <v>528</v>
      </c>
      <c r="AC1001" s="24">
        <v>2</v>
      </c>
      <c r="AD1001" s="24"/>
      <c r="AE1001" s="24"/>
      <c r="AF1001" s="24"/>
      <c r="AG1001" s="24"/>
      <c r="AH1001" s="20"/>
      <c r="AI1001" s="42"/>
    </row>
    <row r="1002" spans="1:35">
      <c r="A1002" s="14"/>
      <c r="B1002" s="20"/>
      <c r="C1002" s="84" t="s">
        <v>3230</v>
      </c>
      <c r="D1002" s="53" t="s">
        <v>79</v>
      </c>
      <c r="E1002" s="53" t="s">
        <v>80</v>
      </c>
      <c r="F1002" s="20" t="s">
        <v>3331</v>
      </c>
      <c r="G1002" s="20" t="s">
        <v>3332</v>
      </c>
      <c r="H1002" s="20" t="s">
        <v>160</v>
      </c>
      <c r="I1002" s="211">
        <v>20275</v>
      </c>
      <c r="J1002" s="24">
        <v>1</v>
      </c>
      <c r="K1002" s="24"/>
      <c r="L1002" s="24">
        <v>1</v>
      </c>
      <c r="M1002" s="24"/>
      <c r="N1002" s="24"/>
      <c r="O1002" s="24"/>
      <c r="P1002" s="24"/>
      <c r="Q1002" s="24"/>
      <c r="R1002" s="24"/>
      <c r="S1002" s="24"/>
      <c r="T1002" s="24"/>
      <c r="U1002" s="53" t="s">
        <v>221</v>
      </c>
      <c r="V1002" s="53" t="s">
        <v>218</v>
      </c>
      <c r="W1002" s="53" t="s">
        <v>279</v>
      </c>
      <c r="X1002" s="53" t="s">
        <v>227</v>
      </c>
      <c r="Y1002" s="20"/>
      <c r="Z1002" s="20"/>
      <c r="AA1002" s="53" t="s">
        <v>3390</v>
      </c>
      <c r="AB1002" s="53" t="s">
        <v>528</v>
      </c>
      <c r="AC1002" s="24">
        <v>2</v>
      </c>
      <c r="AD1002" s="24"/>
      <c r="AE1002" s="24"/>
      <c r="AF1002" s="24"/>
      <c r="AG1002" s="24"/>
      <c r="AH1002" s="20"/>
      <c r="AI1002" s="42"/>
    </row>
    <row r="1003" spans="1:35">
      <c r="A1003" s="14"/>
      <c r="B1003" s="20"/>
      <c r="C1003" s="84" t="s">
        <v>3230</v>
      </c>
      <c r="D1003" s="53" t="s">
        <v>79</v>
      </c>
      <c r="E1003" s="53" t="s">
        <v>80</v>
      </c>
      <c r="F1003" s="53" t="s">
        <v>3334</v>
      </c>
      <c r="G1003" s="53" t="s">
        <v>3333</v>
      </c>
      <c r="H1003" s="20" t="s">
        <v>136</v>
      </c>
      <c r="I1003" s="221">
        <v>18991</v>
      </c>
      <c r="J1003" s="24">
        <v>1</v>
      </c>
      <c r="K1003" s="24"/>
      <c r="L1003" s="24">
        <v>1</v>
      </c>
      <c r="M1003" s="24"/>
      <c r="N1003" s="24"/>
      <c r="O1003" s="24"/>
      <c r="P1003" s="24"/>
      <c r="Q1003" s="24"/>
      <c r="R1003" s="24"/>
      <c r="S1003" s="24"/>
      <c r="T1003" s="24"/>
      <c r="U1003" s="53" t="s">
        <v>221</v>
      </c>
      <c r="V1003" s="53" t="s">
        <v>218</v>
      </c>
      <c r="W1003" s="53" t="s">
        <v>279</v>
      </c>
      <c r="X1003" s="53" t="s">
        <v>227</v>
      </c>
      <c r="Y1003" s="20"/>
      <c r="Z1003" s="20"/>
      <c r="AA1003" s="53" t="s">
        <v>3390</v>
      </c>
      <c r="AB1003" s="53" t="s">
        <v>528</v>
      </c>
      <c r="AC1003" s="24">
        <v>2</v>
      </c>
      <c r="AD1003" s="24"/>
      <c r="AE1003" s="24"/>
      <c r="AF1003" s="24"/>
      <c r="AG1003" s="24"/>
      <c r="AH1003" s="20"/>
      <c r="AI1003" s="42"/>
    </row>
    <row r="1004" spans="1:35">
      <c r="A1004" s="14"/>
      <c r="B1004" s="20"/>
      <c r="C1004" s="84" t="s">
        <v>3230</v>
      </c>
      <c r="D1004" s="53" t="s">
        <v>79</v>
      </c>
      <c r="E1004" s="53" t="s">
        <v>80</v>
      </c>
      <c r="F1004" s="20" t="s">
        <v>1309</v>
      </c>
      <c r="G1004" s="20" t="s">
        <v>121</v>
      </c>
      <c r="H1004" s="20" t="s">
        <v>421</v>
      </c>
      <c r="I1004" s="221">
        <v>30620</v>
      </c>
      <c r="J1004" s="24">
        <v>1</v>
      </c>
      <c r="K1004" s="24"/>
      <c r="L1004" s="24">
        <v>1</v>
      </c>
      <c r="M1004" s="24"/>
      <c r="N1004" s="24"/>
      <c r="O1004" s="24"/>
      <c r="P1004" s="24"/>
      <c r="Q1004" s="24"/>
      <c r="R1004" s="24"/>
      <c r="S1004" s="24"/>
      <c r="T1004" s="24"/>
      <c r="U1004" s="53" t="s">
        <v>221</v>
      </c>
      <c r="V1004" s="53" t="s">
        <v>218</v>
      </c>
      <c r="W1004" s="53" t="s">
        <v>279</v>
      </c>
      <c r="X1004" s="53" t="s">
        <v>227</v>
      </c>
      <c r="Y1004" s="20"/>
      <c r="Z1004" s="20"/>
      <c r="AA1004" s="53" t="s">
        <v>3390</v>
      </c>
      <c r="AB1004" s="53" t="s">
        <v>528</v>
      </c>
      <c r="AC1004" s="24">
        <v>2</v>
      </c>
      <c r="AD1004" s="24"/>
      <c r="AE1004" s="24"/>
      <c r="AF1004" s="24"/>
      <c r="AG1004" s="24"/>
      <c r="AH1004" s="20"/>
      <c r="AI1004" s="42"/>
    </row>
    <row r="1005" spans="1:35">
      <c r="A1005" s="14"/>
      <c r="B1005" s="20"/>
      <c r="C1005" s="84" t="s">
        <v>3230</v>
      </c>
      <c r="D1005" s="53" t="s">
        <v>79</v>
      </c>
      <c r="E1005" s="53" t="s">
        <v>80</v>
      </c>
      <c r="F1005" s="20" t="s">
        <v>3335</v>
      </c>
      <c r="G1005" s="20" t="s">
        <v>470</v>
      </c>
      <c r="H1005" s="20"/>
      <c r="I1005" s="211">
        <v>21386</v>
      </c>
      <c r="J1005" s="24">
        <v>1</v>
      </c>
      <c r="K1005" s="24"/>
      <c r="L1005" s="24">
        <v>1</v>
      </c>
      <c r="M1005" s="24"/>
      <c r="N1005" s="24"/>
      <c r="O1005" s="24"/>
      <c r="P1005" s="24"/>
      <c r="Q1005" s="24"/>
      <c r="R1005" s="24"/>
      <c r="S1005" s="24"/>
      <c r="T1005" s="24"/>
      <c r="U1005" s="53" t="s">
        <v>221</v>
      </c>
      <c r="V1005" s="53" t="s">
        <v>218</v>
      </c>
      <c r="W1005" s="53" t="s">
        <v>279</v>
      </c>
      <c r="X1005" s="53" t="s">
        <v>227</v>
      </c>
      <c r="Y1005" s="20"/>
      <c r="Z1005" s="20"/>
      <c r="AA1005" s="53" t="s">
        <v>3390</v>
      </c>
      <c r="AB1005" s="53" t="s">
        <v>528</v>
      </c>
      <c r="AC1005" s="24">
        <v>2</v>
      </c>
      <c r="AD1005" s="24"/>
      <c r="AE1005" s="24"/>
      <c r="AF1005" s="24"/>
      <c r="AG1005" s="24"/>
      <c r="AH1005" s="20"/>
      <c r="AI1005" s="42"/>
    </row>
    <row r="1006" spans="1:35">
      <c r="A1006" s="14"/>
      <c r="B1006" s="20"/>
      <c r="C1006" s="84" t="s">
        <v>3230</v>
      </c>
      <c r="D1006" s="53" t="s">
        <v>79</v>
      </c>
      <c r="E1006" s="53" t="s">
        <v>80</v>
      </c>
      <c r="F1006" s="20" t="s">
        <v>170</v>
      </c>
      <c r="G1006" s="20" t="s">
        <v>3336</v>
      </c>
      <c r="H1006" s="20"/>
      <c r="I1006" s="211">
        <v>26722</v>
      </c>
      <c r="J1006" s="24">
        <v>1</v>
      </c>
      <c r="K1006" s="24"/>
      <c r="L1006" s="24">
        <v>1</v>
      </c>
      <c r="M1006" s="24"/>
      <c r="N1006" s="24"/>
      <c r="O1006" s="24"/>
      <c r="P1006" s="24"/>
      <c r="Q1006" s="24"/>
      <c r="R1006" s="24"/>
      <c r="S1006" s="24"/>
      <c r="T1006" s="24"/>
      <c r="U1006" s="53" t="s">
        <v>221</v>
      </c>
      <c r="V1006" s="53" t="s">
        <v>218</v>
      </c>
      <c r="W1006" s="53" t="s">
        <v>279</v>
      </c>
      <c r="X1006" s="53" t="s">
        <v>227</v>
      </c>
      <c r="Y1006" s="20"/>
      <c r="Z1006" s="20"/>
      <c r="AA1006" s="53" t="s">
        <v>3390</v>
      </c>
      <c r="AB1006" s="53" t="s">
        <v>528</v>
      </c>
      <c r="AC1006" s="24">
        <v>2</v>
      </c>
      <c r="AD1006" s="24"/>
      <c r="AE1006" s="24"/>
      <c r="AF1006" s="24"/>
      <c r="AG1006" s="24"/>
      <c r="AH1006" s="20"/>
      <c r="AI1006" s="42"/>
    </row>
    <row r="1007" spans="1:35">
      <c r="A1007" s="14"/>
      <c r="B1007" s="20"/>
      <c r="C1007" s="84" t="s">
        <v>3230</v>
      </c>
      <c r="D1007" s="53" t="s">
        <v>79</v>
      </c>
      <c r="E1007" s="53" t="s">
        <v>80</v>
      </c>
      <c r="F1007" s="20" t="s">
        <v>170</v>
      </c>
      <c r="G1007" s="20" t="s">
        <v>1726</v>
      </c>
      <c r="H1007" s="20" t="s">
        <v>126</v>
      </c>
      <c r="I1007" s="211">
        <v>29459</v>
      </c>
      <c r="J1007" s="24">
        <v>1</v>
      </c>
      <c r="K1007" s="24"/>
      <c r="L1007" s="24">
        <v>1</v>
      </c>
      <c r="M1007" s="24"/>
      <c r="N1007" s="24"/>
      <c r="O1007" s="24"/>
      <c r="P1007" s="24"/>
      <c r="Q1007" s="24"/>
      <c r="R1007" s="24"/>
      <c r="S1007" s="24"/>
      <c r="T1007" s="24"/>
      <c r="U1007" s="53" t="s">
        <v>221</v>
      </c>
      <c r="V1007" s="53" t="s">
        <v>218</v>
      </c>
      <c r="W1007" s="53" t="s">
        <v>279</v>
      </c>
      <c r="X1007" s="53" t="s">
        <v>227</v>
      </c>
      <c r="Y1007" s="20"/>
      <c r="Z1007" s="20"/>
      <c r="AA1007" s="53" t="s">
        <v>3390</v>
      </c>
      <c r="AB1007" s="53" t="s">
        <v>528</v>
      </c>
      <c r="AC1007" s="24">
        <v>2</v>
      </c>
      <c r="AD1007" s="24"/>
      <c r="AE1007" s="24"/>
      <c r="AF1007" s="24"/>
      <c r="AG1007" s="24"/>
      <c r="AH1007" s="20"/>
      <c r="AI1007" s="42"/>
    </row>
    <row r="1008" spans="1:35">
      <c r="A1008" s="14"/>
      <c r="B1008" s="20"/>
      <c r="C1008" s="84" t="s">
        <v>3230</v>
      </c>
      <c r="D1008" s="53" t="s">
        <v>79</v>
      </c>
      <c r="E1008" s="53" t="s">
        <v>80</v>
      </c>
      <c r="F1008" s="53" t="s">
        <v>3338</v>
      </c>
      <c r="G1008" s="20" t="s">
        <v>1134</v>
      </c>
      <c r="H1008" s="20" t="s">
        <v>421</v>
      </c>
      <c r="I1008" s="211">
        <v>29686</v>
      </c>
      <c r="J1008" s="24">
        <v>1</v>
      </c>
      <c r="K1008" s="24"/>
      <c r="L1008" s="24">
        <v>1</v>
      </c>
      <c r="M1008" s="24"/>
      <c r="N1008" s="24"/>
      <c r="O1008" s="24"/>
      <c r="P1008" s="24"/>
      <c r="Q1008" s="24"/>
      <c r="R1008" s="24"/>
      <c r="S1008" s="24"/>
      <c r="T1008" s="24"/>
      <c r="U1008" s="53" t="s">
        <v>221</v>
      </c>
      <c r="V1008" s="53" t="s">
        <v>218</v>
      </c>
      <c r="W1008" s="53" t="s">
        <v>279</v>
      </c>
      <c r="X1008" s="53" t="s">
        <v>227</v>
      </c>
      <c r="Y1008" s="20"/>
      <c r="Z1008" s="20"/>
      <c r="AA1008" s="53" t="s">
        <v>3390</v>
      </c>
      <c r="AB1008" s="53" t="s">
        <v>528</v>
      </c>
      <c r="AC1008" s="24">
        <v>2</v>
      </c>
      <c r="AD1008" s="24"/>
      <c r="AE1008" s="24"/>
      <c r="AF1008" s="24"/>
      <c r="AG1008" s="24"/>
      <c r="AH1008" s="20"/>
      <c r="AI1008" s="42"/>
    </row>
    <row r="1009" spans="1:35">
      <c r="A1009" s="14"/>
      <c r="B1009" s="20"/>
      <c r="C1009" s="84" t="s">
        <v>3230</v>
      </c>
      <c r="D1009" s="53" t="s">
        <v>79</v>
      </c>
      <c r="E1009" s="53" t="s">
        <v>80</v>
      </c>
      <c r="F1009" s="20" t="s">
        <v>3337</v>
      </c>
      <c r="G1009" s="20" t="s">
        <v>1047</v>
      </c>
      <c r="H1009" s="20"/>
      <c r="I1009" s="221">
        <v>36122</v>
      </c>
      <c r="J1009" s="24">
        <v>1</v>
      </c>
      <c r="K1009" s="24"/>
      <c r="L1009" s="24">
        <v>1</v>
      </c>
      <c r="M1009" s="24"/>
      <c r="N1009" s="24"/>
      <c r="O1009" s="24"/>
      <c r="P1009" s="24"/>
      <c r="Q1009" s="24"/>
      <c r="R1009" s="24"/>
      <c r="S1009" s="24"/>
      <c r="T1009" s="24"/>
      <c r="U1009" s="53" t="s">
        <v>221</v>
      </c>
      <c r="V1009" s="53" t="s">
        <v>218</v>
      </c>
      <c r="W1009" s="53" t="s">
        <v>279</v>
      </c>
      <c r="X1009" s="53" t="s">
        <v>227</v>
      </c>
      <c r="Y1009" s="20"/>
      <c r="Z1009" s="20"/>
      <c r="AA1009" s="53" t="s">
        <v>3390</v>
      </c>
      <c r="AB1009" s="53" t="s">
        <v>528</v>
      </c>
      <c r="AC1009" s="24">
        <v>2</v>
      </c>
      <c r="AD1009" s="24"/>
      <c r="AE1009" s="24"/>
      <c r="AF1009" s="24"/>
      <c r="AG1009" s="24"/>
      <c r="AH1009" s="20"/>
      <c r="AI1009" s="42"/>
    </row>
    <row r="1010" spans="1:35">
      <c r="A1010" s="14"/>
      <c r="B1010" s="20"/>
      <c r="C1010" s="84" t="s">
        <v>3230</v>
      </c>
      <c r="D1010" s="53" t="s">
        <v>79</v>
      </c>
      <c r="E1010" s="53" t="s">
        <v>80</v>
      </c>
      <c r="F1010" s="20" t="s">
        <v>1322</v>
      </c>
      <c r="G1010" s="20" t="s">
        <v>745</v>
      </c>
      <c r="H1010" s="20"/>
      <c r="I1010" s="221">
        <v>32533</v>
      </c>
      <c r="J1010" s="24">
        <v>1</v>
      </c>
      <c r="K1010" s="24"/>
      <c r="L1010" s="24">
        <v>1</v>
      </c>
      <c r="M1010" s="24"/>
      <c r="N1010" s="24"/>
      <c r="O1010" s="24"/>
      <c r="P1010" s="24"/>
      <c r="Q1010" s="24"/>
      <c r="R1010" s="24"/>
      <c r="S1010" s="24"/>
      <c r="T1010" s="24"/>
      <c r="U1010" s="53" t="s">
        <v>221</v>
      </c>
      <c r="V1010" s="53" t="s">
        <v>218</v>
      </c>
      <c r="W1010" s="53" t="s">
        <v>279</v>
      </c>
      <c r="X1010" s="53" t="s">
        <v>227</v>
      </c>
      <c r="Y1010" s="20"/>
      <c r="Z1010" s="20"/>
      <c r="AA1010" s="53" t="s">
        <v>3390</v>
      </c>
      <c r="AB1010" s="53" t="s">
        <v>528</v>
      </c>
      <c r="AC1010" s="24">
        <v>2</v>
      </c>
      <c r="AD1010" s="24"/>
      <c r="AE1010" s="24"/>
      <c r="AF1010" s="24"/>
      <c r="AG1010" s="24"/>
      <c r="AH1010" s="20"/>
      <c r="AI1010" s="42"/>
    </row>
    <row r="1011" spans="1:35">
      <c r="A1011" s="14"/>
      <c r="B1011" s="20"/>
      <c r="C1011" s="84" t="s">
        <v>3230</v>
      </c>
      <c r="D1011" s="53" t="s">
        <v>79</v>
      </c>
      <c r="E1011" s="53" t="s">
        <v>80</v>
      </c>
      <c r="F1011" s="20" t="s">
        <v>3338</v>
      </c>
      <c r="G1011" s="20" t="s">
        <v>3339</v>
      </c>
      <c r="H1011" s="20" t="s">
        <v>421</v>
      </c>
      <c r="I1011" s="211">
        <v>31683</v>
      </c>
      <c r="J1011" s="24">
        <v>1</v>
      </c>
      <c r="K1011" s="24"/>
      <c r="L1011" s="24">
        <v>1</v>
      </c>
      <c r="M1011" s="24"/>
      <c r="N1011" s="24"/>
      <c r="O1011" s="24"/>
      <c r="P1011" s="24"/>
      <c r="Q1011" s="24"/>
      <c r="R1011" s="24"/>
      <c r="S1011" s="24"/>
      <c r="T1011" s="24"/>
      <c r="U1011" s="53" t="s">
        <v>221</v>
      </c>
      <c r="V1011" s="53" t="s">
        <v>218</v>
      </c>
      <c r="W1011" s="53" t="s">
        <v>279</v>
      </c>
      <c r="X1011" s="53" t="s">
        <v>227</v>
      </c>
      <c r="Y1011" s="20"/>
      <c r="Z1011" s="20"/>
      <c r="AA1011" s="53" t="s">
        <v>3390</v>
      </c>
      <c r="AB1011" s="53" t="s">
        <v>528</v>
      </c>
      <c r="AC1011" s="24">
        <v>2</v>
      </c>
      <c r="AD1011" s="24"/>
      <c r="AE1011" s="24"/>
      <c r="AF1011" s="24"/>
      <c r="AG1011" s="24"/>
      <c r="AH1011" s="20"/>
      <c r="AI1011" s="42"/>
    </row>
    <row r="1012" spans="1:35">
      <c r="A1012" s="14"/>
      <c r="B1012" s="20"/>
      <c r="C1012" s="84" t="s">
        <v>3230</v>
      </c>
      <c r="D1012" s="53" t="s">
        <v>79</v>
      </c>
      <c r="E1012" s="53" t="s">
        <v>80</v>
      </c>
      <c r="F1012" s="53" t="s">
        <v>513</v>
      </c>
      <c r="G1012" s="53" t="s">
        <v>3385</v>
      </c>
      <c r="H1012" s="20"/>
      <c r="I1012" s="211">
        <v>31532</v>
      </c>
      <c r="J1012" s="24">
        <v>1</v>
      </c>
      <c r="K1012" s="24"/>
      <c r="L1012" s="24">
        <v>1</v>
      </c>
      <c r="M1012" s="24"/>
      <c r="N1012" s="24"/>
      <c r="O1012" s="24"/>
      <c r="P1012" s="24"/>
      <c r="Q1012" s="24"/>
      <c r="R1012" s="24"/>
      <c r="S1012" s="24"/>
      <c r="T1012" s="24"/>
      <c r="U1012" s="53" t="s">
        <v>221</v>
      </c>
      <c r="V1012" s="53" t="s">
        <v>218</v>
      </c>
      <c r="W1012" s="53" t="s">
        <v>279</v>
      </c>
      <c r="X1012" s="53" t="s">
        <v>227</v>
      </c>
      <c r="Y1012" s="20"/>
      <c r="Z1012" s="20"/>
      <c r="AA1012" s="53" t="s">
        <v>3390</v>
      </c>
      <c r="AB1012" s="53" t="s">
        <v>528</v>
      </c>
      <c r="AC1012" s="24">
        <v>2</v>
      </c>
      <c r="AD1012" s="24"/>
      <c r="AE1012" s="24"/>
      <c r="AF1012" s="24"/>
      <c r="AG1012" s="24"/>
      <c r="AH1012" s="20"/>
      <c r="AI1012" s="42"/>
    </row>
    <row r="1013" spans="1:35">
      <c r="A1013" s="14"/>
      <c r="B1013" s="20"/>
      <c r="C1013" s="84" t="s">
        <v>3230</v>
      </c>
      <c r="D1013" s="53" t="s">
        <v>79</v>
      </c>
      <c r="E1013" s="53" t="s">
        <v>80</v>
      </c>
      <c r="F1013" s="53" t="s">
        <v>3386</v>
      </c>
      <c r="G1013" s="53" t="s">
        <v>1410</v>
      </c>
      <c r="H1013" s="20"/>
      <c r="I1013" s="211">
        <v>29999</v>
      </c>
      <c r="J1013" s="24"/>
      <c r="K1013" s="24">
        <v>1</v>
      </c>
      <c r="L1013" s="24">
        <v>1</v>
      </c>
      <c r="M1013" s="24"/>
      <c r="N1013" s="24"/>
      <c r="O1013" s="24"/>
      <c r="P1013" s="24"/>
      <c r="Q1013" s="24"/>
      <c r="R1013" s="24"/>
      <c r="S1013" s="24"/>
      <c r="T1013" s="24"/>
      <c r="U1013" s="53" t="s">
        <v>221</v>
      </c>
      <c r="V1013" s="53" t="s">
        <v>218</v>
      </c>
      <c r="W1013" s="53" t="s">
        <v>279</v>
      </c>
      <c r="X1013" s="53" t="s">
        <v>227</v>
      </c>
      <c r="Y1013" s="20"/>
      <c r="Z1013" s="20"/>
      <c r="AA1013" s="53" t="s">
        <v>3390</v>
      </c>
      <c r="AB1013" s="53" t="s">
        <v>528</v>
      </c>
      <c r="AC1013" s="24">
        <v>2</v>
      </c>
      <c r="AD1013" s="24"/>
      <c r="AE1013" s="24"/>
      <c r="AF1013" s="24"/>
      <c r="AG1013" s="24"/>
      <c r="AH1013" s="20"/>
      <c r="AI1013" s="42"/>
    </row>
    <row r="1014" spans="1:35">
      <c r="A1014" s="14"/>
      <c r="B1014" s="20"/>
      <c r="C1014" s="84" t="s">
        <v>3230</v>
      </c>
      <c r="D1014" s="53" t="s">
        <v>79</v>
      </c>
      <c r="E1014" s="53" t="s">
        <v>80</v>
      </c>
      <c r="F1014" s="53" t="s">
        <v>3338</v>
      </c>
      <c r="G1014" s="53" t="s">
        <v>398</v>
      </c>
      <c r="H1014" s="53" t="s">
        <v>202</v>
      </c>
      <c r="I1014" s="211">
        <v>23553</v>
      </c>
      <c r="J1014" s="24">
        <v>1</v>
      </c>
      <c r="K1014" s="24"/>
      <c r="L1014" s="24">
        <v>1</v>
      </c>
      <c r="M1014" s="24"/>
      <c r="N1014" s="24"/>
      <c r="O1014" s="24"/>
      <c r="P1014" s="24"/>
      <c r="Q1014" s="24"/>
      <c r="R1014" s="24"/>
      <c r="S1014" s="24"/>
      <c r="T1014" s="24"/>
      <c r="U1014" s="53" t="s">
        <v>221</v>
      </c>
      <c r="V1014" s="53" t="s">
        <v>218</v>
      </c>
      <c r="W1014" s="53" t="s">
        <v>279</v>
      </c>
      <c r="X1014" s="53" t="s">
        <v>227</v>
      </c>
      <c r="Y1014" s="20"/>
      <c r="Z1014" s="20"/>
      <c r="AA1014" s="53" t="s">
        <v>3390</v>
      </c>
      <c r="AB1014" s="53" t="s">
        <v>528</v>
      </c>
      <c r="AC1014" s="24">
        <v>2</v>
      </c>
      <c r="AD1014" s="24"/>
      <c r="AE1014" s="24"/>
      <c r="AF1014" s="24"/>
      <c r="AG1014" s="24"/>
      <c r="AH1014" s="20"/>
      <c r="AI1014" s="42"/>
    </row>
    <row r="1015" spans="1:35">
      <c r="A1015" s="14"/>
      <c r="B1015" s="20"/>
      <c r="C1015" s="84" t="s">
        <v>3230</v>
      </c>
      <c r="D1015" s="53" t="s">
        <v>79</v>
      </c>
      <c r="E1015" s="53" t="s">
        <v>80</v>
      </c>
      <c r="F1015" s="20" t="s">
        <v>1322</v>
      </c>
      <c r="G1015" s="20" t="s">
        <v>2884</v>
      </c>
      <c r="H1015" s="20" t="s">
        <v>283</v>
      </c>
      <c r="I1015" s="211">
        <v>33832</v>
      </c>
      <c r="J1015" s="24">
        <v>1</v>
      </c>
      <c r="K1015" s="24"/>
      <c r="L1015" s="24">
        <v>1</v>
      </c>
      <c r="M1015" s="24"/>
      <c r="N1015" s="24"/>
      <c r="O1015" s="24"/>
      <c r="P1015" s="24"/>
      <c r="Q1015" s="24"/>
      <c r="R1015" s="24"/>
      <c r="S1015" s="24"/>
      <c r="T1015" s="24"/>
      <c r="U1015" s="53" t="s">
        <v>221</v>
      </c>
      <c r="V1015" s="53" t="s">
        <v>218</v>
      </c>
      <c r="W1015" s="53" t="s">
        <v>279</v>
      </c>
      <c r="X1015" s="53" t="s">
        <v>227</v>
      </c>
      <c r="Y1015" s="20"/>
      <c r="Z1015" s="20"/>
      <c r="AA1015" s="53" t="s">
        <v>3390</v>
      </c>
      <c r="AB1015" s="53" t="s">
        <v>528</v>
      </c>
      <c r="AC1015" s="24">
        <v>2</v>
      </c>
      <c r="AD1015" s="24"/>
      <c r="AE1015" s="24"/>
      <c r="AF1015" s="24"/>
      <c r="AG1015" s="24"/>
      <c r="AH1015" s="20"/>
      <c r="AI1015" s="42"/>
    </row>
    <row r="1016" spans="1:35">
      <c r="A1016" s="14"/>
      <c r="B1016" s="20"/>
      <c r="C1016" s="84" t="s">
        <v>3230</v>
      </c>
      <c r="D1016" s="53" t="s">
        <v>79</v>
      </c>
      <c r="E1016" s="53" t="s">
        <v>80</v>
      </c>
      <c r="F1016" s="20" t="s">
        <v>3340</v>
      </c>
      <c r="G1016" s="20" t="s">
        <v>1381</v>
      </c>
      <c r="H1016" s="20" t="s">
        <v>283</v>
      </c>
      <c r="I1016" s="211">
        <v>31055</v>
      </c>
      <c r="J1016" s="24">
        <v>1</v>
      </c>
      <c r="K1016" s="24"/>
      <c r="L1016" s="24">
        <v>1</v>
      </c>
      <c r="M1016" s="24"/>
      <c r="N1016" s="24"/>
      <c r="O1016" s="24"/>
      <c r="P1016" s="24"/>
      <c r="Q1016" s="24"/>
      <c r="R1016" s="24"/>
      <c r="S1016" s="24"/>
      <c r="T1016" s="24"/>
      <c r="U1016" s="53" t="s">
        <v>221</v>
      </c>
      <c r="V1016" s="53" t="s">
        <v>218</v>
      </c>
      <c r="W1016" s="53" t="s">
        <v>279</v>
      </c>
      <c r="X1016" s="53" t="s">
        <v>227</v>
      </c>
      <c r="Y1016" s="20"/>
      <c r="Z1016" s="20"/>
      <c r="AA1016" s="53" t="s">
        <v>3390</v>
      </c>
      <c r="AB1016" s="53" t="s">
        <v>528</v>
      </c>
      <c r="AC1016" s="24">
        <v>2</v>
      </c>
      <c r="AD1016" s="24"/>
      <c r="AE1016" s="24"/>
      <c r="AF1016" s="24"/>
      <c r="AG1016" s="24"/>
      <c r="AH1016" s="20"/>
      <c r="AI1016" s="42"/>
    </row>
    <row r="1017" spans="1:35">
      <c r="A1017" s="14"/>
      <c r="B1017" s="20"/>
      <c r="C1017" s="84" t="s">
        <v>3230</v>
      </c>
      <c r="D1017" s="53" t="s">
        <v>79</v>
      </c>
      <c r="E1017" s="53" t="s">
        <v>80</v>
      </c>
      <c r="F1017" s="20" t="s">
        <v>3341</v>
      </c>
      <c r="G1017" s="20" t="s">
        <v>3342</v>
      </c>
      <c r="H1017" s="20" t="s">
        <v>144</v>
      </c>
      <c r="I1017" s="211">
        <v>30075</v>
      </c>
      <c r="J1017" s="24">
        <v>1</v>
      </c>
      <c r="K1017" s="24"/>
      <c r="L1017" s="24">
        <v>1</v>
      </c>
      <c r="M1017" s="24"/>
      <c r="N1017" s="24"/>
      <c r="O1017" s="24"/>
      <c r="P1017" s="24"/>
      <c r="Q1017" s="24"/>
      <c r="R1017" s="24"/>
      <c r="S1017" s="24"/>
      <c r="T1017" s="24"/>
      <c r="U1017" s="53" t="s">
        <v>221</v>
      </c>
      <c r="V1017" s="53" t="s">
        <v>218</v>
      </c>
      <c r="W1017" s="53" t="s">
        <v>279</v>
      </c>
      <c r="X1017" s="53" t="s">
        <v>227</v>
      </c>
      <c r="Y1017" s="20"/>
      <c r="Z1017" s="20"/>
      <c r="AA1017" s="53" t="s">
        <v>3390</v>
      </c>
      <c r="AB1017" s="53" t="s">
        <v>528</v>
      </c>
      <c r="AC1017" s="24">
        <v>2</v>
      </c>
      <c r="AD1017" s="24"/>
      <c r="AE1017" s="24"/>
      <c r="AF1017" s="24"/>
      <c r="AG1017" s="24"/>
      <c r="AH1017" s="20"/>
      <c r="AI1017" s="42"/>
    </row>
    <row r="1018" spans="1:35">
      <c r="A1018" s="14"/>
      <c r="B1018" s="20"/>
      <c r="C1018" s="84" t="s">
        <v>3230</v>
      </c>
      <c r="D1018" s="53" t="s">
        <v>79</v>
      </c>
      <c r="E1018" s="53" t="s">
        <v>80</v>
      </c>
      <c r="F1018" s="20" t="s">
        <v>401</v>
      </c>
      <c r="G1018" s="20" t="s">
        <v>389</v>
      </c>
      <c r="H1018" s="20" t="s">
        <v>136</v>
      </c>
      <c r="I1018" s="221">
        <v>32625</v>
      </c>
      <c r="J1018" s="24">
        <v>1</v>
      </c>
      <c r="K1018" s="24"/>
      <c r="L1018" s="24">
        <v>1</v>
      </c>
      <c r="M1018" s="24"/>
      <c r="N1018" s="24"/>
      <c r="O1018" s="24"/>
      <c r="P1018" s="24"/>
      <c r="Q1018" s="24"/>
      <c r="R1018" s="24"/>
      <c r="S1018" s="24"/>
      <c r="T1018" s="24"/>
      <c r="U1018" s="53" t="s">
        <v>221</v>
      </c>
      <c r="V1018" s="53" t="s">
        <v>218</v>
      </c>
      <c r="W1018" s="53" t="s">
        <v>279</v>
      </c>
      <c r="X1018" s="53" t="s">
        <v>227</v>
      </c>
      <c r="Y1018" s="20"/>
      <c r="Z1018" s="20"/>
      <c r="AA1018" s="53" t="s">
        <v>3390</v>
      </c>
      <c r="AB1018" s="53" t="s">
        <v>528</v>
      </c>
      <c r="AC1018" s="24">
        <v>2</v>
      </c>
      <c r="AD1018" s="24"/>
      <c r="AE1018" s="24"/>
      <c r="AF1018" s="24"/>
      <c r="AG1018" s="24"/>
      <c r="AH1018" s="20"/>
      <c r="AI1018" s="42"/>
    </row>
    <row r="1019" spans="1:35">
      <c r="A1019" s="14"/>
      <c r="B1019" s="20"/>
      <c r="C1019" s="84" t="s">
        <v>3230</v>
      </c>
      <c r="D1019" s="53" t="s">
        <v>79</v>
      </c>
      <c r="E1019" s="53" t="s">
        <v>80</v>
      </c>
      <c r="F1019" s="20" t="s">
        <v>3338</v>
      </c>
      <c r="G1019" s="20" t="s">
        <v>3343</v>
      </c>
      <c r="H1019" s="20" t="s">
        <v>160</v>
      </c>
      <c r="I1019" s="221">
        <v>28557</v>
      </c>
      <c r="J1019" s="24">
        <v>1</v>
      </c>
      <c r="K1019" s="24"/>
      <c r="L1019" s="24">
        <v>1</v>
      </c>
      <c r="M1019" s="24"/>
      <c r="N1019" s="24"/>
      <c r="O1019" s="24"/>
      <c r="P1019" s="24"/>
      <c r="Q1019" s="24"/>
      <c r="R1019" s="24"/>
      <c r="S1019" s="24"/>
      <c r="T1019" s="24"/>
      <c r="U1019" s="53" t="s">
        <v>221</v>
      </c>
      <c r="V1019" s="53" t="s">
        <v>218</v>
      </c>
      <c r="W1019" s="53" t="s">
        <v>279</v>
      </c>
      <c r="X1019" s="53" t="s">
        <v>227</v>
      </c>
      <c r="Y1019" s="20"/>
      <c r="Z1019" s="20"/>
      <c r="AA1019" s="53" t="s">
        <v>3390</v>
      </c>
      <c r="AB1019" s="53" t="s">
        <v>528</v>
      </c>
      <c r="AC1019" s="24">
        <v>2</v>
      </c>
      <c r="AD1019" s="24"/>
      <c r="AE1019" s="24"/>
      <c r="AF1019" s="24"/>
      <c r="AG1019" s="24"/>
      <c r="AH1019" s="20"/>
      <c r="AI1019" s="42"/>
    </row>
    <row r="1020" spans="1:35">
      <c r="A1020" s="14"/>
      <c r="B1020" s="20"/>
      <c r="C1020" s="84" t="s">
        <v>3230</v>
      </c>
      <c r="D1020" s="53" t="s">
        <v>79</v>
      </c>
      <c r="E1020" s="53" t="s">
        <v>80</v>
      </c>
      <c r="F1020" s="20" t="s">
        <v>3338</v>
      </c>
      <c r="G1020" s="20" t="s">
        <v>403</v>
      </c>
      <c r="H1020" s="20" t="s">
        <v>160</v>
      </c>
      <c r="I1020" s="211">
        <v>35037</v>
      </c>
      <c r="J1020" s="24">
        <v>1</v>
      </c>
      <c r="K1020" s="24"/>
      <c r="L1020" s="24">
        <v>1</v>
      </c>
      <c r="M1020" s="24"/>
      <c r="N1020" s="24"/>
      <c r="O1020" s="24"/>
      <c r="P1020" s="24"/>
      <c r="Q1020" s="24"/>
      <c r="R1020" s="24"/>
      <c r="S1020" s="24"/>
      <c r="T1020" s="24"/>
      <c r="U1020" s="53" t="s">
        <v>221</v>
      </c>
      <c r="V1020" s="53" t="s">
        <v>218</v>
      </c>
      <c r="W1020" s="53" t="s">
        <v>279</v>
      </c>
      <c r="X1020" s="53" t="s">
        <v>227</v>
      </c>
      <c r="Y1020" s="20"/>
      <c r="Z1020" s="20"/>
      <c r="AA1020" s="53" t="s">
        <v>3390</v>
      </c>
      <c r="AB1020" s="53" t="s">
        <v>528</v>
      </c>
      <c r="AC1020" s="24">
        <v>2</v>
      </c>
      <c r="AD1020" s="24"/>
      <c r="AE1020" s="24"/>
      <c r="AF1020" s="24"/>
      <c r="AG1020" s="24"/>
      <c r="AH1020" s="20"/>
      <c r="AI1020" s="42"/>
    </row>
    <row r="1021" spans="1:35">
      <c r="A1021" s="14"/>
      <c r="B1021" s="20"/>
      <c r="C1021" s="84" t="s">
        <v>3230</v>
      </c>
      <c r="D1021" s="53" t="s">
        <v>79</v>
      </c>
      <c r="E1021" s="53" t="s">
        <v>80</v>
      </c>
      <c r="F1021" s="20" t="s">
        <v>1037</v>
      </c>
      <c r="G1021" s="20" t="s">
        <v>3344</v>
      </c>
      <c r="H1021" s="20" t="s">
        <v>133</v>
      </c>
      <c r="I1021" s="211">
        <v>35509</v>
      </c>
      <c r="J1021" s="24">
        <v>1</v>
      </c>
      <c r="K1021" s="24"/>
      <c r="L1021" s="24">
        <v>1</v>
      </c>
      <c r="M1021" s="24"/>
      <c r="N1021" s="24"/>
      <c r="O1021" s="24"/>
      <c r="P1021" s="24"/>
      <c r="Q1021" s="24"/>
      <c r="R1021" s="24"/>
      <c r="S1021" s="24"/>
      <c r="T1021" s="24"/>
      <c r="U1021" s="53" t="s">
        <v>221</v>
      </c>
      <c r="V1021" s="53" t="s">
        <v>218</v>
      </c>
      <c r="W1021" s="53" t="s">
        <v>279</v>
      </c>
      <c r="X1021" s="53" t="s">
        <v>227</v>
      </c>
      <c r="Y1021" s="20"/>
      <c r="Z1021" s="20"/>
      <c r="AA1021" s="53" t="s">
        <v>3390</v>
      </c>
      <c r="AB1021" s="53" t="s">
        <v>528</v>
      </c>
      <c r="AC1021" s="24">
        <v>2</v>
      </c>
      <c r="AD1021" s="24"/>
      <c r="AE1021" s="24"/>
      <c r="AF1021" s="24"/>
      <c r="AG1021" s="24"/>
      <c r="AH1021" s="20"/>
      <c r="AI1021" s="42"/>
    </row>
    <row r="1022" spans="1:35">
      <c r="A1022" s="14"/>
      <c r="B1022" s="20"/>
      <c r="C1022" s="84" t="s">
        <v>3230</v>
      </c>
      <c r="D1022" s="53" t="s">
        <v>79</v>
      </c>
      <c r="E1022" s="53" t="s">
        <v>80</v>
      </c>
      <c r="F1022" s="20" t="s">
        <v>3345</v>
      </c>
      <c r="G1022" s="20" t="s">
        <v>2085</v>
      </c>
      <c r="H1022" s="20" t="s">
        <v>588</v>
      </c>
      <c r="I1022" s="211">
        <v>35469</v>
      </c>
      <c r="J1022" s="24">
        <v>1</v>
      </c>
      <c r="K1022" s="24"/>
      <c r="L1022" s="24">
        <v>1</v>
      </c>
      <c r="M1022" s="24"/>
      <c r="N1022" s="24"/>
      <c r="O1022" s="24"/>
      <c r="P1022" s="24"/>
      <c r="Q1022" s="24"/>
      <c r="R1022" s="24"/>
      <c r="S1022" s="24"/>
      <c r="T1022" s="24"/>
      <c r="U1022" s="53" t="s">
        <v>221</v>
      </c>
      <c r="V1022" s="53" t="s">
        <v>218</v>
      </c>
      <c r="W1022" s="53" t="s">
        <v>279</v>
      </c>
      <c r="X1022" s="53" t="s">
        <v>227</v>
      </c>
      <c r="Y1022" s="20"/>
      <c r="Z1022" s="20"/>
      <c r="AA1022" s="53" t="s">
        <v>3390</v>
      </c>
      <c r="AB1022" s="53" t="s">
        <v>528</v>
      </c>
      <c r="AC1022" s="24">
        <v>2</v>
      </c>
      <c r="AD1022" s="24"/>
      <c r="AE1022" s="24"/>
      <c r="AF1022" s="24"/>
      <c r="AG1022" s="24"/>
      <c r="AH1022" s="20"/>
      <c r="AI1022" s="42"/>
    </row>
    <row r="1023" spans="1:35">
      <c r="A1023" s="14"/>
      <c r="B1023" s="20"/>
      <c r="C1023" s="84" t="s">
        <v>3230</v>
      </c>
      <c r="D1023" s="53" t="s">
        <v>79</v>
      </c>
      <c r="E1023" s="53" t="s">
        <v>80</v>
      </c>
      <c r="F1023" s="20" t="s">
        <v>3346</v>
      </c>
      <c r="G1023" s="20" t="s">
        <v>343</v>
      </c>
      <c r="H1023" s="20" t="s">
        <v>133</v>
      </c>
      <c r="I1023" s="211">
        <v>32967</v>
      </c>
      <c r="J1023" s="24">
        <v>1</v>
      </c>
      <c r="K1023" s="24"/>
      <c r="L1023" s="24">
        <v>1</v>
      </c>
      <c r="M1023" s="24"/>
      <c r="N1023" s="24"/>
      <c r="O1023" s="24"/>
      <c r="P1023" s="24"/>
      <c r="Q1023" s="24"/>
      <c r="R1023" s="24"/>
      <c r="S1023" s="24"/>
      <c r="T1023" s="24"/>
      <c r="U1023" s="53" t="s">
        <v>221</v>
      </c>
      <c r="V1023" s="53" t="s">
        <v>218</v>
      </c>
      <c r="W1023" s="53" t="s">
        <v>279</v>
      </c>
      <c r="X1023" s="53" t="s">
        <v>227</v>
      </c>
      <c r="Y1023" s="20"/>
      <c r="Z1023" s="20"/>
      <c r="AA1023" s="53" t="s">
        <v>3390</v>
      </c>
      <c r="AB1023" s="53" t="s">
        <v>528</v>
      </c>
      <c r="AC1023" s="24">
        <v>2</v>
      </c>
      <c r="AD1023" s="24"/>
      <c r="AE1023" s="24"/>
      <c r="AF1023" s="24"/>
      <c r="AG1023" s="24"/>
      <c r="AH1023" s="20"/>
      <c r="AI1023" s="42"/>
    </row>
    <row r="1024" spans="1:35">
      <c r="A1024" s="14"/>
      <c r="B1024" s="20"/>
      <c r="C1024" s="84" t="s">
        <v>3230</v>
      </c>
      <c r="D1024" s="53" t="s">
        <v>79</v>
      </c>
      <c r="E1024" s="53" t="s">
        <v>80</v>
      </c>
      <c r="F1024" s="20" t="s">
        <v>3347</v>
      </c>
      <c r="G1024" s="20" t="s">
        <v>3348</v>
      </c>
      <c r="H1024" s="20" t="s">
        <v>120</v>
      </c>
      <c r="I1024" s="221">
        <v>24478</v>
      </c>
      <c r="J1024" s="24">
        <v>1</v>
      </c>
      <c r="K1024" s="24"/>
      <c r="L1024" s="24">
        <v>1</v>
      </c>
      <c r="M1024" s="24"/>
      <c r="N1024" s="24"/>
      <c r="O1024" s="24"/>
      <c r="P1024" s="24"/>
      <c r="Q1024" s="24"/>
      <c r="R1024" s="24"/>
      <c r="S1024" s="24"/>
      <c r="T1024" s="24"/>
      <c r="U1024" s="53" t="s">
        <v>221</v>
      </c>
      <c r="V1024" s="53" t="s">
        <v>218</v>
      </c>
      <c r="W1024" s="53" t="s">
        <v>279</v>
      </c>
      <c r="X1024" s="53" t="s">
        <v>227</v>
      </c>
      <c r="Y1024" s="20"/>
      <c r="Z1024" s="20"/>
      <c r="AA1024" s="53" t="s">
        <v>3390</v>
      </c>
      <c r="AB1024" s="53" t="s">
        <v>528</v>
      </c>
      <c r="AC1024" s="24">
        <v>2</v>
      </c>
      <c r="AD1024" s="24"/>
      <c r="AE1024" s="24"/>
      <c r="AF1024" s="24"/>
      <c r="AG1024" s="24"/>
      <c r="AH1024" s="20"/>
      <c r="AI1024" s="42"/>
    </row>
    <row r="1025" spans="1:35">
      <c r="A1025" s="14"/>
      <c r="B1025" s="20"/>
      <c r="C1025" s="84" t="s">
        <v>3230</v>
      </c>
      <c r="D1025" s="53" t="s">
        <v>79</v>
      </c>
      <c r="E1025" s="53" t="s">
        <v>80</v>
      </c>
      <c r="F1025" s="20" t="s">
        <v>3349</v>
      </c>
      <c r="G1025" s="20" t="s">
        <v>1336</v>
      </c>
      <c r="H1025" s="20"/>
      <c r="I1025" s="221"/>
      <c r="J1025" s="24"/>
      <c r="K1025" s="24">
        <v>1</v>
      </c>
      <c r="L1025" s="24">
        <v>1</v>
      </c>
      <c r="M1025" s="24"/>
      <c r="N1025" s="24"/>
      <c r="O1025" s="24"/>
      <c r="P1025" s="24"/>
      <c r="Q1025" s="24"/>
      <c r="R1025" s="24"/>
      <c r="S1025" s="24"/>
      <c r="T1025" s="24"/>
      <c r="U1025" s="53" t="s">
        <v>221</v>
      </c>
      <c r="V1025" s="53" t="s">
        <v>218</v>
      </c>
      <c r="W1025" s="53" t="s">
        <v>279</v>
      </c>
      <c r="X1025" s="53" t="s">
        <v>227</v>
      </c>
      <c r="Y1025" s="20"/>
      <c r="Z1025" s="20"/>
      <c r="AA1025" s="53" t="s">
        <v>3390</v>
      </c>
      <c r="AB1025" s="53" t="s">
        <v>528</v>
      </c>
      <c r="AC1025" s="24">
        <v>2</v>
      </c>
      <c r="AD1025" s="24"/>
      <c r="AE1025" s="24"/>
      <c r="AF1025" s="24"/>
      <c r="AG1025" s="24"/>
      <c r="AH1025" s="20"/>
      <c r="AI1025" s="42"/>
    </row>
    <row r="1026" spans="1:35">
      <c r="A1026" s="14"/>
      <c r="B1026" s="20"/>
      <c r="C1026" s="84" t="s">
        <v>3230</v>
      </c>
      <c r="D1026" s="53" t="s">
        <v>79</v>
      </c>
      <c r="E1026" s="53" t="s">
        <v>80</v>
      </c>
      <c r="F1026" s="20" t="s">
        <v>3350</v>
      </c>
      <c r="G1026" s="20" t="s">
        <v>3351</v>
      </c>
      <c r="H1026" s="20"/>
      <c r="I1026" s="211">
        <v>27045</v>
      </c>
      <c r="J1026" s="24">
        <v>1</v>
      </c>
      <c r="K1026" s="24"/>
      <c r="L1026" s="24">
        <v>1</v>
      </c>
      <c r="M1026" s="24"/>
      <c r="N1026" s="24"/>
      <c r="O1026" s="24"/>
      <c r="P1026" s="24"/>
      <c r="Q1026" s="24"/>
      <c r="R1026" s="24"/>
      <c r="S1026" s="24"/>
      <c r="T1026" s="24"/>
      <c r="U1026" s="53" t="s">
        <v>221</v>
      </c>
      <c r="V1026" s="53" t="s">
        <v>218</v>
      </c>
      <c r="W1026" s="53" t="s">
        <v>279</v>
      </c>
      <c r="X1026" s="53" t="s">
        <v>227</v>
      </c>
      <c r="Y1026" s="20"/>
      <c r="Z1026" s="20"/>
      <c r="AA1026" s="53" t="s">
        <v>3390</v>
      </c>
      <c r="AB1026" s="53" t="s">
        <v>528</v>
      </c>
      <c r="AC1026" s="24">
        <v>2</v>
      </c>
      <c r="AD1026" s="24"/>
      <c r="AE1026" s="24"/>
      <c r="AF1026" s="24"/>
      <c r="AG1026" s="24"/>
      <c r="AH1026" s="20"/>
      <c r="AI1026" s="42"/>
    </row>
    <row r="1027" spans="1:35">
      <c r="A1027" s="14"/>
      <c r="B1027" s="20"/>
      <c r="C1027" s="84" t="s">
        <v>3230</v>
      </c>
      <c r="D1027" s="53" t="s">
        <v>79</v>
      </c>
      <c r="E1027" s="53" t="s">
        <v>80</v>
      </c>
      <c r="F1027" s="20" t="s">
        <v>3352</v>
      </c>
      <c r="G1027" s="20" t="s">
        <v>1912</v>
      </c>
      <c r="H1027" s="20" t="s">
        <v>283</v>
      </c>
      <c r="I1027" s="211">
        <v>20848</v>
      </c>
      <c r="J1027" s="24">
        <v>1</v>
      </c>
      <c r="K1027" s="24"/>
      <c r="L1027" s="24">
        <v>1</v>
      </c>
      <c r="M1027" s="24"/>
      <c r="N1027" s="24"/>
      <c r="O1027" s="24"/>
      <c r="P1027" s="24"/>
      <c r="Q1027" s="24"/>
      <c r="R1027" s="24"/>
      <c r="S1027" s="24"/>
      <c r="T1027" s="24"/>
      <c r="U1027" s="53" t="s">
        <v>221</v>
      </c>
      <c r="V1027" s="53" t="s">
        <v>218</v>
      </c>
      <c r="W1027" s="53" t="s">
        <v>279</v>
      </c>
      <c r="X1027" s="53" t="s">
        <v>227</v>
      </c>
      <c r="Y1027" s="20"/>
      <c r="Z1027" s="20"/>
      <c r="AA1027" s="53" t="s">
        <v>3390</v>
      </c>
      <c r="AB1027" s="53" t="s">
        <v>528</v>
      </c>
      <c r="AC1027" s="24">
        <v>2</v>
      </c>
      <c r="AD1027" s="24"/>
      <c r="AE1027" s="24"/>
      <c r="AF1027" s="24"/>
      <c r="AG1027" s="24"/>
      <c r="AH1027" s="20"/>
      <c r="AI1027" s="42"/>
    </row>
    <row r="1028" spans="1:35">
      <c r="A1028" s="14"/>
      <c r="B1028" s="20"/>
      <c r="C1028" s="84" t="s">
        <v>3230</v>
      </c>
      <c r="D1028" s="53" t="s">
        <v>79</v>
      </c>
      <c r="E1028" s="53" t="s">
        <v>80</v>
      </c>
      <c r="F1028" s="20" t="s">
        <v>3353</v>
      </c>
      <c r="G1028" s="20" t="s">
        <v>3354</v>
      </c>
      <c r="H1028" s="20" t="s">
        <v>136</v>
      </c>
      <c r="I1028" s="211">
        <v>30301</v>
      </c>
      <c r="J1028" s="24">
        <v>1</v>
      </c>
      <c r="K1028" s="24"/>
      <c r="L1028" s="24">
        <v>1</v>
      </c>
      <c r="M1028" s="24"/>
      <c r="N1028" s="24"/>
      <c r="O1028" s="24"/>
      <c r="P1028" s="24"/>
      <c r="Q1028" s="24"/>
      <c r="R1028" s="24"/>
      <c r="S1028" s="24"/>
      <c r="T1028" s="24"/>
      <c r="U1028" s="53" t="s">
        <v>221</v>
      </c>
      <c r="V1028" s="53" t="s">
        <v>218</v>
      </c>
      <c r="W1028" s="53" t="s">
        <v>279</v>
      </c>
      <c r="X1028" s="53" t="s">
        <v>227</v>
      </c>
      <c r="Y1028" s="20"/>
      <c r="Z1028" s="20"/>
      <c r="AA1028" s="53" t="s">
        <v>3390</v>
      </c>
      <c r="AB1028" s="53" t="s">
        <v>528</v>
      </c>
      <c r="AC1028" s="24">
        <v>2</v>
      </c>
      <c r="AD1028" s="24"/>
      <c r="AE1028" s="24"/>
      <c r="AF1028" s="24"/>
      <c r="AG1028" s="24"/>
      <c r="AH1028" s="20"/>
      <c r="AI1028" s="42"/>
    </row>
    <row r="1029" spans="1:35">
      <c r="A1029" s="14"/>
      <c r="B1029" s="20"/>
      <c r="C1029" s="84" t="s">
        <v>3230</v>
      </c>
      <c r="D1029" s="53" t="s">
        <v>79</v>
      </c>
      <c r="E1029" s="53" t="s">
        <v>80</v>
      </c>
      <c r="F1029" s="20" t="s">
        <v>2907</v>
      </c>
      <c r="G1029" s="20" t="s">
        <v>3360</v>
      </c>
      <c r="H1029" s="20" t="s">
        <v>2303</v>
      </c>
      <c r="I1029" s="211">
        <v>27677</v>
      </c>
      <c r="J1029" s="24">
        <v>1</v>
      </c>
      <c r="K1029" s="24"/>
      <c r="L1029" s="24">
        <v>1</v>
      </c>
      <c r="M1029" s="24"/>
      <c r="N1029" s="24"/>
      <c r="O1029" s="24"/>
      <c r="P1029" s="24"/>
      <c r="Q1029" s="24"/>
      <c r="R1029" s="24"/>
      <c r="S1029" s="24"/>
      <c r="T1029" s="24"/>
      <c r="U1029" s="20" t="s">
        <v>1369</v>
      </c>
      <c r="V1029" s="20" t="s">
        <v>1443</v>
      </c>
      <c r="W1029" s="20" t="s">
        <v>280</v>
      </c>
      <c r="X1029" s="20" t="s">
        <v>227</v>
      </c>
      <c r="Y1029" s="20"/>
      <c r="Z1029" s="20"/>
      <c r="AA1029" s="53" t="s">
        <v>3390</v>
      </c>
      <c r="AB1029" s="53" t="s">
        <v>528</v>
      </c>
      <c r="AC1029" s="24">
        <v>2</v>
      </c>
      <c r="AD1029" s="24"/>
      <c r="AE1029" s="24"/>
      <c r="AF1029" s="24"/>
      <c r="AG1029" s="24"/>
      <c r="AH1029" s="20"/>
      <c r="AI1029" s="42"/>
    </row>
    <row r="1030" spans="1:35">
      <c r="A1030" s="14"/>
      <c r="B1030" s="20"/>
      <c r="C1030" s="84" t="s">
        <v>3230</v>
      </c>
      <c r="D1030" s="53" t="s">
        <v>79</v>
      </c>
      <c r="E1030" s="53" t="s">
        <v>80</v>
      </c>
      <c r="F1030" s="20" t="s">
        <v>3361</v>
      </c>
      <c r="G1030" s="20" t="s">
        <v>198</v>
      </c>
      <c r="H1030" s="20" t="s">
        <v>283</v>
      </c>
      <c r="I1030" s="211">
        <v>31182</v>
      </c>
      <c r="J1030" s="24">
        <v>1</v>
      </c>
      <c r="K1030" s="24"/>
      <c r="L1030" s="24">
        <v>1</v>
      </c>
      <c r="M1030" s="24"/>
      <c r="N1030" s="24"/>
      <c r="O1030" s="24"/>
      <c r="P1030" s="24"/>
      <c r="Q1030" s="24"/>
      <c r="R1030" s="24"/>
      <c r="S1030" s="24"/>
      <c r="T1030" s="24"/>
      <c r="U1030" s="20" t="s">
        <v>1369</v>
      </c>
      <c r="V1030" s="20" t="s">
        <v>1443</v>
      </c>
      <c r="W1030" s="20" t="s">
        <v>280</v>
      </c>
      <c r="X1030" s="20" t="s">
        <v>227</v>
      </c>
      <c r="Y1030" s="20"/>
      <c r="Z1030" s="20"/>
      <c r="AA1030" s="53" t="s">
        <v>3390</v>
      </c>
      <c r="AB1030" s="53" t="s">
        <v>528</v>
      </c>
      <c r="AC1030" s="24">
        <v>2</v>
      </c>
      <c r="AD1030" s="24"/>
      <c r="AE1030" s="24"/>
      <c r="AF1030" s="24"/>
      <c r="AG1030" s="24"/>
      <c r="AH1030" s="20"/>
      <c r="AI1030" s="42"/>
    </row>
    <row r="1031" spans="1:35">
      <c r="A1031" s="14"/>
      <c r="B1031" s="20"/>
      <c r="C1031" s="84" t="s">
        <v>3230</v>
      </c>
      <c r="D1031" s="53" t="s">
        <v>79</v>
      </c>
      <c r="E1031" s="53" t="s">
        <v>80</v>
      </c>
      <c r="F1031" s="20" t="s">
        <v>3362</v>
      </c>
      <c r="G1031" s="20" t="s">
        <v>3363</v>
      </c>
      <c r="H1031" s="20" t="s">
        <v>283</v>
      </c>
      <c r="I1031" s="221">
        <v>32586</v>
      </c>
      <c r="J1031" s="24">
        <v>1</v>
      </c>
      <c r="K1031" s="24"/>
      <c r="L1031" s="24">
        <v>1</v>
      </c>
      <c r="M1031" s="24"/>
      <c r="N1031" s="24"/>
      <c r="O1031" s="24"/>
      <c r="P1031" s="24"/>
      <c r="Q1031" s="24"/>
      <c r="R1031" s="24"/>
      <c r="S1031" s="24"/>
      <c r="T1031" s="24"/>
      <c r="U1031" s="20" t="s">
        <v>1369</v>
      </c>
      <c r="V1031" s="20" t="s">
        <v>1443</v>
      </c>
      <c r="W1031" s="20" t="s">
        <v>280</v>
      </c>
      <c r="X1031" s="20" t="s">
        <v>227</v>
      </c>
      <c r="Y1031" s="20"/>
      <c r="Z1031" s="20"/>
      <c r="AA1031" s="53" t="s">
        <v>3390</v>
      </c>
      <c r="AB1031" s="53" t="s">
        <v>528</v>
      </c>
      <c r="AC1031" s="24">
        <v>2</v>
      </c>
      <c r="AD1031" s="24"/>
      <c r="AE1031" s="24"/>
      <c r="AF1031" s="24"/>
      <c r="AG1031" s="24"/>
      <c r="AH1031" s="20"/>
      <c r="AI1031" s="42"/>
    </row>
    <row r="1032" spans="1:35">
      <c r="A1032" s="14"/>
      <c r="B1032" s="20"/>
      <c r="C1032" s="84" t="s">
        <v>3230</v>
      </c>
      <c r="D1032" s="53" t="s">
        <v>79</v>
      </c>
      <c r="E1032" s="53" t="s">
        <v>80</v>
      </c>
      <c r="F1032" s="20" t="s">
        <v>3355</v>
      </c>
      <c r="G1032" s="20" t="s">
        <v>776</v>
      </c>
      <c r="H1032" s="20" t="s">
        <v>115</v>
      </c>
      <c r="I1032" s="211">
        <v>24809</v>
      </c>
      <c r="J1032" s="24">
        <v>1</v>
      </c>
      <c r="K1032" s="24"/>
      <c r="L1032" s="24">
        <v>1</v>
      </c>
      <c r="M1032" s="24"/>
      <c r="N1032" s="24"/>
      <c r="O1032" s="24"/>
      <c r="P1032" s="24"/>
      <c r="Q1032" s="24"/>
      <c r="R1032" s="24"/>
      <c r="S1032" s="24"/>
      <c r="T1032" s="24"/>
      <c r="U1032" s="53" t="s">
        <v>81</v>
      </c>
      <c r="V1032" s="53" t="s">
        <v>218</v>
      </c>
      <c r="W1032" s="53" t="s">
        <v>279</v>
      </c>
      <c r="X1032" s="53" t="s">
        <v>227</v>
      </c>
      <c r="Y1032" s="20"/>
      <c r="Z1032" s="20"/>
      <c r="AA1032" s="53" t="s">
        <v>3390</v>
      </c>
      <c r="AB1032" s="53" t="s">
        <v>528</v>
      </c>
      <c r="AC1032" s="24">
        <v>2</v>
      </c>
      <c r="AD1032" s="24"/>
      <c r="AE1032" s="24"/>
      <c r="AF1032" s="24"/>
      <c r="AG1032" s="24"/>
      <c r="AH1032" s="20"/>
      <c r="AI1032" s="42"/>
    </row>
    <row r="1033" spans="1:35">
      <c r="A1033" s="14"/>
      <c r="B1033" s="20"/>
      <c r="C1033" s="84" t="s">
        <v>3230</v>
      </c>
      <c r="D1033" s="53" t="s">
        <v>79</v>
      </c>
      <c r="E1033" s="53" t="s">
        <v>80</v>
      </c>
      <c r="F1033" s="20" t="s">
        <v>499</v>
      </c>
      <c r="G1033" s="20" t="s">
        <v>1726</v>
      </c>
      <c r="H1033" s="20"/>
      <c r="I1033" s="211">
        <v>29543</v>
      </c>
      <c r="J1033" s="24">
        <v>1</v>
      </c>
      <c r="K1033" s="24"/>
      <c r="L1033" s="24">
        <v>1</v>
      </c>
      <c r="M1033" s="24"/>
      <c r="N1033" s="24"/>
      <c r="O1033" s="24"/>
      <c r="P1033" s="24"/>
      <c r="Q1033" s="24"/>
      <c r="R1033" s="24"/>
      <c r="S1033" s="24"/>
      <c r="T1033" s="24"/>
      <c r="U1033" s="53" t="s">
        <v>81</v>
      </c>
      <c r="V1033" s="53" t="s">
        <v>218</v>
      </c>
      <c r="W1033" s="53" t="s">
        <v>279</v>
      </c>
      <c r="X1033" s="53" t="s">
        <v>227</v>
      </c>
      <c r="Y1033" s="20"/>
      <c r="Z1033" s="20"/>
      <c r="AA1033" s="53" t="s">
        <v>3390</v>
      </c>
      <c r="AB1033" s="53" t="s">
        <v>528</v>
      </c>
      <c r="AC1033" s="24">
        <v>2</v>
      </c>
      <c r="AD1033" s="24"/>
      <c r="AE1033" s="24"/>
      <c r="AF1033" s="24"/>
      <c r="AG1033" s="24"/>
      <c r="AH1033" s="20"/>
      <c r="AI1033" s="42"/>
    </row>
    <row r="1034" spans="1:35">
      <c r="A1034" s="14"/>
      <c r="B1034" s="20"/>
      <c r="C1034" s="84" t="s">
        <v>3230</v>
      </c>
      <c r="D1034" s="53" t="s">
        <v>79</v>
      </c>
      <c r="E1034" s="53" t="s">
        <v>80</v>
      </c>
      <c r="F1034" s="20" t="s">
        <v>3356</v>
      </c>
      <c r="G1034" s="20" t="s">
        <v>181</v>
      </c>
      <c r="H1034" s="20" t="s">
        <v>115</v>
      </c>
      <c r="I1034" s="211">
        <v>26750</v>
      </c>
      <c r="J1034" s="24">
        <v>1</v>
      </c>
      <c r="K1034" s="24"/>
      <c r="L1034" s="24">
        <v>1</v>
      </c>
      <c r="M1034" s="24"/>
      <c r="N1034" s="24"/>
      <c r="O1034" s="24"/>
      <c r="P1034" s="24"/>
      <c r="Q1034" s="24"/>
      <c r="R1034" s="24"/>
      <c r="S1034" s="24"/>
      <c r="T1034" s="24"/>
      <c r="U1034" s="53" t="s">
        <v>81</v>
      </c>
      <c r="V1034" s="53" t="s">
        <v>218</v>
      </c>
      <c r="W1034" s="53" t="s">
        <v>279</v>
      </c>
      <c r="X1034" s="53" t="s">
        <v>227</v>
      </c>
      <c r="Y1034" s="20"/>
      <c r="Z1034" s="20"/>
      <c r="AA1034" s="53" t="s">
        <v>3390</v>
      </c>
      <c r="AB1034" s="53" t="s">
        <v>528</v>
      </c>
      <c r="AC1034" s="24">
        <v>2</v>
      </c>
      <c r="AD1034" s="24"/>
      <c r="AE1034" s="24"/>
      <c r="AF1034" s="24"/>
      <c r="AG1034" s="24"/>
      <c r="AH1034" s="20"/>
      <c r="AI1034" s="42"/>
    </row>
    <row r="1035" spans="1:35">
      <c r="A1035" s="14"/>
      <c r="B1035" s="20"/>
      <c r="C1035" s="84" t="s">
        <v>3230</v>
      </c>
      <c r="D1035" s="53" t="s">
        <v>79</v>
      </c>
      <c r="E1035" s="53" t="s">
        <v>80</v>
      </c>
      <c r="F1035" s="99" t="s">
        <v>756</v>
      </c>
      <c r="G1035" s="99" t="s">
        <v>3357</v>
      </c>
      <c r="H1035" s="99" t="s">
        <v>421</v>
      </c>
      <c r="I1035" s="247">
        <v>21069</v>
      </c>
      <c r="J1035" s="101">
        <v>1</v>
      </c>
      <c r="K1035" s="24"/>
      <c r="L1035" s="24">
        <v>1</v>
      </c>
      <c r="M1035" s="24"/>
      <c r="N1035" s="24"/>
      <c r="O1035" s="24"/>
      <c r="P1035" s="24"/>
      <c r="Q1035" s="24"/>
      <c r="R1035" s="24"/>
      <c r="S1035" s="24"/>
      <c r="T1035" s="24"/>
      <c r="U1035" s="53" t="s">
        <v>945</v>
      </c>
      <c r="V1035" s="53" t="s">
        <v>218</v>
      </c>
      <c r="W1035" s="53" t="s">
        <v>279</v>
      </c>
      <c r="X1035" s="53" t="s">
        <v>227</v>
      </c>
      <c r="Y1035" s="20"/>
      <c r="Z1035" s="20"/>
      <c r="AA1035" s="53" t="s">
        <v>3390</v>
      </c>
      <c r="AB1035" s="53" t="s">
        <v>528</v>
      </c>
      <c r="AC1035" s="24">
        <v>2</v>
      </c>
      <c r="AD1035" s="24"/>
      <c r="AE1035" s="24"/>
      <c r="AF1035" s="24"/>
      <c r="AG1035" s="24"/>
      <c r="AH1035" s="20"/>
      <c r="AI1035" s="42"/>
    </row>
    <row r="1036" spans="1:35">
      <c r="A1036" s="98"/>
      <c r="B1036" s="99"/>
      <c r="C1036" s="84" t="s">
        <v>3230</v>
      </c>
      <c r="D1036" s="53" t="s">
        <v>79</v>
      </c>
      <c r="E1036" s="53" t="s">
        <v>80</v>
      </c>
      <c r="F1036" s="99" t="s">
        <v>3358</v>
      </c>
      <c r="G1036" s="99" t="s">
        <v>3359</v>
      </c>
      <c r="H1036" s="99"/>
      <c r="I1036" s="247">
        <v>28135</v>
      </c>
      <c r="J1036" s="101">
        <v>1</v>
      </c>
      <c r="K1036" s="101"/>
      <c r="L1036" s="24">
        <v>1</v>
      </c>
      <c r="M1036" s="101"/>
      <c r="N1036" s="101"/>
      <c r="O1036" s="101"/>
      <c r="P1036" s="101"/>
      <c r="Q1036" s="101"/>
      <c r="R1036" s="101"/>
      <c r="S1036" s="101"/>
      <c r="T1036" s="101"/>
      <c r="U1036" s="53" t="s">
        <v>945</v>
      </c>
      <c r="V1036" s="53" t="s">
        <v>218</v>
      </c>
      <c r="W1036" s="53" t="s">
        <v>279</v>
      </c>
      <c r="X1036" s="53" t="s">
        <v>227</v>
      </c>
      <c r="Y1036" s="99"/>
      <c r="Z1036" s="99"/>
      <c r="AA1036" s="53" t="s">
        <v>3390</v>
      </c>
      <c r="AB1036" s="53" t="s">
        <v>528</v>
      </c>
      <c r="AC1036" s="24">
        <v>2</v>
      </c>
      <c r="AD1036" s="101"/>
      <c r="AE1036" s="101"/>
      <c r="AF1036" s="101"/>
      <c r="AG1036" s="101"/>
      <c r="AH1036" s="99"/>
      <c r="AI1036" s="105"/>
    </row>
    <row r="1037" spans="1:35">
      <c r="A1037" s="98"/>
      <c r="B1037" s="99"/>
      <c r="C1037" s="84" t="s">
        <v>3230</v>
      </c>
      <c r="D1037" s="53" t="s">
        <v>79</v>
      </c>
      <c r="E1037" s="53" t="s">
        <v>80</v>
      </c>
      <c r="F1037" s="20" t="s">
        <v>3364</v>
      </c>
      <c r="G1037" s="20" t="s">
        <v>3365</v>
      </c>
      <c r="H1037" s="20" t="s">
        <v>144</v>
      </c>
      <c r="I1037" s="211">
        <v>32992</v>
      </c>
      <c r="J1037" s="24">
        <v>1</v>
      </c>
      <c r="K1037" s="101"/>
      <c r="L1037" s="24">
        <v>1</v>
      </c>
      <c r="M1037" s="101"/>
      <c r="N1037" s="101"/>
      <c r="O1037" s="101"/>
      <c r="P1037" s="101"/>
      <c r="Q1037" s="101"/>
      <c r="R1037" s="101"/>
      <c r="S1037" s="101"/>
      <c r="T1037" s="101"/>
      <c r="U1037" s="99"/>
      <c r="V1037" s="53" t="s">
        <v>218</v>
      </c>
      <c r="W1037" s="53" t="s">
        <v>279</v>
      </c>
      <c r="X1037" s="53" t="s">
        <v>227</v>
      </c>
      <c r="Y1037" s="99"/>
      <c r="Z1037" s="99"/>
      <c r="AA1037" s="53" t="s">
        <v>3390</v>
      </c>
      <c r="AB1037" s="53" t="s">
        <v>528</v>
      </c>
      <c r="AC1037" s="24">
        <v>2</v>
      </c>
      <c r="AD1037" s="101"/>
      <c r="AE1037" s="101"/>
      <c r="AF1037" s="101"/>
      <c r="AG1037" s="101"/>
      <c r="AH1037" s="99"/>
      <c r="AI1037" s="105"/>
    </row>
    <row r="1038" spans="1:35">
      <c r="A1038" s="98"/>
      <c r="B1038" s="99"/>
      <c r="C1038" s="84" t="s">
        <v>3230</v>
      </c>
      <c r="D1038" s="53" t="s">
        <v>79</v>
      </c>
      <c r="E1038" s="53" t="s">
        <v>80</v>
      </c>
      <c r="F1038" s="99" t="s">
        <v>3366</v>
      </c>
      <c r="G1038" s="99" t="s">
        <v>3367</v>
      </c>
      <c r="H1038" s="99" t="s">
        <v>133</v>
      </c>
      <c r="I1038" s="247">
        <v>26793</v>
      </c>
      <c r="J1038" s="101">
        <v>1</v>
      </c>
      <c r="K1038" s="101"/>
      <c r="L1038" s="24">
        <v>1</v>
      </c>
      <c r="M1038" s="101"/>
      <c r="N1038" s="101"/>
      <c r="O1038" s="101"/>
      <c r="P1038" s="101"/>
      <c r="Q1038" s="101"/>
      <c r="R1038" s="101"/>
      <c r="S1038" s="101"/>
      <c r="T1038" s="101"/>
      <c r="U1038" s="99"/>
      <c r="V1038" s="53" t="s">
        <v>218</v>
      </c>
      <c r="W1038" s="53" t="s">
        <v>279</v>
      </c>
      <c r="X1038" s="53" t="s">
        <v>227</v>
      </c>
      <c r="Y1038" s="99"/>
      <c r="Z1038" s="99"/>
      <c r="AA1038" s="53" t="s">
        <v>3390</v>
      </c>
      <c r="AB1038" s="53" t="s">
        <v>528</v>
      </c>
      <c r="AC1038" s="24">
        <v>2</v>
      </c>
      <c r="AD1038" s="101"/>
      <c r="AE1038" s="101"/>
      <c r="AF1038" s="101"/>
      <c r="AG1038" s="101"/>
      <c r="AH1038" s="99"/>
      <c r="AI1038" s="105"/>
    </row>
    <row r="1039" spans="1:35">
      <c r="A1039" s="98"/>
      <c r="B1039" s="99"/>
      <c r="C1039" s="84" t="s">
        <v>3230</v>
      </c>
      <c r="D1039" s="53" t="s">
        <v>79</v>
      </c>
      <c r="E1039" s="53" t="s">
        <v>80</v>
      </c>
      <c r="F1039" s="99" t="s">
        <v>3368</v>
      </c>
      <c r="G1039" s="99" t="s">
        <v>319</v>
      </c>
      <c r="H1039" s="99" t="s">
        <v>115</v>
      </c>
      <c r="I1039" s="247">
        <v>26042</v>
      </c>
      <c r="J1039" s="101">
        <v>1</v>
      </c>
      <c r="K1039" s="101"/>
      <c r="L1039" s="24">
        <v>1</v>
      </c>
      <c r="M1039" s="101"/>
      <c r="N1039" s="101"/>
      <c r="O1039" s="101"/>
      <c r="P1039" s="101"/>
      <c r="Q1039" s="101"/>
      <c r="R1039" s="101"/>
      <c r="S1039" s="101"/>
      <c r="T1039" s="101"/>
      <c r="U1039" s="103" t="s">
        <v>945</v>
      </c>
      <c r="V1039" s="53" t="s">
        <v>218</v>
      </c>
      <c r="W1039" s="53" t="s">
        <v>279</v>
      </c>
      <c r="X1039" s="53" t="s">
        <v>227</v>
      </c>
      <c r="Y1039" s="99"/>
      <c r="Z1039" s="99"/>
      <c r="AA1039" s="53" t="s">
        <v>3390</v>
      </c>
      <c r="AB1039" s="53" t="s">
        <v>528</v>
      </c>
      <c r="AC1039" s="24">
        <v>2</v>
      </c>
      <c r="AD1039" s="101"/>
      <c r="AE1039" s="101"/>
      <c r="AF1039" s="101"/>
      <c r="AG1039" s="101"/>
      <c r="AH1039" s="99"/>
      <c r="AI1039" s="105"/>
    </row>
    <row r="1040" spans="1:35">
      <c r="A1040" s="98"/>
      <c r="B1040" s="99"/>
      <c r="C1040" s="84" t="s">
        <v>3230</v>
      </c>
      <c r="D1040" s="53" t="s">
        <v>79</v>
      </c>
      <c r="E1040" s="53" t="s">
        <v>80</v>
      </c>
      <c r="F1040" s="99" t="s">
        <v>1021</v>
      </c>
      <c r="G1040" s="99" t="s">
        <v>196</v>
      </c>
      <c r="H1040" s="99" t="s">
        <v>120</v>
      </c>
      <c r="I1040" s="247">
        <v>32875</v>
      </c>
      <c r="J1040" s="101">
        <v>1</v>
      </c>
      <c r="K1040" s="101"/>
      <c r="L1040" s="24">
        <v>1</v>
      </c>
      <c r="M1040" s="101"/>
      <c r="N1040" s="101"/>
      <c r="O1040" s="101"/>
      <c r="P1040" s="101"/>
      <c r="Q1040" s="101"/>
      <c r="R1040" s="101"/>
      <c r="S1040" s="101"/>
      <c r="T1040" s="101"/>
      <c r="U1040" s="103" t="s">
        <v>945</v>
      </c>
      <c r="V1040" s="53" t="s">
        <v>218</v>
      </c>
      <c r="W1040" s="53" t="s">
        <v>279</v>
      </c>
      <c r="X1040" s="53" t="s">
        <v>227</v>
      </c>
      <c r="Y1040" s="99"/>
      <c r="Z1040" s="99"/>
      <c r="AA1040" s="53" t="s">
        <v>3390</v>
      </c>
      <c r="AB1040" s="53" t="s">
        <v>528</v>
      </c>
      <c r="AC1040" s="24">
        <v>2</v>
      </c>
      <c r="AD1040" s="101"/>
      <c r="AE1040" s="101"/>
      <c r="AF1040" s="101"/>
      <c r="AG1040" s="101"/>
      <c r="AH1040" s="99"/>
      <c r="AI1040" s="105"/>
    </row>
    <row r="1041" spans="1:35">
      <c r="A1041" s="98"/>
      <c r="B1041" s="99"/>
      <c r="C1041" s="84" t="s">
        <v>3230</v>
      </c>
      <c r="D1041" s="53" t="s">
        <v>79</v>
      </c>
      <c r="E1041" s="53" t="s">
        <v>80</v>
      </c>
      <c r="F1041" s="99" t="s">
        <v>3369</v>
      </c>
      <c r="G1041" s="99" t="s">
        <v>1050</v>
      </c>
      <c r="H1041" s="99" t="s">
        <v>126</v>
      </c>
      <c r="I1041" s="247">
        <v>32118</v>
      </c>
      <c r="J1041" s="101">
        <v>1</v>
      </c>
      <c r="K1041" s="101"/>
      <c r="L1041" s="24">
        <v>1</v>
      </c>
      <c r="M1041" s="101"/>
      <c r="N1041" s="101"/>
      <c r="O1041" s="101"/>
      <c r="P1041" s="101"/>
      <c r="Q1041" s="101"/>
      <c r="R1041" s="101"/>
      <c r="S1041" s="101"/>
      <c r="T1041" s="101"/>
      <c r="U1041" s="103" t="s">
        <v>945</v>
      </c>
      <c r="V1041" s="53" t="s">
        <v>218</v>
      </c>
      <c r="W1041" s="53" t="s">
        <v>279</v>
      </c>
      <c r="X1041" s="53" t="s">
        <v>227</v>
      </c>
      <c r="Y1041" s="99"/>
      <c r="Z1041" s="99"/>
      <c r="AA1041" s="53" t="s">
        <v>3390</v>
      </c>
      <c r="AB1041" s="53" t="s">
        <v>528</v>
      </c>
      <c r="AC1041" s="24">
        <v>2</v>
      </c>
      <c r="AD1041" s="101"/>
      <c r="AE1041" s="101"/>
      <c r="AF1041" s="101"/>
      <c r="AG1041" s="101"/>
      <c r="AH1041" s="99"/>
      <c r="AI1041" s="105"/>
    </row>
    <row r="1042" spans="1:35">
      <c r="A1042" s="98"/>
      <c r="B1042" s="99"/>
      <c r="C1042" s="84" t="s">
        <v>3230</v>
      </c>
      <c r="D1042" s="53" t="s">
        <v>79</v>
      </c>
      <c r="E1042" s="53" t="s">
        <v>80</v>
      </c>
      <c r="F1042" s="99" t="s">
        <v>3335</v>
      </c>
      <c r="G1042" s="99" t="s">
        <v>1492</v>
      </c>
      <c r="H1042" s="99" t="s">
        <v>202</v>
      </c>
      <c r="I1042" s="247">
        <v>31387</v>
      </c>
      <c r="J1042" s="101">
        <v>1</v>
      </c>
      <c r="K1042" s="101"/>
      <c r="L1042" s="24">
        <v>1</v>
      </c>
      <c r="M1042" s="101"/>
      <c r="N1042" s="101"/>
      <c r="O1042" s="101"/>
      <c r="P1042" s="101"/>
      <c r="Q1042" s="101"/>
      <c r="R1042" s="101"/>
      <c r="S1042" s="101"/>
      <c r="T1042" s="101"/>
      <c r="U1042" s="103" t="s">
        <v>3387</v>
      </c>
      <c r="V1042" s="53" t="s">
        <v>218</v>
      </c>
      <c r="W1042" s="53" t="s">
        <v>279</v>
      </c>
      <c r="X1042" s="53" t="s">
        <v>227</v>
      </c>
      <c r="Y1042" s="99"/>
      <c r="Z1042" s="99"/>
      <c r="AA1042" s="53" t="s">
        <v>3390</v>
      </c>
      <c r="AB1042" s="53" t="s">
        <v>528</v>
      </c>
      <c r="AC1042" s="24">
        <v>2</v>
      </c>
      <c r="AD1042" s="101"/>
      <c r="AE1042" s="101"/>
      <c r="AF1042" s="101"/>
      <c r="AG1042" s="101"/>
      <c r="AH1042" s="99"/>
      <c r="AI1042" s="105"/>
    </row>
    <row r="1043" spans="1:35">
      <c r="A1043" s="98"/>
      <c r="B1043" s="99"/>
      <c r="C1043" s="84" t="s">
        <v>3230</v>
      </c>
      <c r="D1043" s="53" t="s">
        <v>79</v>
      </c>
      <c r="E1043" s="53" t="s">
        <v>80</v>
      </c>
      <c r="F1043" s="99" t="s">
        <v>392</v>
      </c>
      <c r="G1043" s="99" t="s">
        <v>3370</v>
      </c>
      <c r="H1043" s="99" t="s">
        <v>126</v>
      </c>
      <c r="I1043" s="247">
        <v>35453</v>
      </c>
      <c r="J1043" s="101">
        <v>1</v>
      </c>
      <c r="K1043" s="101"/>
      <c r="L1043" s="24">
        <v>1</v>
      </c>
      <c r="M1043" s="101"/>
      <c r="N1043" s="101"/>
      <c r="O1043" s="101"/>
      <c r="P1043" s="101"/>
      <c r="Q1043" s="101"/>
      <c r="R1043" s="101"/>
      <c r="S1043" s="101"/>
      <c r="T1043" s="101"/>
      <c r="U1043" s="103" t="s">
        <v>3387</v>
      </c>
      <c r="V1043" s="53" t="s">
        <v>218</v>
      </c>
      <c r="W1043" s="53" t="s">
        <v>279</v>
      </c>
      <c r="X1043" s="53" t="s">
        <v>227</v>
      </c>
      <c r="Y1043" s="99"/>
      <c r="Z1043" s="99"/>
      <c r="AA1043" s="53" t="s">
        <v>3390</v>
      </c>
      <c r="AB1043" s="53" t="s">
        <v>528</v>
      </c>
      <c r="AC1043" s="24">
        <v>2</v>
      </c>
      <c r="AD1043" s="101"/>
      <c r="AE1043" s="101"/>
      <c r="AF1043" s="101"/>
      <c r="AG1043" s="101"/>
      <c r="AH1043" s="99"/>
      <c r="AI1043" s="105"/>
    </row>
    <row r="1044" spans="1:35">
      <c r="A1044" s="98"/>
      <c r="B1044" s="99"/>
      <c r="C1044" s="84" t="s">
        <v>3230</v>
      </c>
      <c r="D1044" s="53" t="s">
        <v>79</v>
      </c>
      <c r="E1044" s="53" t="s">
        <v>80</v>
      </c>
      <c r="F1044" s="99" t="s">
        <v>3371</v>
      </c>
      <c r="G1044" s="99" t="s">
        <v>3372</v>
      </c>
      <c r="H1044" s="99" t="s">
        <v>160</v>
      </c>
      <c r="I1044" s="247">
        <v>30522</v>
      </c>
      <c r="J1044" s="101">
        <v>1</v>
      </c>
      <c r="K1044" s="101"/>
      <c r="L1044" s="24">
        <v>1</v>
      </c>
      <c r="M1044" s="101"/>
      <c r="N1044" s="101"/>
      <c r="O1044" s="101"/>
      <c r="P1044" s="101"/>
      <c r="Q1044" s="101"/>
      <c r="R1044" s="101"/>
      <c r="S1044" s="101"/>
      <c r="T1044" s="101"/>
      <c r="U1044" s="103" t="s">
        <v>945</v>
      </c>
      <c r="V1044" s="53" t="s">
        <v>218</v>
      </c>
      <c r="W1044" s="53" t="s">
        <v>279</v>
      </c>
      <c r="X1044" s="53" t="s">
        <v>227</v>
      </c>
      <c r="Y1044" s="99"/>
      <c r="Z1044" s="99"/>
      <c r="AA1044" s="53" t="s">
        <v>3390</v>
      </c>
      <c r="AB1044" s="53" t="s">
        <v>528</v>
      </c>
      <c r="AC1044" s="24">
        <v>2</v>
      </c>
      <c r="AD1044" s="101"/>
      <c r="AE1044" s="101"/>
      <c r="AF1044" s="101"/>
      <c r="AG1044" s="101"/>
      <c r="AH1044" s="99"/>
      <c r="AI1044" s="105"/>
    </row>
    <row r="1045" spans="1:35">
      <c r="A1045" s="98"/>
      <c r="B1045" s="99"/>
      <c r="C1045" s="84" t="s">
        <v>3230</v>
      </c>
      <c r="D1045" s="53" t="s">
        <v>79</v>
      </c>
      <c r="E1045" s="53" t="s">
        <v>80</v>
      </c>
      <c r="F1045" s="99" t="s">
        <v>3374</v>
      </c>
      <c r="G1045" s="99" t="s">
        <v>3373</v>
      </c>
      <c r="H1045" s="99" t="s">
        <v>126</v>
      </c>
      <c r="I1045" s="247">
        <v>26853</v>
      </c>
      <c r="J1045" s="101">
        <v>1</v>
      </c>
      <c r="K1045" s="101"/>
      <c r="L1045" s="24">
        <v>1</v>
      </c>
      <c r="M1045" s="101"/>
      <c r="N1045" s="101"/>
      <c r="O1045" s="101"/>
      <c r="P1045" s="101"/>
      <c r="Q1045" s="101"/>
      <c r="R1045" s="101"/>
      <c r="S1045" s="101"/>
      <c r="T1045" s="101"/>
      <c r="U1045" s="99">
        <v>1</v>
      </c>
      <c r="V1045" s="53" t="s">
        <v>218</v>
      </c>
      <c r="W1045" s="53" t="s">
        <v>279</v>
      </c>
      <c r="X1045" s="53" t="s">
        <v>227</v>
      </c>
      <c r="Y1045" s="99"/>
      <c r="Z1045" s="99"/>
      <c r="AA1045" s="53" t="s">
        <v>3390</v>
      </c>
      <c r="AB1045" s="53" t="s">
        <v>528</v>
      </c>
      <c r="AC1045" s="24">
        <v>2</v>
      </c>
      <c r="AD1045" s="101"/>
      <c r="AE1045" s="101"/>
      <c r="AF1045" s="101"/>
      <c r="AG1045" s="101"/>
      <c r="AH1045" s="99"/>
      <c r="AI1045" s="105"/>
    </row>
    <row r="1046" spans="1:35">
      <c r="A1046" s="98"/>
      <c r="B1046" s="99"/>
      <c r="C1046" s="84" t="s">
        <v>3230</v>
      </c>
      <c r="D1046" s="53" t="s">
        <v>79</v>
      </c>
      <c r="E1046" s="53" t="s">
        <v>80</v>
      </c>
      <c r="F1046" s="99" t="s">
        <v>3118</v>
      </c>
      <c r="G1046" s="99" t="s">
        <v>573</v>
      </c>
      <c r="H1046" s="99"/>
      <c r="I1046" s="247"/>
      <c r="J1046" s="101">
        <v>1</v>
      </c>
      <c r="K1046" s="101"/>
      <c r="L1046" s="24">
        <v>1</v>
      </c>
      <c r="M1046" s="101"/>
      <c r="N1046" s="101"/>
      <c r="O1046" s="101"/>
      <c r="P1046" s="101"/>
      <c r="Q1046" s="101"/>
      <c r="R1046" s="101"/>
      <c r="S1046" s="101"/>
      <c r="T1046" s="101"/>
      <c r="U1046" s="103" t="s">
        <v>3388</v>
      </c>
      <c r="V1046" s="53" t="s">
        <v>218</v>
      </c>
      <c r="W1046" s="53" t="s">
        <v>279</v>
      </c>
      <c r="X1046" s="53" t="s">
        <v>227</v>
      </c>
      <c r="Y1046" s="99"/>
      <c r="Z1046" s="99"/>
      <c r="AA1046" s="53" t="s">
        <v>3390</v>
      </c>
      <c r="AB1046" s="53" t="s">
        <v>528</v>
      </c>
      <c r="AC1046" s="24">
        <v>2</v>
      </c>
      <c r="AD1046" s="101"/>
      <c r="AE1046" s="101"/>
      <c r="AF1046" s="101"/>
      <c r="AG1046" s="101"/>
      <c r="AH1046" s="99"/>
      <c r="AI1046" s="105"/>
    </row>
    <row r="1047" spans="1:35">
      <c r="A1047" s="98"/>
      <c r="B1047" s="99"/>
      <c r="C1047" s="84" t="s">
        <v>3230</v>
      </c>
      <c r="D1047" s="53" t="s">
        <v>79</v>
      </c>
      <c r="E1047" s="53" t="s">
        <v>80</v>
      </c>
      <c r="F1047" s="103" t="s">
        <v>3375</v>
      </c>
      <c r="G1047" s="103" t="s">
        <v>121</v>
      </c>
      <c r="H1047" s="103" t="s">
        <v>588</v>
      </c>
      <c r="I1047" s="247">
        <v>35549</v>
      </c>
      <c r="J1047" s="101">
        <v>1</v>
      </c>
      <c r="K1047" s="101"/>
      <c r="L1047" s="24">
        <v>1</v>
      </c>
      <c r="M1047" s="101"/>
      <c r="N1047" s="101"/>
      <c r="O1047" s="101"/>
      <c r="P1047" s="101"/>
      <c r="Q1047" s="101"/>
      <c r="R1047" s="101"/>
      <c r="S1047" s="101"/>
      <c r="T1047" s="101"/>
      <c r="U1047" s="103" t="s">
        <v>3388</v>
      </c>
      <c r="V1047" s="53" t="s">
        <v>218</v>
      </c>
      <c r="W1047" s="53" t="s">
        <v>279</v>
      </c>
      <c r="X1047" s="53" t="s">
        <v>227</v>
      </c>
      <c r="Y1047" s="99"/>
      <c r="Z1047" s="99"/>
      <c r="AA1047" s="53" t="s">
        <v>3390</v>
      </c>
      <c r="AB1047" s="53" t="s">
        <v>528</v>
      </c>
      <c r="AC1047" s="24">
        <v>2</v>
      </c>
      <c r="AD1047" s="101"/>
      <c r="AE1047" s="101"/>
      <c r="AF1047" s="101"/>
      <c r="AG1047" s="101"/>
      <c r="AH1047" s="99"/>
      <c r="AI1047" s="105"/>
    </row>
    <row r="1048" spans="1:35">
      <c r="A1048" s="98"/>
      <c r="B1048" s="99"/>
      <c r="C1048" s="84" t="s">
        <v>3230</v>
      </c>
      <c r="D1048" s="53" t="s">
        <v>79</v>
      </c>
      <c r="E1048" s="53" t="s">
        <v>80</v>
      </c>
      <c r="F1048" s="100" t="s">
        <v>3375</v>
      </c>
      <c r="G1048" s="103" t="s">
        <v>2422</v>
      </c>
      <c r="H1048" s="103" t="s">
        <v>588</v>
      </c>
      <c r="I1048" s="247">
        <v>33447</v>
      </c>
      <c r="J1048" s="101">
        <v>1</v>
      </c>
      <c r="K1048" s="101"/>
      <c r="L1048" s="24">
        <v>1</v>
      </c>
      <c r="M1048" s="101"/>
      <c r="N1048" s="101"/>
      <c r="O1048" s="101"/>
      <c r="P1048" s="101"/>
      <c r="Q1048" s="101"/>
      <c r="R1048" s="101"/>
      <c r="S1048" s="101"/>
      <c r="T1048" s="101"/>
      <c r="U1048" s="103" t="s">
        <v>945</v>
      </c>
      <c r="V1048" s="53" t="s">
        <v>218</v>
      </c>
      <c r="W1048" s="53" t="s">
        <v>279</v>
      </c>
      <c r="X1048" s="53" t="s">
        <v>227</v>
      </c>
      <c r="Y1048" s="99"/>
      <c r="Z1048" s="99"/>
      <c r="AA1048" s="53" t="s">
        <v>3390</v>
      </c>
      <c r="AB1048" s="53" t="s">
        <v>528</v>
      </c>
      <c r="AC1048" s="24">
        <v>2</v>
      </c>
      <c r="AD1048" s="101"/>
      <c r="AE1048" s="101"/>
      <c r="AF1048" s="101"/>
      <c r="AG1048" s="101"/>
      <c r="AH1048" s="99"/>
      <c r="AI1048" s="105"/>
    </row>
    <row r="1049" spans="1:35">
      <c r="A1049" s="98"/>
      <c r="B1049" s="99"/>
      <c r="C1049" s="84" t="s">
        <v>3230</v>
      </c>
      <c r="D1049" s="53" t="s">
        <v>79</v>
      </c>
      <c r="E1049" s="53" t="s">
        <v>80</v>
      </c>
      <c r="F1049" s="100" t="s">
        <v>2057</v>
      </c>
      <c r="G1049" s="103" t="s">
        <v>3376</v>
      </c>
      <c r="H1049" s="103" t="s">
        <v>1043</v>
      </c>
      <c r="I1049" s="247">
        <v>32808</v>
      </c>
      <c r="J1049" s="101">
        <v>1</v>
      </c>
      <c r="K1049" s="101"/>
      <c r="L1049" s="24">
        <v>1</v>
      </c>
      <c r="M1049" s="101"/>
      <c r="N1049" s="101"/>
      <c r="O1049" s="101"/>
      <c r="P1049" s="101"/>
      <c r="Q1049" s="101"/>
      <c r="R1049" s="101"/>
      <c r="S1049" s="101"/>
      <c r="T1049" s="101"/>
      <c r="U1049" s="103" t="s">
        <v>945</v>
      </c>
      <c r="V1049" s="53" t="s">
        <v>218</v>
      </c>
      <c r="W1049" s="53" t="s">
        <v>279</v>
      </c>
      <c r="X1049" s="53" t="s">
        <v>227</v>
      </c>
      <c r="Y1049" s="99"/>
      <c r="Z1049" s="99"/>
      <c r="AA1049" s="53" t="s">
        <v>3390</v>
      </c>
      <c r="AB1049" s="53" t="s">
        <v>528</v>
      </c>
      <c r="AC1049" s="24">
        <v>2</v>
      </c>
      <c r="AD1049" s="101"/>
      <c r="AE1049" s="101"/>
      <c r="AF1049" s="101"/>
      <c r="AG1049" s="101"/>
      <c r="AH1049" s="99"/>
      <c r="AI1049" s="105"/>
    </row>
    <row r="1050" spans="1:35">
      <c r="A1050" s="98"/>
      <c r="B1050" s="99"/>
      <c r="C1050" s="84" t="s">
        <v>3230</v>
      </c>
      <c r="D1050" s="53" t="s">
        <v>79</v>
      </c>
      <c r="E1050" s="53" t="s">
        <v>80</v>
      </c>
      <c r="F1050" s="100" t="s">
        <v>519</v>
      </c>
      <c r="G1050" s="103" t="s">
        <v>3377</v>
      </c>
      <c r="H1050" s="249"/>
      <c r="I1050" s="248">
        <v>25383</v>
      </c>
      <c r="J1050" s="101">
        <v>1</v>
      </c>
      <c r="K1050" s="101"/>
      <c r="L1050" s="24">
        <v>1</v>
      </c>
      <c r="M1050" s="101"/>
      <c r="N1050" s="101"/>
      <c r="O1050" s="101"/>
      <c r="P1050" s="101"/>
      <c r="Q1050" s="101"/>
      <c r="R1050" s="101"/>
      <c r="S1050" s="101"/>
      <c r="T1050" s="101"/>
      <c r="U1050" s="103" t="s">
        <v>219</v>
      </c>
      <c r="V1050" s="53" t="s">
        <v>218</v>
      </c>
      <c r="W1050" s="53" t="s">
        <v>279</v>
      </c>
      <c r="X1050" s="53" t="s">
        <v>227</v>
      </c>
      <c r="Y1050" s="99"/>
      <c r="Z1050" s="99"/>
      <c r="AA1050" s="53" t="s">
        <v>3390</v>
      </c>
      <c r="AB1050" s="53" t="s">
        <v>528</v>
      </c>
      <c r="AC1050" s="24">
        <v>2</v>
      </c>
      <c r="AD1050" s="101"/>
      <c r="AE1050" s="101"/>
      <c r="AF1050" s="101"/>
      <c r="AG1050" s="101"/>
      <c r="AH1050" s="99"/>
      <c r="AI1050" s="105"/>
    </row>
    <row r="1051" spans="1:35">
      <c r="A1051" s="98"/>
      <c r="B1051" s="99"/>
      <c r="C1051" s="84" t="s">
        <v>3230</v>
      </c>
      <c r="D1051" s="53" t="s">
        <v>79</v>
      </c>
      <c r="E1051" s="53" t="s">
        <v>80</v>
      </c>
      <c r="F1051" s="100" t="s">
        <v>3378</v>
      </c>
      <c r="G1051" s="103" t="s">
        <v>433</v>
      </c>
      <c r="H1051" s="103" t="s">
        <v>588</v>
      </c>
      <c r="I1051" s="247">
        <v>29823</v>
      </c>
      <c r="J1051" s="101">
        <v>1</v>
      </c>
      <c r="K1051" s="101"/>
      <c r="L1051" s="24">
        <v>1</v>
      </c>
      <c r="M1051" s="101"/>
      <c r="N1051" s="101"/>
      <c r="O1051" s="101"/>
      <c r="P1051" s="101"/>
      <c r="Q1051" s="101"/>
      <c r="R1051" s="101"/>
      <c r="S1051" s="101"/>
      <c r="T1051" s="101"/>
      <c r="U1051" s="103" t="s">
        <v>219</v>
      </c>
      <c r="V1051" s="53" t="s">
        <v>218</v>
      </c>
      <c r="W1051" s="53" t="s">
        <v>279</v>
      </c>
      <c r="X1051" s="53" t="s">
        <v>227</v>
      </c>
      <c r="Y1051" s="99"/>
      <c r="Z1051" s="99"/>
      <c r="AA1051" s="53" t="s">
        <v>3390</v>
      </c>
      <c r="AB1051" s="53" t="s">
        <v>528</v>
      </c>
      <c r="AC1051" s="24">
        <v>2</v>
      </c>
      <c r="AD1051" s="101"/>
      <c r="AE1051" s="101"/>
      <c r="AF1051" s="101"/>
      <c r="AG1051" s="101"/>
      <c r="AH1051" s="99"/>
      <c r="AI1051" s="105"/>
    </row>
    <row r="1052" spans="1:35">
      <c r="A1052" s="98"/>
      <c r="B1052" s="99"/>
      <c r="C1052" s="84" t="s">
        <v>3230</v>
      </c>
      <c r="D1052" s="53" t="s">
        <v>79</v>
      </c>
      <c r="E1052" s="53" t="s">
        <v>80</v>
      </c>
      <c r="F1052" s="100" t="s">
        <v>3375</v>
      </c>
      <c r="G1052" s="103" t="s">
        <v>3379</v>
      </c>
      <c r="H1052" s="103" t="s">
        <v>133</v>
      </c>
      <c r="I1052" s="247">
        <v>26289</v>
      </c>
      <c r="J1052" s="101">
        <v>1</v>
      </c>
      <c r="K1052" s="101"/>
      <c r="L1052" s="24">
        <v>1</v>
      </c>
      <c r="M1052" s="101"/>
      <c r="N1052" s="101"/>
      <c r="O1052" s="101"/>
      <c r="P1052" s="101"/>
      <c r="Q1052" s="101"/>
      <c r="R1052" s="101"/>
      <c r="S1052" s="101"/>
      <c r="T1052" s="101"/>
      <c r="U1052" s="103" t="s">
        <v>219</v>
      </c>
      <c r="V1052" s="53" t="s">
        <v>218</v>
      </c>
      <c r="W1052" s="53" t="s">
        <v>279</v>
      </c>
      <c r="X1052" s="53" t="s">
        <v>227</v>
      </c>
      <c r="Y1052" s="99"/>
      <c r="Z1052" s="99"/>
      <c r="AA1052" s="53" t="s">
        <v>3390</v>
      </c>
      <c r="AB1052" s="53" t="s">
        <v>528</v>
      </c>
      <c r="AC1052" s="24">
        <v>2</v>
      </c>
      <c r="AD1052" s="101"/>
      <c r="AE1052" s="101"/>
      <c r="AF1052" s="101"/>
      <c r="AG1052" s="101"/>
      <c r="AH1052" s="99"/>
      <c r="AI1052" s="105"/>
    </row>
    <row r="1053" spans="1:35">
      <c r="A1053" s="98"/>
      <c r="B1053" s="99"/>
      <c r="C1053" s="84" t="s">
        <v>3230</v>
      </c>
      <c r="D1053" s="53" t="s">
        <v>79</v>
      </c>
      <c r="E1053" s="53" t="s">
        <v>80</v>
      </c>
      <c r="F1053" s="100" t="s">
        <v>3380</v>
      </c>
      <c r="G1053" s="103" t="s">
        <v>1464</v>
      </c>
      <c r="H1053" s="103" t="s">
        <v>113</v>
      </c>
      <c r="I1053" s="250"/>
      <c r="J1053" s="101">
        <v>1</v>
      </c>
      <c r="K1053" s="101"/>
      <c r="L1053" s="24">
        <v>1</v>
      </c>
      <c r="M1053" s="101"/>
      <c r="N1053" s="101"/>
      <c r="O1053" s="101"/>
      <c r="P1053" s="101"/>
      <c r="Q1053" s="101"/>
      <c r="R1053" s="101"/>
      <c r="S1053" s="101"/>
      <c r="T1053" s="101"/>
      <c r="U1053" s="103" t="s">
        <v>219</v>
      </c>
      <c r="V1053" s="53" t="s">
        <v>218</v>
      </c>
      <c r="W1053" s="53" t="s">
        <v>279</v>
      </c>
      <c r="X1053" s="53" t="s">
        <v>227</v>
      </c>
      <c r="Y1053" s="99"/>
      <c r="Z1053" s="99"/>
      <c r="AA1053" s="53" t="s">
        <v>3390</v>
      </c>
      <c r="AB1053" s="53" t="s">
        <v>528</v>
      </c>
      <c r="AC1053" s="24">
        <v>2</v>
      </c>
      <c r="AD1053" s="101"/>
      <c r="AE1053" s="101"/>
      <c r="AF1053" s="101"/>
      <c r="AG1053" s="101"/>
      <c r="AH1053" s="99"/>
      <c r="AI1053" s="105"/>
    </row>
    <row r="1054" spans="1:35">
      <c r="A1054" s="98"/>
      <c r="B1054" s="99"/>
      <c r="C1054" s="84" t="s">
        <v>3230</v>
      </c>
      <c r="D1054" s="53" t="s">
        <v>79</v>
      </c>
      <c r="E1054" s="53" t="s">
        <v>80</v>
      </c>
      <c r="F1054" s="100" t="s">
        <v>3381</v>
      </c>
      <c r="G1054" s="103" t="s">
        <v>3382</v>
      </c>
      <c r="H1054" s="99"/>
      <c r="I1054" s="247"/>
      <c r="J1054" s="101"/>
      <c r="K1054" s="101">
        <v>1</v>
      </c>
      <c r="L1054" s="24">
        <v>1</v>
      </c>
      <c r="M1054" s="101"/>
      <c r="N1054" s="101"/>
      <c r="O1054" s="101"/>
      <c r="P1054" s="101"/>
      <c r="Q1054" s="101"/>
      <c r="R1054" s="101"/>
      <c r="S1054" s="101"/>
      <c r="T1054" s="101"/>
      <c r="U1054" s="103" t="s">
        <v>219</v>
      </c>
      <c r="V1054" s="53" t="s">
        <v>218</v>
      </c>
      <c r="W1054" s="53" t="s">
        <v>279</v>
      </c>
      <c r="X1054" s="53" t="s">
        <v>227</v>
      </c>
      <c r="Y1054" s="99"/>
      <c r="Z1054" s="99"/>
      <c r="AA1054" s="53" t="s">
        <v>3390</v>
      </c>
      <c r="AB1054" s="53" t="s">
        <v>528</v>
      </c>
      <c r="AC1054" s="24">
        <v>2</v>
      </c>
      <c r="AD1054" s="101"/>
      <c r="AE1054" s="101"/>
      <c r="AF1054" s="101"/>
      <c r="AG1054" s="101"/>
      <c r="AH1054" s="99"/>
      <c r="AI1054" s="105"/>
    </row>
    <row r="1055" spans="1:35">
      <c r="A1055" s="98"/>
      <c r="B1055" s="99"/>
      <c r="C1055" s="84" t="s">
        <v>3230</v>
      </c>
      <c r="D1055" s="53" t="s">
        <v>79</v>
      </c>
      <c r="E1055" s="53" t="s">
        <v>80</v>
      </c>
      <c r="F1055" s="100" t="s">
        <v>1117</v>
      </c>
      <c r="G1055" s="103" t="s">
        <v>3383</v>
      </c>
      <c r="H1055" s="99"/>
      <c r="I1055" s="247">
        <v>26645</v>
      </c>
      <c r="J1055" s="101">
        <v>1</v>
      </c>
      <c r="K1055" s="101"/>
      <c r="L1055" s="24">
        <v>1</v>
      </c>
      <c r="M1055" s="101"/>
      <c r="N1055" s="101"/>
      <c r="O1055" s="101"/>
      <c r="P1055" s="101"/>
      <c r="Q1055" s="101"/>
      <c r="R1055" s="101"/>
      <c r="S1055" s="101"/>
      <c r="T1055" s="101"/>
      <c r="U1055" s="103" t="s">
        <v>219</v>
      </c>
      <c r="V1055" s="53" t="s">
        <v>218</v>
      </c>
      <c r="W1055" s="53" t="s">
        <v>279</v>
      </c>
      <c r="X1055" s="53" t="s">
        <v>227</v>
      </c>
      <c r="Y1055" s="99"/>
      <c r="Z1055" s="99"/>
      <c r="AA1055" s="53" t="s">
        <v>3390</v>
      </c>
      <c r="AB1055" s="53" t="s">
        <v>528</v>
      </c>
      <c r="AC1055" s="24">
        <v>2</v>
      </c>
      <c r="AD1055" s="101"/>
      <c r="AE1055" s="101"/>
      <c r="AF1055" s="101"/>
      <c r="AG1055" s="101"/>
      <c r="AH1055" s="99"/>
      <c r="AI1055" s="105"/>
    </row>
    <row r="1056" spans="1:35">
      <c r="A1056" s="98"/>
      <c r="B1056" s="99"/>
      <c r="C1056" s="84" t="s">
        <v>3230</v>
      </c>
      <c r="D1056" s="53" t="s">
        <v>79</v>
      </c>
      <c r="E1056" s="53" t="s">
        <v>80</v>
      </c>
      <c r="F1056" s="100" t="s">
        <v>3392</v>
      </c>
      <c r="G1056" s="103" t="s">
        <v>1150</v>
      </c>
      <c r="H1056" s="103" t="s">
        <v>588</v>
      </c>
      <c r="I1056" s="247">
        <v>27262</v>
      </c>
      <c r="J1056" s="101">
        <v>1</v>
      </c>
      <c r="K1056" s="101"/>
      <c r="L1056" s="24">
        <v>1</v>
      </c>
      <c r="M1056" s="101"/>
      <c r="N1056" s="101"/>
      <c r="O1056" s="101"/>
      <c r="P1056" s="101"/>
      <c r="Q1056" s="101"/>
      <c r="R1056" s="101"/>
      <c r="S1056" s="101"/>
      <c r="T1056" s="101"/>
      <c r="U1056" s="103"/>
      <c r="V1056" s="53"/>
      <c r="W1056" s="53"/>
      <c r="X1056" s="53" t="s">
        <v>227</v>
      </c>
      <c r="Y1056" s="99"/>
      <c r="Z1056" s="99"/>
      <c r="AA1056" s="53" t="s">
        <v>3390</v>
      </c>
      <c r="AB1056" s="53" t="s">
        <v>528</v>
      </c>
      <c r="AC1056" s="24">
        <v>2</v>
      </c>
      <c r="AD1056" s="101"/>
      <c r="AE1056" s="101"/>
      <c r="AF1056" s="101"/>
      <c r="AG1056" s="101"/>
      <c r="AH1056" s="99"/>
      <c r="AI1056" s="105"/>
    </row>
    <row r="1057" spans="1:35">
      <c r="A1057" s="98"/>
      <c r="B1057" s="99"/>
      <c r="C1057" s="84" t="s">
        <v>3230</v>
      </c>
      <c r="D1057" s="53" t="s">
        <v>79</v>
      </c>
      <c r="E1057" s="53" t="s">
        <v>80</v>
      </c>
      <c r="F1057" s="100" t="s">
        <v>3392</v>
      </c>
      <c r="G1057" s="103" t="s">
        <v>1870</v>
      </c>
      <c r="H1057" s="103" t="s">
        <v>588</v>
      </c>
      <c r="I1057" s="247">
        <v>32611</v>
      </c>
      <c r="J1057" s="101">
        <v>1</v>
      </c>
      <c r="K1057" s="101"/>
      <c r="L1057" s="24">
        <v>1</v>
      </c>
      <c r="M1057" s="101"/>
      <c r="N1057" s="101"/>
      <c r="O1057" s="101"/>
      <c r="P1057" s="101"/>
      <c r="Q1057" s="101"/>
      <c r="R1057" s="101"/>
      <c r="S1057" s="101"/>
      <c r="T1057" s="101"/>
      <c r="U1057" s="103" t="s">
        <v>219</v>
      </c>
      <c r="V1057" s="53" t="s">
        <v>218</v>
      </c>
      <c r="W1057" s="53" t="s">
        <v>279</v>
      </c>
      <c r="X1057" s="53" t="s">
        <v>227</v>
      </c>
      <c r="Y1057" s="99"/>
      <c r="Z1057" s="99"/>
      <c r="AA1057" s="53" t="s">
        <v>3390</v>
      </c>
      <c r="AB1057" s="53" t="s">
        <v>528</v>
      </c>
      <c r="AC1057" s="24">
        <v>2</v>
      </c>
      <c r="AD1057" s="101"/>
      <c r="AE1057" s="101"/>
      <c r="AF1057" s="101"/>
      <c r="AG1057" s="101"/>
      <c r="AH1057" s="99"/>
      <c r="AI1057" s="105"/>
    </row>
    <row r="1058" spans="1:35">
      <c r="A1058" s="98"/>
      <c r="B1058" s="99"/>
      <c r="C1058" s="84" t="s">
        <v>3230</v>
      </c>
      <c r="D1058" s="53" t="s">
        <v>79</v>
      </c>
      <c r="E1058" s="53" t="s">
        <v>80</v>
      </c>
      <c r="F1058" s="100" t="s">
        <v>3391</v>
      </c>
      <c r="G1058" s="103" t="s">
        <v>3384</v>
      </c>
      <c r="H1058" s="99"/>
      <c r="I1058" s="247">
        <v>30301</v>
      </c>
      <c r="J1058" s="101">
        <v>1</v>
      </c>
      <c r="K1058" s="101"/>
      <c r="L1058" s="24">
        <v>1</v>
      </c>
      <c r="M1058" s="101"/>
      <c r="N1058" s="101"/>
      <c r="O1058" s="101"/>
      <c r="P1058" s="101"/>
      <c r="Q1058" s="101"/>
      <c r="R1058" s="101"/>
      <c r="S1058" s="101"/>
      <c r="T1058" s="101"/>
      <c r="U1058" s="103" t="s">
        <v>219</v>
      </c>
      <c r="V1058" s="53" t="s">
        <v>218</v>
      </c>
      <c r="W1058" s="53" t="s">
        <v>279</v>
      </c>
      <c r="X1058" s="53" t="s">
        <v>227</v>
      </c>
      <c r="Y1058" s="99"/>
      <c r="Z1058" s="99"/>
      <c r="AA1058" s="53" t="s">
        <v>3390</v>
      </c>
      <c r="AB1058" s="53" t="s">
        <v>528</v>
      </c>
      <c r="AC1058" s="24">
        <v>2</v>
      </c>
      <c r="AD1058" s="101"/>
      <c r="AE1058" s="101"/>
      <c r="AF1058" s="101"/>
      <c r="AG1058" s="101"/>
      <c r="AH1058" s="99"/>
      <c r="AI1058" s="105"/>
    </row>
    <row r="1059" spans="1:35" s="255" customFormat="1">
      <c r="A1059" s="253"/>
      <c r="B1059" s="100"/>
      <c r="C1059" s="100"/>
      <c r="D1059" s="100"/>
      <c r="E1059" s="100"/>
      <c r="F1059" s="100" t="s">
        <v>1982</v>
      </c>
      <c r="G1059" s="100" t="s">
        <v>2758</v>
      </c>
      <c r="H1059" s="100" t="s">
        <v>136</v>
      </c>
      <c r="I1059" s="251">
        <v>25702</v>
      </c>
      <c r="J1059" s="261">
        <v>1</v>
      </c>
      <c r="K1059" s="262"/>
      <c r="L1059" s="261">
        <v>1</v>
      </c>
      <c r="M1059" s="262"/>
      <c r="N1059" s="262"/>
      <c r="O1059" s="262"/>
      <c r="P1059" s="262"/>
      <c r="Q1059" s="262"/>
      <c r="R1059" s="262"/>
      <c r="S1059" s="262"/>
      <c r="T1059" s="262"/>
      <c r="U1059" s="100" t="s">
        <v>3408</v>
      </c>
      <c r="V1059" s="100" t="s">
        <v>218</v>
      </c>
      <c r="W1059" s="100" t="s">
        <v>279</v>
      </c>
      <c r="X1059" s="100" t="s">
        <v>227</v>
      </c>
      <c r="Y1059" s="100"/>
      <c r="Z1059" s="100"/>
      <c r="AA1059" s="100" t="s">
        <v>3968</v>
      </c>
      <c r="AB1059" s="100" t="s">
        <v>528</v>
      </c>
      <c r="AC1059" s="261">
        <v>1</v>
      </c>
      <c r="AD1059" s="262"/>
      <c r="AE1059" s="262"/>
      <c r="AF1059" s="262"/>
      <c r="AG1059" s="262"/>
      <c r="AH1059" s="100"/>
      <c r="AI1059" s="254"/>
    </row>
    <row r="1060" spans="1:35">
      <c r="A1060" s="98"/>
      <c r="B1060" s="99"/>
      <c r="C1060" s="263" t="s">
        <v>3230</v>
      </c>
      <c r="D1060" s="264" t="s">
        <v>79</v>
      </c>
      <c r="E1060" s="264" t="s">
        <v>80</v>
      </c>
      <c r="F1060" s="100" t="s">
        <v>3393</v>
      </c>
      <c r="G1060" s="100" t="s">
        <v>891</v>
      </c>
      <c r="H1060" s="100" t="s">
        <v>286</v>
      </c>
      <c r="I1060" s="247">
        <v>24200</v>
      </c>
      <c r="J1060" s="101">
        <v>1</v>
      </c>
      <c r="K1060" s="101"/>
      <c r="L1060" s="101">
        <v>1</v>
      </c>
      <c r="M1060" s="101"/>
      <c r="N1060" s="101"/>
      <c r="O1060" s="101"/>
      <c r="P1060" s="101"/>
      <c r="Q1060" s="101"/>
      <c r="R1060" s="101"/>
      <c r="S1060" s="101"/>
      <c r="T1060" s="101"/>
      <c r="U1060" s="100" t="s">
        <v>3408</v>
      </c>
      <c r="V1060" s="100" t="s">
        <v>218</v>
      </c>
      <c r="W1060" s="53" t="s">
        <v>279</v>
      </c>
      <c r="X1060" s="100" t="s">
        <v>227</v>
      </c>
      <c r="Y1060" s="99"/>
      <c r="Z1060" s="99"/>
      <c r="AA1060" s="100" t="s">
        <v>3430</v>
      </c>
      <c r="AB1060" s="100" t="s">
        <v>528</v>
      </c>
      <c r="AC1060" s="101">
        <v>1</v>
      </c>
      <c r="AD1060" s="101"/>
      <c r="AE1060" s="101"/>
      <c r="AF1060" s="101"/>
      <c r="AG1060" s="101"/>
      <c r="AH1060" s="99"/>
      <c r="AI1060" s="105"/>
    </row>
    <row r="1061" spans="1:35">
      <c r="A1061" s="98"/>
      <c r="B1061" s="99"/>
      <c r="C1061" s="263" t="s">
        <v>3230</v>
      </c>
      <c r="D1061" s="264" t="s">
        <v>79</v>
      </c>
      <c r="E1061" s="264" t="s">
        <v>80</v>
      </c>
      <c r="F1061" s="100" t="s">
        <v>3394</v>
      </c>
      <c r="G1061" s="100" t="s">
        <v>3334</v>
      </c>
      <c r="H1061" s="100" t="s">
        <v>1957</v>
      </c>
      <c r="I1061" s="247"/>
      <c r="J1061" s="101">
        <v>1</v>
      </c>
      <c r="K1061" s="101"/>
      <c r="L1061" s="101">
        <v>1</v>
      </c>
      <c r="M1061" s="101"/>
      <c r="N1061" s="101"/>
      <c r="O1061" s="101"/>
      <c r="P1061" s="101"/>
      <c r="Q1061" s="101"/>
      <c r="R1061" s="101"/>
      <c r="S1061" s="101"/>
      <c r="T1061" s="101"/>
      <c r="U1061" s="100" t="s">
        <v>3408</v>
      </c>
      <c r="V1061" s="100" t="s">
        <v>218</v>
      </c>
      <c r="W1061" s="100" t="s">
        <v>279</v>
      </c>
      <c r="X1061" s="100" t="s">
        <v>227</v>
      </c>
      <c r="Y1061" s="99"/>
      <c r="Z1061" s="99"/>
      <c r="AA1061" s="100" t="s">
        <v>3430</v>
      </c>
      <c r="AB1061" s="100" t="s">
        <v>528</v>
      </c>
      <c r="AC1061" s="101">
        <v>1</v>
      </c>
      <c r="AD1061" s="101"/>
      <c r="AE1061" s="101"/>
      <c r="AF1061" s="101"/>
      <c r="AG1061" s="101"/>
      <c r="AH1061" s="99"/>
      <c r="AI1061" s="105"/>
    </row>
    <row r="1062" spans="1:35">
      <c r="A1062" s="98"/>
      <c r="B1062" s="99"/>
      <c r="C1062" s="263" t="s">
        <v>3230</v>
      </c>
      <c r="D1062" s="264" t="s">
        <v>79</v>
      </c>
      <c r="E1062" s="264" t="s">
        <v>80</v>
      </c>
      <c r="F1062" s="100" t="s">
        <v>3174</v>
      </c>
      <c r="G1062" s="100" t="s">
        <v>3395</v>
      </c>
      <c r="H1062" s="100" t="s">
        <v>830</v>
      </c>
      <c r="I1062" s="247">
        <v>29396</v>
      </c>
      <c r="J1062" s="101">
        <v>1</v>
      </c>
      <c r="K1062" s="101"/>
      <c r="L1062" s="101">
        <v>1</v>
      </c>
      <c r="M1062" s="101"/>
      <c r="N1062" s="101"/>
      <c r="O1062" s="101"/>
      <c r="P1062" s="101"/>
      <c r="Q1062" s="101"/>
      <c r="R1062" s="101"/>
      <c r="S1062" s="101"/>
      <c r="T1062" s="101"/>
      <c r="U1062" s="100" t="s">
        <v>3408</v>
      </c>
      <c r="V1062" s="100" t="s">
        <v>218</v>
      </c>
      <c r="W1062" s="53" t="s">
        <v>279</v>
      </c>
      <c r="X1062" s="100" t="s">
        <v>227</v>
      </c>
      <c r="Y1062" s="99"/>
      <c r="Z1062" s="99"/>
      <c r="AA1062" s="100" t="s">
        <v>3430</v>
      </c>
      <c r="AB1062" s="100" t="s">
        <v>528</v>
      </c>
      <c r="AC1062" s="101">
        <v>1</v>
      </c>
      <c r="AD1062" s="101"/>
      <c r="AE1062" s="101"/>
      <c r="AF1062" s="101"/>
      <c r="AG1062" s="101"/>
      <c r="AH1062" s="99"/>
      <c r="AI1062" s="105"/>
    </row>
    <row r="1063" spans="1:35">
      <c r="A1063" s="98"/>
      <c r="B1063" s="99"/>
      <c r="C1063" s="263" t="s">
        <v>3230</v>
      </c>
      <c r="D1063" s="264" t="s">
        <v>79</v>
      </c>
      <c r="E1063" s="264" t="s">
        <v>80</v>
      </c>
      <c r="F1063" s="100" t="s">
        <v>3396</v>
      </c>
      <c r="G1063" s="100" t="s">
        <v>187</v>
      </c>
      <c r="H1063" s="100" t="s">
        <v>160</v>
      </c>
      <c r="I1063" s="251" t="s">
        <v>3407</v>
      </c>
      <c r="J1063" s="101">
        <v>1</v>
      </c>
      <c r="K1063" s="101"/>
      <c r="L1063" s="101">
        <v>1</v>
      </c>
      <c r="M1063" s="101"/>
      <c r="N1063" s="101"/>
      <c r="O1063" s="101"/>
      <c r="P1063" s="101"/>
      <c r="Q1063" s="101"/>
      <c r="R1063" s="101"/>
      <c r="S1063" s="101"/>
      <c r="T1063" s="101"/>
      <c r="U1063" s="100" t="s">
        <v>3408</v>
      </c>
      <c r="V1063" s="100" t="s">
        <v>218</v>
      </c>
      <c r="W1063" s="100" t="s">
        <v>279</v>
      </c>
      <c r="X1063" s="100" t="s">
        <v>227</v>
      </c>
      <c r="Y1063" s="99"/>
      <c r="Z1063" s="99"/>
      <c r="AA1063" s="100" t="s">
        <v>3430</v>
      </c>
      <c r="AB1063" s="100" t="s">
        <v>528</v>
      </c>
      <c r="AC1063" s="101">
        <v>1</v>
      </c>
      <c r="AD1063" s="101"/>
      <c r="AE1063" s="101"/>
      <c r="AF1063" s="101"/>
      <c r="AG1063" s="101"/>
      <c r="AH1063" s="99"/>
      <c r="AI1063" s="105"/>
    </row>
    <row r="1064" spans="1:35">
      <c r="A1064" s="98"/>
      <c r="B1064" s="99"/>
      <c r="C1064" s="263" t="s">
        <v>3230</v>
      </c>
      <c r="D1064" s="264" t="s">
        <v>79</v>
      </c>
      <c r="E1064" s="264" t="s">
        <v>80</v>
      </c>
      <c r="F1064" s="100" t="s">
        <v>337</v>
      </c>
      <c r="G1064" s="100" t="s">
        <v>3397</v>
      </c>
      <c r="H1064" s="100" t="s">
        <v>283</v>
      </c>
      <c r="I1064" s="247">
        <v>23502</v>
      </c>
      <c r="J1064" s="101">
        <v>1</v>
      </c>
      <c r="K1064" s="101"/>
      <c r="L1064" s="101">
        <v>1</v>
      </c>
      <c r="M1064" s="101"/>
      <c r="N1064" s="101"/>
      <c r="O1064" s="101"/>
      <c r="P1064" s="101"/>
      <c r="Q1064" s="101"/>
      <c r="R1064" s="101"/>
      <c r="S1064" s="101"/>
      <c r="T1064" s="101"/>
      <c r="U1064" s="100" t="s">
        <v>3408</v>
      </c>
      <c r="V1064" s="100" t="s">
        <v>218</v>
      </c>
      <c r="W1064" s="53" t="s">
        <v>279</v>
      </c>
      <c r="X1064" s="100" t="s">
        <v>227</v>
      </c>
      <c r="Y1064" s="99"/>
      <c r="Z1064" s="99"/>
      <c r="AA1064" s="100" t="s">
        <v>3430</v>
      </c>
      <c r="AB1064" s="100" t="s">
        <v>528</v>
      </c>
      <c r="AC1064" s="101">
        <v>1</v>
      </c>
      <c r="AD1064" s="101"/>
      <c r="AE1064" s="101"/>
      <c r="AF1064" s="101"/>
      <c r="AG1064" s="101"/>
      <c r="AH1064" s="99"/>
      <c r="AI1064" s="105"/>
    </row>
    <row r="1065" spans="1:35">
      <c r="A1065" s="98"/>
      <c r="B1065" s="99"/>
      <c r="C1065" s="263" t="s">
        <v>3230</v>
      </c>
      <c r="D1065" s="264" t="s">
        <v>79</v>
      </c>
      <c r="E1065" s="264" t="s">
        <v>80</v>
      </c>
      <c r="F1065" s="100" t="s">
        <v>3398</v>
      </c>
      <c r="G1065" s="100" t="s">
        <v>3399</v>
      </c>
      <c r="H1065" s="100" t="s">
        <v>286</v>
      </c>
      <c r="I1065" s="247">
        <v>20432</v>
      </c>
      <c r="J1065" s="101">
        <v>1</v>
      </c>
      <c r="K1065" s="101"/>
      <c r="L1065" s="101">
        <v>1</v>
      </c>
      <c r="M1065" s="101"/>
      <c r="N1065" s="101"/>
      <c r="O1065" s="101"/>
      <c r="P1065" s="101"/>
      <c r="Q1065" s="101"/>
      <c r="R1065" s="101"/>
      <c r="S1065" s="101"/>
      <c r="T1065" s="101"/>
      <c r="U1065" s="100" t="s">
        <v>3408</v>
      </c>
      <c r="V1065" s="100" t="s">
        <v>218</v>
      </c>
      <c r="W1065" s="100" t="s">
        <v>279</v>
      </c>
      <c r="X1065" s="100" t="s">
        <v>227</v>
      </c>
      <c r="Y1065" s="99"/>
      <c r="Z1065" s="99"/>
      <c r="AA1065" s="100" t="s">
        <v>3430</v>
      </c>
      <c r="AB1065" s="100" t="s">
        <v>528</v>
      </c>
      <c r="AC1065" s="101">
        <v>1</v>
      </c>
      <c r="AD1065" s="101"/>
      <c r="AE1065" s="101"/>
      <c r="AF1065" s="101"/>
      <c r="AG1065" s="101"/>
      <c r="AH1065" s="99"/>
      <c r="AI1065" s="105"/>
    </row>
    <row r="1066" spans="1:35">
      <c r="A1066" s="98"/>
      <c r="B1066" s="99"/>
      <c r="C1066" s="263" t="s">
        <v>3230</v>
      </c>
      <c r="D1066" s="264" t="s">
        <v>79</v>
      </c>
      <c r="E1066" s="264" t="s">
        <v>80</v>
      </c>
      <c r="F1066" s="100" t="s">
        <v>3400</v>
      </c>
      <c r="G1066" s="100" t="s">
        <v>1004</v>
      </c>
      <c r="H1066" s="100" t="s">
        <v>830</v>
      </c>
      <c r="I1066" s="247">
        <v>27658</v>
      </c>
      <c r="J1066" s="101">
        <v>1</v>
      </c>
      <c r="K1066" s="101"/>
      <c r="L1066" s="101">
        <v>1</v>
      </c>
      <c r="M1066" s="101"/>
      <c r="N1066" s="101"/>
      <c r="O1066" s="101"/>
      <c r="P1066" s="101"/>
      <c r="Q1066" s="101"/>
      <c r="R1066" s="101"/>
      <c r="S1066" s="101"/>
      <c r="T1066" s="101"/>
      <c r="U1066" s="100" t="s">
        <v>3408</v>
      </c>
      <c r="V1066" s="100" t="s">
        <v>218</v>
      </c>
      <c r="W1066" s="53" t="s">
        <v>279</v>
      </c>
      <c r="X1066" s="100" t="s">
        <v>227</v>
      </c>
      <c r="Y1066" s="99"/>
      <c r="Z1066" s="99"/>
      <c r="AA1066" s="100" t="s">
        <v>3430</v>
      </c>
      <c r="AB1066" s="100" t="s">
        <v>528</v>
      </c>
      <c r="AC1066" s="101">
        <v>1</v>
      </c>
      <c r="AD1066" s="101"/>
      <c r="AE1066" s="101"/>
      <c r="AF1066" s="101"/>
      <c r="AG1066" s="101"/>
      <c r="AH1066" s="99"/>
      <c r="AI1066" s="105"/>
    </row>
    <row r="1067" spans="1:35">
      <c r="A1067" s="98"/>
      <c r="B1067" s="99"/>
      <c r="C1067" s="263" t="s">
        <v>3230</v>
      </c>
      <c r="D1067" s="264" t="s">
        <v>79</v>
      </c>
      <c r="E1067" s="264" t="s">
        <v>80</v>
      </c>
      <c r="F1067" s="100" t="s">
        <v>3401</v>
      </c>
      <c r="G1067" s="100" t="s">
        <v>2020</v>
      </c>
      <c r="H1067" s="100" t="s">
        <v>144</v>
      </c>
      <c r="I1067" s="247">
        <v>21564</v>
      </c>
      <c r="J1067" s="101">
        <v>1</v>
      </c>
      <c r="K1067" s="101"/>
      <c r="L1067" s="101">
        <v>1</v>
      </c>
      <c r="M1067" s="101"/>
      <c r="N1067" s="101"/>
      <c r="O1067" s="101"/>
      <c r="P1067" s="101"/>
      <c r="Q1067" s="101"/>
      <c r="R1067" s="101"/>
      <c r="S1067" s="101"/>
      <c r="T1067" s="101"/>
      <c r="U1067" s="100" t="s">
        <v>3408</v>
      </c>
      <c r="V1067" s="100" t="s">
        <v>218</v>
      </c>
      <c r="W1067" s="100" t="s">
        <v>279</v>
      </c>
      <c r="X1067" s="100" t="s">
        <v>227</v>
      </c>
      <c r="Y1067" s="99"/>
      <c r="Z1067" s="99"/>
      <c r="AA1067" s="100" t="s">
        <v>3430</v>
      </c>
      <c r="AB1067" s="100" t="s">
        <v>528</v>
      </c>
      <c r="AC1067" s="101">
        <v>1</v>
      </c>
      <c r="AD1067" s="101"/>
      <c r="AE1067" s="101"/>
      <c r="AF1067" s="101"/>
      <c r="AG1067" s="101"/>
      <c r="AH1067" s="99"/>
      <c r="AI1067" s="105"/>
    </row>
    <row r="1068" spans="1:35">
      <c r="A1068" s="98"/>
      <c r="B1068" s="99"/>
      <c r="C1068" s="263" t="s">
        <v>3230</v>
      </c>
      <c r="D1068" s="264" t="s">
        <v>79</v>
      </c>
      <c r="E1068" s="264" t="s">
        <v>80</v>
      </c>
      <c r="F1068" s="100" t="s">
        <v>1228</v>
      </c>
      <c r="G1068" s="100" t="s">
        <v>2085</v>
      </c>
      <c r="H1068" s="100" t="s">
        <v>136</v>
      </c>
      <c r="I1068" s="247">
        <v>27665</v>
      </c>
      <c r="J1068" s="101">
        <v>1</v>
      </c>
      <c r="K1068" s="101"/>
      <c r="L1068" s="101">
        <v>1</v>
      </c>
      <c r="M1068" s="101"/>
      <c r="N1068" s="101"/>
      <c r="O1068" s="101"/>
      <c r="P1068" s="101"/>
      <c r="Q1068" s="101"/>
      <c r="R1068" s="101"/>
      <c r="S1068" s="101"/>
      <c r="T1068" s="101"/>
      <c r="U1068" s="100" t="s">
        <v>3408</v>
      </c>
      <c r="V1068" s="100" t="s">
        <v>218</v>
      </c>
      <c r="W1068" s="53" t="s">
        <v>279</v>
      </c>
      <c r="X1068" s="100" t="s">
        <v>227</v>
      </c>
      <c r="Y1068" s="99"/>
      <c r="Z1068" s="99"/>
      <c r="AA1068" s="100" t="s">
        <v>3430</v>
      </c>
      <c r="AB1068" s="100" t="s">
        <v>528</v>
      </c>
      <c r="AC1068" s="101">
        <v>1</v>
      </c>
      <c r="AD1068" s="101"/>
      <c r="AE1068" s="101"/>
      <c r="AF1068" s="101"/>
      <c r="AG1068" s="101"/>
      <c r="AH1068" s="99"/>
      <c r="AI1068" s="105"/>
    </row>
    <row r="1069" spans="1:35">
      <c r="A1069" s="98"/>
      <c r="B1069" s="99"/>
      <c r="C1069" s="263" t="s">
        <v>3230</v>
      </c>
      <c r="D1069" s="264" t="s">
        <v>79</v>
      </c>
      <c r="E1069" s="264" t="s">
        <v>80</v>
      </c>
      <c r="F1069" s="100" t="s">
        <v>337</v>
      </c>
      <c r="G1069" s="100" t="s">
        <v>3402</v>
      </c>
      <c r="H1069" s="100" t="s">
        <v>160</v>
      </c>
      <c r="I1069" s="247">
        <v>32706</v>
      </c>
      <c r="J1069" s="101">
        <v>1</v>
      </c>
      <c r="K1069" s="101"/>
      <c r="L1069" s="101">
        <v>1</v>
      </c>
      <c r="M1069" s="101"/>
      <c r="N1069" s="101"/>
      <c r="O1069" s="101"/>
      <c r="P1069" s="101"/>
      <c r="Q1069" s="101"/>
      <c r="R1069" s="101"/>
      <c r="S1069" s="101"/>
      <c r="T1069" s="101"/>
      <c r="U1069" s="100" t="s">
        <v>3408</v>
      </c>
      <c r="V1069" s="100" t="s">
        <v>218</v>
      </c>
      <c r="W1069" s="100" t="s">
        <v>279</v>
      </c>
      <c r="X1069" s="100" t="s">
        <v>227</v>
      </c>
      <c r="Y1069" s="99"/>
      <c r="Z1069" s="99"/>
      <c r="AA1069" s="100" t="s">
        <v>3430</v>
      </c>
      <c r="AB1069" s="100" t="s">
        <v>528</v>
      </c>
      <c r="AC1069" s="101">
        <v>1</v>
      </c>
      <c r="AD1069" s="101"/>
      <c r="AE1069" s="101"/>
      <c r="AF1069" s="101"/>
      <c r="AG1069" s="101"/>
      <c r="AH1069" s="99"/>
      <c r="AI1069" s="105"/>
    </row>
    <row r="1070" spans="1:35">
      <c r="A1070" s="98"/>
      <c r="B1070" s="99"/>
      <c r="C1070" s="263" t="s">
        <v>3230</v>
      </c>
      <c r="D1070" s="264" t="s">
        <v>79</v>
      </c>
      <c r="E1070" s="264" t="s">
        <v>80</v>
      </c>
      <c r="F1070" s="100" t="s">
        <v>441</v>
      </c>
      <c r="G1070" s="100" t="s">
        <v>2029</v>
      </c>
      <c r="H1070" s="100" t="s">
        <v>115</v>
      </c>
      <c r="I1070" s="247">
        <v>27865</v>
      </c>
      <c r="J1070" s="101">
        <v>1</v>
      </c>
      <c r="K1070" s="101"/>
      <c r="L1070" s="101">
        <v>1</v>
      </c>
      <c r="M1070" s="101"/>
      <c r="N1070" s="101"/>
      <c r="O1070" s="101"/>
      <c r="P1070" s="101"/>
      <c r="Q1070" s="101"/>
      <c r="R1070" s="101"/>
      <c r="S1070" s="101"/>
      <c r="T1070" s="101"/>
      <c r="U1070" s="100" t="s">
        <v>3408</v>
      </c>
      <c r="V1070" s="100" t="s">
        <v>218</v>
      </c>
      <c r="W1070" s="53" t="s">
        <v>279</v>
      </c>
      <c r="X1070" s="100" t="s">
        <v>227</v>
      </c>
      <c r="Y1070" s="99"/>
      <c r="Z1070" s="99"/>
      <c r="AA1070" s="100" t="s">
        <v>3430</v>
      </c>
      <c r="AB1070" s="100" t="s">
        <v>528</v>
      </c>
      <c r="AC1070" s="101">
        <v>1</v>
      </c>
      <c r="AD1070" s="101"/>
      <c r="AE1070" s="101"/>
      <c r="AF1070" s="101"/>
      <c r="AG1070" s="101"/>
      <c r="AH1070" s="99"/>
      <c r="AI1070" s="105"/>
    </row>
    <row r="1071" spans="1:35">
      <c r="A1071" s="98"/>
      <c r="B1071" s="99"/>
      <c r="C1071" s="263" t="s">
        <v>3230</v>
      </c>
      <c r="D1071" s="264" t="s">
        <v>79</v>
      </c>
      <c r="E1071" s="264" t="s">
        <v>80</v>
      </c>
      <c r="F1071" s="100" t="s">
        <v>3403</v>
      </c>
      <c r="G1071" s="100" t="s">
        <v>3404</v>
      </c>
      <c r="H1071" s="99"/>
      <c r="I1071" s="247">
        <v>29947</v>
      </c>
      <c r="J1071" s="101">
        <v>1</v>
      </c>
      <c r="K1071" s="101"/>
      <c r="L1071" s="101">
        <v>1</v>
      </c>
      <c r="M1071" s="101"/>
      <c r="N1071" s="101"/>
      <c r="O1071" s="101"/>
      <c r="P1071" s="101"/>
      <c r="Q1071" s="101"/>
      <c r="R1071" s="101"/>
      <c r="S1071" s="101"/>
      <c r="T1071" s="101"/>
      <c r="U1071" s="100" t="s">
        <v>3408</v>
      </c>
      <c r="V1071" s="100" t="s">
        <v>218</v>
      </c>
      <c r="W1071" s="100" t="s">
        <v>279</v>
      </c>
      <c r="X1071" s="100" t="s">
        <v>227</v>
      </c>
      <c r="Y1071" s="99"/>
      <c r="Z1071" s="99"/>
      <c r="AA1071" s="100" t="s">
        <v>3430</v>
      </c>
      <c r="AB1071" s="100" t="s">
        <v>528</v>
      </c>
      <c r="AC1071" s="101">
        <v>1</v>
      </c>
      <c r="AD1071" s="101"/>
      <c r="AE1071" s="101"/>
      <c r="AF1071" s="101"/>
      <c r="AG1071" s="101"/>
      <c r="AH1071" s="99"/>
      <c r="AI1071" s="105"/>
    </row>
    <row r="1072" spans="1:35">
      <c r="A1072" s="98"/>
      <c r="B1072" s="99"/>
      <c r="C1072" s="263" t="s">
        <v>3230</v>
      </c>
      <c r="D1072" s="264" t="s">
        <v>79</v>
      </c>
      <c r="E1072" s="264" t="s">
        <v>80</v>
      </c>
      <c r="F1072" s="100" t="s">
        <v>3400</v>
      </c>
      <c r="G1072" s="100" t="s">
        <v>3405</v>
      </c>
      <c r="H1072" s="99"/>
      <c r="I1072" s="247">
        <v>33156</v>
      </c>
      <c r="J1072" s="101">
        <v>1</v>
      </c>
      <c r="K1072" s="101"/>
      <c r="L1072" s="101">
        <v>1</v>
      </c>
      <c r="M1072" s="101"/>
      <c r="N1072" s="101"/>
      <c r="O1072" s="101"/>
      <c r="P1072" s="101"/>
      <c r="Q1072" s="101"/>
      <c r="R1072" s="101"/>
      <c r="S1072" s="101"/>
      <c r="T1072" s="101"/>
      <c r="U1072" s="100" t="s">
        <v>3408</v>
      </c>
      <c r="V1072" s="100" t="s">
        <v>218</v>
      </c>
      <c r="W1072" s="53" t="s">
        <v>279</v>
      </c>
      <c r="X1072" s="100" t="s">
        <v>227</v>
      </c>
      <c r="Y1072" s="99"/>
      <c r="Z1072" s="99"/>
      <c r="AA1072" s="100" t="s">
        <v>3430</v>
      </c>
      <c r="AB1072" s="100" t="s">
        <v>528</v>
      </c>
      <c r="AC1072" s="101">
        <v>1</v>
      </c>
      <c r="AD1072" s="101"/>
      <c r="AE1072" s="101"/>
      <c r="AF1072" s="101"/>
      <c r="AG1072" s="101"/>
      <c r="AH1072" s="99"/>
      <c r="AI1072" s="105"/>
    </row>
    <row r="1073" spans="1:35">
      <c r="A1073" s="98"/>
      <c r="B1073" s="99"/>
      <c r="C1073" s="263" t="s">
        <v>3230</v>
      </c>
      <c r="D1073" s="264" t="s">
        <v>79</v>
      </c>
      <c r="E1073" s="264" t="s">
        <v>80</v>
      </c>
      <c r="F1073" s="100" t="s">
        <v>178</v>
      </c>
      <c r="G1073" s="100" t="s">
        <v>3406</v>
      </c>
      <c r="H1073" s="100" t="s">
        <v>160</v>
      </c>
      <c r="I1073" s="247">
        <v>22948</v>
      </c>
      <c r="J1073" s="101">
        <v>1</v>
      </c>
      <c r="K1073" s="101"/>
      <c r="L1073" s="101">
        <v>1</v>
      </c>
      <c r="M1073" s="101"/>
      <c r="N1073" s="101"/>
      <c r="O1073" s="101"/>
      <c r="P1073" s="101"/>
      <c r="Q1073" s="101"/>
      <c r="R1073" s="101"/>
      <c r="S1073" s="101"/>
      <c r="T1073" s="101"/>
      <c r="U1073" s="100" t="s">
        <v>3408</v>
      </c>
      <c r="V1073" s="100" t="s">
        <v>218</v>
      </c>
      <c r="W1073" s="100" t="s">
        <v>279</v>
      </c>
      <c r="X1073" s="100" t="s">
        <v>227</v>
      </c>
      <c r="Y1073" s="99"/>
      <c r="Z1073" s="99"/>
      <c r="AA1073" s="100" t="s">
        <v>3430</v>
      </c>
      <c r="AB1073" s="100" t="s">
        <v>528</v>
      </c>
      <c r="AC1073" s="101">
        <v>1</v>
      </c>
      <c r="AD1073" s="101"/>
      <c r="AE1073" s="101"/>
      <c r="AF1073" s="101"/>
      <c r="AG1073" s="101"/>
      <c r="AH1073" s="99"/>
      <c r="AI1073" s="105"/>
    </row>
    <row r="1074" spans="1:35">
      <c r="A1074" s="98"/>
      <c r="B1074" s="99"/>
      <c r="C1074" s="263" t="s">
        <v>3230</v>
      </c>
      <c r="D1074" s="264" t="s">
        <v>79</v>
      </c>
      <c r="E1074" s="264" t="s">
        <v>80</v>
      </c>
      <c r="F1074" s="100" t="s">
        <v>908</v>
      </c>
      <c r="G1074" s="100" t="s">
        <v>713</v>
      </c>
      <c r="H1074" s="100" t="s">
        <v>202</v>
      </c>
      <c r="I1074" s="247">
        <v>26360</v>
      </c>
      <c r="J1074" s="101">
        <v>1</v>
      </c>
      <c r="K1074" s="101"/>
      <c r="L1074" s="101">
        <v>1</v>
      </c>
      <c r="M1074" s="101"/>
      <c r="N1074" s="101"/>
      <c r="O1074" s="101"/>
      <c r="P1074" s="101"/>
      <c r="Q1074" s="101"/>
      <c r="R1074" s="101"/>
      <c r="S1074" s="101"/>
      <c r="T1074" s="101"/>
      <c r="U1074" s="100" t="s">
        <v>294</v>
      </c>
      <c r="V1074" s="100" t="s">
        <v>293</v>
      </c>
      <c r="W1074" s="100" t="s">
        <v>298</v>
      </c>
      <c r="X1074" s="100" t="s">
        <v>227</v>
      </c>
      <c r="Y1074" s="99"/>
      <c r="Z1074" s="99"/>
      <c r="AA1074" s="100" t="s">
        <v>3430</v>
      </c>
      <c r="AB1074" s="100" t="s">
        <v>528</v>
      </c>
      <c r="AC1074" s="101">
        <v>1</v>
      </c>
      <c r="AD1074" s="101"/>
      <c r="AE1074" s="101"/>
      <c r="AF1074" s="101"/>
      <c r="AG1074" s="101"/>
      <c r="AH1074" s="99"/>
      <c r="AI1074" s="105"/>
    </row>
    <row r="1075" spans="1:35">
      <c r="A1075" s="98"/>
      <c r="B1075" s="99"/>
      <c r="C1075" s="263" t="s">
        <v>3230</v>
      </c>
      <c r="D1075" s="264" t="s">
        <v>79</v>
      </c>
      <c r="E1075" s="264" t="s">
        <v>80</v>
      </c>
      <c r="F1075" s="100" t="s">
        <v>3409</v>
      </c>
      <c r="G1075" s="100" t="s">
        <v>3410</v>
      </c>
      <c r="H1075" s="100" t="s">
        <v>421</v>
      </c>
      <c r="I1075" s="247">
        <v>26652</v>
      </c>
      <c r="J1075" s="101">
        <v>1</v>
      </c>
      <c r="K1075" s="101"/>
      <c r="L1075" s="101">
        <v>1</v>
      </c>
      <c r="M1075" s="101"/>
      <c r="N1075" s="101"/>
      <c r="O1075" s="101"/>
      <c r="P1075" s="101"/>
      <c r="Q1075" s="101"/>
      <c r="R1075" s="101"/>
      <c r="S1075" s="101"/>
      <c r="T1075" s="101"/>
      <c r="U1075" s="100" t="s">
        <v>294</v>
      </c>
      <c r="V1075" s="100" t="s">
        <v>293</v>
      </c>
      <c r="W1075" s="100" t="s">
        <v>298</v>
      </c>
      <c r="X1075" s="100" t="s">
        <v>227</v>
      </c>
      <c r="Y1075" s="99"/>
      <c r="Z1075" s="99"/>
      <c r="AA1075" s="100" t="s">
        <v>3430</v>
      </c>
      <c r="AB1075" s="100" t="s">
        <v>528</v>
      </c>
      <c r="AC1075" s="101">
        <v>1</v>
      </c>
      <c r="AD1075" s="101"/>
      <c r="AE1075" s="101"/>
      <c r="AF1075" s="101"/>
      <c r="AG1075" s="101"/>
      <c r="AH1075" s="99"/>
      <c r="AI1075" s="105"/>
    </row>
    <row r="1076" spans="1:35">
      <c r="A1076" s="98"/>
      <c r="B1076" s="99"/>
      <c r="C1076" s="263" t="s">
        <v>3230</v>
      </c>
      <c r="D1076" s="264" t="s">
        <v>79</v>
      </c>
      <c r="E1076" s="264" t="s">
        <v>80</v>
      </c>
      <c r="F1076" s="100" t="s">
        <v>3418</v>
      </c>
      <c r="G1076" s="100" t="s">
        <v>3425</v>
      </c>
      <c r="H1076" s="100" t="s">
        <v>126</v>
      </c>
      <c r="I1076" s="251">
        <v>31322</v>
      </c>
      <c r="J1076" s="101">
        <v>1</v>
      </c>
      <c r="K1076" s="101"/>
      <c r="L1076" s="101">
        <v>1</v>
      </c>
      <c r="M1076" s="101"/>
      <c r="N1076" s="101"/>
      <c r="O1076" s="101"/>
      <c r="P1076" s="101"/>
      <c r="Q1076" s="101"/>
      <c r="R1076" s="101"/>
      <c r="S1076" s="101"/>
      <c r="T1076" s="101"/>
      <c r="U1076" s="100" t="s">
        <v>294</v>
      </c>
      <c r="V1076" s="100" t="s">
        <v>293</v>
      </c>
      <c r="W1076" s="100" t="s">
        <v>298</v>
      </c>
      <c r="X1076" s="100" t="s">
        <v>227</v>
      </c>
      <c r="Y1076" s="99"/>
      <c r="Z1076" s="99"/>
      <c r="AA1076" s="100" t="s">
        <v>3430</v>
      </c>
      <c r="AB1076" s="100" t="s">
        <v>528</v>
      </c>
      <c r="AC1076" s="101">
        <v>1</v>
      </c>
      <c r="AD1076" s="101"/>
      <c r="AE1076" s="101"/>
      <c r="AF1076" s="101"/>
      <c r="AG1076" s="101"/>
      <c r="AH1076" s="99"/>
      <c r="AI1076" s="105"/>
    </row>
    <row r="1077" spans="1:35">
      <c r="A1077" s="98"/>
      <c r="B1077" s="99"/>
      <c r="C1077" s="263" t="s">
        <v>3230</v>
      </c>
      <c r="D1077" s="264" t="s">
        <v>79</v>
      </c>
      <c r="E1077" s="264" t="s">
        <v>80</v>
      </c>
      <c r="F1077" s="100" t="s">
        <v>3411</v>
      </c>
      <c r="G1077" s="100" t="s">
        <v>3412</v>
      </c>
      <c r="H1077" s="100" t="s">
        <v>160</v>
      </c>
      <c r="I1077" s="247">
        <v>24497</v>
      </c>
      <c r="J1077" s="101">
        <v>1</v>
      </c>
      <c r="K1077" s="101"/>
      <c r="L1077" s="101">
        <v>1</v>
      </c>
      <c r="M1077" s="101"/>
      <c r="N1077" s="101"/>
      <c r="O1077" s="101"/>
      <c r="P1077" s="101"/>
      <c r="Q1077" s="101"/>
      <c r="R1077" s="101"/>
      <c r="S1077" s="101"/>
      <c r="T1077" s="101"/>
      <c r="U1077" s="100" t="s">
        <v>294</v>
      </c>
      <c r="V1077" s="100" t="s">
        <v>293</v>
      </c>
      <c r="W1077" s="100" t="s">
        <v>298</v>
      </c>
      <c r="X1077" s="100" t="s">
        <v>227</v>
      </c>
      <c r="Y1077" s="99"/>
      <c r="Z1077" s="99"/>
      <c r="AA1077" s="100" t="s">
        <v>3430</v>
      </c>
      <c r="AB1077" s="100" t="s">
        <v>528</v>
      </c>
      <c r="AC1077" s="101">
        <v>1</v>
      </c>
      <c r="AD1077" s="101"/>
      <c r="AE1077" s="101"/>
      <c r="AF1077" s="101"/>
      <c r="AG1077" s="101"/>
      <c r="AH1077" s="99"/>
      <c r="AI1077" s="105"/>
    </row>
    <row r="1078" spans="1:35">
      <c r="A1078" s="98"/>
      <c r="B1078" s="99"/>
      <c r="C1078" s="263" t="s">
        <v>3230</v>
      </c>
      <c r="D1078" s="264" t="s">
        <v>79</v>
      </c>
      <c r="E1078" s="264" t="s">
        <v>80</v>
      </c>
      <c r="F1078" s="100" t="s">
        <v>3413</v>
      </c>
      <c r="G1078" s="100" t="s">
        <v>2056</v>
      </c>
      <c r="H1078" s="100" t="s">
        <v>2303</v>
      </c>
      <c r="I1078" s="247">
        <v>32981</v>
      </c>
      <c r="J1078" s="101">
        <v>1</v>
      </c>
      <c r="K1078" s="101"/>
      <c r="L1078" s="101">
        <v>1</v>
      </c>
      <c r="M1078" s="101"/>
      <c r="N1078" s="101"/>
      <c r="O1078" s="101"/>
      <c r="P1078" s="101"/>
      <c r="Q1078" s="101"/>
      <c r="R1078" s="101"/>
      <c r="S1078" s="101"/>
      <c r="T1078" s="101"/>
      <c r="U1078" s="100" t="s">
        <v>294</v>
      </c>
      <c r="V1078" s="100" t="s">
        <v>293</v>
      </c>
      <c r="W1078" s="100" t="s">
        <v>298</v>
      </c>
      <c r="X1078" s="100" t="s">
        <v>227</v>
      </c>
      <c r="Y1078" s="99"/>
      <c r="Z1078" s="99"/>
      <c r="AA1078" s="100" t="s">
        <v>3430</v>
      </c>
      <c r="AB1078" s="100" t="s">
        <v>528</v>
      </c>
      <c r="AC1078" s="101">
        <v>1</v>
      </c>
      <c r="AD1078" s="101"/>
      <c r="AE1078" s="101"/>
      <c r="AF1078" s="101"/>
      <c r="AG1078" s="101"/>
      <c r="AH1078" s="99"/>
      <c r="AI1078" s="105"/>
    </row>
    <row r="1079" spans="1:35">
      <c r="A1079" s="98"/>
      <c r="B1079" s="99"/>
      <c r="C1079" s="263" t="s">
        <v>3230</v>
      </c>
      <c r="D1079" s="264" t="s">
        <v>79</v>
      </c>
      <c r="E1079" s="264" t="s">
        <v>80</v>
      </c>
      <c r="F1079" s="100" t="s">
        <v>3414</v>
      </c>
      <c r="G1079" s="100" t="s">
        <v>1334</v>
      </c>
      <c r="H1079" s="100" t="s">
        <v>120</v>
      </c>
      <c r="I1079" s="247">
        <v>24183</v>
      </c>
      <c r="J1079" s="101">
        <v>1</v>
      </c>
      <c r="K1079" s="101"/>
      <c r="L1079" s="101">
        <v>1</v>
      </c>
      <c r="M1079" s="101"/>
      <c r="N1079" s="101"/>
      <c r="O1079" s="101"/>
      <c r="P1079" s="101"/>
      <c r="Q1079" s="101"/>
      <c r="R1079" s="101"/>
      <c r="S1079" s="101"/>
      <c r="T1079" s="101"/>
      <c r="U1079" s="100" t="s">
        <v>294</v>
      </c>
      <c r="V1079" s="100" t="s">
        <v>293</v>
      </c>
      <c r="W1079" s="100" t="s">
        <v>298</v>
      </c>
      <c r="X1079" s="100" t="s">
        <v>227</v>
      </c>
      <c r="Y1079" s="99"/>
      <c r="Z1079" s="99"/>
      <c r="AA1079" s="100" t="s">
        <v>3430</v>
      </c>
      <c r="AB1079" s="100" t="s">
        <v>528</v>
      </c>
      <c r="AC1079" s="101">
        <v>1</v>
      </c>
      <c r="AD1079" s="101"/>
      <c r="AE1079" s="101"/>
      <c r="AF1079" s="101"/>
      <c r="AG1079" s="101"/>
      <c r="AH1079" s="99"/>
      <c r="AI1079" s="105"/>
    </row>
    <row r="1080" spans="1:35">
      <c r="A1080" s="98"/>
      <c r="B1080" s="99"/>
      <c r="C1080" s="263" t="s">
        <v>3230</v>
      </c>
      <c r="D1080" s="264" t="s">
        <v>79</v>
      </c>
      <c r="E1080" s="264" t="s">
        <v>80</v>
      </c>
      <c r="F1080" s="100" t="s">
        <v>3415</v>
      </c>
      <c r="G1080" s="100" t="s">
        <v>1544</v>
      </c>
      <c r="H1080" s="100" t="s">
        <v>133</v>
      </c>
      <c r="I1080" s="247">
        <v>25601</v>
      </c>
      <c r="J1080" s="101">
        <v>1</v>
      </c>
      <c r="K1080" s="101"/>
      <c r="L1080" s="101">
        <v>1</v>
      </c>
      <c r="M1080" s="101"/>
      <c r="N1080" s="101"/>
      <c r="O1080" s="101"/>
      <c r="P1080" s="101"/>
      <c r="Q1080" s="101"/>
      <c r="R1080" s="101"/>
      <c r="S1080" s="101"/>
      <c r="T1080" s="101"/>
      <c r="U1080" s="100" t="s">
        <v>294</v>
      </c>
      <c r="V1080" s="100" t="s">
        <v>293</v>
      </c>
      <c r="W1080" s="100" t="s">
        <v>298</v>
      </c>
      <c r="X1080" s="100" t="s">
        <v>227</v>
      </c>
      <c r="Y1080" s="99"/>
      <c r="Z1080" s="99"/>
      <c r="AA1080" s="100" t="s">
        <v>3430</v>
      </c>
      <c r="AB1080" s="100" t="s">
        <v>528</v>
      </c>
      <c r="AC1080" s="101">
        <v>1</v>
      </c>
      <c r="AD1080" s="101"/>
      <c r="AE1080" s="101"/>
      <c r="AF1080" s="101"/>
      <c r="AG1080" s="101"/>
      <c r="AH1080" s="99"/>
      <c r="AI1080" s="105"/>
    </row>
    <row r="1081" spans="1:35">
      <c r="A1081" s="98"/>
      <c r="B1081" s="99"/>
      <c r="C1081" s="263" t="s">
        <v>3230</v>
      </c>
      <c r="D1081" s="264" t="s">
        <v>79</v>
      </c>
      <c r="E1081" s="264" t="s">
        <v>80</v>
      </c>
      <c r="F1081" s="100" t="s">
        <v>3411</v>
      </c>
      <c r="G1081" s="100" t="s">
        <v>3385</v>
      </c>
      <c r="H1081" s="100" t="s">
        <v>115</v>
      </c>
      <c r="I1081" s="247">
        <v>32741</v>
      </c>
      <c r="J1081" s="101">
        <v>1</v>
      </c>
      <c r="K1081" s="101"/>
      <c r="L1081" s="101">
        <v>1</v>
      </c>
      <c r="M1081" s="101"/>
      <c r="N1081" s="101"/>
      <c r="O1081" s="101"/>
      <c r="P1081" s="101"/>
      <c r="Q1081" s="101"/>
      <c r="R1081" s="101"/>
      <c r="S1081" s="101"/>
      <c r="T1081" s="101"/>
      <c r="U1081" s="100" t="s">
        <v>294</v>
      </c>
      <c r="V1081" s="100" t="s">
        <v>293</v>
      </c>
      <c r="W1081" s="100" t="s">
        <v>298</v>
      </c>
      <c r="X1081" s="100" t="s">
        <v>227</v>
      </c>
      <c r="Y1081" s="99"/>
      <c r="Z1081" s="99"/>
      <c r="AA1081" s="100" t="s">
        <v>3430</v>
      </c>
      <c r="AB1081" s="100" t="s">
        <v>528</v>
      </c>
      <c r="AC1081" s="101">
        <v>1</v>
      </c>
      <c r="AD1081" s="101"/>
      <c r="AE1081" s="101"/>
      <c r="AF1081" s="101"/>
      <c r="AG1081" s="101"/>
      <c r="AH1081" s="99"/>
      <c r="AI1081" s="105"/>
    </row>
    <row r="1082" spans="1:35">
      <c r="A1082" s="98"/>
      <c r="B1082" s="99"/>
      <c r="C1082" s="263" t="s">
        <v>3230</v>
      </c>
      <c r="D1082" s="264" t="s">
        <v>79</v>
      </c>
      <c r="E1082" s="264" t="s">
        <v>80</v>
      </c>
      <c r="F1082" s="100" t="s">
        <v>3416</v>
      </c>
      <c r="G1082" s="100" t="s">
        <v>3417</v>
      </c>
      <c r="H1082" s="100" t="s">
        <v>1051</v>
      </c>
      <c r="I1082" s="247">
        <v>23615</v>
      </c>
      <c r="J1082" s="101">
        <v>1</v>
      </c>
      <c r="K1082" s="101"/>
      <c r="L1082" s="101">
        <v>1</v>
      </c>
      <c r="M1082" s="101"/>
      <c r="N1082" s="101"/>
      <c r="O1082" s="101"/>
      <c r="P1082" s="101"/>
      <c r="Q1082" s="101"/>
      <c r="R1082" s="101"/>
      <c r="S1082" s="101"/>
      <c r="T1082" s="101"/>
      <c r="U1082" s="100" t="s">
        <v>294</v>
      </c>
      <c r="V1082" s="100" t="s">
        <v>293</v>
      </c>
      <c r="W1082" s="100" t="s">
        <v>298</v>
      </c>
      <c r="X1082" s="100" t="s">
        <v>227</v>
      </c>
      <c r="Y1082" s="99"/>
      <c r="Z1082" s="99"/>
      <c r="AA1082" s="100" t="s">
        <v>3430</v>
      </c>
      <c r="AB1082" s="100" t="s">
        <v>528</v>
      </c>
      <c r="AC1082" s="101">
        <v>1</v>
      </c>
      <c r="AD1082" s="101"/>
      <c r="AE1082" s="101"/>
      <c r="AF1082" s="101"/>
      <c r="AG1082" s="101"/>
      <c r="AH1082" s="99"/>
      <c r="AI1082" s="105"/>
    </row>
    <row r="1083" spans="1:35">
      <c r="A1083" s="98"/>
      <c r="B1083" s="99"/>
      <c r="C1083" s="263" t="s">
        <v>3230</v>
      </c>
      <c r="D1083" s="264" t="s">
        <v>79</v>
      </c>
      <c r="E1083" s="264" t="s">
        <v>80</v>
      </c>
      <c r="F1083" s="100" t="s">
        <v>3418</v>
      </c>
      <c r="G1083" s="100" t="s">
        <v>3419</v>
      </c>
      <c r="H1083" s="100" t="s">
        <v>286</v>
      </c>
      <c r="I1083" s="247">
        <v>38457</v>
      </c>
      <c r="J1083" s="101">
        <v>1</v>
      </c>
      <c r="K1083" s="101"/>
      <c r="L1083" s="101">
        <v>1</v>
      </c>
      <c r="M1083" s="101"/>
      <c r="N1083" s="101"/>
      <c r="O1083" s="101"/>
      <c r="P1083" s="101"/>
      <c r="Q1083" s="101"/>
      <c r="R1083" s="101"/>
      <c r="S1083" s="101"/>
      <c r="T1083" s="101"/>
      <c r="U1083" s="100" t="s">
        <v>294</v>
      </c>
      <c r="V1083" s="100" t="s">
        <v>293</v>
      </c>
      <c r="W1083" s="100" t="s">
        <v>298</v>
      </c>
      <c r="X1083" s="100" t="s">
        <v>227</v>
      </c>
      <c r="Y1083" s="99"/>
      <c r="Z1083" s="99"/>
      <c r="AA1083" s="100" t="s">
        <v>3430</v>
      </c>
      <c r="AB1083" s="100" t="s">
        <v>528</v>
      </c>
      <c r="AC1083" s="101">
        <v>1</v>
      </c>
      <c r="AD1083" s="101"/>
      <c r="AE1083" s="101"/>
      <c r="AF1083" s="101"/>
      <c r="AG1083" s="101"/>
      <c r="AH1083" s="99"/>
      <c r="AI1083" s="105"/>
    </row>
    <row r="1084" spans="1:35">
      <c r="A1084" s="98"/>
      <c r="B1084" s="99"/>
      <c r="C1084" s="263" t="s">
        <v>3230</v>
      </c>
      <c r="D1084" s="264" t="s">
        <v>79</v>
      </c>
      <c r="E1084" s="264" t="s">
        <v>80</v>
      </c>
      <c r="F1084" s="100" t="s">
        <v>3420</v>
      </c>
      <c r="G1084" s="100" t="s">
        <v>175</v>
      </c>
      <c r="H1084" s="100" t="s">
        <v>120</v>
      </c>
      <c r="I1084" s="247">
        <v>32917</v>
      </c>
      <c r="J1084" s="101">
        <v>1</v>
      </c>
      <c r="K1084" s="101"/>
      <c r="L1084" s="101">
        <v>1</v>
      </c>
      <c r="M1084" s="101"/>
      <c r="N1084" s="101"/>
      <c r="O1084" s="101"/>
      <c r="P1084" s="101"/>
      <c r="Q1084" s="101"/>
      <c r="R1084" s="101"/>
      <c r="S1084" s="101"/>
      <c r="T1084" s="101"/>
      <c r="U1084" s="100" t="s">
        <v>294</v>
      </c>
      <c r="V1084" s="100" t="s">
        <v>293</v>
      </c>
      <c r="W1084" s="100" t="s">
        <v>298</v>
      </c>
      <c r="X1084" s="100" t="s">
        <v>227</v>
      </c>
      <c r="Y1084" s="99"/>
      <c r="Z1084" s="99"/>
      <c r="AA1084" s="100" t="s">
        <v>3430</v>
      </c>
      <c r="AB1084" s="100" t="s">
        <v>528</v>
      </c>
      <c r="AC1084" s="101">
        <v>1</v>
      </c>
      <c r="AD1084" s="101"/>
      <c r="AE1084" s="101"/>
      <c r="AF1084" s="101"/>
      <c r="AG1084" s="101"/>
      <c r="AH1084" s="99"/>
      <c r="AI1084" s="105"/>
    </row>
    <row r="1085" spans="1:35">
      <c r="A1085" s="98"/>
      <c r="B1085" s="99"/>
      <c r="C1085" s="263" t="s">
        <v>3230</v>
      </c>
      <c r="D1085" s="264" t="s">
        <v>79</v>
      </c>
      <c r="E1085" s="264" t="s">
        <v>80</v>
      </c>
      <c r="F1085" s="100" t="s">
        <v>3418</v>
      </c>
      <c r="G1085" s="100" t="s">
        <v>3421</v>
      </c>
      <c r="H1085" s="100" t="s">
        <v>588</v>
      </c>
      <c r="I1085" s="247">
        <v>29866</v>
      </c>
      <c r="J1085" s="101">
        <v>1</v>
      </c>
      <c r="K1085" s="101"/>
      <c r="L1085" s="101">
        <v>1</v>
      </c>
      <c r="M1085" s="101"/>
      <c r="N1085" s="101"/>
      <c r="O1085" s="101"/>
      <c r="P1085" s="101"/>
      <c r="Q1085" s="101"/>
      <c r="R1085" s="101"/>
      <c r="S1085" s="101"/>
      <c r="T1085" s="101"/>
      <c r="U1085" s="100" t="s">
        <v>294</v>
      </c>
      <c r="V1085" s="100" t="s">
        <v>293</v>
      </c>
      <c r="W1085" s="100" t="s">
        <v>298</v>
      </c>
      <c r="X1085" s="100" t="s">
        <v>227</v>
      </c>
      <c r="Y1085" s="99"/>
      <c r="Z1085" s="99"/>
      <c r="AA1085" s="100" t="s">
        <v>3430</v>
      </c>
      <c r="AB1085" s="100" t="s">
        <v>528</v>
      </c>
      <c r="AC1085" s="101">
        <v>1</v>
      </c>
      <c r="AD1085" s="101"/>
      <c r="AE1085" s="101"/>
      <c r="AF1085" s="101"/>
      <c r="AG1085" s="101"/>
      <c r="AH1085" s="99"/>
      <c r="AI1085" s="105"/>
    </row>
    <row r="1086" spans="1:35">
      <c r="A1086" s="98"/>
      <c r="B1086" s="99"/>
      <c r="C1086" s="263" t="s">
        <v>3230</v>
      </c>
      <c r="D1086" s="264" t="s">
        <v>79</v>
      </c>
      <c r="E1086" s="264" t="s">
        <v>80</v>
      </c>
      <c r="F1086" s="100" t="s">
        <v>3422</v>
      </c>
      <c r="G1086" s="100" t="s">
        <v>3423</v>
      </c>
      <c r="H1086" s="100" t="s">
        <v>409</v>
      </c>
      <c r="I1086" s="96">
        <v>27627</v>
      </c>
      <c r="J1086" s="101">
        <v>1</v>
      </c>
      <c r="K1086" s="101"/>
      <c r="L1086" s="101">
        <v>1</v>
      </c>
      <c r="M1086" s="101"/>
      <c r="N1086" s="101"/>
      <c r="O1086" s="101"/>
      <c r="P1086" s="101"/>
      <c r="Q1086" s="101"/>
      <c r="R1086" s="101"/>
      <c r="S1086" s="101"/>
      <c r="T1086" s="101"/>
      <c r="U1086" s="100" t="s">
        <v>294</v>
      </c>
      <c r="V1086" s="100" t="s">
        <v>293</v>
      </c>
      <c r="W1086" s="100" t="s">
        <v>298</v>
      </c>
      <c r="X1086" s="100" t="s">
        <v>227</v>
      </c>
      <c r="Y1086" s="99"/>
      <c r="Z1086" s="99"/>
      <c r="AA1086" s="100" t="s">
        <v>3430</v>
      </c>
      <c r="AB1086" s="100" t="s">
        <v>528</v>
      </c>
      <c r="AC1086" s="101">
        <v>1</v>
      </c>
      <c r="AD1086" s="101"/>
      <c r="AE1086" s="101"/>
      <c r="AF1086" s="101"/>
      <c r="AG1086" s="101"/>
      <c r="AH1086" s="99"/>
      <c r="AI1086" s="105"/>
    </row>
    <row r="1087" spans="1:35">
      <c r="A1087" s="98"/>
      <c r="B1087" s="99"/>
      <c r="C1087" s="263" t="s">
        <v>3230</v>
      </c>
      <c r="D1087" s="264" t="s">
        <v>79</v>
      </c>
      <c r="E1087" s="264" t="s">
        <v>80</v>
      </c>
      <c r="F1087" s="100" t="s">
        <v>3424</v>
      </c>
      <c r="G1087" s="100" t="s">
        <v>433</v>
      </c>
      <c r="H1087" s="100" t="s">
        <v>286</v>
      </c>
      <c r="I1087" s="247">
        <v>32356</v>
      </c>
      <c r="J1087" s="101">
        <v>1</v>
      </c>
      <c r="K1087" s="101"/>
      <c r="L1087" s="101">
        <v>1</v>
      </c>
      <c r="M1087" s="101"/>
      <c r="N1087" s="101"/>
      <c r="O1087" s="101"/>
      <c r="P1087" s="101"/>
      <c r="Q1087" s="101"/>
      <c r="R1087" s="101"/>
      <c r="S1087" s="101"/>
      <c r="T1087" s="101"/>
      <c r="U1087" s="100" t="s">
        <v>294</v>
      </c>
      <c r="V1087" s="100" t="s">
        <v>293</v>
      </c>
      <c r="W1087" s="100" t="s">
        <v>298</v>
      </c>
      <c r="X1087" s="100" t="s">
        <v>227</v>
      </c>
      <c r="Y1087" s="99"/>
      <c r="Z1087" s="99"/>
      <c r="AA1087" s="100" t="s">
        <v>3430</v>
      </c>
      <c r="AB1087" s="100" t="s">
        <v>528</v>
      </c>
      <c r="AC1087" s="101">
        <v>1</v>
      </c>
      <c r="AD1087" s="101"/>
      <c r="AE1087" s="101"/>
      <c r="AF1087" s="101"/>
      <c r="AG1087" s="101"/>
      <c r="AH1087" s="99"/>
      <c r="AI1087" s="105"/>
    </row>
    <row r="1088" spans="1:35">
      <c r="A1088" s="98"/>
      <c r="B1088" s="99"/>
      <c r="C1088" s="263" t="s">
        <v>3230</v>
      </c>
      <c r="D1088" s="264" t="s">
        <v>79</v>
      </c>
      <c r="E1088" s="264" t="s">
        <v>80</v>
      </c>
      <c r="F1088" s="100" t="s">
        <v>3424</v>
      </c>
      <c r="G1088" s="100" t="s">
        <v>1726</v>
      </c>
      <c r="H1088" s="100" t="s">
        <v>286</v>
      </c>
      <c r="I1088" s="247">
        <v>31663</v>
      </c>
      <c r="J1088" s="101">
        <v>1</v>
      </c>
      <c r="K1088" s="101"/>
      <c r="L1088" s="101">
        <v>1</v>
      </c>
      <c r="M1088" s="101"/>
      <c r="N1088" s="101"/>
      <c r="O1088" s="101"/>
      <c r="P1088" s="101"/>
      <c r="Q1088" s="101"/>
      <c r="R1088" s="101"/>
      <c r="S1088" s="101"/>
      <c r="T1088" s="101"/>
      <c r="U1088" s="100" t="s">
        <v>294</v>
      </c>
      <c r="V1088" s="100" t="s">
        <v>293</v>
      </c>
      <c r="W1088" s="100" t="s">
        <v>298</v>
      </c>
      <c r="X1088" s="100" t="s">
        <v>227</v>
      </c>
      <c r="Y1088" s="99"/>
      <c r="Z1088" s="99"/>
      <c r="AA1088" s="100" t="s">
        <v>3430</v>
      </c>
      <c r="AB1088" s="100" t="s">
        <v>528</v>
      </c>
      <c r="AC1088" s="101">
        <v>1</v>
      </c>
      <c r="AD1088" s="101"/>
      <c r="AE1088" s="101"/>
      <c r="AF1088" s="101"/>
      <c r="AG1088" s="101"/>
      <c r="AH1088" s="99"/>
      <c r="AI1088" s="105"/>
    </row>
    <row r="1089" spans="1:35">
      <c r="A1089" s="98"/>
      <c r="B1089" s="99"/>
      <c r="C1089" s="263" t="s">
        <v>3230</v>
      </c>
      <c r="D1089" s="264" t="s">
        <v>79</v>
      </c>
      <c r="E1089" s="264" t="s">
        <v>80</v>
      </c>
      <c r="F1089" s="100" t="s">
        <v>3331</v>
      </c>
      <c r="G1089" s="100" t="s">
        <v>776</v>
      </c>
      <c r="H1089" s="100" t="s">
        <v>115</v>
      </c>
      <c r="I1089" s="247">
        <v>35364</v>
      </c>
      <c r="J1089" s="101">
        <v>1</v>
      </c>
      <c r="K1089" s="101"/>
      <c r="L1089" s="101">
        <v>1</v>
      </c>
      <c r="M1089" s="101"/>
      <c r="N1089" s="101"/>
      <c r="O1089" s="101"/>
      <c r="P1089" s="101"/>
      <c r="Q1089" s="101"/>
      <c r="R1089" s="101"/>
      <c r="S1089" s="101"/>
      <c r="T1089" s="101"/>
      <c r="U1089" s="100" t="s">
        <v>294</v>
      </c>
      <c r="V1089" s="100" t="s">
        <v>293</v>
      </c>
      <c r="W1089" s="100" t="s">
        <v>298</v>
      </c>
      <c r="X1089" s="100" t="s">
        <v>227</v>
      </c>
      <c r="Y1089" s="99"/>
      <c r="Z1089" s="99"/>
      <c r="AA1089" s="100" t="s">
        <v>3430</v>
      </c>
      <c r="AB1089" s="100" t="s">
        <v>528</v>
      </c>
      <c r="AC1089" s="101">
        <v>1</v>
      </c>
      <c r="AD1089" s="101"/>
      <c r="AE1089" s="101"/>
      <c r="AF1089" s="101"/>
      <c r="AG1089" s="101"/>
      <c r="AH1089" s="99"/>
      <c r="AI1089" s="105"/>
    </row>
    <row r="1090" spans="1:35">
      <c r="A1090" s="98"/>
      <c r="B1090" s="99"/>
      <c r="C1090" s="99"/>
      <c r="D1090" s="99"/>
      <c r="E1090" s="99"/>
      <c r="F1090" s="100"/>
      <c r="G1090" s="100"/>
      <c r="H1090" s="100"/>
      <c r="I1090" s="247"/>
      <c r="J1090" s="101"/>
      <c r="K1090" s="101"/>
      <c r="L1090" s="101"/>
      <c r="M1090" s="101"/>
      <c r="N1090" s="101"/>
      <c r="O1090" s="101"/>
      <c r="P1090" s="101"/>
      <c r="Q1090" s="101"/>
      <c r="R1090" s="101"/>
      <c r="S1090" s="101"/>
      <c r="T1090" s="101"/>
      <c r="U1090" s="100"/>
      <c r="V1090" s="100"/>
      <c r="W1090" s="100"/>
      <c r="X1090" s="100"/>
      <c r="Y1090" s="99"/>
      <c r="Z1090" s="99"/>
      <c r="AA1090" s="100" t="s">
        <v>3431</v>
      </c>
      <c r="AB1090" s="100" t="s">
        <v>528</v>
      </c>
      <c r="AC1090" s="101">
        <v>1</v>
      </c>
      <c r="AD1090" s="101"/>
      <c r="AE1090" s="101"/>
      <c r="AF1090" s="101"/>
      <c r="AG1090" s="101"/>
      <c r="AH1090" s="99"/>
      <c r="AI1090" s="105"/>
    </row>
    <row r="1091" spans="1:35">
      <c r="A1091" s="98"/>
      <c r="B1091" s="99"/>
      <c r="C1091" s="263" t="s">
        <v>3230</v>
      </c>
      <c r="D1091" s="264" t="s">
        <v>79</v>
      </c>
      <c r="E1091" s="264" t="s">
        <v>80</v>
      </c>
      <c r="F1091" s="100" t="s">
        <v>3426</v>
      </c>
      <c r="G1091" s="100" t="s">
        <v>291</v>
      </c>
      <c r="H1091" s="100" t="s">
        <v>115</v>
      </c>
      <c r="I1091" s="247">
        <v>26244</v>
      </c>
      <c r="J1091" s="101">
        <v>1</v>
      </c>
      <c r="K1091" s="101"/>
      <c r="L1091" s="101">
        <v>1</v>
      </c>
      <c r="M1091" s="101"/>
      <c r="N1091" s="101"/>
      <c r="O1091" s="101"/>
      <c r="P1091" s="101"/>
      <c r="Q1091" s="101"/>
      <c r="R1091" s="101"/>
      <c r="S1091" s="101"/>
      <c r="T1091" s="101"/>
      <c r="U1091" s="100" t="s">
        <v>294</v>
      </c>
      <c r="V1091" s="100" t="s">
        <v>293</v>
      </c>
      <c r="W1091" s="100" t="s">
        <v>298</v>
      </c>
      <c r="X1091" s="100" t="s">
        <v>227</v>
      </c>
      <c r="Y1091" s="99"/>
      <c r="Z1091" s="99"/>
      <c r="AA1091" s="100" t="s">
        <v>3430</v>
      </c>
      <c r="AB1091" s="100" t="s">
        <v>528</v>
      </c>
      <c r="AC1091" s="101">
        <v>1</v>
      </c>
      <c r="AD1091" s="101"/>
      <c r="AE1091" s="101"/>
      <c r="AF1091" s="101"/>
      <c r="AG1091" s="101"/>
      <c r="AH1091" s="99"/>
      <c r="AI1091" s="105"/>
    </row>
    <row r="1092" spans="1:35">
      <c r="A1092" s="98"/>
      <c r="B1092" s="99"/>
      <c r="C1092" s="99"/>
      <c r="D1092" s="99"/>
      <c r="E1092" s="99"/>
      <c r="F1092" s="100"/>
      <c r="G1092" s="100"/>
      <c r="H1092" s="100"/>
      <c r="I1092" s="247"/>
      <c r="J1092" s="101"/>
      <c r="K1092" s="101"/>
      <c r="L1092" s="101"/>
      <c r="M1092" s="101"/>
      <c r="N1092" s="101"/>
      <c r="O1092" s="101"/>
      <c r="P1092" s="101"/>
      <c r="Q1092" s="101"/>
      <c r="R1092" s="101"/>
      <c r="S1092" s="101"/>
      <c r="T1092" s="101"/>
      <c r="U1092" s="100"/>
      <c r="V1092" s="100"/>
      <c r="W1092" s="100"/>
      <c r="X1092" s="100"/>
      <c r="Y1092" s="99"/>
      <c r="Z1092" s="99"/>
      <c r="AA1092" s="100" t="s">
        <v>3431</v>
      </c>
      <c r="AB1092" s="100" t="s">
        <v>528</v>
      </c>
      <c r="AC1092" s="101">
        <v>1</v>
      </c>
      <c r="AD1092" s="101"/>
      <c r="AE1092" s="101"/>
      <c r="AF1092" s="101"/>
      <c r="AG1092" s="101"/>
      <c r="AH1092" s="99"/>
      <c r="AI1092" s="105"/>
    </row>
    <row r="1093" spans="1:35">
      <c r="A1093" s="98"/>
      <c r="B1093" s="99"/>
      <c r="C1093" s="263" t="s">
        <v>3230</v>
      </c>
      <c r="D1093" s="264" t="s">
        <v>79</v>
      </c>
      <c r="E1093" s="264" t="s">
        <v>80</v>
      </c>
      <c r="F1093" s="100" t="s">
        <v>2053</v>
      </c>
      <c r="G1093" s="100" t="s">
        <v>1237</v>
      </c>
      <c r="H1093" s="100" t="s">
        <v>144</v>
      </c>
      <c r="I1093" s="247">
        <v>34757</v>
      </c>
      <c r="J1093" s="101">
        <v>1</v>
      </c>
      <c r="K1093" s="101"/>
      <c r="L1093" s="101">
        <v>1</v>
      </c>
      <c r="M1093" s="101"/>
      <c r="N1093" s="101"/>
      <c r="O1093" s="101"/>
      <c r="P1093" s="101"/>
      <c r="Q1093" s="101"/>
      <c r="R1093" s="101"/>
      <c r="S1093" s="101"/>
      <c r="T1093" s="101"/>
      <c r="U1093" s="100" t="s">
        <v>862</v>
      </c>
      <c r="V1093" s="100" t="s">
        <v>293</v>
      </c>
      <c r="W1093" s="100" t="s">
        <v>298</v>
      </c>
      <c r="X1093" s="100" t="s">
        <v>227</v>
      </c>
      <c r="Y1093" s="99"/>
      <c r="Z1093" s="99"/>
      <c r="AA1093" s="100" t="s">
        <v>3430</v>
      </c>
      <c r="AB1093" s="100" t="s">
        <v>528</v>
      </c>
      <c r="AC1093" s="101">
        <v>1</v>
      </c>
      <c r="AD1093" s="101"/>
      <c r="AE1093" s="101"/>
      <c r="AF1093" s="101"/>
      <c r="AG1093" s="101"/>
      <c r="AH1093" s="99"/>
      <c r="AI1093" s="105"/>
    </row>
    <row r="1094" spans="1:35">
      <c r="A1094" s="98"/>
      <c r="B1094" s="99"/>
      <c r="C1094" s="263" t="s">
        <v>3230</v>
      </c>
      <c r="D1094" s="264" t="s">
        <v>79</v>
      </c>
      <c r="E1094" s="264" t="s">
        <v>80</v>
      </c>
      <c r="F1094" s="100" t="s">
        <v>2051</v>
      </c>
      <c r="G1094" s="100" t="s">
        <v>3427</v>
      </c>
      <c r="H1094" s="100" t="s">
        <v>113</v>
      </c>
      <c r="I1094" s="96">
        <v>24146</v>
      </c>
      <c r="J1094" s="101">
        <v>1</v>
      </c>
      <c r="K1094" s="101"/>
      <c r="L1094" s="101">
        <v>1</v>
      </c>
      <c r="M1094" s="101"/>
      <c r="N1094" s="101"/>
      <c r="O1094" s="101"/>
      <c r="P1094" s="101"/>
      <c r="Q1094" s="101"/>
      <c r="R1094" s="101"/>
      <c r="S1094" s="101"/>
      <c r="T1094" s="101"/>
      <c r="U1094" s="100" t="s">
        <v>862</v>
      </c>
      <c r="V1094" s="100" t="s">
        <v>293</v>
      </c>
      <c r="W1094" s="100" t="s">
        <v>298</v>
      </c>
      <c r="X1094" s="100" t="s">
        <v>227</v>
      </c>
      <c r="Y1094" s="99"/>
      <c r="Z1094" s="99"/>
      <c r="AA1094" s="100" t="s">
        <v>3430</v>
      </c>
      <c r="AB1094" s="100" t="s">
        <v>528</v>
      </c>
      <c r="AC1094" s="101">
        <v>1</v>
      </c>
      <c r="AD1094" s="101"/>
      <c r="AE1094" s="101"/>
      <c r="AF1094" s="101"/>
      <c r="AG1094" s="101"/>
      <c r="AH1094" s="99"/>
      <c r="AI1094" s="105"/>
    </row>
    <row r="1095" spans="1:35">
      <c r="A1095" s="98"/>
      <c r="B1095" s="99"/>
      <c r="C1095" s="263" t="s">
        <v>3230</v>
      </c>
      <c r="D1095" s="264" t="s">
        <v>79</v>
      </c>
      <c r="E1095" s="264" t="s">
        <v>80</v>
      </c>
      <c r="F1095" s="100" t="s">
        <v>2051</v>
      </c>
      <c r="G1095" s="100" t="s">
        <v>1212</v>
      </c>
      <c r="H1095" s="100" t="s">
        <v>126</v>
      </c>
      <c r="I1095" s="247">
        <v>34221</v>
      </c>
      <c r="J1095" s="101">
        <v>1</v>
      </c>
      <c r="K1095" s="101"/>
      <c r="L1095" s="101">
        <v>1</v>
      </c>
      <c r="M1095" s="101"/>
      <c r="N1095" s="101"/>
      <c r="O1095" s="101"/>
      <c r="P1095" s="101"/>
      <c r="Q1095" s="101"/>
      <c r="R1095" s="101"/>
      <c r="S1095" s="101"/>
      <c r="T1095" s="101"/>
      <c r="U1095" s="100" t="s">
        <v>862</v>
      </c>
      <c r="V1095" s="100" t="s">
        <v>293</v>
      </c>
      <c r="W1095" s="100" t="s">
        <v>298</v>
      </c>
      <c r="X1095" s="100" t="s">
        <v>227</v>
      </c>
      <c r="Y1095" s="99"/>
      <c r="Z1095" s="99"/>
      <c r="AA1095" s="100" t="s">
        <v>3430</v>
      </c>
      <c r="AB1095" s="100" t="s">
        <v>528</v>
      </c>
      <c r="AC1095" s="101">
        <v>1</v>
      </c>
      <c r="AD1095" s="101"/>
      <c r="AE1095" s="101"/>
      <c r="AF1095" s="101"/>
      <c r="AG1095" s="101"/>
      <c r="AH1095" s="99"/>
      <c r="AI1095" s="105"/>
    </row>
    <row r="1096" spans="1:35">
      <c r="A1096" s="98"/>
      <c r="B1096" s="99"/>
      <c r="C1096" s="263" t="s">
        <v>3230</v>
      </c>
      <c r="D1096" s="264" t="s">
        <v>79</v>
      </c>
      <c r="E1096" s="264" t="s">
        <v>80</v>
      </c>
      <c r="F1096" s="100" t="s">
        <v>2047</v>
      </c>
      <c r="G1096" s="100" t="s">
        <v>3428</v>
      </c>
      <c r="H1096" s="100" t="s">
        <v>136</v>
      </c>
      <c r="I1096" s="247">
        <v>27158</v>
      </c>
      <c r="J1096" s="101">
        <v>1</v>
      </c>
      <c r="K1096" s="101"/>
      <c r="L1096" s="101">
        <v>1</v>
      </c>
      <c r="M1096" s="101"/>
      <c r="N1096" s="101"/>
      <c r="O1096" s="101"/>
      <c r="P1096" s="101"/>
      <c r="Q1096" s="101"/>
      <c r="R1096" s="101"/>
      <c r="S1096" s="101"/>
      <c r="T1096" s="101"/>
      <c r="U1096" s="100" t="s">
        <v>862</v>
      </c>
      <c r="V1096" s="100" t="s">
        <v>293</v>
      </c>
      <c r="W1096" s="100" t="s">
        <v>298</v>
      </c>
      <c r="X1096" s="100" t="s">
        <v>227</v>
      </c>
      <c r="Y1096" s="99"/>
      <c r="Z1096" s="99"/>
      <c r="AA1096" s="100" t="s">
        <v>3430</v>
      </c>
      <c r="AB1096" s="100" t="s">
        <v>528</v>
      </c>
      <c r="AC1096" s="101">
        <v>1</v>
      </c>
      <c r="AD1096" s="101"/>
      <c r="AE1096" s="101"/>
      <c r="AF1096" s="101"/>
      <c r="AG1096" s="101"/>
      <c r="AH1096" s="99"/>
      <c r="AI1096" s="105"/>
    </row>
    <row r="1097" spans="1:35">
      <c r="A1097" s="98"/>
      <c r="B1097" s="99"/>
      <c r="C1097" s="263" t="s">
        <v>3230</v>
      </c>
      <c r="D1097" s="264" t="s">
        <v>79</v>
      </c>
      <c r="E1097" s="264" t="s">
        <v>80</v>
      </c>
      <c r="F1097" s="100" t="s">
        <v>2047</v>
      </c>
      <c r="G1097" s="100" t="s">
        <v>2048</v>
      </c>
      <c r="H1097" s="100" t="s">
        <v>136</v>
      </c>
      <c r="I1097" s="247">
        <v>37181</v>
      </c>
      <c r="J1097" s="101">
        <v>1</v>
      </c>
      <c r="K1097" s="101"/>
      <c r="L1097" s="101">
        <v>1</v>
      </c>
      <c r="M1097" s="101"/>
      <c r="N1097" s="101"/>
      <c r="O1097" s="101"/>
      <c r="P1097" s="101"/>
      <c r="Q1097" s="101"/>
      <c r="R1097" s="101"/>
      <c r="S1097" s="101"/>
      <c r="T1097" s="101"/>
      <c r="U1097" s="100" t="s">
        <v>862</v>
      </c>
      <c r="V1097" s="100" t="s">
        <v>293</v>
      </c>
      <c r="W1097" s="100" t="s">
        <v>298</v>
      </c>
      <c r="X1097" s="100" t="s">
        <v>227</v>
      </c>
      <c r="Y1097" s="99"/>
      <c r="Z1097" s="99"/>
      <c r="AA1097" s="100" t="s">
        <v>3430</v>
      </c>
      <c r="AB1097" s="100" t="s">
        <v>528</v>
      </c>
      <c r="AC1097" s="101">
        <v>1</v>
      </c>
      <c r="AD1097" s="101"/>
      <c r="AE1097" s="101"/>
      <c r="AF1097" s="101"/>
      <c r="AG1097" s="101"/>
      <c r="AH1097" s="99"/>
      <c r="AI1097" s="105"/>
    </row>
    <row r="1098" spans="1:35">
      <c r="A1098" s="98"/>
      <c r="B1098" s="99"/>
      <c r="C1098" s="263" t="s">
        <v>3230</v>
      </c>
      <c r="D1098" s="264" t="s">
        <v>79</v>
      </c>
      <c r="E1098" s="264" t="s">
        <v>80</v>
      </c>
      <c r="F1098" s="100" t="s">
        <v>3429</v>
      </c>
      <c r="G1098" s="100" t="s">
        <v>2045</v>
      </c>
      <c r="H1098" s="100" t="s">
        <v>160</v>
      </c>
      <c r="I1098" s="247">
        <v>24429</v>
      </c>
      <c r="J1098" s="101"/>
      <c r="K1098" s="101">
        <v>1</v>
      </c>
      <c r="L1098" s="101">
        <v>1</v>
      </c>
      <c r="M1098" s="101"/>
      <c r="N1098" s="101"/>
      <c r="O1098" s="101"/>
      <c r="P1098" s="101"/>
      <c r="Q1098" s="101"/>
      <c r="R1098" s="101"/>
      <c r="S1098" s="101"/>
      <c r="T1098" s="101"/>
      <c r="U1098" s="100" t="s">
        <v>862</v>
      </c>
      <c r="V1098" s="100" t="s">
        <v>293</v>
      </c>
      <c r="W1098" s="100" t="s">
        <v>298</v>
      </c>
      <c r="X1098" s="100" t="s">
        <v>227</v>
      </c>
      <c r="Y1098" s="99"/>
      <c r="Z1098" s="99"/>
      <c r="AA1098" s="100" t="s">
        <v>3430</v>
      </c>
      <c r="AB1098" s="100" t="s">
        <v>528</v>
      </c>
      <c r="AC1098" s="101">
        <v>1</v>
      </c>
      <c r="AD1098" s="101"/>
      <c r="AE1098" s="101"/>
      <c r="AF1098" s="101"/>
      <c r="AG1098" s="101"/>
      <c r="AH1098" s="99"/>
      <c r="AI1098" s="105"/>
    </row>
    <row r="1099" spans="1:35">
      <c r="A1099" s="98"/>
      <c r="B1099" s="99"/>
      <c r="C1099" s="263" t="s">
        <v>3230</v>
      </c>
      <c r="D1099" s="264" t="s">
        <v>79</v>
      </c>
      <c r="E1099" s="264" t="s">
        <v>80</v>
      </c>
      <c r="F1099" s="100" t="s">
        <v>3429</v>
      </c>
      <c r="G1099" s="100" t="s">
        <v>192</v>
      </c>
      <c r="H1099" s="100" t="s">
        <v>136</v>
      </c>
      <c r="I1099" s="247">
        <v>34916</v>
      </c>
      <c r="J1099" s="101">
        <v>1</v>
      </c>
      <c r="K1099" s="101"/>
      <c r="L1099" s="101">
        <v>1</v>
      </c>
      <c r="M1099" s="101"/>
      <c r="N1099" s="101"/>
      <c r="O1099" s="101"/>
      <c r="P1099" s="101"/>
      <c r="Q1099" s="101"/>
      <c r="R1099" s="101"/>
      <c r="S1099" s="101"/>
      <c r="T1099" s="101"/>
      <c r="U1099" s="100" t="s">
        <v>862</v>
      </c>
      <c r="V1099" s="100" t="s">
        <v>293</v>
      </c>
      <c r="W1099" s="100" t="s">
        <v>298</v>
      </c>
      <c r="X1099" s="100" t="s">
        <v>227</v>
      </c>
      <c r="Y1099" s="99"/>
      <c r="Z1099" s="99"/>
      <c r="AA1099" s="100" t="s">
        <v>3430</v>
      </c>
      <c r="AB1099" s="100" t="s">
        <v>528</v>
      </c>
      <c r="AC1099" s="101">
        <v>1</v>
      </c>
      <c r="AD1099" s="101"/>
      <c r="AE1099" s="101"/>
      <c r="AF1099" s="101"/>
      <c r="AG1099" s="101"/>
      <c r="AH1099" s="99"/>
      <c r="AI1099" s="105"/>
    </row>
    <row r="1100" spans="1:35">
      <c r="A1100" s="98"/>
      <c r="B1100" s="99"/>
      <c r="C1100" s="263" t="s">
        <v>3230</v>
      </c>
      <c r="D1100" s="264" t="s">
        <v>79</v>
      </c>
      <c r="E1100" s="264" t="s">
        <v>80</v>
      </c>
      <c r="F1100" s="100" t="s">
        <v>908</v>
      </c>
      <c r="G1100" s="100" t="s">
        <v>728</v>
      </c>
      <c r="H1100" s="100" t="s">
        <v>136</v>
      </c>
      <c r="I1100" s="247">
        <v>24198</v>
      </c>
      <c r="J1100" s="101">
        <v>1</v>
      </c>
      <c r="K1100" s="101"/>
      <c r="L1100" s="101">
        <v>1</v>
      </c>
      <c r="M1100" s="101"/>
      <c r="N1100" s="101"/>
      <c r="O1100" s="101"/>
      <c r="P1100" s="101"/>
      <c r="Q1100" s="101"/>
      <c r="R1100" s="101"/>
      <c r="S1100" s="101"/>
      <c r="T1100" s="101"/>
      <c r="U1100" s="100" t="s">
        <v>862</v>
      </c>
      <c r="V1100" s="100" t="s">
        <v>293</v>
      </c>
      <c r="W1100" s="100" t="s">
        <v>298</v>
      </c>
      <c r="X1100" s="100" t="s">
        <v>227</v>
      </c>
      <c r="Y1100" s="99"/>
      <c r="Z1100" s="99"/>
      <c r="AA1100" s="100" t="s">
        <v>3430</v>
      </c>
      <c r="AB1100" s="100" t="s">
        <v>528</v>
      </c>
      <c r="AC1100" s="101">
        <v>1</v>
      </c>
      <c r="AD1100" s="101"/>
      <c r="AE1100" s="101"/>
      <c r="AF1100" s="101"/>
      <c r="AG1100" s="101"/>
      <c r="AH1100" s="99"/>
      <c r="AI1100" s="105"/>
    </row>
    <row r="1101" spans="1:35">
      <c r="A1101" s="98"/>
      <c r="B1101" s="99"/>
      <c r="C1101" s="263" t="s">
        <v>3230</v>
      </c>
      <c r="D1101" s="264" t="s">
        <v>79</v>
      </c>
      <c r="E1101" s="264" t="s">
        <v>80</v>
      </c>
      <c r="F1101" s="100" t="s">
        <v>1982</v>
      </c>
      <c r="G1101" s="100" t="s">
        <v>150</v>
      </c>
      <c r="H1101" s="100" t="s">
        <v>160</v>
      </c>
      <c r="I1101" s="96">
        <v>22900</v>
      </c>
      <c r="J1101" s="101">
        <v>1</v>
      </c>
      <c r="K1101" s="101"/>
      <c r="L1101" s="101">
        <v>1</v>
      </c>
      <c r="M1101" s="101"/>
      <c r="N1101" s="101"/>
      <c r="O1101" s="101"/>
      <c r="P1101" s="101"/>
      <c r="Q1101" s="101"/>
      <c r="R1101" s="101"/>
      <c r="S1101" s="101"/>
      <c r="T1101" s="101"/>
      <c r="U1101" s="100" t="s">
        <v>862</v>
      </c>
      <c r="V1101" s="100" t="s">
        <v>293</v>
      </c>
      <c r="W1101" s="100" t="s">
        <v>298</v>
      </c>
      <c r="X1101" s="100" t="s">
        <v>227</v>
      </c>
      <c r="Y1101" s="99"/>
      <c r="Z1101" s="99"/>
      <c r="AA1101" s="100" t="s">
        <v>3430</v>
      </c>
      <c r="AB1101" s="100" t="s">
        <v>528</v>
      </c>
      <c r="AC1101" s="101">
        <v>1</v>
      </c>
      <c r="AD1101" s="101"/>
      <c r="AE1101" s="101"/>
      <c r="AF1101" s="101"/>
      <c r="AG1101" s="101"/>
      <c r="AH1101" s="99"/>
      <c r="AI1101" s="105"/>
    </row>
    <row r="1102" spans="1:35">
      <c r="A1102" s="98"/>
      <c r="B1102" s="99"/>
      <c r="C1102" s="263" t="s">
        <v>3230</v>
      </c>
      <c r="D1102" s="264" t="s">
        <v>79</v>
      </c>
      <c r="E1102" s="264" t="s">
        <v>80</v>
      </c>
      <c r="F1102" s="100" t="s">
        <v>2041</v>
      </c>
      <c r="G1102" s="100" t="s">
        <v>2042</v>
      </c>
      <c r="H1102" s="100" t="s">
        <v>126</v>
      </c>
      <c r="I1102" s="247">
        <v>17323</v>
      </c>
      <c r="J1102" s="101">
        <v>1</v>
      </c>
      <c r="K1102" s="101"/>
      <c r="L1102" s="101">
        <v>1</v>
      </c>
      <c r="M1102" s="101"/>
      <c r="N1102" s="101"/>
      <c r="O1102" s="101"/>
      <c r="P1102" s="101"/>
      <c r="Q1102" s="101"/>
      <c r="R1102" s="101"/>
      <c r="S1102" s="101"/>
      <c r="T1102" s="101"/>
      <c r="U1102" s="100" t="s">
        <v>862</v>
      </c>
      <c r="V1102" s="100" t="s">
        <v>293</v>
      </c>
      <c r="W1102" s="100" t="s">
        <v>298</v>
      </c>
      <c r="X1102" s="100" t="s">
        <v>227</v>
      </c>
      <c r="Y1102" s="99"/>
      <c r="Z1102" s="99"/>
      <c r="AA1102" s="100" t="s">
        <v>3430</v>
      </c>
      <c r="AB1102" s="100" t="s">
        <v>528</v>
      </c>
      <c r="AC1102" s="101">
        <v>1</v>
      </c>
      <c r="AD1102" s="101"/>
      <c r="AE1102" s="101"/>
      <c r="AF1102" s="101"/>
      <c r="AG1102" s="101"/>
      <c r="AH1102" s="99"/>
      <c r="AI1102" s="105"/>
    </row>
    <row r="1103" spans="1:35">
      <c r="A1103" s="98"/>
      <c r="B1103" s="99"/>
      <c r="C1103" s="263" t="s">
        <v>3230</v>
      </c>
      <c r="D1103" s="264" t="s">
        <v>79</v>
      </c>
      <c r="E1103" s="264" t="s">
        <v>80</v>
      </c>
      <c r="F1103" s="100" t="s">
        <v>3432</v>
      </c>
      <c r="G1103" s="100" t="s">
        <v>1085</v>
      </c>
      <c r="H1103" s="99"/>
      <c r="I1103" s="247">
        <v>34261</v>
      </c>
      <c r="J1103" s="101">
        <v>1</v>
      </c>
      <c r="K1103" s="101"/>
      <c r="L1103" s="101">
        <v>1</v>
      </c>
      <c r="M1103" s="101"/>
      <c r="N1103" s="101"/>
      <c r="O1103" s="101"/>
      <c r="P1103" s="101"/>
      <c r="Q1103" s="101"/>
      <c r="R1103" s="101"/>
      <c r="S1103" s="101"/>
      <c r="T1103" s="101"/>
      <c r="U1103" s="100" t="s">
        <v>507</v>
      </c>
      <c r="V1103" s="100" t="s">
        <v>293</v>
      </c>
      <c r="W1103" s="100" t="s">
        <v>298</v>
      </c>
      <c r="X1103" s="100" t="s">
        <v>227</v>
      </c>
      <c r="Y1103" s="99"/>
      <c r="Z1103" s="99"/>
      <c r="AA1103" s="100" t="s">
        <v>3450</v>
      </c>
      <c r="AB1103" s="100" t="s">
        <v>528</v>
      </c>
      <c r="AC1103" s="101">
        <v>1</v>
      </c>
      <c r="AD1103" s="101"/>
      <c r="AE1103" s="101"/>
      <c r="AF1103" s="101"/>
      <c r="AG1103" s="101"/>
      <c r="AH1103" s="99"/>
      <c r="AI1103" s="105"/>
    </row>
    <row r="1104" spans="1:35">
      <c r="A1104" s="98"/>
      <c r="B1104" s="99"/>
      <c r="C1104" s="263" t="s">
        <v>3230</v>
      </c>
      <c r="D1104" s="264" t="s">
        <v>79</v>
      </c>
      <c r="E1104" s="264" t="s">
        <v>80</v>
      </c>
      <c r="F1104" s="100" t="s">
        <v>3433</v>
      </c>
      <c r="G1104" s="100" t="s">
        <v>400</v>
      </c>
      <c r="H1104" s="100" t="s">
        <v>81</v>
      </c>
      <c r="I1104" s="247">
        <v>27785</v>
      </c>
      <c r="J1104" s="101">
        <v>1</v>
      </c>
      <c r="K1104" s="101"/>
      <c r="L1104" s="101">
        <v>1</v>
      </c>
      <c r="M1104" s="101"/>
      <c r="N1104" s="101"/>
      <c r="O1104" s="101"/>
      <c r="P1104" s="101"/>
      <c r="Q1104" s="101"/>
      <c r="R1104" s="101"/>
      <c r="S1104" s="101"/>
      <c r="T1104" s="101"/>
      <c r="U1104" s="100" t="s">
        <v>507</v>
      </c>
      <c r="V1104" s="100" t="s">
        <v>293</v>
      </c>
      <c r="W1104" s="100" t="s">
        <v>298</v>
      </c>
      <c r="X1104" s="100" t="s">
        <v>227</v>
      </c>
      <c r="Y1104" s="99"/>
      <c r="Z1104" s="99"/>
      <c r="AA1104" s="100" t="s">
        <v>3450</v>
      </c>
      <c r="AB1104" s="100" t="s">
        <v>528</v>
      </c>
      <c r="AC1104" s="101">
        <v>1</v>
      </c>
      <c r="AD1104" s="101"/>
      <c r="AE1104" s="101"/>
      <c r="AF1104" s="101"/>
      <c r="AG1104" s="101"/>
      <c r="AH1104" s="99"/>
      <c r="AI1104" s="105"/>
    </row>
    <row r="1105" spans="1:35">
      <c r="A1105" s="98"/>
      <c r="B1105" s="99"/>
      <c r="C1105" s="263" t="s">
        <v>3230</v>
      </c>
      <c r="D1105" s="264" t="s">
        <v>79</v>
      </c>
      <c r="E1105" s="264" t="s">
        <v>80</v>
      </c>
      <c r="F1105" s="100" t="s">
        <v>3434</v>
      </c>
      <c r="G1105" s="100" t="s">
        <v>2141</v>
      </c>
      <c r="H1105" s="100" t="s">
        <v>126</v>
      </c>
      <c r="I1105" s="247">
        <v>25204</v>
      </c>
      <c r="J1105" s="101">
        <v>1</v>
      </c>
      <c r="K1105" s="101"/>
      <c r="L1105" s="101">
        <v>1</v>
      </c>
      <c r="M1105" s="101"/>
      <c r="N1105" s="101"/>
      <c r="O1105" s="101"/>
      <c r="P1105" s="101"/>
      <c r="Q1105" s="101"/>
      <c r="R1105" s="101"/>
      <c r="S1105" s="101"/>
      <c r="T1105" s="101"/>
      <c r="U1105" s="100" t="s">
        <v>507</v>
      </c>
      <c r="V1105" s="100" t="s">
        <v>293</v>
      </c>
      <c r="W1105" s="100" t="s">
        <v>298</v>
      </c>
      <c r="X1105" s="100" t="s">
        <v>227</v>
      </c>
      <c r="Y1105" s="99"/>
      <c r="Z1105" s="99"/>
      <c r="AA1105" s="100" t="s">
        <v>3450</v>
      </c>
      <c r="AB1105" s="100" t="s">
        <v>528</v>
      </c>
      <c r="AC1105" s="101">
        <v>1</v>
      </c>
      <c r="AD1105" s="101"/>
      <c r="AE1105" s="101"/>
      <c r="AF1105" s="101"/>
      <c r="AG1105" s="101"/>
      <c r="AH1105" s="99"/>
      <c r="AI1105" s="105"/>
    </row>
    <row r="1106" spans="1:35">
      <c r="A1106" s="98"/>
      <c r="B1106" s="99"/>
      <c r="C1106" s="263" t="s">
        <v>3230</v>
      </c>
      <c r="D1106" s="264" t="s">
        <v>79</v>
      </c>
      <c r="E1106" s="264" t="s">
        <v>80</v>
      </c>
      <c r="F1106" s="100" t="s">
        <v>3435</v>
      </c>
      <c r="G1106" s="100" t="s">
        <v>776</v>
      </c>
      <c r="H1106" s="100" t="s">
        <v>126</v>
      </c>
      <c r="I1106" s="247">
        <v>25233</v>
      </c>
      <c r="J1106" s="101">
        <v>1</v>
      </c>
      <c r="K1106" s="101"/>
      <c r="L1106" s="101">
        <v>1</v>
      </c>
      <c r="M1106" s="101"/>
      <c r="N1106" s="101"/>
      <c r="O1106" s="101"/>
      <c r="P1106" s="101"/>
      <c r="Q1106" s="101"/>
      <c r="R1106" s="101"/>
      <c r="S1106" s="101"/>
      <c r="T1106" s="101"/>
      <c r="U1106" s="100" t="s">
        <v>507</v>
      </c>
      <c r="V1106" s="100" t="s">
        <v>293</v>
      </c>
      <c r="W1106" s="100" t="s">
        <v>298</v>
      </c>
      <c r="X1106" s="100" t="s">
        <v>227</v>
      </c>
      <c r="Y1106" s="99"/>
      <c r="Z1106" s="99"/>
      <c r="AA1106" s="100" t="s">
        <v>3450</v>
      </c>
      <c r="AB1106" s="100" t="s">
        <v>528</v>
      </c>
      <c r="AC1106" s="101">
        <v>1</v>
      </c>
      <c r="AD1106" s="101"/>
      <c r="AE1106" s="101"/>
      <c r="AF1106" s="101"/>
      <c r="AG1106" s="101"/>
      <c r="AH1106" s="99"/>
      <c r="AI1106" s="105"/>
    </row>
    <row r="1107" spans="1:35">
      <c r="A1107" s="98"/>
      <c r="B1107" s="99"/>
      <c r="C1107" s="263" t="s">
        <v>3230</v>
      </c>
      <c r="D1107" s="264" t="s">
        <v>79</v>
      </c>
      <c r="E1107" s="264" t="s">
        <v>80</v>
      </c>
      <c r="F1107" s="100" t="s">
        <v>3437</v>
      </c>
      <c r="G1107" s="100" t="s">
        <v>3436</v>
      </c>
      <c r="H1107" s="99"/>
      <c r="I1107" s="247">
        <v>26951</v>
      </c>
      <c r="J1107" s="101"/>
      <c r="K1107" s="101">
        <v>1</v>
      </c>
      <c r="L1107" s="101">
        <v>1</v>
      </c>
      <c r="M1107" s="101"/>
      <c r="N1107" s="101"/>
      <c r="O1107" s="101"/>
      <c r="P1107" s="101"/>
      <c r="Q1107" s="101"/>
      <c r="R1107" s="101"/>
      <c r="S1107" s="101"/>
      <c r="T1107" s="101"/>
      <c r="U1107" s="100" t="s">
        <v>507</v>
      </c>
      <c r="V1107" s="100" t="s">
        <v>293</v>
      </c>
      <c r="W1107" s="100" t="s">
        <v>298</v>
      </c>
      <c r="X1107" s="100" t="s">
        <v>227</v>
      </c>
      <c r="Y1107" s="99"/>
      <c r="Z1107" s="99"/>
      <c r="AA1107" s="100" t="s">
        <v>3450</v>
      </c>
      <c r="AB1107" s="100" t="s">
        <v>528</v>
      </c>
      <c r="AC1107" s="101">
        <v>1</v>
      </c>
      <c r="AD1107" s="101"/>
      <c r="AE1107" s="101"/>
      <c r="AF1107" s="101"/>
      <c r="AG1107" s="101"/>
      <c r="AH1107" s="99"/>
      <c r="AI1107" s="105"/>
    </row>
    <row r="1108" spans="1:35">
      <c r="A1108" s="98"/>
      <c r="B1108" s="99"/>
      <c r="C1108" s="263" t="s">
        <v>3230</v>
      </c>
      <c r="D1108" s="264" t="s">
        <v>79</v>
      </c>
      <c r="E1108" s="264" t="s">
        <v>80</v>
      </c>
      <c r="F1108" s="100" t="s">
        <v>3437</v>
      </c>
      <c r="G1108" s="100" t="s">
        <v>3438</v>
      </c>
      <c r="H1108" s="99"/>
      <c r="I1108" s="247">
        <v>27116</v>
      </c>
      <c r="J1108" s="101">
        <v>1</v>
      </c>
      <c r="K1108" s="101"/>
      <c r="L1108" s="101">
        <v>1</v>
      </c>
      <c r="M1108" s="101"/>
      <c r="N1108" s="101"/>
      <c r="O1108" s="101"/>
      <c r="P1108" s="101"/>
      <c r="Q1108" s="101"/>
      <c r="R1108" s="101"/>
      <c r="S1108" s="101"/>
      <c r="T1108" s="101"/>
      <c r="U1108" s="100" t="s">
        <v>507</v>
      </c>
      <c r="V1108" s="100" t="s">
        <v>293</v>
      </c>
      <c r="W1108" s="100" t="s">
        <v>298</v>
      </c>
      <c r="X1108" s="100" t="s">
        <v>227</v>
      </c>
      <c r="Y1108" s="99"/>
      <c r="Z1108" s="99"/>
      <c r="AA1108" s="100" t="s">
        <v>3450</v>
      </c>
      <c r="AB1108" s="100" t="s">
        <v>528</v>
      </c>
      <c r="AC1108" s="101">
        <v>1</v>
      </c>
      <c r="AD1108" s="101"/>
      <c r="AE1108" s="101"/>
      <c r="AF1108" s="101"/>
      <c r="AG1108" s="101"/>
      <c r="AH1108" s="99"/>
      <c r="AI1108" s="105"/>
    </row>
    <row r="1109" spans="1:35">
      <c r="A1109" s="98"/>
      <c r="B1109" s="99"/>
      <c r="C1109" s="263" t="s">
        <v>3230</v>
      </c>
      <c r="D1109" s="264" t="s">
        <v>79</v>
      </c>
      <c r="E1109" s="264" t="s">
        <v>80</v>
      </c>
      <c r="F1109" s="100" t="s">
        <v>3437</v>
      </c>
      <c r="G1109" s="100" t="s">
        <v>3439</v>
      </c>
      <c r="H1109" s="99"/>
      <c r="I1109" s="247">
        <v>32856</v>
      </c>
      <c r="J1109" s="101">
        <v>1</v>
      </c>
      <c r="K1109" s="101"/>
      <c r="L1109" s="101">
        <v>1</v>
      </c>
      <c r="M1109" s="101"/>
      <c r="N1109" s="101"/>
      <c r="O1109" s="101"/>
      <c r="P1109" s="101"/>
      <c r="Q1109" s="101"/>
      <c r="R1109" s="101"/>
      <c r="S1109" s="101"/>
      <c r="T1109" s="101"/>
      <c r="U1109" s="100" t="s">
        <v>507</v>
      </c>
      <c r="V1109" s="100" t="s">
        <v>293</v>
      </c>
      <c r="W1109" s="100" t="s">
        <v>298</v>
      </c>
      <c r="X1109" s="100" t="s">
        <v>227</v>
      </c>
      <c r="Y1109" s="99"/>
      <c r="Z1109" s="99"/>
      <c r="AA1109" s="100" t="s">
        <v>3450</v>
      </c>
      <c r="AB1109" s="100" t="s">
        <v>528</v>
      </c>
      <c r="AC1109" s="101">
        <v>1</v>
      </c>
      <c r="AD1109" s="101"/>
      <c r="AE1109" s="101"/>
      <c r="AF1109" s="101"/>
      <c r="AG1109" s="101"/>
      <c r="AH1109" s="99"/>
      <c r="AI1109" s="105"/>
    </row>
    <row r="1110" spans="1:35">
      <c r="A1110" s="98"/>
      <c r="B1110" s="99"/>
      <c r="C1110" s="263" t="s">
        <v>3230</v>
      </c>
      <c r="D1110" s="264" t="s">
        <v>79</v>
      </c>
      <c r="E1110" s="264" t="s">
        <v>80</v>
      </c>
      <c r="F1110" s="100" t="s">
        <v>3440</v>
      </c>
      <c r="G1110" s="100" t="s">
        <v>3441</v>
      </c>
      <c r="H1110" s="99"/>
      <c r="I1110" s="247">
        <v>35646</v>
      </c>
      <c r="J1110" s="101">
        <v>1</v>
      </c>
      <c r="K1110" s="101"/>
      <c r="L1110" s="101">
        <v>1</v>
      </c>
      <c r="M1110" s="101"/>
      <c r="N1110" s="101"/>
      <c r="O1110" s="101"/>
      <c r="P1110" s="101"/>
      <c r="Q1110" s="101"/>
      <c r="R1110" s="101"/>
      <c r="S1110" s="101"/>
      <c r="T1110" s="101"/>
      <c r="U1110" s="100" t="s">
        <v>507</v>
      </c>
      <c r="V1110" s="100" t="s">
        <v>293</v>
      </c>
      <c r="W1110" s="100" t="s">
        <v>298</v>
      </c>
      <c r="X1110" s="100" t="s">
        <v>227</v>
      </c>
      <c r="Y1110" s="99"/>
      <c r="Z1110" s="99"/>
      <c r="AA1110" s="100" t="s">
        <v>3450</v>
      </c>
      <c r="AB1110" s="100" t="s">
        <v>528</v>
      </c>
      <c r="AC1110" s="101">
        <v>1</v>
      </c>
      <c r="AD1110" s="101"/>
      <c r="AE1110" s="101"/>
      <c r="AF1110" s="101"/>
      <c r="AG1110" s="101"/>
      <c r="AH1110" s="99"/>
      <c r="AI1110" s="105"/>
    </row>
    <row r="1111" spans="1:35">
      <c r="A1111" s="98"/>
      <c r="B1111" s="99"/>
      <c r="C1111" s="263" t="s">
        <v>3230</v>
      </c>
      <c r="D1111" s="264" t="s">
        <v>79</v>
      </c>
      <c r="E1111" s="264" t="s">
        <v>80</v>
      </c>
      <c r="F1111" s="100" t="s">
        <v>3442</v>
      </c>
      <c r="G1111" s="100" t="s">
        <v>3421</v>
      </c>
      <c r="H1111" s="99"/>
      <c r="I1111" s="247">
        <v>36026</v>
      </c>
      <c r="J1111" s="101">
        <v>1</v>
      </c>
      <c r="K1111" s="101"/>
      <c r="L1111" s="101">
        <v>1</v>
      </c>
      <c r="M1111" s="101"/>
      <c r="N1111" s="101"/>
      <c r="O1111" s="101"/>
      <c r="P1111" s="101"/>
      <c r="Q1111" s="101"/>
      <c r="R1111" s="101"/>
      <c r="S1111" s="101"/>
      <c r="T1111" s="101"/>
      <c r="U1111" s="100" t="s">
        <v>507</v>
      </c>
      <c r="V1111" s="100" t="s">
        <v>293</v>
      </c>
      <c r="W1111" s="100" t="s">
        <v>298</v>
      </c>
      <c r="X1111" s="100" t="s">
        <v>227</v>
      </c>
      <c r="Y1111" s="99"/>
      <c r="Z1111" s="99"/>
      <c r="AA1111" s="100" t="s">
        <v>3450</v>
      </c>
      <c r="AB1111" s="100" t="s">
        <v>528</v>
      </c>
      <c r="AC1111" s="101">
        <v>1</v>
      </c>
      <c r="AD1111" s="101"/>
      <c r="AE1111" s="101"/>
      <c r="AF1111" s="101"/>
      <c r="AG1111" s="101"/>
      <c r="AH1111" s="99"/>
      <c r="AI1111" s="105"/>
    </row>
    <row r="1112" spans="1:35">
      <c r="A1112" s="98"/>
      <c r="B1112" s="99"/>
      <c r="C1112" s="263" t="s">
        <v>3230</v>
      </c>
      <c r="D1112" s="264" t="s">
        <v>79</v>
      </c>
      <c r="E1112" s="264" t="s">
        <v>80</v>
      </c>
      <c r="F1112" s="100" t="s">
        <v>3084</v>
      </c>
      <c r="G1112" s="100" t="s">
        <v>2758</v>
      </c>
      <c r="H1112" s="99"/>
      <c r="I1112" s="247">
        <v>33413</v>
      </c>
      <c r="J1112" s="101">
        <v>1</v>
      </c>
      <c r="K1112" s="101"/>
      <c r="L1112" s="101">
        <v>1</v>
      </c>
      <c r="M1112" s="101"/>
      <c r="N1112" s="101"/>
      <c r="O1112" s="101"/>
      <c r="P1112" s="101"/>
      <c r="Q1112" s="101"/>
      <c r="R1112" s="101"/>
      <c r="S1112" s="101"/>
      <c r="T1112" s="101"/>
      <c r="U1112" s="100" t="s">
        <v>507</v>
      </c>
      <c r="V1112" s="100" t="s">
        <v>293</v>
      </c>
      <c r="W1112" s="100" t="s">
        <v>298</v>
      </c>
      <c r="X1112" s="100" t="s">
        <v>227</v>
      </c>
      <c r="Y1112" s="99"/>
      <c r="Z1112" s="99"/>
      <c r="AA1112" s="100" t="s">
        <v>3450</v>
      </c>
      <c r="AB1112" s="100" t="s">
        <v>528</v>
      </c>
      <c r="AC1112" s="101">
        <v>1</v>
      </c>
      <c r="AD1112" s="101"/>
      <c r="AE1112" s="101"/>
      <c r="AF1112" s="101"/>
      <c r="AG1112" s="101"/>
      <c r="AH1112" s="99"/>
      <c r="AI1112" s="105"/>
    </row>
    <row r="1113" spans="1:35">
      <c r="A1113" s="98"/>
      <c r="B1113" s="99"/>
      <c r="C1113" s="263" t="s">
        <v>3230</v>
      </c>
      <c r="D1113" s="264" t="s">
        <v>79</v>
      </c>
      <c r="E1113" s="264" t="s">
        <v>80</v>
      </c>
      <c r="F1113" s="100" t="s">
        <v>3443</v>
      </c>
      <c r="G1113" s="100" t="s">
        <v>3444</v>
      </c>
      <c r="H1113" s="99"/>
      <c r="I1113" s="247">
        <v>31424</v>
      </c>
      <c r="J1113" s="101">
        <v>1</v>
      </c>
      <c r="K1113" s="101"/>
      <c r="L1113" s="101">
        <v>1</v>
      </c>
      <c r="M1113" s="101"/>
      <c r="N1113" s="101"/>
      <c r="O1113" s="101"/>
      <c r="P1113" s="101"/>
      <c r="Q1113" s="101"/>
      <c r="R1113" s="101"/>
      <c r="S1113" s="101"/>
      <c r="T1113" s="101"/>
      <c r="U1113" s="100" t="s">
        <v>507</v>
      </c>
      <c r="V1113" s="100" t="s">
        <v>293</v>
      </c>
      <c r="W1113" s="100" t="s">
        <v>298</v>
      </c>
      <c r="X1113" s="100" t="s">
        <v>227</v>
      </c>
      <c r="Y1113" s="99"/>
      <c r="Z1113" s="99"/>
      <c r="AA1113" s="100" t="s">
        <v>3451</v>
      </c>
      <c r="AB1113" s="100" t="s">
        <v>528</v>
      </c>
      <c r="AC1113" s="101">
        <v>1</v>
      </c>
      <c r="AD1113" s="101"/>
      <c r="AE1113" s="101"/>
      <c r="AF1113" s="101"/>
      <c r="AG1113" s="101"/>
      <c r="AH1113" s="99"/>
      <c r="AI1113" s="105"/>
    </row>
    <row r="1114" spans="1:35">
      <c r="A1114" s="98"/>
      <c r="B1114" s="99"/>
      <c r="C1114" s="263" t="s">
        <v>3230</v>
      </c>
      <c r="D1114" s="264" t="s">
        <v>79</v>
      </c>
      <c r="E1114" s="264" t="s">
        <v>80</v>
      </c>
      <c r="F1114" s="100" t="s">
        <v>3445</v>
      </c>
      <c r="G1114" s="100" t="s">
        <v>3446</v>
      </c>
      <c r="H1114" s="99"/>
      <c r="I1114" s="247">
        <v>23300</v>
      </c>
      <c r="J1114" s="101"/>
      <c r="K1114" s="101">
        <v>1</v>
      </c>
      <c r="L1114" s="101">
        <v>1</v>
      </c>
      <c r="M1114" s="101"/>
      <c r="N1114" s="101"/>
      <c r="O1114" s="101"/>
      <c r="P1114" s="101"/>
      <c r="Q1114" s="101"/>
      <c r="R1114" s="101"/>
      <c r="S1114" s="101"/>
      <c r="T1114" s="101"/>
      <c r="U1114" s="100" t="s">
        <v>507</v>
      </c>
      <c r="V1114" s="100" t="s">
        <v>293</v>
      </c>
      <c r="W1114" s="100" t="s">
        <v>298</v>
      </c>
      <c r="X1114" s="100" t="s">
        <v>227</v>
      </c>
      <c r="Y1114" s="99"/>
      <c r="Z1114" s="99"/>
      <c r="AA1114" s="100" t="s">
        <v>3451</v>
      </c>
      <c r="AB1114" s="100" t="s">
        <v>528</v>
      </c>
      <c r="AC1114" s="101">
        <v>1</v>
      </c>
      <c r="AD1114" s="101"/>
      <c r="AE1114" s="101"/>
      <c r="AF1114" s="101"/>
      <c r="AG1114" s="101"/>
      <c r="AH1114" s="99"/>
      <c r="AI1114" s="105"/>
    </row>
    <row r="1115" spans="1:35">
      <c r="A1115" s="98"/>
      <c r="B1115" s="99"/>
      <c r="C1115" s="263" t="s">
        <v>3230</v>
      </c>
      <c r="D1115" s="264" t="s">
        <v>79</v>
      </c>
      <c r="E1115" s="264" t="s">
        <v>80</v>
      </c>
      <c r="F1115" s="100" t="s">
        <v>3447</v>
      </c>
      <c r="G1115" s="100" t="s">
        <v>3448</v>
      </c>
      <c r="H1115" s="99"/>
      <c r="I1115" s="247">
        <v>34212</v>
      </c>
      <c r="J1115" s="101">
        <v>1</v>
      </c>
      <c r="K1115" s="101"/>
      <c r="L1115" s="101">
        <v>1</v>
      </c>
      <c r="M1115" s="101"/>
      <c r="N1115" s="101"/>
      <c r="O1115" s="101"/>
      <c r="P1115" s="101"/>
      <c r="Q1115" s="101"/>
      <c r="R1115" s="101"/>
      <c r="S1115" s="101"/>
      <c r="T1115" s="101"/>
      <c r="U1115" s="100" t="s">
        <v>507</v>
      </c>
      <c r="V1115" s="100" t="s">
        <v>293</v>
      </c>
      <c r="W1115" s="100" t="s">
        <v>298</v>
      </c>
      <c r="X1115" s="100" t="s">
        <v>227</v>
      </c>
      <c r="Y1115" s="99"/>
      <c r="Z1115" s="99"/>
      <c r="AA1115" s="100" t="s">
        <v>3451</v>
      </c>
      <c r="AB1115" s="100" t="s">
        <v>528</v>
      </c>
      <c r="AC1115" s="101">
        <v>1</v>
      </c>
      <c r="AD1115" s="101"/>
      <c r="AE1115" s="101"/>
      <c r="AF1115" s="101"/>
      <c r="AG1115" s="101"/>
      <c r="AH1115" s="99"/>
      <c r="AI1115" s="105"/>
    </row>
    <row r="1116" spans="1:35">
      <c r="A1116" s="98"/>
      <c r="B1116" s="99"/>
      <c r="C1116" s="263" t="s">
        <v>3230</v>
      </c>
      <c r="D1116" s="264" t="s">
        <v>79</v>
      </c>
      <c r="E1116" s="264" t="s">
        <v>80</v>
      </c>
      <c r="F1116" s="100" t="s">
        <v>329</v>
      </c>
      <c r="G1116" s="100" t="s">
        <v>3449</v>
      </c>
      <c r="H1116" s="99"/>
      <c r="I1116" s="247">
        <v>26598</v>
      </c>
      <c r="J1116" s="101">
        <v>1</v>
      </c>
      <c r="K1116" s="101"/>
      <c r="L1116" s="101">
        <v>1</v>
      </c>
      <c r="M1116" s="101"/>
      <c r="N1116" s="101"/>
      <c r="O1116" s="101"/>
      <c r="P1116" s="101"/>
      <c r="Q1116" s="101"/>
      <c r="R1116" s="101"/>
      <c r="S1116" s="101"/>
      <c r="T1116" s="101"/>
      <c r="U1116" s="100" t="s">
        <v>507</v>
      </c>
      <c r="V1116" s="100" t="s">
        <v>293</v>
      </c>
      <c r="W1116" s="100" t="s">
        <v>298</v>
      </c>
      <c r="X1116" s="100" t="s">
        <v>227</v>
      </c>
      <c r="Y1116" s="99"/>
      <c r="Z1116" s="99"/>
      <c r="AA1116" s="100" t="s">
        <v>3451</v>
      </c>
      <c r="AB1116" s="100" t="s">
        <v>528</v>
      </c>
      <c r="AC1116" s="101">
        <v>1</v>
      </c>
      <c r="AD1116" s="101"/>
      <c r="AE1116" s="101"/>
      <c r="AF1116" s="101"/>
      <c r="AG1116" s="101"/>
      <c r="AH1116" s="99"/>
      <c r="AI1116" s="105"/>
    </row>
    <row r="1117" spans="1:35">
      <c r="A1117" s="98"/>
      <c r="B1117" s="99"/>
      <c r="C1117" s="263" t="s">
        <v>3230</v>
      </c>
      <c r="D1117" s="264" t="s">
        <v>79</v>
      </c>
      <c r="E1117" s="264" t="s">
        <v>80</v>
      </c>
      <c r="F1117" s="100" t="s">
        <v>329</v>
      </c>
      <c r="G1117" s="100" t="s">
        <v>1720</v>
      </c>
      <c r="H1117" s="99"/>
      <c r="I1117" s="247">
        <v>27524</v>
      </c>
      <c r="J1117" s="101">
        <v>1</v>
      </c>
      <c r="K1117" s="101"/>
      <c r="L1117" s="101">
        <v>1</v>
      </c>
      <c r="M1117" s="101"/>
      <c r="N1117" s="101"/>
      <c r="O1117" s="101"/>
      <c r="P1117" s="101"/>
      <c r="Q1117" s="101"/>
      <c r="R1117" s="101"/>
      <c r="S1117" s="101"/>
      <c r="T1117" s="101"/>
      <c r="U1117" s="100" t="s">
        <v>507</v>
      </c>
      <c r="V1117" s="100" t="s">
        <v>293</v>
      </c>
      <c r="W1117" s="100" t="s">
        <v>298</v>
      </c>
      <c r="X1117" s="100" t="s">
        <v>227</v>
      </c>
      <c r="Y1117" s="99"/>
      <c r="Z1117" s="99"/>
      <c r="AA1117" s="100" t="s">
        <v>3451</v>
      </c>
      <c r="AB1117" s="100" t="s">
        <v>528</v>
      </c>
      <c r="AC1117" s="101">
        <v>1</v>
      </c>
      <c r="AD1117" s="101"/>
      <c r="AE1117" s="101"/>
      <c r="AF1117" s="101"/>
      <c r="AG1117" s="101"/>
      <c r="AH1117" s="99"/>
      <c r="AI1117" s="105"/>
    </row>
    <row r="1118" spans="1:35">
      <c r="A1118" s="98"/>
      <c r="B1118" s="99"/>
      <c r="C1118" s="263" t="s">
        <v>3230</v>
      </c>
      <c r="D1118" s="264" t="s">
        <v>79</v>
      </c>
      <c r="E1118" s="264" t="s">
        <v>80</v>
      </c>
      <c r="F1118" s="100" t="s">
        <v>400</v>
      </c>
      <c r="G1118" s="100" t="s">
        <v>3452</v>
      </c>
      <c r="H1118" s="99"/>
      <c r="I1118" s="96">
        <v>32627</v>
      </c>
      <c r="J1118" s="101">
        <v>1</v>
      </c>
      <c r="K1118" s="101"/>
      <c r="L1118" s="101">
        <v>1</v>
      </c>
      <c r="M1118" s="101"/>
      <c r="N1118" s="101"/>
      <c r="O1118" s="101"/>
      <c r="P1118" s="101"/>
      <c r="Q1118" s="101"/>
      <c r="R1118" s="101"/>
      <c r="S1118" s="101"/>
      <c r="T1118" s="101"/>
      <c r="U1118" s="100" t="s">
        <v>507</v>
      </c>
      <c r="V1118" s="100" t="s">
        <v>293</v>
      </c>
      <c r="W1118" s="100" t="s">
        <v>298</v>
      </c>
      <c r="X1118" s="100" t="s">
        <v>227</v>
      </c>
      <c r="Y1118" s="99"/>
      <c r="Z1118" s="99"/>
      <c r="AA1118" s="100" t="s">
        <v>3450</v>
      </c>
      <c r="AB1118" s="100" t="s">
        <v>528</v>
      </c>
      <c r="AC1118" s="101">
        <v>1</v>
      </c>
      <c r="AD1118" s="101"/>
      <c r="AE1118" s="101"/>
      <c r="AF1118" s="101"/>
      <c r="AG1118" s="101"/>
      <c r="AH1118" s="99"/>
      <c r="AI1118" s="105"/>
    </row>
    <row r="1119" spans="1:35">
      <c r="A1119" s="98"/>
      <c r="B1119" s="99"/>
      <c r="C1119" s="263" t="s">
        <v>3230</v>
      </c>
      <c r="D1119" s="264" t="s">
        <v>79</v>
      </c>
      <c r="E1119" s="264" t="s">
        <v>80</v>
      </c>
      <c r="F1119" s="100" t="s">
        <v>329</v>
      </c>
      <c r="G1119" s="100" t="s">
        <v>3453</v>
      </c>
      <c r="H1119" s="99"/>
      <c r="I1119" s="247">
        <v>37450</v>
      </c>
      <c r="J1119" s="101">
        <v>1</v>
      </c>
      <c r="K1119" s="101"/>
      <c r="L1119" s="101">
        <v>1</v>
      </c>
      <c r="M1119" s="101"/>
      <c r="N1119" s="101"/>
      <c r="O1119" s="101"/>
      <c r="P1119" s="101"/>
      <c r="Q1119" s="101"/>
      <c r="R1119" s="101"/>
      <c r="S1119" s="101"/>
      <c r="T1119" s="101"/>
      <c r="U1119" s="100" t="s">
        <v>507</v>
      </c>
      <c r="V1119" s="100" t="s">
        <v>293</v>
      </c>
      <c r="W1119" s="100" t="s">
        <v>298</v>
      </c>
      <c r="X1119" s="100" t="s">
        <v>227</v>
      </c>
      <c r="Y1119" s="99"/>
      <c r="Z1119" s="99"/>
      <c r="AA1119" s="100" t="s">
        <v>3450</v>
      </c>
      <c r="AB1119" s="100" t="s">
        <v>528</v>
      </c>
      <c r="AC1119" s="101">
        <v>1</v>
      </c>
      <c r="AD1119" s="101"/>
      <c r="AE1119" s="101"/>
      <c r="AF1119" s="101"/>
      <c r="AG1119" s="101"/>
      <c r="AH1119" s="99"/>
      <c r="AI1119" s="105"/>
    </row>
    <row r="1120" spans="1:35">
      <c r="A1120" s="98"/>
      <c r="B1120" s="99"/>
      <c r="C1120" s="263" t="s">
        <v>3230</v>
      </c>
      <c r="D1120" s="264" t="s">
        <v>79</v>
      </c>
      <c r="E1120" s="264" t="s">
        <v>80</v>
      </c>
      <c r="F1120" s="100" t="s">
        <v>3454</v>
      </c>
      <c r="G1120" s="100" t="s">
        <v>3455</v>
      </c>
      <c r="H1120" s="99"/>
      <c r="I1120" s="247">
        <v>27866</v>
      </c>
      <c r="J1120" s="101">
        <v>1</v>
      </c>
      <c r="K1120" s="101"/>
      <c r="L1120" s="101">
        <v>1</v>
      </c>
      <c r="M1120" s="101"/>
      <c r="N1120" s="101"/>
      <c r="O1120" s="101"/>
      <c r="P1120" s="101"/>
      <c r="Q1120" s="101"/>
      <c r="R1120" s="101"/>
      <c r="S1120" s="101"/>
      <c r="T1120" s="101"/>
      <c r="U1120" s="100" t="s">
        <v>507</v>
      </c>
      <c r="V1120" s="100" t="s">
        <v>293</v>
      </c>
      <c r="W1120" s="100" t="s">
        <v>298</v>
      </c>
      <c r="X1120" s="100" t="s">
        <v>227</v>
      </c>
      <c r="Y1120" s="99"/>
      <c r="Z1120" s="99"/>
      <c r="AA1120" s="100" t="s">
        <v>3450</v>
      </c>
      <c r="AB1120" s="100" t="s">
        <v>528</v>
      </c>
      <c r="AC1120" s="101">
        <v>1</v>
      </c>
      <c r="AD1120" s="101"/>
      <c r="AE1120" s="101"/>
      <c r="AF1120" s="101"/>
      <c r="AG1120" s="101"/>
      <c r="AH1120" s="99"/>
      <c r="AI1120" s="105"/>
    </row>
    <row r="1121" spans="1:35">
      <c r="A1121" s="98"/>
      <c r="B1121" s="99"/>
      <c r="C1121" s="263" t="s">
        <v>3230</v>
      </c>
      <c r="D1121" s="264" t="s">
        <v>79</v>
      </c>
      <c r="E1121" s="264" t="s">
        <v>80</v>
      </c>
      <c r="F1121" s="100" t="s">
        <v>1115</v>
      </c>
      <c r="G1121" s="100" t="s">
        <v>3456</v>
      </c>
      <c r="H1121" s="99"/>
      <c r="I1121" s="247">
        <v>23619</v>
      </c>
      <c r="J1121" s="101">
        <v>1</v>
      </c>
      <c r="K1121" s="101"/>
      <c r="L1121" s="101">
        <v>1</v>
      </c>
      <c r="M1121" s="101"/>
      <c r="N1121" s="101"/>
      <c r="O1121" s="101"/>
      <c r="P1121" s="101"/>
      <c r="Q1121" s="101"/>
      <c r="R1121" s="101"/>
      <c r="S1121" s="101"/>
      <c r="T1121" s="101"/>
      <c r="U1121" s="100" t="s">
        <v>507</v>
      </c>
      <c r="V1121" s="100" t="s">
        <v>293</v>
      </c>
      <c r="W1121" s="100" t="s">
        <v>298</v>
      </c>
      <c r="X1121" s="100" t="s">
        <v>227</v>
      </c>
      <c r="Y1121" s="99"/>
      <c r="Z1121" s="99"/>
      <c r="AA1121" s="100" t="s">
        <v>3450</v>
      </c>
      <c r="AB1121" s="100" t="s">
        <v>528</v>
      </c>
      <c r="AC1121" s="101">
        <v>1</v>
      </c>
      <c r="AD1121" s="101"/>
      <c r="AE1121" s="101"/>
      <c r="AF1121" s="101"/>
      <c r="AG1121" s="101"/>
      <c r="AH1121" s="99"/>
      <c r="AI1121" s="105"/>
    </row>
    <row r="1122" spans="1:35">
      <c r="A1122" s="98"/>
      <c r="B1122" s="99"/>
      <c r="C1122" s="263" t="s">
        <v>3230</v>
      </c>
      <c r="D1122" s="264" t="s">
        <v>79</v>
      </c>
      <c r="E1122" s="264" t="s">
        <v>80</v>
      </c>
      <c r="F1122" s="100" t="s">
        <v>3458</v>
      </c>
      <c r="G1122" s="100" t="s">
        <v>3457</v>
      </c>
      <c r="H1122" s="99"/>
      <c r="I1122" s="251" t="s">
        <v>3473</v>
      </c>
      <c r="J1122" s="101">
        <v>1</v>
      </c>
      <c r="K1122" s="101"/>
      <c r="L1122" s="101">
        <v>1</v>
      </c>
      <c r="M1122" s="101"/>
      <c r="N1122" s="101"/>
      <c r="O1122" s="101"/>
      <c r="P1122" s="101"/>
      <c r="Q1122" s="101"/>
      <c r="R1122" s="101"/>
      <c r="S1122" s="101"/>
      <c r="T1122" s="101"/>
      <c r="U1122" s="100" t="s">
        <v>507</v>
      </c>
      <c r="V1122" s="100" t="s">
        <v>293</v>
      </c>
      <c r="W1122" s="100" t="s">
        <v>298</v>
      </c>
      <c r="X1122" s="100" t="s">
        <v>227</v>
      </c>
      <c r="Y1122" s="99"/>
      <c r="Z1122" s="99"/>
      <c r="AA1122" s="100" t="s">
        <v>3450</v>
      </c>
      <c r="AB1122" s="100" t="s">
        <v>528</v>
      </c>
      <c r="AC1122" s="101">
        <v>1</v>
      </c>
      <c r="AD1122" s="101"/>
      <c r="AE1122" s="101"/>
      <c r="AF1122" s="101"/>
      <c r="AG1122" s="101"/>
      <c r="AH1122" s="99"/>
      <c r="AI1122" s="105"/>
    </row>
    <row r="1123" spans="1:35">
      <c r="A1123" s="98"/>
      <c r="B1123" s="99"/>
      <c r="C1123" s="263" t="s">
        <v>3230</v>
      </c>
      <c r="D1123" s="264" t="s">
        <v>79</v>
      </c>
      <c r="E1123" s="264" t="s">
        <v>80</v>
      </c>
      <c r="F1123" s="100" t="s">
        <v>3458</v>
      </c>
      <c r="G1123" s="100" t="s">
        <v>3459</v>
      </c>
      <c r="H1123" s="99"/>
      <c r="I1123" s="251" t="s">
        <v>3474</v>
      </c>
      <c r="J1123" s="101">
        <v>1</v>
      </c>
      <c r="K1123" s="101"/>
      <c r="L1123" s="101">
        <v>1</v>
      </c>
      <c r="M1123" s="101"/>
      <c r="N1123" s="101"/>
      <c r="O1123" s="101"/>
      <c r="P1123" s="101"/>
      <c r="Q1123" s="101"/>
      <c r="R1123" s="101"/>
      <c r="S1123" s="101"/>
      <c r="T1123" s="101"/>
      <c r="U1123" s="100" t="s">
        <v>507</v>
      </c>
      <c r="V1123" s="100" t="s">
        <v>293</v>
      </c>
      <c r="W1123" s="100" t="s">
        <v>298</v>
      </c>
      <c r="X1123" s="100" t="s">
        <v>227</v>
      </c>
      <c r="Y1123" s="99"/>
      <c r="Z1123" s="99"/>
      <c r="AA1123" s="100" t="s">
        <v>3450</v>
      </c>
      <c r="AB1123" s="100" t="s">
        <v>528</v>
      </c>
      <c r="AC1123" s="101">
        <v>1</v>
      </c>
      <c r="AD1123" s="101"/>
      <c r="AE1123" s="101"/>
      <c r="AF1123" s="101"/>
      <c r="AG1123" s="101"/>
      <c r="AH1123" s="99"/>
      <c r="AI1123" s="105"/>
    </row>
    <row r="1124" spans="1:35">
      <c r="A1124" s="98"/>
      <c r="B1124" s="99"/>
      <c r="C1124" s="263" t="s">
        <v>3230</v>
      </c>
      <c r="D1124" s="264" t="s">
        <v>79</v>
      </c>
      <c r="E1124" s="264" t="s">
        <v>80</v>
      </c>
      <c r="F1124" s="100" t="s">
        <v>3460</v>
      </c>
      <c r="G1124" s="100" t="s">
        <v>1115</v>
      </c>
      <c r="H1124" s="100" t="s">
        <v>136</v>
      </c>
      <c r="I1124" s="247">
        <v>28456</v>
      </c>
      <c r="J1124" s="101">
        <v>1</v>
      </c>
      <c r="K1124" s="101"/>
      <c r="L1124" s="101">
        <v>1</v>
      </c>
      <c r="M1124" s="101"/>
      <c r="N1124" s="101"/>
      <c r="O1124" s="101"/>
      <c r="P1124" s="101"/>
      <c r="Q1124" s="101"/>
      <c r="R1124" s="101"/>
      <c r="S1124" s="101"/>
      <c r="T1124" s="101"/>
      <c r="U1124" s="100" t="s">
        <v>507</v>
      </c>
      <c r="V1124" s="100" t="s">
        <v>293</v>
      </c>
      <c r="W1124" s="100" t="s">
        <v>298</v>
      </c>
      <c r="X1124" s="100" t="s">
        <v>227</v>
      </c>
      <c r="Y1124" s="99"/>
      <c r="Z1124" s="99"/>
      <c r="AA1124" s="100" t="s">
        <v>3450</v>
      </c>
      <c r="AB1124" s="100" t="s">
        <v>528</v>
      </c>
      <c r="AC1124" s="101">
        <v>1</v>
      </c>
      <c r="AD1124" s="101"/>
      <c r="AE1124" s="101"/>
      <c r="AF1124" s="101"/>
      <c r="AG1124" s="101"/>
      <c r="AH1124" s="99"/>
      <c r="AI1124" s="105"/>
    </row>
    <row r="1125" spans="1:35">
      <c r="A1125" s="98"/>
      <c r="B1125" s="99"/>
      <c r="C1125" s="263" t="s">
        <v>3230</v>
      </c>
      <c r="D1125" s="264" t="s">
        <v>79</v>
      </c>
      <c r="E1125" s="264" t="s">
        <v>80</v>
      </c>
      <c r="F1125" s="100" t="s">
        <v>3460</v>
      </c>
      <c r="G1125" s="100" t="s">
        <v>3461</v>
      </c>
      <c r="H1125" s="100" t="s">
        <v>136</v>
      </c>
      <c r="I1125" s="247">
        <v>29809</v>
      </c>
      <c r="J1125" s="101">
        <v>1</v>
      </c>
      <c r="K1125" s="101"/>
      <c r="L1125" s="101">
        <v>1</v>
      </c>
      <c r="M1125" s="101"/>
      <c r="N1125" s="101"/>
      <c r="O1125" s="101"/>
      <c r="P1125" s="101"/>
      <c r="Q1125" s="101"/>
      <c r="R1125" s="101"/>
      <c r="S1125" s="101"/>
      <c r="T1125" s="101"/>
      <c r="U1125" s="100" t="s">
        <v>507</v>
      </c>
      <c r="V1125" s="100" t="s">
        <v>293</v>
      </c>
      <c r="W1125" s="100" t="s">
        <v>298</v>
      </c>
      <c r="X1125" s="100" t="s">
        <v>227</v>
      </c>
      <c r="Y1125" s="99"/>
      <c r="Z1125" s="99"/>
      <c r="AA1125" s="100" t="s">
        <v>3450</v>
      </c>
      <c r="AB1125" s="100" t="s">
        <v>528</v>
      </c>
      <c r="AC1125" s="101">
        <v>1</v>
      </c>
      <c r="AD1125" s="101"/>
      <c r="AE1125" s="101"/>
      <c r="AF1125" s="101"/>
      <c r="AG1125" s="101"/>
      <c r="AH1125" s="99"/>
      <c r="AI1125" s="105"/>
    </row>
    <row r="1126" spans="1:35">
      <c r="A1126" s="98"/>
      <c r="B1126" s="99"/>
      <c r="C1126" s="263" t="s">
        <v>3230</v>
      </c>
      <c r="D1126" s="264" t="s">
        <v>79</v>
      </c>
      <c r="E1126" s="264" t="s">
        <v>80</v>
      </c>
      <c r="F1126" s="100" t="s">
        <v>3462</v>
      </c>
      <c r="G1126" s="100" t="s">
        <v>3463</v>
      </c>
      <c r="H1126" s="100" t="s">
        <v>126</v>
      </c>
      <c r="I1126" s="251" t="s">
        <v>3475</v>
      </c>
      <c r="J1126" s="101"/>
      <c r="K1126" s="101">
        <v>1</v>
      </c>
      <c r="L1126" s="101">
        <v>1</v>
      </c>
      <c r="M1126" s="101"/>
      <c r="N1126" s="101"/>
      <c r="O1126" s="101"/>
      <c r="P1126" s="101"/>
      <c r="Q1126" s="101"/>
      <c r="R1126" s="101"/>
      <c r="S1126" s="101"/>
      <c r="T1126" s="101"/>
      <c r="U1126" s="100" t="s">
        <v>507</v>
      </c>
      <c r="V1126" s="100" t="s">
        <v>293</v>
      </c>
      <c r="W1126" s="100" t="s">
        <v>298</v>
      </c>
      <c r="X1126" s="100" t="s">
        <v>227</v>
      </c>
      <c r="Y1126" s="99"/>
      <c r="Z1126" s="99"/>
      <c r="AA1126" s="100" t="s">
        <v>3450</v>
      </c>
      <c r="AB1126" s="100" t="s">
        <v>528</v>
      </c>
      <c r="AC1126" s="101">
        <v>1</v>
      </c>
      <c r="AD1126" s="101"/>
      <c r="AE1126" s="101"/>
      <c r="AF1126" s="101"/>
      <c r="AG1126" s="101"/>
      <c r="AH1126" s="99"/>
      <c r="AI1126" s="105"/>
    </row>
    <row r="1127" spans="1:35">
      <c r="A1127" s="98"/>
      <c r="B1127" s="99"/>
      <c r="C1127" s="263" t="s">
        <v>3230</v>
      </c>
      <c r="D1127" s="264" t="s">
        <v>79</v>
      </c>
      <c r="E1127" s="264" t="s">
        <v>80</v>
      </c>
      <c r="F1127" s="100" t="s">
        <v>3464</v>
      </c>
      <c r="G1127" s="100" t="s">
        <v>2036</v>
      </c>
      <c r="H1127" s="100" t="s">
        <v>133</v>
      </c>
      <c r="I1127" s="247">
        <v>32792</v>
      </c>
      <c r="J1127" s="101">
        <v>1</v>
      </c>
      <c r="K1127" s="101"/>
      <c r="L1127" s="101">
        <v>1</v>
      </c>
      <c r="M1127" s="101"/>
      <c r="N1127" s="101"/>
      <c r="O1127" s="101"/>
      <c r="P1127" s="101"/>
      <c r="Q1127" s="101"/>
      <c r="R1127" s="101"/>
      <c r="S1127" s="101"/>
      <c r="T1127" s="101"/>
      <c r="U1127" s="100" t="s">
        <v>507</v>
      </c>
      <c r="V1127" s="100" t="s">
        <v>293</v>
      </c>
      <c r="W1127" s="100" t="s">
        <v>298</v>
      </c>
      <c r="X1127" s="100" t="s">
        <v>227</v>
      </c>
      <c r="Y1127" s="99"/>
      <c r="Z1127" s="99"/>
      <c r="AA1127" s="100" t="s">
        <v>3450</v>
      </c>
      <c r="AB1127" s="100" t="s">
        <v>528</v>
      </c>
      <c r="AC1127" s="101">
        <v>1</v>
      </c>
      <c r="AD1127" s="101"/>
      <c r="AE1127" s="101"/>
      <c r="AF1127" s="101"/>
      <c r="AG1127" s="101"/>
      <c r="AH1127" s="99"/>
      <c r="AI1127" s="105"/>
    </row>
    <row r="1128" spans="1:35">
      <c r="A1128" s="98"/>
      <c r="B1128" s="99"/>
      <c r="C1128" s="263" t="s">
        <v>3230</v>
      </c>
      <c r="D1128" s="264" t="s">
        <v>79</v>
      </c>
      <c r="E1128" s="264" t="s">
        <v>80</v>
      </c>
      <c r="F1128" s="100" t="s">
        <v>3465</v>
      </c>
      <c r="G1128" s="100" t="s">
        <v>3466</v>
      </c>
      <c r="H1128" s="99"/>
      <c r="I1128" s="247">
        <v>35661</v>
      </c>
      <c r="J1128" s="101">
        <v>1</v>
      </c>
      <c r="K1128" s="101"/>
      <c r="L1128" s="101">
        <v>1</v>
      </c>
      <c r="M1128" s="101"/>
      <c r="N1128" s="101"/>
      <c r="O1128" s="101"/>
      <c r="P1128" s="101"/>
      <c r="Q1128" s="101"/>
      <c r="R1128" s="101"/>
      <c r="S1128" s="101"/>
      <c r="T1128" s="101"/>
      <c r="U1128" s="100" t="s">
        <v>507</v>
      </c>
      <c r="V1128" s="100" t="s">
        <v>293</v>
      </c>
      <c r="W1128" s="100" t="s">
        <v>298</v>
      </c>
      <c r="X1128" s="100" t="s">
        <v>227</v>
      </c>
      <c r="Y1128" s="99"/>
      <c r="Z1128" s="99"/>
      <c r="AA1128" s="100" t="s">
        <v>3450</v>
      </c>
      <c r="AB1128" s="100" t="s">
        <v>528</v>
      </c>
      <c r="AC1128" s="101">
        <v>1</v>
      </c>
      <c r="AD1128" s="101"/>
      <c r="AE1128" s="101"/>
      <c r="AF1128" s="101"/>
      <c r="AG1128" s="101"/>
      <c r="AH1128" s="99"/>
      <c r="AI1128" s="105"/>
    </row>
    <row r="1129" spans="1:35">
      <c r="A1129" s="98"/>
      <c r="B1129" s="99"/>
      <c r="C1129" s="263" t="s">
        <v>3230</v>
      </c>
      <c r="D1129" s="264" t="s">
        <v>79</v>
      </c>
      <c r="E1129" s="264" t="s">
        <v>80</v>
      </c>
      <c r="F1129" s="100" t="s">
        <v>3467</v>
      </c>
      <c r="G1129" s="100" t="s">
        <v>3421</v>
      </c>
      <c r="H1129" s="100" t="s">
        <v>136</v>
      </c>
      <c r="I1129" s="247">
        <v>23524</v>
      </c>
      <c r="J1129" s="101">
        <v>1</v>
      </c>
      <c r="K1129" s="101"/>
      <c r="L1129" s="101">
        <v>1</v>
      </c>
      <c r="M1129" s="101"/>
      <c r="N1129" s="101"/>
      <c r="O1129" s="101"/>
      <c r="P1129" s="101"/>
      <c r="Q1129" s="101"/>
      <c r="R1129" s="101"/>
      <c r="S1129" s="101"/>
      <c r="T1129" s="101"/>
      <c r="U1129" s="100" t="s">
        <v>507</v>
      </c>
      <c r="V1129" s="100" t="s">
        <v>293</v>
      </c>
      <c r="W1129" s="100" t="s">
        <v>298</v>
      </c>
      <c r="X1129" s="100" t="s">
        <v>227</v>
      </c>
      <c r="Y1129" s="99"/>
      <c r="Z1129" s="99"/>
      <c r="AA1129" s="100" t="s">
        <v>3450</v>
      </c>
      <c r="AB1129" s="100" t="s">
        <v>528</v>
      </c>
      <c r="AC1129" s="101">
        <v>1</v>
      </c>
      <c r="AD1129" s="101"/>
      <c r="AE1129" s="101"/>
      <c r="AF1129" s="101"/>
      <c r="AG1129" s="101"/>
      <c r="AH1129" s="99"/>
      <c r="AI1129" s="105"/>
    </row>
    <row r="1130" spans="1:35">
      <c r="A1130" s="98"/>
      <c r="B1130" s="99"/>
      <c r="C1130" s="263" t="s">
        <v>3230</v>
      </c>
      <c r="D1130" s="264" t="s">
        <v>79</v>
      </c>
      <c r="E1130" s="264" t="s">
        <v>80</v>
      </c>
      <c r="F1130" s="100" t="s">
        <v>3468</v>
      </c>
      <c r="G1130" s="100" t="s">
        <v>3469</v>
      </c>
      <c r="H1130" s="99"/>
      <c r="I1130" s="247">
        <v>28238</v>
      </c>
      <c r="J1130" s="101">
        <v>1</v>
      </c>
      <c r="K1130" s="101"/>
      <c r="L1130" s="101">
        <v>1</v>
      </c>
      <c r="M1130" s="101"/>
      <c r="N1130" s="101"/>
      <c r="O1130" s="101"/>
      <c r="P1130" s="101"/>
      <c r="Q1130" s="101"/>
      <c r="R1130" s="101"/>
      <c r="S1130" s="101"/>
      <c r="T1130" s="101"/>
      <c r="U1130" s="100" t="s">
        <v>507</v>
      </c>
      <c r="V1130" s="100" t="s">
        <v>293</v>
      </c>
      <c r="W1130" s="100" t="s">
        <v>298</v>
      </c>
      <c r="X1130" s="100" t="s">
        <v>227</v>
      </c>
      <c r="Y1130" s="99"/>
      <c r="Z1130" s="99"/>
      <c r="AA1130" s="100" t="s">
        <v>3450</v>
      </c>
      <c r="AB1130" s="100" t="s">
        <v>528</v>
      </c>
      <c r="AC1130" s="101">
        <v>1</v>
      </c>
      <c r="AD1130" s="101"/>
      <c r="AE1130" s="101"/>
      <c r="AF1130" s="101"/>
      <c r="AG1130" s="101"/>
      <c r="AH1130" s="99"/>
      <c r="AI1130" s="105"/>
    </row>
    <row r="1131" spans="1:35">
      <c r="A1131" s="98"/>
      <c r="B1131" s="99"/>
      <c r="C1131" s="263" t="s">
        <v>3230</v>
      </c>
      <c r="D1131" s="264" t="s">
        <v>79</v>
      </c>
      <c r="E1131" s="264" t="s">
        <v>80</v>
      </c>
      <c r="F1131" s="100" t="s">
        <v>3467</v>
      </c>
      <c r="G1131" s="100" t="s">
        <v>3470</v>
      </c>
      <c r="H1131" s="100" t="s">
        <v>588</v>
      </c>
      <c r="I1131" s="247">
        <v>34176</v>
      </c>
      <c r="J1131" s="101">
        <v>1</v>
      </c>
      <c r="K1131" s="101"/>
      <c r="L1131" s="101">
        <v>1</v>
      </c>
      <c r="M1131" s="101"/>
      <c r="N1131" s="101"/>
      <c r="O1131" s="101"/>
      <c r="P1131" s="101"/>
      <c r="Q1131" s="101"/>
      <c r="R1131" s="101"/>
      <c r="S1131" s="101"/>
      <c r="T1131" s="101"/>
      <c r="U1131" s="100" t="s">
        <v>507</v>
      </c>
      <c r="V1131" s="100" t="s">
        <v>293</v>
      </c>
      <c r="W1131" s="100" t="s">
        <v>298</v>
      </c>
      <c r="X1131" s="100" t="s">
        <v>227</v>
      </c>
      <c r="Y1131" s="99"/>
      <c r="Z1131" s="99"/>
      <c r="AA1131" s="100" t="s">
        <v>3450</v>
      </c>
      <c r="AB1131" s="100" t="s">
        <v>528</v>
      </c>
      <c r="AC1131" s="101">
        <v>1</v>
      </c>
      <c r="AD1131" s="101"/>
      <c r="AE1131" s="101"/>
      <c r="AF1131" s="101"/>
      <c r="AG1131" s="101"/>
      <c r="AH1131" s="99"/>
      <c r="AI1131" s="105"/>
    </row>
    <row r="1132" spans="1:35">
      <c r="A1132" s="98"/>
      <c r="B1132" s="99"/>
      <c r="C1132" s="263" t="s">
        <v>3230</v>
      </c>
      <c r="D1132" s="264" t="s">
        <v>79</v>
      </c>
      <c r="E1132" s="264" t="s">
        <v>80</v>
      </c>
      <c r="F1132" s="100" t="s">
        <v>3471</v>
      </c>
      <c r="G1132" s="100" t="s">
        <v>3472</v>
      </c>
      <c r="H1132" s="99"/>
      <c r="I1132" s="247">
        <v>23391</v>
      </c>
      <c r="J1132" s="101">
        <v>1</v>
      </c>
      <c r="K1132" s="101"/>
      <c r="L1132" s="101">
        <v>1</v>
      </c>
      <c r="M1132" s="101"/>
      <c r="N1132" s="101"/>
      <c r="O1132" s="101"/>
      <c r="P1132" s="101"/>
      <c r="Q1132" s="101"/>
      <c r="R1132" s="101"/>
      <c r="S1132" s="101"/>
      <c r="T1132" s="101"/>
      <c r="U1132" s="100" t="s">
        <v>507</v>
      </c>
      <c r="V1132" s="100" t="s">
        <v>293</v>
      </c>
      <c r="W1132" s="100" t="s">
        <v>298</v>
      </c>
      <c r="X1132" s="100" t="s">
        <v>227</v>
      </c>
      <c r="Y1132" s="99"/>
      <c r="Z1132" s="99"/>
      <c r="AA1132" s="100" t="s">
        <v>3450</v>
      </c>
      <c r="AB1132" s="100" t="s">
        <v>528</v>
      </c>
      <c r="AC1132" s="101">
        <v>1</v>
      </c>
      <c r="AD1132" s="101"/>
      <c r="AE1132" s="101"/>
      <c r="AF1132" s="101"/>
      <c r="AG1132" s="101"/>
      <c r="AH1132" s="99"/>
      <c r="AI1132" s="105"/>
    </row>
    <row r="1133" spans="1:35">
      <c r="A1133" s="98"/>
      <c r="B1133" s="99"/>
      <c r="C1133" s="263" t="s">
        <v>3230</v>
      </c>
      <c r="D1133" s="264" t="s">
        <v>79</v>
      </c>
      <c r="E1133" s="264" t="s">
        <v>80</v>
      </c>
      <c r="F1133" s="100" t="s">
        <v>1404</v>
      </c>
      <c r="G1133" s="100" t="s">
        <v>3476</v>
      </c>
      <c r="H1133" s="100" t="s">
        <v>136</v>
      </c>
      <c r="I1133" s="247">
        <v>32431</v>
      </c>
      <c r="J1133" s="101">
        <v>1</v>
      </c>
      <c r="K1133" s="101"/>
      <c r="L1133" s="101">
        <v>1</v>
      </c>
      <c r="M1133" s="101"/>
      <c r="N1133" s="101"/>
      <c r="O1133" s="101"/>
      <c r="P1133" s="101"/>
      <c r="Q1133" s="101"/>
      <c r="R1133" s="101"/>
      <c r="S1133" s="101"/>
      <c r="T1133" s="101"/>
      <c r="U1133" s="100" t="s">
        <v>507</v>
      </c>
      <c r="V1133" s="100" t="s">
        <v>293</v>
      </c>
      <c r="W1133" s="100" t="s">
        <v>298</v>
      </c>
      <c r="X1133" s="100" t="s">
        <v>227</v>
      </c>
      <c r="Y1133" s="99"/>
      <c r="Z1133" s="99"/>
      <c r="AA1133" s="100" t="s">
        <v>3450</v>
      </c>
      <c r="AB1133" s="100" t="s">
        <v>528</v>
      </c>
      <c r="AC1133" s="101">
        <v>1</v>
      </c>
      <c r="AD1133" s="101"/>
      <c r="AE1133" s="101"/>
      <c r="AF1133" s="101"/>
      <c r="AG1133" s="101"/>
      <c r="AH1133" s="99"/>
      <c r="AI1133" s="105"/>
    </row>
    <row r="1134" spans="1:35">
      <c r="A1134" s="98"/>
      <c r="B1134" s="99"/>
      <c r="C1134" s="263" t="s">
        <v>3230</v>
      </c>
      <c r="D1134" s="264" t="s">
        <v>79</v>
      </c>
      <c r="E1134" s="264" t="s">
        <v>80</v>
      </c>
      <c r="F1134" s="100" t="s">
        <v>3477</v>
      </c>
      <c r="G1134" s="100" t="s">
        <v>2375</v>
      </c>
      <c r="H1134" s="100" t="s">
        <v>144</v>
      </c>
      <c r="I1134" s="247">
        <v>31943</v>
      </c>
      <c r="J1134" s="101">
        <v>1</v>
      </c>
      <c r="K1134" s="101"/>
      <c r="L1134" s="101">
        <v>1</v>
      </c>
      <c r="M1134" s="101"/>
      <c r="N1134" s="101"/>
      <c r="O1134" s="101"/>
      <c r="P1134" s="101"/>
      <c r="Q1134" s="101"/>
      <c r="R1134" s="101"/>
      <c r="S1134" s="101"/>
      <c r="T1134" s="101"/>
      <c r="U1134" s="100" t="s">
        <v>507</v>
      </c>
      <c r="V1134" s="100" t="s">
        <v>293</v>
      </c>
      <c r="W1134" s="100" t="s">
        <v>298</v>
      </c>
      <c r="X1134" s="100" t="s">
        <v>227</v>
      </c>
      <c r="Y1134" s="99"/>
      <c r="Z1134" s="99"/>
      <c r="AA1134" s="100" t="s">
        <v>3450</v>
      </c>
      <c r="AB1134" s="100" t="s">
        <v>528</v>
      </c>
      <c r="AC1134" s="101">
        <v>1</v>
      </c>
      <c r="AD1134" s="101"/>
      <c r="AE1134" s="101"/>
      <c r="AF1134" s="101"/>
      <c r="AG1134" s="101"/>
      <c r="AH1134" s="99"/>
      <c r="AI1134" s="105"/>
    </row>
    <row r="1135" spans="1:35">
      <c r="A1135" s="98"/>
      <c r="B1135" s="99"/>
      <c r="C1135" s="263" t="s">
        <v>3230</v>
      </c>
      <c r="D1135" s="264" t="s">
        <v>79</v>
      </c>
      <c r="E1135" s="264" t="s">
        <v>80</v>
      </c>
      <c r="F1135" s="100" t="s">
        <v>3478</v>
      </c>
      <c r="G1135" s="100" t="s">
        <v>2036</v>
      </c>
      <c r="H1135" s="100" t="s">
        <v>120</v>
      </c>
      <c r="I1135" s="247">
        <v>32792</v>
      </c>
      <c r="J1135" s="101">
        <v>1</v>
      </c>
      <c r="K1135" s="101"/>
      <c r="L1135" s="101">
        <v>1</v>
      </c>
      <c r="M1135" s="101"/>
      <c r="N1135" s="101"/>
      <c r="O1135" s="101"/>
      <c r="P1135" s="101"/>
      <c r="Q1135" s="101"/>
      <c r="R1135" s="101"/>
      <c r="S1135" s="101"/>
      <c r="T1135" s="101"/>
      <c r="U1135" s="100" t="s">
        <v>507</v>
      </c>
      <c r="V1135" s="100" t="s">
        <v>293</v>
      </c>
      <c r="W1135" s="100" t="s">
        <v>298</v>
      </c>
      <c r="X1135" s="100" t="s">
        <v>227</v>
      </c>
      <c r="Y1135" s="99"/>
      <c r="Z1135" s="99"/>
      <c r="AA1135" s="100" t="s">
        <v>3450</v>
      </c>
      <c r="AB1135" s="100" t="s">
        <v>528</v>
      </c>
      <c r="AC1135" s="101">
        <v>1</v>
      </c>
      <c r="AD1135" s="101"/>
      <c r="AE1135" s="101"/>
      <c r="AF1135" s="101"/>
      <c r="AG1135" s="101"/>
      <c r="AH1135" s="99"/>
      <c r="AI1135" s="105"/>
    </row>
    <row r="1136" spans="1:35">
      <c r="A1136" s="98"/>
      <c r="B1136" s="99"/>
      <c r="C1136" s="263" t="s">
        <v>3230</v>
      </c>
      <c r="D1136" s="264" t="s">
        <v>79</v>
      </c>
      <c r="E1136" s="264" t="s">
        <v>80</v>
      </c>
      <c r="F1136" s="100" t="s">
        <v>3479</v>
      </c>
      <c r="G1136" s="100" t="s">
        <v>1229</v>
      </c>
      <c r="H1136" s="99"/>
      <c r="I1136" s="247">
        <v>30249</v>
      </c>
      <c r="J1136" s="101">
        <v>1</v>
      </c>
      <c r="K1136" s="101"/>
      <c r="L1136" s="101">
        <v>1</v>
      </c>
      <c r="M1136" s="101"/>
      <c r="N1136" s="101"/>
      <c r="O1136" s="101"/>
      <c r="P1136" s="101"/>
      <c r="Q1136" s="101"/>
      <c r="R1136" s="101"/>
      <c r="S1136" s="101"/>
      <c r="T1136" s="101"/>
      <c r="U1136" s="100" t="s">
        <v>507</v>
      </c>
      <c r="V1136" s="100" t="s">
        <v>293</v>
      </c>
      <c r="W1136" s="100" t="s">
        <v>298</v>
      </c>
      <c r="X1136" s="100" t="s">
        <v>227</v>
      </c>
      <c r="Y1136" s="99"/>
      <c r="Z1136" s="99"/>
      <c r="AA1136" s="100" t="s">
        <v>3450</v>
      </c>
      <c r="AB1136" s="100" t="s">
        <v>528</v>
      </c>
      <c r="AC1136" s="101">
        <v>1</v>
      </c>
      <c r="AD1136" s="101"/>
      <c r="AE1136" s="101"/>
      <c r="AF1136" s="101"/>
      <c r="AG1136" s="101"/>
      <c r="AH1136" s="99"/>
      <c r="AI1136" s="105"/>
    </row>
    <row r="1137" spans="1:35">
      <c r="A1137" s="98"/>
      <c r="B1137" s="99"/>
      <c r="C1137" s="263" t="s">
        <v>3230</v>
      </c>
      <c r="D1137" s="264" t="s">
        <v>79</v>
      </c>
      <c r="E1137" s="264" t="s">
        <v>80</v>
      </c>
      <c r="F1137" s="100" t="s">
        <v>3480</v>
      </c>
      <c r="G1137" s="100" t="s">
        <v>3481</v>
      </c>
      <c r="H1137" s="99"/>
      <c r="I1137" s="247"/>
      <c r="J1137" s="101">
        <v>1</v>
      </c>
      <c r="K1137" s="101"/>
      <c r="L1137" s="101">
        <v>1</v>
      </c>
      <c r="M1137" s="101"/>
      <c r="N1137" s="101"/>
      <c r="O1137" s="101"/>
      <c r="P1137" s="101"/>
      <c r="Q1137" s="101"/>
      <c r="R1137" s="101"/>
      <c r="S1137" s="101"/>
      <c r="T1137" s="101"/>
      <c r="U1137" s="100" t="s">
        <v>507</v>
      </c>
      <c r="V1137" s="100" t="s">
        <v>293</v>
      </c>
      <c r="W1137" s="100" t="s">
        <v>298</v>
      </c>
      <c r="X1137" s="100" t="s">
        <v>227</v>
      </c>
      <c r="Y1137" s="99"/>
      <c r="Z1137" s="99"/>
      <c r="AA1137" s="100" t="s">
        <v>3450</v>
      </c>
      <c r="AB1137" s="100" t="s">
        <v>528</v>
      </c>
      <c r="AC1137" s="101">
        <v>1</v>
      </c>
      <c r="AD1137" s="101"/>
      <c r="AE1137" s="101"/>
      <c r="AF1137" s="101"/>
      <c r="AG1137" s="101"/>
      <c r="AH1137" s="99"/>
      <c r="AI1137" s="105"/>
    </row>
    <row r="1138" spans="1:35">
      <c r="A1138" s="98"/>
      <c r="B1138" s="99"/>
      <c r="C1138" s="263" t="s">
        <v>3230</v>
      </c>
      <c r="D1138" s="264" t="s">
        <v>79</v>
      </c>
      <c r="E1138" s="264" t="s">
        <v>80</v>
      </c>
      <c r="F1138" s="100" t="s">
        <v>329</v>
      </c>
      <c r="G1138" s="100" t="s">
        <v>3482</v>
      </c>
      <c r="H1138" s="99"/>
      <c r="I1138" s="247">
        <v>29858</v>
      </c>
      <c r="J1138" s="101"/>
      <c r="K1138" s="101">
        <v>1</v>
      </c>
      <c r="L1138" s="101">
        <v>1</v>
      </c>
      <c r="M1138" s="101"/>
      <c r="N1138" s="101"/>
      <c r="O1138" s="101"/>
      <c r="P1138" s="101"/>
      <c r="Q1138" s="101"/>
      <c r="R1138" s="101"/>
      <c r="S1138" s="101"/>
      <c r="T1138" s="101"/>
      <c r="U1138" s="100" t="s">
        <v>507</v>
      </c>
      <c r="V1138" s="100" t="s">
        <v>293</v>
      </c>
      <c r="W1138" s="100" t="s">
        <v>298</v>
      </c>
      <c r="X1138" s="100" t="s">
        <v>227</v>
      </c>
      <c r="Y1138" s="99"/>
      <c r="Z1138" s="99"/>
      <c r="AA1138" s="100" t="s">
        <v>3450</v>
      </c>
      <c r="AB1138" s="100" t="s">
        <v>528</v>
      </c>
      <c r="AC1138" s="101">
        <v>1</v>
      </c>
      <c r="AD1138" s="101"/>
      <c r="AE1138" s="101"/>
      <c r="AF1138" s="101"/>
      <c r="AG1138" s="101"/>
      <c r="AH1138" s="99"/>
      <c r="AI1138" s="105"/>
    </row>
    <row r="1139" spans="1:35">
      <c r="A1139" s="98"/>
      <c r="B1139" s="99"/>
      <c r="C1139" s="263" t="s">
        <v>3230</v>
      </c>
      <c r="D1139" s="264" t="s">
        <v>79</v>
      </c>
      <c r="E1139" s="264" t="s">
        <v>80</v>
      </c>
      <c r="F1139" s="100" t="s">
        <v>3483</v>
      </c>
      <c r="G1139" s="100" t="s">
        <v>3484</v>
      </c>
      <c r="H1139" s="100" t="s">
        <v>283</v>
      </c>
      <c r="I1139" s="247">
        <v>30922</v>
      </c>
      <c r="J1139" s="101">
        <v>1</v>
      </c>
      <c r="K1139" s="101"/>
      <c r="L1139" s="101">
        <v>1</v>
      </c>
      <c r="M1139" s="101"/>
      <c r="N1139" s="101"/>
      <c r="O1139" s="101"/>
      <c r="P1139" s="101"/>
      <c r="Q1139" s="101"/>
      <c r="R1139" s="101"/>
      <c r="S1139" s="101"/>
      <c r="T1139" s="101"/>
      <c r="U1139" s="100" t="s">
        <v>507</v>
      </c>
      <c r="V1139" s="100" t="s">
        <v>293</v>
      </c>
      <c r="W1139" s="100" t="s">
        <v>298</v>
      </c>
      <c r="X1139" s="100" t="s">
        <v>227</v>
      </c>
      <c r="Y1139" s="99"/>
      <c r="Z1139" s="99"/>
      <c r="AA1139" s="100" t="s">
        <v>3450</v>
      </c>
      <c r="AB1139" s="100" t="s">
        <v>528</v>
      </c>
      <c r="AC1139" s="101">
        <v>1</v>
      </c>
      <c r="AD1139" s="101"/>
      <c r="AE1139" s="101"/>
      <c r="AF1139" s="101"/>
      <c r="AG1139" s="101"/>
      <c r="AH1139" s="99"/>
      <c r="AI1139" s="105"/>
    </row>
    <row r="1140" spans="1:35">
      <c r="A1140" s="98"/>
      <c r="B1140" s="99"/>
      <c r="C1140" s="263" t="s">
        <v>3230</v>
      </c>
      <c r="D1140" s="264" t="s">
        <v>79</v>
      </c>
      <c r="E1140" s="264" t="s">
        <v>80</v>
      </c>
      <c r="F1140" s="100" t="s">
        <v>3485</v>
      </c>
      <c r="G1140" s="100" t="s">
        <v>2255</v>
      </c>
      <c r="H1140" s="99"/>
      <c r="I1140" s="247"/>
      <c r="J1140" s="101">
        <v>1</v>
      </c>
      <c r="K1140" s="101"/>
      <c r="L1140" s="101">
        <v>1</v>
      </c>
      <c r="M1140" s="101"/>
      <c r="N1140" s="101"/>
      <c r="O1140" s="101"/>
      <c r="P1140" s="101"/>
      <c r="Q1140" s="101"/>
      <c r="R1140" s="101"/>
      <c r="S1140" s="101"/>
      <c r="T1140" s="101"/>
      <c r="U1140" s="100" t="s">
        <v>507</v>
      </c>
      <c r="V1140" s="100" t="s">
        <v>293</v>
      </c>
      <c r="W1140" s="100" t="s">
        <v>298</v>
      </c>
      <c r="X1140" s="100" t="s">
        <v>227</v>
      </c>
      <c r="Y1140" s="99"/>
      <c r="Z1140" s="99"/>
      <c r="AA1140" s="100" t="s">
        <v>3450</v>
      </c>
      <c r="AB1140" s="100" t="s">
        <v>528</v>
      </c>
      <c r="AC1140" s="101">
        <v>1</v>
      </c>
      <c r="AD1140" s="101"/>
      <c r="AE1140" s="101"/>
      <c r="AF1140" s="101"/>
      <c r="AG1140" s="101"/>
      <c r="AH1140" s="99"/>
      <c r="AI1140" s="105"/>
    </row>
    <row r="1141" spans="1:35">
      <c r="A1141" s="98"/>
      <c r="B1141" s="99"/>
      <c r="C1141" s="263" t="s">
        <v>3230</v>
      </c>
      <c r="D1141" s="264" t="s">
        <v>79</v>
      </c>
      <c r="E1141" s="264" t="s">
        <v>80</v>
      </c>
      <c r="F1141" s="100" t="s">
        <v>3486</v>
      </c>
      <c r="G1141" s="100" t="s">
        <v>994</v>
      </c>
      <c r="H1141" s="100" t="s">
        <v>160</v>
      </c>
      <c r="I1141" s="247">
        <v>37197</v>
      </c>
      <c r="J1141" s="101">
        <v>1</v>
      </c>
      <c r="K1141" s="101"/>
      <c r="L1141" s="101">
        <v>1</v>
      </c>
      <c r="M1141" s="101"/>
      <c r="N1141" s="101"/>
      <c r="O1141" s="101"/>
      <c r="P1141" s="101"/>
      <c r="Q1141" s="101"/>
      <c r="R1141" s="101"/>
      <c r="S1141" s="101"/>
      <c r="T1141" s="101"/>
      <c r="U1141" s="100" t="s">
        <v>507</v>
      </c>
      <c r="V1141" s="100" t="s">
        <v>293</v>
      </c>
      <c r="W1141" s="100" t="s">
        <v>298</v>
      </c>
      <c r="X1141" s="100" t="s">
        <v>227</v>
      </c>
      <c r="Y1141" s="99"/>
      <c r="Z1141" s="99"/>
      <c r="AA1141" s="100" t="s">
        <v>3450</v>
      </c>
      <c r="AB1141" s="100" t="s">
        <v>528</v>
      </c>
      <c r="AC1141" s="101">
        <v>1</v>
      </c>
      <c r="AD1141" s="101"/>
      <c r="AE1141" s="101"/>
      <c r="AF1141" s="101"/>
      <c r="AG1141" s="101"/>
      <c r="AH1141" s="99"/>
      <c r="AI1141" s="105"/>
    </row>
    <row r="1142" spans="1:35">
      <c r="A1142" s="98"/>
      <c r="B1142" s="99"/>
      <c r="C1142" s="263" t="s">
        <v>3230</v>
      </c>
      <c r="D1142" s="264" t="s">
        <v>79</v>
      </c>
      <c r="E1142" s="264" t="s">
        <v>80</v>
      </c>
      <c r="F1142" s="100" t="s">
        <v>3487</v>
      </c>
      <c r="G1142" s="100" t="s">
        <v>3488</v>
      </c>
      <c r="H1142" s="99"/>
      <c r="I1142" s="247">
        <v>29909</v>
      </c>
      <c r="J1142" s="101">
        <v>1</v>
      </c>
      <c r="K1142" s="101"/>
      <c r="L1142" s="101">
        <v>1</v>
      </c>
      <c r="M1142" s="101"/>
      <c r="N1142" s="101"/>
      <c r="O1142" s="101"/>
      <c r="P1142" s="101"/>
      <c r="Q1142" s="101"/>
      <c r="R1142" s="101"/>
      <c r="S1142" s="101"/>
      <c r="T1142" s="101"/>
      <c r="U1142" s="100" t="s">
        <v>507</v>
      </c>
      <c r="V1142" s="100" t="s">
        <v>293</v>
      </c>
      <c r="W1142" s="100" t="s">
        <v>298</v>
      </c>
      <c r="X1142" s="100" t="s">
        <v>227</v>
      </c>
      <c r="Y1142" s="99"/>
      <c r="Z1142" s="99"/>
      <c r="AA1142" s="100" t="s">
        <v>3450</v>
      </c>
      <c r="AB1142" s="100" t="s">
        <v>528</v>
      </c>
      <c r="AC1142" s="101">
        <v>1</v>
      </c>
      <c r="AD1142" s="101"/>
      <c r="AE1142" s="101"/>
      <c r="AF1142" s="101"/>
      <c r="AG1142" s="101"/>
      <c r="AH1142" s="99"/>
      <c r="AI1142" s="105"/>
    </row>
    <row r="1143" spans="1:35">
      <c r="A1143" s="98"/>
      <c r="B1143" s="99"/>
      <c r="C1143" s="263" t="s">
        <v>3230</v>
      </c>
      <c r="D1143" s="264" t="s">
        <v>79</v>
      </c>
      <c r="E1143" s="264" t="s">
        <v>80</v>
      </c>
      <c r="F1143" s="100" t="s">
        <v>612</v>
      </c>
      <c r="G1143" s="100" t="s">
        <v>400</v>
      </c>
      <c r="H1143" s="100" t="s">
        <v>202</v>
      </c>
      <c r="I1143" s="247">
        <v>28699</v>
      </c>
      <c r="J1143" s="101">
        <v>1</v>
      </c>
      <c r="K1143" s="101"/>
      <c r="L1143" s="101">
        <v>1</v>
      </c>
      <c r="M1143" s="101"/>
      <c r="N1143" s="101"/>
      <c r="O1143" s="101"/>
      <c r="P1143" s="101"/>
      <c r="Q1143" s="101"/>
      <c r="R1143" s="101"/>
      <c r="S1143" s="101"/>
      <c r="T1143" s="101"/>
      <c r="U1143" s="100" t="s">
        <v>507</v>
      </c>
      <c r="V1143" s="100" t="s">
        <v>293</v>
      </c>
      <c r="W1143" s="100" t="s">
        <v>298</v>
      </c>
      <c r="X1143" s="100" t="s">
        <v>227</v>
      </c>
      <c r="Y1143" s="99"/>
      <c r="Z1143" s="99"/>
      <c r="AA1143" s="100" t="s">
        <v>3450</v>
      </c>
      <c r="AB1143" s="100" t="s">
        <v>528</v>
      </c>
      <c r="AC1143" s="101">
        <v>1</v>
      </c>
      <c r="AD1143" s="101"/>
      <c r="AE1143" s="101"/>
      <c r="AF1143" s="101"/>
      <c r="AG1143" s="101"/>
      <c r="AH1143" s="99"/>
      <c r="AI1143" s="105"/>
    </row>
    <row r="1144" spans="1:35">
      <c r="A1144" s="98"/>
      <c r="B1144" s="99"/>
      <c r="C1144" s="263" t="s">
        <v>3230</v>
      </c>
      <c r="D1144" s="264" t="s">
        <v>79</v>
      </c>
      <c r="E1144" s="264" t="s">
        <v>80</v>
      </c>
      <c r="F1144" s="100" t="s">
        <v>3460</v>
      </c>
      <c r="G1144" s="100" t="s">
        <v>3489</v>
      </c>
      <c r="H1144" s="99"/>
      <c r="I1144" s="247">
        <v>29444</v>
      </c>
      <c r="J1144" s="101">
        <v>1</v>
      </c>
      <c r="K1144" s="101"/>
      <c r="L1144" s="101">
        <v>1</v>
      </c>
      <c r="M1144" s="101"/>
      <c r="N1144" s="101"/>
      <c r="O1144" s="101"/>
      <c r="P1144" s="101"/>
      <c r="Q1144" s="101"/>
      <c r="R1144" s="101"/>
      <c r="S1144" s="101"/>
      <c r="T1144" s="101"/>
      <c r="U1144" s="100" t="s">
        <v>507</v>
      </c>
      <c r="V1144" s="100" t="s">
        <v>293</v>
      </c>
      <c r="W1144" s="100" t="s">
        <v>298</v>
      </c>
      <c r="X1144" s="100" t="s">
        <v>227</v>
      </c>
      <c r="Y1144" s="99"/>
      <c r="Z1144" s="99"/>
      <c r="AA1144" s="100" t="s">
        <v>3450</v>
      </c>
      <c r="AB1144" s="100" t="s">
        <v>528</v>
      </c>
      <c r="AC1144" s="101">
        <v>1</v>
      </c>
      <c r="AD1144" s="101"/>
      <c r="AE1144" s="101"/>
      <c r="AF1144" s="101"/>
      <c r="AG1144" s="101"/>
      <c r="AH1144" s="99"/>
      <c r="AI1144" s="105"/>
    </row>
    <row r="1145" spans="1:35">
      <c r="A1145" s="98"/>
      <c r="B1145" s="99"/>
      <c r="C1145" s="263" t="s">
        <v>3230</v>
      </c>
      <c r="D1145" s="264" t="s">
        <v>79</v>
      </c>
      <c r="E1145" s="264" t="s">
        <v>80</v>
      </c>
      <c r="F1145" s="100" t="s">
        <v>3490</v>
      </c>
      <c r="G1145" s="100" t="s">
        <v>3491</v>
      </c>
      <c r="H1145" s="99"/>
      <c r="I1145" s="247">
        <v>35855</v>
      </c>
      <c r="J1145" s="101">
        <v>1</v>
      </c>
      <c r="K1145" s="101"/>
      <c r="L1145" s="101">
        <v>1</v>
      </c>
      <c r="M1145" s="101"/>
      <c r="N1145" s="101"/>
      <c r="O1145" s="101"/>
      <c r="P1145" s="101"/>
      <c r="Q1145" s="101"/>
      <c r="R1145" s="101"/>
      <c r="S1145" s="101"/>
      <c r="T1145" s="101"/>
      <c r="U1145" s="100" t="s">
        <v>507</v>
      </c>
      <c r="V1145" s="100" t="s">
        <v>293</v>
      </c>
      <c r="W1145" s="100" t="s">
        <v>298</v>
      </c>
      <c r="X1145" s="100" t="s">
        <v>227</v>
      </c>
      <c r="Y1145" s="99"/>
      <c r="Z1145" s="99"/>
      <c r="AA1145" s="100" t="s">
        <v>3450</v>
      </c>
      <c r="AB1145" s="100" t="s">
        <v>528</v>
      </c>
      <c r="AC1145" s="101">
        <v>1</v>
      </c>
      <c r="AD1145" s="101"/>
      <c r="AE1145" s="101"/>
      <c r="AF1145" s="101"/>
      <c r="AG1145" s="101"/>
      <c r="AH1145" s="99"/>
      <c r="AI1145" s="105"/>
    </row>
    <row r="1146" spans="1:35">
      <c r="A1146" s="98"/>
      <c r="B1146" s="99"/>
      <c r="C1146" s="263" t="s">
        <v>3230</v>
      </c>
      <c r="D1146" s="264" t="s">
        <v>79</v>
      </c>
      <c r="E1146" s="264" t="s">
        <v>80</v>
      </c>
      <c r="F1146" s="100" t="s">
        <v>3492</v>
      </c>
      <c r="G1146" s="100" t="s">
        <v>3493</v>
      </c>
      <c r="H1146" s="99"/>
      <c r="I1146" s="247">
        <v>30469</v>
      </c>
      <c r="J1146" s="101">
        <v>1</v>
      </c>
      <c r="K1146" s="101"/>
      <c r="L1146" s="101">
        <v>1</v>
      </c>
      <c r="M1146" s="101"/>
      <c r="N1146" s="101"/>
      <c r="O1146" s="101"/>
      <c r="P1146" s="101"/>
      <c r="Q1146" s="101"/>
      <c r="R1146" s="101"/>
      <c r="S1146" s="101"/>
      <c r="T1146" s="101"/>
      <c r="U1146" s="100" t="s">
        <v>507</v>
      </c>
      <c r="V1146" s="100" t="s">
        <v>293</v>
      </c>
      <c r="W1146" s="100" t="s">
        <v>298</v>
      </c>
      <c r="X1146" s="100" t="s">
        <v>227</v>
      </c>
      <c r="Y1146" s="99"/>
      <c r="Z1146" s="99"/>
      <c r="AA1146" s="100" t="s">
        <v>3450</v>
      </c>
      <c r="AB1146" s="100" t="s">
        <v>528</v>
      </c>
      <c r="AC1146" s="101">
        <v>1</v>
      </c>
      <c r="AD1146" s="101"/>
      <c r="AE1146" s="101"/>
      <c r="AF1146" s="101"/>
      <c r="AG1146" s="101"/>
      <c r="AH1146" s="99"/>
      <c r="AI1146" s="105"/>
    </row>
    <row r="1147" spans="1:35">
      <c r="A1147" s="98"/>
      <c r="B1147" s="99"/>
      <c r="C1147" s="263" t="s">
        <v>3230</v>
      </c>
      <c r="D1147" s="264" t="s">
        <v>79</v>
      </c>
      <c r="E1147" s="264" t="s">
        <v>80</v>
      </c>
      <c r="F1147" s="100" t="s">
        <v>398</v>
      </c>
      <c r="G1147" s="100" t="s">
        <v>3494</v>
      </c>
      <c r="H1147" s="99"/>
      <c r="I1147" s="247">
        <v>21408</v>
      </c>
      <c r="J1147" s="101">
        <v>1</v>
      </c>
      <c r="K1147" s="101"/>
      <c r="L1147" s="101">
        <v>1</v>
      </c>
      <c r="M1147" s="101"/>
      <c r="N1147" s="101"/>
      <c r="O1147" s="101"/>
      <c r="P1147" s="101"/>
      <c r="Q1147" s="101"/>
      <c r="R1147" s="101"/>
      <c r="S1147" s="101"/>
      <c r="T1147" s="101"/>
      <c r="U1147" s="100" t="s">
        <v>507</v>
      </c>
      <c r="V1147" s="100" t="s">
        <v>293</v>
      </c>
      <c r="W1147" s="100" t="s">
        <v>298</v>
      </c>
      <c r="X1147" s="100" t="s">
        <v>227</v>
      </c>
      <c r="Y1147" s="99"/>
      <c r="Z1147" s="99"/>
      <c r="AA1147" s="100" t="s">
        <v>3450</v>
      </c>
      <c r="AB1147" s="100" t="s">
        <v>528</v>
      </c>
      <c r="AC1147" s="101">
        <v>1</v>
      </c>
      <c r="AD1147" s="101"/>
      <c r="AE1147" s="101"/>
      <c r="AF1147" s="101"/>
      <c r="AG1147" s="101"/>
      <c r="AH1147" s="99"/>
      <c r="AI1147" s="105"/>
    </row>
    <row r="1148" spans="1:35">
      <c r="A1148" s="98"/>
      <c r="B1148" s="99"/>
      <c r="C1148" s="263" t="s">
        <v>3230</v>
      </c>
      <c r="D1148" s="264" t="s">
        <v>79</v>
      </c>
      <c r="E1148" s="264" t="s">
        <v>80</v>
      </c>
      <c r="F1148" s="100" t="s">
        <v>3495</v>
      </c>
      <c r="G1148" s="100" t="s">
        <v>3496</v>
      </c>
      <c r="H1148" s="100" t="s">
        <v>160</v>
      </c>
      <c r="I1148" s="247"/>
      <c r="J1148" s="101">
        <v>1</v>
      </c>
      <c r="K1148" s="101"/>
      <c r="L1148" s="101">
        <v>1</v>
      </c>
      <c r="M1148" s="101"/>
      <c r="N1148" s="101"/>
      <c r="O1148" s="101"/>
      <c r="P1148" s="101"/>
      <c r="Q1148" s="101"/>
      <c r="R1148" s="101"/>
      <c r="S1148" s="101"/>
      <c r="T1148" s="101"/>
      <c r="U1148" s="100" t="s">
        <v>507</v>
      </c>
      <c r="V1148" s="100" t="s">
        <v>293</v>
      </c>
      <c r="W1148" s="100" t="s">
        <v>298</v>
      </c>
      <c r="X1148" s="100" t="s">
        <v>227</v>
      </c>
      <c r="Y1148" s="99"/>
      <c r="Z1148" s="99"/>
      <c r="AA1148" s="100" t="s">
        <v>3307</v>
      </c>
      <c r="AB1148" s="100" t="s">
        <v>528</v>
      </c>
      <c r="AC1148" s="101">
        <v>1</v>
      </c>
      <c r="AD1148" s="101"/>
      <c r="AE1148" s="101"/>
      <c r="AF1148" s="101"/>
      <c r="AG1148" s="101"/>
      <c r="AH1148" s="99"/>
      <c r="AI1148" s="105"/>
    </row>
    <row r="1149" spans="1:35">
      <c r="A1149" s="98"/>
      <c r="B1149" s="99"/>
      <c r="C1149" s="263" t="s">
        <v>3230</v>
      </c>
      <c r="D1149" s="264" t="s">
        <v>79</v>
      </c>
      <c r="E1149" s="264" t="s">
        <v>80</v>
      </c>
      <c r="F1149" s="100" t="s">
        <v>3497</v>
      </c>
      <c r="G1149" s="100" t="s">
        <v>1857</v>
      </c>
      <c r="H1149" s="100" t="s">
        <v>115</v>
      </c>
      <c r="I1149" s="247"/>
      <c r="J1149" s="101">
        <v>1</v>
      </c>
      <c r="K1149" s="101"/>
      <c r="L1149" s="101">
        <v>1</v>
      </c>
      <c r="M1149" s="101"/>
      <c r="N1149" s="101"/>
      <c r="O1149" s="101"/>
      <c r="P1149" s="101"/>
      <c r="Q1149" s="101"/>
      <c r="R1149" s="101"/>
      <c r="S1149" s="101"/>
      <c r="T1149" s="101"/>
      <c r="U1149" s="100" t="s">
        <v>507</v>
      </c>
      <c r="V1149" s="100" t="s">
        <v>293</v>
      </c>
      <c r="W1149" s="100" t="s">
        <v>298</v>
      </c>
      <c r="X1149" s="100" t="s">
        <v>227</v>
      </c>
      <c r="Y1149" s="99"/>
      <c r="Z1149" s="99"/>
      <c r="AA1149" s="100" t="s">
        <v>3307</v>
      </c>
      <c r="AB1149" s="100" t="s">
        <v>528</v>
      </c>
      <c r="AC1149" s="101">
        <v>1</v>
      </c>
      <c r="AD1149" s="101"/>
      <c r="AE1149" s="101"/>
      <c r="AF1149" s="101"/>
      <c r="AG1149" s="101"/>
      <c r="AH1149" s="99"/>
      <c r="AI1149" s="105"/>
    </row>
    <row r="1150" spans="1:35">
      <c r="A1150" s="98"/>
      <c r="B1150" s="99"/>
      <c r="C1150" s="263" t="s">
        <v>3230</v>
      </c>
      <c r="D1150" s="264" t="s">
        <v>79</v>
      </c>
      <c r="E1150" s="264" t="s">
        <v>80</v>
      </c>
      <c r="F1150" s="100" t="s">
        <v>3495</v>
      </c>
      <c r="G1150" s="100" t="s">
        <v>3498</v>
      </c>
      <c r="H1150" s="100" t="s">
        <v>160</v>
      </c>
      <c r="I1150" s="247"/>
      <c r="J1150" s="101">
        <v>1</v>
      </c>
      <c r="K1150" s="101"/>
      <c r="L1150" s="101">
        <v>1</v>
      </c>
      <c r="M1150" s="101"/>
      <c r="N1150" s="101"/>
      <c r="O1150" s="101"/>
      <c r="P1150" s="101"/>
      <c r="Q1150" s="101"/>
      <c r="R1150" s="101"/>
      <c r="S1150" s="101"/>
      <c r="T1150" s="101"/>
      <c r="U1150" s="100" t="s">
        <v>507</v>
      </c>
      <c r="V1150" s="100" t="s">
        <v>293</v>
      </c>
      <c r="W1150" s="100" t="s">
        <v>298</v>
      </c>
      <c r="X1150" s="100" t="s">
        <v>227</v>
      </c>
      <c r="Y1150" s="99"/>
      <c r="Z1150" s="99"/>
      <c r="AA1150" s="100" t="s">
        <v>3307</v>
      </c>
      <c r="AB1150" s="100" t="s">
        <v>528</v>
      </c>
      <c r="AC1150" s="101">
        <v>1</v>
      </c>
      <c r="AD1150" s="101"/>
      <c r="AE1150" s="101"/>
      <c r="AF1150" s="101"/>
      <c r="AG1150" s="101"/>
      <c r="AH1150" s="99"/>
      <c r="AI1150" s="105"/>
    </row>
    <row r="1151" spans="1:35">
      <c r="A1151" s="98"/>
      <c r="B1151" s="99"/>
      <c r="C1151" s="263" t="s">
        <v>3230</v>
      </c>
      <c r="D1151" s="264" t="s">
        <v>79</v>
      </c>
      <c r="E1151" s="264" t="s">
        <v>80</v>
      </c>
      <c r="F1151" s="100" t="s">
        <v>2979</v>
      </c>
      <c r="G1151" s="100" t="s">
        <v>3499</v>
      </c>
      <c r="H1151" s="100" t="s">
        <v>421</v>
      </c>
      <c r="I1151" s="247"/>
      <c r="J1151" s="101">
        <v>1</v>
      </c>
      <c r="K1151" s="101"/>
      <c r="L1151" s="101">
        <v>1</v>
      </c>
      <c r="M1151" s="101"/>
      <c r="N1151" s="101"/>
      <c r="O1151" s="101"/>
      <c r="P1151" s="101"/>
      <c r="Q1151" s="101"/>
      <c r="R1151" s="101"/>
      <c r="S1151" s="101"/>
      <c r="T1151" s="101"/>
      <c r="U1151" s="100" t="s">
        <v>507</v>
      </c>
      <c r="V1151" s="100" t="s">
        <v>293</v>
      </c>
      <c r="W1151" s="100" t="s">
        <v>298</v>
      </c>
      <c r="X1151" s="100" t="s">
        <v>227</v>
      </c>
      <c r="Y1151" s="99"/>
      <c r="Z1151" s="99"/>
      <c r="AA1151" s="100" t="s">
        <v>3307</v>
      </c>
      <c r="AB1151" s="100" t="s">
        <v>528</v>
      </c>
      <c r="AC1151" s="101">
        <v>1</v>
      </c>
      <c r="AD1151" s="101"/>
      <c r="AE1151" s="101"/>
      <c r="AF1151" s="101"/>
      <c r="AG1151" s="101"/>
      <c r="AH1151" s="99"/>
      <c r="AI1151" s="105"/>
    </row>
    <row r="1152" spans="1:35">
      <c r="A1152" s="98"/>
      <c r="B1152" s="99"/>
      <c r="C1152" s="263" t="s">
        <v>3230</v>
      </c>
      <c r="D1152" s="264" t="s">
        <v>79</v>
      </c>
      <c r="E1152" s="264" t="s">
        <v>80</v>
      </c>
      <c r="F1152" s="100" t="s">
        <v>3500</v>
      </c>
      <c r="G1152" s="100" t="s">
        <v>3501</v>
      </c>
      <c r="H1152" s="99"/>
      <c r="I1152" s="247"/>
      <c r="J1152" s="101">
        <v>1</v>
      </c>
      <c r="K1152" s="101"/>
      <c r="L1152" s="101">
        <v>1</v>
      </c>
      <c r="M1152" s="101"/>
      <c r="N1152" s="101"/>
      <c r="O1152" s="101"/>
      <c r="P1152" s="101"/>
      <c r="Q1152" s="101"/>
      <c r="R1152" s="101"/>
      <c r="S1152" s="101"/>
      <c r="T1152" s="101"/>
      <c r="U1152" s="100" t="s">
        <v>507</v>
      </c>
      <c r="V1152" s="100" t="s">
        <v>293</v>
      </c>
      <c r="W1152" s="100" t="s">
        <v>298</v>
      </c>
      <c r="X1152" s="100" t="s">
        <v>227</v>
      </c>
      <c r="Y1152" s="99"/>
      <c r="Z1152" s="99"/>
      <c r="AA1152" s="100" t="s">
        <v>3307</v>
      </c>
      <c r="AB1152" s="100" t="s">
        <v>528</v>
      </c>
      <c r="AC1152" s="101">
        <v>1</v>
      </c>
      <c r="AD1152" s="101"/>
      <c r="AE1152" s="101"/>
      <c r="AF1152" s="101"/>
      <c r="AG1152" s="101"/>
      <c r="AH1152" s="99"/>
      <c r="AI1152" s="105"/>
    </row>
    <row r="1153" spans="1:35">
      <c r="A1153" s="98"/>
      <c r="B1153" s="99"/>
      <c r="C1153" s="263" t="s">
        <v>3230</v>
      </c>
      <c r="D1153" s="264" t="s">
        <v>79</v>
      </c>
      <c r="E1153" s="264" t="s">
        <v>80</v>
      </c>
      <c r="F1153" s="100" t="s">
        <v>3500</v>
      </c>
      <c r="G1153" s="100" t="s">
        <v>3217</v>
      </c>
      <c r="H1153" s="99"/>
      <c r="I1153" s="247"/>
      <c r="J1153" s="101">
        <v>1</v>
      </c>
      <c r="K1153" s="101"/>
      <c r="L1153" s="101">
        <v>1</v>
      </c>
      <c r="M1153" s="101"/>
      <c r="N1153" s="101"/>
      <c r="O1153" s="101"/>
      <c r="P1153" s="101"/>
      <c r="Q1153" s="101"/>
      <c r="R1153" s="101"/>
      <c r="S1153" s="101"/>
      <c r="T1153" s="101"/>
      <c r="U1153" s="100" t="s">
        <v>507</v>
      </c>
      <c r="V1153" s="100" t="s">
        <v>293</v>
      </c>
      <c r="W1153" s="100" t="s">
        <v>298</v>
      </c>
      <c r="X1153" s="100" t="s">
        <v>227</v>
      </c>
      <c r="Y1153" s="99"/>
      <c r="Z1153" s="99"/>
      <c r="AA1153" s="100" t="s">
        <v>3307</v>
      </c>
      <c r="AB1153" s="100" t="s">
        <v>528</v>
      </c>
      <c r="AC1153" s="101">
        <v>1</v>
      </c>
      <c r="AD1153" s="101"/>
      <c r="AE1153" s="101"/>
      <c r="AF1153" s="101"/>
      <c r="AG1153" s="101"/>
      <c r="AH1153" s="99"/>
      <c r="AI1153" s="105"/>
    </row>
    <row r="1154" spans="1:35">
      <c r="A1154" s="98"/>
      <c r="B1154" s="99"/>
      <c r="C1154" s="263" t="s">
        <v>3230</v>
      </c>
      <c r="D1154" s="264" t="s">
        <v>79</v>
      </c>
      <c r="E1154" s="264" t="s">
        <v>80</v>
      </c>
      <c r="F1154" s="100" t="s">
        <v>768</v>
      </c>
      <c r="G1154" s="100" t="s">
        <v>188</v>
      </c>
      <c r="H1154" s="99"/>
      <c r="I1154" s="247"/>
      <c r="J1154" s="101">
        <v>1</v>
      </c>
      <c r="K1154" s="101"/>
      <c r="L1154" s="101">
        <v>1</v>
      </c>
      <c r="M1154" s="101"/>
      <c r="N1154" s="101"/>
      <c r="O1154" s="101"/>
      <c r="P1154" s="101"/>
      <c r="Q1154" s="101"/>
      <c r="R1154" s="101"/>
      <c r="S1154" s="101"/>
      <c r="T1154" s="101"/>
      <c r="U1154" s="100" t="s">
        <v>507</v>
      </c>
      <c r="V1154" s="100" t="s">
        <v>293</v>
      </c>
      <c r="W1154" s="100" t="s">
        <v>298</v>
      </c>
      <c r="X1154" s="100" t="s">
        <v>227</v>
      </c>
      <c r="Y1154" s="99"/>
      <c r="Z1154" s="99"/>
      <c r="AA1154" s="100" t="s">
        <v>3307</v>
      </c>
      <c r="AB1154" s="100" t="s">
        <v>528</v>
      </c>
      <c r="AC1154" s="101">
        <v>1</v>
      </c>
      <c r="AD1154" s="101"/>
      <c r="AE1154" s="101"/>
      <c r="AF1154" s="101"/>
      <c r="AG1154" s="101"/>
      <c r="AH1154" s="99"/>
      <c r="AI1154" s="105"/>
    </row>
    <row r="1155" spans="1:35">
      <c r="A1155" s="98"/>
      <c r="B1155" s="99"/>
      <c r="C1155" s="263" t="s">
        <v>3230</v>
      </c>
      <c r="D1155" s="264" t="s">
        <v>79</v>
      </c>
      <c r="E1155" s="264" t="s">
        <v>80</v>
      </c>
      <c r="F1155" s="100" t="s">
        <v>768</v>
      </c>
      <c r="G1155" s="100" t="s">
        <v>1409</v>
      </c>
      <c r="H1155" s="99"/>
      <c r="I1155" s="247"/>
      <c r="J1155" s="101">
        <v>1</v>
      </c>
      <c r="K1155" s="101"/>
      <c r="L1155" s="101">
        <v>1</v>
      </c>
      <c r="M1155" s="101"/>
      <c r="N1155" s="101"/>
      <c r="O1155" s="101"/>
      <c r="P1155" s="101"/>
      <c r="Q1155" s="101"/>
      <c r="R1155" s="101"/>
      <c r="S1155" s="101"/>
      <c r="T1155" s="101"/>
      <c r="U1155" s="100" t="s">
        <v>507</v>
      </c>
      <c r="V1155" s="100" t="s">
        <v>293</v>
      </c>
      <c r="W1155" s="100" t="s">
        <v>298</v>
      </c>
      <c r="X1155" s="100" t="s">
        <v>227</v>
      </c>
      <c r="Y1155" s="99"/>
      <c r="Z1155" s="99"/>
      <c r="AA1155" s="100" t="s">
        <v>3307</v>
      </c>
      <c r="AB1155" s="100" t="s">
        <v>528</v>
      </c>
      <c r="AC1155" s="101">
        <v>1</v>
      </c>
      <c r="AD1155" s="101"/>
      <c r="AE1155" s="101"/>
      <c r="AF1155" s="101"/>
      <c r="AG1155" s="101"/>
      <c r="AH1155" s="99"/>
      <c r="AI1155" s="105"/>
    </row>
    <row r="1156" spans="1:35">
      <c r="A1156" s="98"/>
      <c r="B1156" s="99"/>
      <c r="C1156" s="263" t="s">
        <v>3230</v>
      </c>
      <c r="D1156" s="264" t="s">
        <v>79</v>
      </c>
      <c r="E1156" s="264" t="s">
        <v>80</v>
      </c>
      <c r="F1156" s="100" t="s">
        <v>697</v>
      </c>
      <c r="G1156" s="100" t="s">
        <v>3502</v>
      </c>
      <c r="H1156" s="99"/>
      <c r="I1156" s="247"/>
      <c r="J1156" s="101">
        <v>1</v>
      </c>
      <c r="K1156" s="101"/>
      <c r="L1156" s="101">
        <v>1</v>
      </c>
      <c r="M1156" s="101"/>
      <c r="N1156" s="101"/>
      <c r="O1156" s="101"/>
      <c r="P1156" s="101"/>
      <c r="Q1156" s="101"/>
      <c r="R1156" s="101"/>
      <c r="S1156" s="101"/>
      <c r="T1156" s="101"/>
      <c r="U1156" s="100" t="s">
        <v>507</v>
      </c>
      <c r="V1156" s="100" t="s">
        <v>293</v>
      </c>
      <c r="W1156" s="100" t="s">
        <v>298</v>
      </c>
      <c r="X1156" s="100" t="s">
        <v>227</v>
      </c>
      <c r="Y1156" s="99"/>
      <c r="Z1156" s="99"/>
      <c r="AA1156" s="100" t="s">
        <v>3307</v>
      </c>
      <c r="AB1156" s="100" t="s">
        <v>528</v>
      </c>
      <c r="AC1156" s="101">
        <v>1</v>
      </c>
      <c r="AD1156" s="101"/>
      <c r="AE1156" s="101"/>
      <c r="AF1156" s="101"/>
      <c r="AG1156" s="101"/>
      <c r="AH1156" s="99"/>
      <c r="AI1156" s="105"/>
    </row>
    <row r="1157" spans="1:35">
      <c r="A1157" s="98"/>
      <c r="B1157" s="99"/>
      <c r="C1157" s="263" t="s">
        <v>3230</v>
      </c>
      <c r="D1157" s="264" t="s">
        <v>79</v>
      </c>
      <c r="E1157" s="264" t="s">
        <v>80</v>
      </c>
      <c r="F1157" s="100" t="s">
        <v>697</v>
      </c>
      <c r="G1157" s="100" t="s">
        <v>3503</v>
      </c>
      <c r="H1157" s="99"/>
      <c r="I1157" s="247"/>
      <c r="J1157" s="101">
        <v>1</v>
      </c>
      <c r="K1157" s="101"/>
      <c r="L1157" s="101">
        <v>1</v>
      </c>
      <c r="M1157" s="101"/>
      <c r="N1157" s="101"/>
      <c r="O1157" s="101"/>
      <c r="P1157" s="101"/>
      <c r="Q1157" s="101"/>
      <c r="R1157" s="101"/>
      <c r="S1157" s="101"/>
      <c r="T1157" s="101"/>
      <c r="U1157" s="100" t="s">
        <v>507</v>
      </c>
      <c r="V1157" s="100" t="s">
        <v>293</v>
      </c>
      <c r="W1157" s="100" t="s">
        <v>298</v>
      </c>
      <c r="X1157" s="100" t="s">
        <v>227</v>
      </c>
      <c r="Y1157" s="99"/>
      <c r="Z1157" s="99"/>
      <c r="AA1157" s="100" t="s">
        <v>3307</v>
      </c>
      <c r="AB1157" s="100" t="s">
        <v>528</v>
      </c>
      <c r="AC1157" s="101">
        <v>1</v>
      </c>
      <c r="AD1157" s="101"/>
      <c r="AE1157" s="101"/>
      <c r="AF1157" s="101"/>
      <c r="AG1157" s="101"/>
      <c r="AH1157" s="99"/>
      <c r="AI1157" s="105"/>
    </row>
    <row r="1158" spans="1:35">
      <c r="A1158" s="98"/>
      <c r="B1158" s="99"/>
      <c r="C1158" s="263" t="s">
        <v>3230</v>
      </c>
      <c r="D1158" s="264" t="s">
        <v>79</v>
      </c>
      <c r="E1158" s="264" t="s">
        <v>80</v>
      </c>
      <c r="F1158" s="100" t="s">
        <v>558</v>
      </c>
      <c r="G1158" s="100" t="s">
        <v>3504</v>
      </c>
      <c r="H1158" s="99"/>
      <c r="I1158" s="247"/>
      <c r="J1158" s="101">
        <v>1</v>
      </c>
      <c r="K1158" s="101"/>
      <c r="L1158" s="101">
        <v>1</v>
      </c>
      <c r="M1158" s="101"/>
      <c r="N1158" s="101"/>
      <c r="O1158" s="101"/>
      <c r="P1158" s="101"/>
      <c r="Q1158" s="101"/>
      <c r="R1158" s="101"/>
      <c r="S1158" s="101"/>
      <c r="T1158" s="101"/>
      <c r="U1158" s="100" t="s">
        <v>507</v>
      </c>
      <c r="V1158" s="100" t="s">
        <v>293</v>
      </c>
      <c r="W1158" s="100" t="s">
        <v>298</v>
      </c>
      <c r="X1158" s="100" t="s">
        <v>227</v>
      </c>
      <c r="Y1158" s="99"/>
      <c r="Z1158" s="99"/>
      <c r="AA1158" s="100" t="s">
        <v>3307</v>
      </c>
      <c r="AB1158" s="100" t="s">
        <v>528</v>
      </c>
      <c r="AC1158" s="101">
        <v>1</v>
      </c>
      <c r="AD1158" s="101"/>
      <c r="AE1158" s="101"/>
      <c r="AF1158" s="101"/>
      <c r="AG1158" s="101"/>
      <c r="AH1158" s="99"/>
      <c r="AI1158" s="105"/>
    </row>
    <row r="1159" spans="1:35">
      <c r="A1159" s="98"/>
      <c r="B1159" s="99"/>
      <c r="C1159" s="263" t="s">
        <v>3230</v>
      </c>
      <c r="D1159" s="264" t="s">
        <v>79</v>
      </c>
      <c r="E1159" s="264" t="s">
        <v>80</v>
      </c>
      <c r="F1159" s="100" t="s">
        <v>3505</v>
      </c>
      <c r="G1159" s="100" t="s">
        <v>1974</v>
      </c>
      <c r="H1159" s="99"/>
      <c r="I1159" s="247"/>
      <c r="J1159" s="101">
        <v>1</v>
      </c>
      <c r="K1159" s="101"/>
      <c r="L1159" s="101">
        <v>1</v>
      </c>
      <c r="M1159" s="101"/>
      <c r="N1159" s="101"/>
      <c r="O1159" s="101"/>
      <c r="P1159" s="101"/>
      <c r="Q1159" s="101"/>
      <c r="R1159" s="101"/>
      <c r="S1159" s="101"/>
      <c r="T1159" s="101"/>
      <c r="U1159" s="100" t="s">
        <v>507</v>
      </c>
      <c r="V1159" s="100" t="s">
        <v>293</v>
      </c>
      <c r="W1159" s="100" t="s">
        <v>298</v>
      </c>
      <c r="X1159" s="100" t="s">
        <v>227</v>
      </c>
      <c r="Y1159" s="99"/>
      <c r="Z1159" s="99"/>
      <c r="AA1159" s="100" t="s">
        <v>3307</v>
      </c>
      <c r="AB1159" s="100" t="s">
        <v>528</v>
      </c>
      <c r="AC1159" s="101">
        <v>1</v>
      </c>
      <c r="AD1159" s="101"/>
      <c r="AE1159" s="101"/>
      <c r="AF1159" s="101"/>
      <c r="AG1159" s="101"/>
      <c r="AH1159" s="99"/>
      <c r="AI1159" s="105"/>
    </row>
    <row r="1160" spans="1:35">
      <c r="A1160" s="98"/>
      <c r="B1160" s="99"/>
      <c r="C1160" s="263" t="s">
        <v>3230</v>
      </c>
      <c r="D1160" s="264" t="s">
        <v>79</v>
      </c>
      <c r="E1160" s="264" t="s">
        <v>80</v>
      </c>
      <c r="F1160" s="100" t="s">
        <v>3505</v>
      </c>
      <c r="G1160" s="100" t="s">
        <v>2004</v>
      </c>
      <c r="H1160" s="99"/>
      <c r="I1160" s="247"/>
      <c r="J1160" s="101">
        <v>1</v>
      </c>
      <c r="K1160" s="101"/>
      <c r="L1160" s="101">
        <v>1</v>
      </c>
      <c r="M1160" s="101"/>
      <c r="N1160" s="101"/>
      <c r="O1160" s="101"/>
      <c r="P1160" s="101"/>
      <c r="Q1160" s="101"/>
      <c r="R1160" s="101"/>
      <c r="S1160" s="101"/>
      <c r="T1160" s="101"/>
      <c r="U1160" s="100" t="s">
        <v>507</v>
      </c>
      <c r="V1160" s="100" t="s">
        <v>293</v>
      </c>
      <c r="W1160" s="100" t="s">
        <v>298</v>
      </c>
      <c r="X1160" s="100" t="s">
        <v>227</v>
      </c>
      <c r="Y1160" s="99"/>
      <c r="Z1160" s="99"/>
      <c r="AA1160" s="100" t="s">
        <v>3307</v>
      </c>
      <c r="AB1160" s="100" t="s">
        <v>528</v>
      </c>
      <c r="AC1160" s="101">
        <v>1</v>
      </c>
      <c r="AD1160" s="101"/>
      <c r="AE1160" s="101"/>
      <c r="AF1160" s="101"/>
      <c r="AG1160" s="101"/>
      <c r="AH1160" s="99"/>
      <c r="AI1160" s="105"/>
    </row>
    <row r="1161" spans="1:35">
      <c r="A1161" s="98"/>
      <c r="B1161" s="99"/>
      <c r="C1161" s="263" t="s">
        <v>3230</v>
      </c>
      <c r="D1161" s="264" t="s">
        <v>79</v>
      </c>
      <c r="E1161" s="264" t="s">
        <v>80</v>
      </c>
      <c r="F1161" s="100" t="s">
        <v>2979</v>
      </c>
      <c r="G1161" s="100" t="s">
        <v>3506</v>
      </c>
      <c r="H1161" s="99"/>
      <c r="I1161" s="247"/>
      <c r="J1161" s="101"/>
      <c r="K1161" s="101">
        <v>1</v>
      </c>
      <c r="L1161" s="101">
        <v>1</v>
      </c>
      <c r="M1161" s="101"/>
      <c r="N1161" s="101"/>
      <c r="O1161" s="101"/>
      <c r="P1161" s="101"/>
      <c r="Q1161" s="101"/>
      <c r="R1161" s="101"/>
      <c r="S1161" s="101"/>
      <c r="T1161" s="101"/>
      <c r="U1161" s="100" t="s">
        <v>507</v>
      </c>
      <c r="V1161" s="100" t="s">
        <v>293</v>
      </c>
      <c r="W1161" s="100" t="s">
        <v>298</v>
      </c>
      <c r="X1161" s="100" t="s">
        <v>227</v>
      </c>
      <c r="Y1161" s="99"/>
      <c r="Z1161" s="99"/>
      <c r="AA1161" s="100" t="s">
        <v>3307</v>
      </c>
      <c r="AB1161" s="100" t="s">
        <v>528</v>
      </c>
      <c r="AC1161" s="101">
        <v>1</v>
      </c>
      <c r="AD1161" s="101"/>
      <c r="AE1161" s="101"/>
      <c r="AF1161" s="101"/>
      <c r="AG1161" s="101"/>
      <c r="AH1161" s="99"/>
      <c r="AI1161" s="105"/>
    </row>
    <row r="1162" spans="1:35">
      <c r="A1162" s="98"/>
      <c r="B1162" s="99"/>
      <c r="C1162" s="263" t="s">
        <v>3230</v>
      </c>
      <c r="D1162" s="264" t="s">
        <v>79</v>
      </c>
      <c r="E1162" s="264" t="s">
        <v>80</v>
      </c>
      <c r="F1162" s="100" t="s">
        <v>3508</v>
      </c>
      <c r="G1162" s="100" t="s">
        <v>3507</v>
      </c>
      <c r="H1162" s="100" t="s">
        <v>115</v>
      </c>
      <c r="I1162" s="247"/>
      <c r="J1162" s="101">
        <v>1</v>
      </c>
      <c r="K1162" s="101"/>
      <c r="L1162" s="101">
        <v>1</v>
      </c>
      <c r="M1162" s="101"/>
      <c r="N1162" s="101"/>
      <c r="O1162" s="101"/>
      <c r="P1162" s="101"/>
      <c r="Q1162" s="101"/>
      <c r="R1162" s="101"/>
      <c r="S1162" s="101"/>
      <c r="T1162" s="101"/>
      <c r="U1162" s="100" t="s">
        <v>507</v>
      </c>
      <c r="V1162" s="100" t="s">
        <v>293</v>
      </c>
      <c r="W1162" s="100" t="s">
        <v>298</v>
      </c>
      <c r="X1162" s="100" t="s">
        <v>227</v>
      </c>
      <c r="Y1162" s="99"/>
      <c r="Z1162" s="99"/>
      <c r="AA1162" s="100" t="s">
        <v>3307</v>
      </c>
      <c r="AB1162" s="100" t="s">
        <v>528</v>
      </c>
      <c r="AC1162" s="101">
        <v>1</v>
      </c>
      <c r="AD1162" s="101"/>
      <c r="AE1162" s="101"/>
      <c r="AF1162" s="101"/>
      <c r="AG1162" s="101"/>
      <c r="AH1162" s="99"/>
      <c r="AI1162" s="105"/>
    </row>
    <row r="1163" spans="1:35">
      <c r="A1163" s="98"/>
      <c r="B1163" s="99"/>
      <c r="C1163" s="263" t="s">
        <v>3230</v>
      </c>
      <c r="D1163" s="264" t="s">
        <v>79</v>
      </c>
      <c r="E1163" s="264" t="s">
        <v>80</v>
      </c>
      <c r="F1163" s="100" t="s">
        <v>3509</v>
      </c>
      <c r="G1163" s="100" t="s">
        <v>3510</v>
      </c>
      <c r="H1163" s="100" t="s">
        <v>588</v>
      </c>
      <c r="I1163" s="247">
        <v>24165</v>
      </c>
      <c r="J1163" s="101">
        <v>1</v>
      </c>
      <c r="K1163" s="101"/>
      <c r="L1163" s="101">
        <v>1</v>
      </c>
      <c r="M1163" s="101"/>
      <c r="N1163" s="101"/>
      <c r="O1163" s="101"/>
      <c r="P1163" s="101"/>
      <c r="Q1163" s="101"/>
      <c r="R1163" s="101"/>
      <c r="S1163" s="101"/>
      <c r="T1163" s="101"/>
      <c r="U1163" s="100" t="s">
        <v>507</v>
      </c>
      <c r="V1163" s="100" t="s">
        <v>293</v>
      </c>
      <c r="W1163" s="100" t="s">
        <v>298</v>
      </c>
      <c r="X1163" s="100" t="s">
        <v>227</v>
      </c>
      <c r="Y1163" s="99"/>
      <c r="Z1163" s="99"/>
      <c r="AA1163" s="100" t="s">
        <v>3451</v>
      </c>
      <c r="AB1163" s="100" t="s">
        <v>528</v>
      </c>
      <c r="AC1163" s="101">
        <v>1</v>
      </c>
      <c r="AD1163" s="101"/>
      <c r="AE1163" s="101"/>
      <c r="AF1163" s="101"/>
      <c r="AG1163" s="101"/>
      <c r="AH1163" s="99"/>
      <c r="AI1163" s="105"/>
    </row>
    <row r="1164" spans="1:35">
      <c r="A1164" s="98"/>
      <c r="B1164" s="99"/>
      <c r="C1164" s="263" t="s">
        <v>3230</v>
      </c>
      <c r="D1164" s="264" t="s">
        <v>79</v>
      </c>
      <c r="E1164" s="264" t="s">
        <v>80</v>
      </c>
      <c r="F1164" s="100" t="s">
        <v>3509</v>
      </c>
      <c r="G1164" s="100" t="s">
        <v>3511</v>
      </c>
      <c r="H1164" s="100" t="s">
        <v>588</v>
      </c>
      <c r="I1164" s="247">
        <v>34590</v>
      </c>
      <c r="J1164" s="101">
        <v>1</v>
      </c>
      <c r="K1164" s="101"/>
      <c r="L1164" s="101">
        <v>1</v>
      </c>
      <c r="M1164" s="101"/>
      <c r="N1164" s="101"/>
      <c r="O1164" s="101"/>
      <c r="P1164" s="101"/>
      <c r="Q1164" s="101"/>
      <c r="R1164" s="101"/>
      <c r="S1164" s="101"/>
      <c r="T1164" s="101"/>
      <c r="U1164" s="100" t="s">
        <v>507</v>
      </c>
      <c r="V1164" s="100" t="s">
        <v>293</v>
      </c>
      <c r="W1164" s="100" t="s">
        <v>298</v>
      </c>
      <c r="X1164" s="100" t="s">
        <v>227</v>
      </c>
      <c r="Y1164" s="99"/>
      <c r="Z1164" s="99"/>
      <c r="AA1164" s="100" t="s">
        <v>3451</v>
      </c>
      <c r="AB1164" s="100" t="s">
        <v>528</v>
      </c>
      <c r="AC1164" s="101">
        <v>1</v>
      </c>
      <c r="AD1164" s="101"/>
      <c r="AE1164" s="101"/>
      <c r="AF1164" s="101"/>
      <c r="AG1164" s="101"/>
      <c r="AH1164" s="99"/>
      <c r="AI1164" s="105"/>
    </row>
    <row r="1165" spans="1:35">
      <c r="A1165" s="98"/>
      <c r="B1165" s="99"/>
      <c r="C1165" s="263" t="s">
        <v>3230</v>
      </c>
      <c r="D1165" s="264" t="s">
        <v>79</v>
      </c>
      <c r="E1165" s="264" t="s">
        <v>80</v>
      </c>
      <c r="F1165" s="100" t="s">
        <v>3512</v>
      </c>
      <c r="G1165" s="100" t="s">
        <v>3513</v>
      </c>
      <c r="H1165" s="100" t="s">
        <v>160</v>
      </c>
      <c r="I1165" s="247">
        <v>34374</v>
      </c>
      <c r="J1165" s="101">
        <v>1</v>
      </c>
      <c r="K1165" s="101"/>
      <c r="L1165" s="101">
        <v>1</v>
      </c>
      <c r="M1165" s="101"/>
      <c r="N1165" s="101"/>
      <c r="O1165" s="101"/>
      <c r="P1165" s="101"/>
      <c r="Q1165" s="101"/>
      <c r="R1165" s="101"/>
      <c r="S1165" s="101"/>
      <c r="T1165" s="101"/>
      <c r="U1165" s="100" t="s">
        <v>507</v>
      </c>
      <c r="V1165" s="100" t="s">
        <v>293</v>
      </c>
      <c r="W1165" s="100" t="s">
        <v>298</v>
      </c>
      <c r="X1165" s="100" t="s">
        <v>227</v>
      </c>
      <c r="Y1165" s="99"/>
      <c r="Z1165" s="99"/>
      <c r="AA1165" s="100" t="s">
        <v>3451</v>
      </c>
      <c r="AB1165" s="100" t="s">
        <v>528</v>
      </c>
      <c r="AC1165" s="101">
        <v>1</v>
      </c>
      <c r="AD1165" s="101"/>
      <c r="AE1165" s="101"/>
      <c r="AF1165" s="101"/>
      <c r="AG1165" s="101"/>
      <c r="AH1165" s="99"/>
      <c r="AI1165" s="105"/>
    </row>
    <row r="1166" spans="1:35">
      <c r="A1166" s="98"/>
      <c r="B1166" s="99"/>
      <c r="C1166" s="263" t="s">
        <v>3230</v>
      </c>
      <c r="D1166" s="264" t="s">
        <v>79</v>
      </c>
      <c r="E1166" s="264" t="s">
        <v>80</v>
      </c>
      <c r="F1166" s="100" t="s">
        <v>3514</v>
      </c>
      <c r="G1166" s="100" t="s">
        <v>192</v>
      </c>
      <c r="H1166" s="99"/>
      <c r="I1166" s="247">
        <v>33086</v>
      </c>
      <c r="J1166" s="101">
        <v>1</v>
      </c>
      <c r="K1166" s="101"/>
      <c r="L1166" s="101">
        <v>1</v>
      </c>
      <c r="M1166" s="101"/>
      <c r="N1166" s="101"/>
      <c r="O1166" s="101"/>
      <c r="P1166" s="101"/>
      <c r="Q1166" s="101"/>
      <c r="R1166" s="101"/>
      <c r="S1166" s="101"/>
      <c r="T1166" s="101"/>
      <c r="U1166" s="100" t="s">
        <v>507</v>
      </c>
      <c r="V1166" s="100" t="s">
        <v>293</v>
      </c>
      <c r="W1166" s="100" t="s">
        <v>298</v>
      </c>
      <c r="X1166" s="100" t="s">
        <v>227</v>
      </c>
      <c r="Y1166" s="99"/>
      <c r="Z1166" s="99"/>
      <c r="AA1166" s="100" t="s">
        <v>3390</v>
      </c>
      <c r="AB1166" s="100" t="s">
        <v>528</v>
      </c>
      <c r="AC1166" s="101">
        <v>1</v>
      </c>
      <c r="AD1166" s="101"/>
      <c r="AE1166" s="101"/>
      <c r="AF1166" s="101"/>
      <c r="AG1166" s="101"/>
      <c r="AH1166" s="99"/>
      <c r="AI1166" s="105"/>
    </row>
    <row r="1167" spans="1:35">
      <c r="A1167" s="98"/>
      <c r="B1167" s="99"/>
      <c r="C1167" s="263" t="s">
        <v>3230</v>
      </c>
      <c r="D1167" s="264" t="s">
        <v>79</v>
      </c>
      <c r="E1167" s="264" t="s">
        <v>80</v>
      </c>
      <c r="F1167" s="100" t="s">
        <v>329</v>
      </c>
      <c r="G1167" s="100" t="s">
        <v>3515</v>
      </c>
      <c r="H1167" s="99"/>
      <c r="I1167" s="247">
        <v>31968</v>
      </c>
      <c r="J1167" s="101">
        <v>1</v>
      </c>
      <c r="K1167" s="101"/>
      <c r="L1167" s="101">
        <v>1</v>
      </c>
      <c r="M1167" s="101"/>
      <c r="N1167" s="101"/>
      <c r="O1167" s="101"/>
      <c r="P1167" s="101"/>
      <c r="Q1167" s="101"/>
      <c r="R1167" s="101"/>
      <c r="S1167" s="101"/>
      <c r="T1167" s="101"/>
      <c r="U1167" s="100" t="s">
        <v>507</v>
      </c>
      <c r="V1167" s="100" t="s">
        <v>293</v>
      </c>
      <c r="W1167" s="100" t="s">
        <v>298</v>
      </c>
      <c r="X1167" s="100" t="s">
        <v>227</v>
      </c>
      <c r="Y1167" s="99"/>
      <c r="Z1167" s="99"/>
      <c r="AA1167" s="100" t="s">
        <v>3390</v>
      </c>
      <c r="AB1167" s="100" t="s">
        <v>528</v>
      </c>
      <c r="AC1167" s="101">
        <v>1</v>
      </c>
      <c r="AD1167" s="101"/>
      <c r="AE1167" s="101"/>
      <c r="AF1167" s="101"/>
      <c r="AG1167" s="101"/>
      <c r="AH1167" s="99"/>
      <c r="AI1167" s="105"/>
    </row>
    <row r="1168" spans="1:35">
      <c r="A1168" s="98"/>
      <c r="B1168" s="99"/>
      <c r="C1168" s="263" t="s">
        <v>3230</v>
      </c>
      <c r="D1168" s="264" t="s">
        <v>79</v>
      </c>
      <c r="E1168" s="264" t="s">
        <v>80</v>
      </c>
      <c r="F1168" s="100" t="s">
        <v>774</v>
      </c>
      <c r="G1168" s="100" t="s">
        <v>3385</v>
      </c>
      <c r="H1168" s="99"/>
      <c r="I1168" s="247">
        <v>32689</v>
      </c>
      <c r="J1168" s="101">
        <v>1</v>
      </c>
      <c r="K1168" s="101"/>
      <c r="L1168" s="101">
        <v>1</v>
      </c>
      <c r="M1168" s="101"/>
      <c r="N1168" s="101"/>
      <c r="O1168" s="101"/>
      <c r="P1168" s="101"/>
      <c r="Q1168" s="101"/>
      <c r="R1168" s="101"/>
      <c r="S1168" s="101"/>
      <c r="T1168" s="101"/>
      <c r="U1168" s="100" t="s">
        <v>507</v>
      </c>
      <c r="V1168" s="100" t="s">
        <v>293</v>
      </c>
      <c r="W1168" s="100" t="s">
        <v>298</v>
      </c>
      <c r="X1168" s="100" t="s">
        <v>227</v>
      </c>
      <c r="Y1168" s="99"/>
      <c r="Z1168" s="99"/>
      <c r="AA1168" s="100" t="s">
        <v>3390</v>
      </c>
      <c r="AB1168" s="100" t="s">
        <v>528</v>
      </c>
      <c r="AC1168" s="101">
        <v>1</v>
      </c>
      <c r="AD1168" s="101"/>
      <c r="AE1168" s="101"/>
      <c r="AF1168" s="101"/>
      <c r="AG1168" s="101"/>
      <c r="AH1168" s="99"/>
      <c r="AI1168" s="105"/>
    </row>
    <row r="1169" spans="1:35">
      <c r="A1169" s="98"/>
      <c r="B1169" s="99"/>
      <c r="C1169" s="263" t="s">
        <v>3230</v>
      </c>
      <c r="D1169" s="264" t="s">
        <v>79</v>
      </c>
      <c r="E1169" s="264" t="s">
        <v>80</v>
      </c>
      <c r="F1169" s="100" t="s">
        <v>3514</v>
      </c>
      <c r="G1169" s="100" t="s">
        <v>585</v>
      </c>
      <c r="H1169" s="99"/>
      <c r="I1169" s="247">
        <v>31177</v>
      </c>
      <c r="J1169" s="101">
        <v>1</v>
      </c>
      <c r="K1169" s="101"/>
      <c r="L1169" s="101">
        <v>1</v>
      </c>
      <c r="M1169" s="101"/>
      <c r="N1169" s="101"/>
      <c r="O1169" s="101"/>
      <c r="P1169" s="101"/>
      <c r="Q1169" s="101"/>
      <c r="R1169" s="101"/>
      <c r="S1169" s="101"/>
      <c r="T1169" s="101"/>
      <c r="U1169" s="100" t="s">
        <v>507</v>
      </c>
      <c r="V1169" s="100" t="s">
        <v>293</v>
      </c>
      <c r="W1169" s="100" t="s">
        <v>298</v>
      </c>
      <c r="X1169" s="100" t="s">
        <v>227</v>
      </c>
      <c r="Y1169" s="99"/>
      <c r="Z1169" s="99"/>
      <c r="AA1169" s="100" t="s">
        <v>3390</v>
      </c>
      <c r="AB1169" s="100" t="s">
        <v>528</v>
      </c>
      <c r="AC1169" s="101">
        <v>1</v>
      </c>
      <c r="AD1169" s="101"/>
      <c r="AE1169" s="101"/>
      <c r="AF1169" s="101"/>
      <c r="AG1169" s="101"/>
      <c r="AH1169" s="99"/>
      <c r="AI1169" s="105"/>
    </row>
    <row r="1170" spans="1:35">
      <c r="A1170" s="98"/>
      <c r="B1170" s="99"/>
      <c r="C1170" s="263" t="s">
        <v>3230</v>
      </c>
      <c r="D1170" s="264" t="s">
        <v>79</v>
      </c>
      <c r="E1170" s="264" t="s">
        <v>80</v>
      </c>
      <c r="F1170" s="100" t="s">
        <v>1043</v>
      </c>
      <c r="G1170" s="100" t="s">
        <v>2925</v>
      </c>
      <c r="H1170" s="99"/>
      <c r="I1170" s="247">
        <v>29235</v>
      </c>
      <c r="J1170" s="101"/>
      <c r="K1170" s="101">
        <v>1</v>
      </c>
      <c r="L1170" s="101">
        <v>1</v>
      </c>
      <c r="M1170" s="101"/>
      <c r="N1170" s="101"/>
      <c r="O1170" s="101"/>
      <c r="P1170" s="101"/>
      <c r="Q1170" s="101"/>
      <c r="R1170" s="101"/>
      <c r="S1170" s="101"/>
      <c r="T1170" s="101"/>
      <c r="U1170" s="100" t="s">
        <v>507</v>
      </c>
      <c r="V1170" s="100" t="s">
        <v>293</v>
      </c>
      <c r="W1170" s="100" t="s">
        <v>298</v>
      </c>
      <c r="X1170" s="100" t="s">
        <v>227</v>
      </c>
      <c r="Y1170" s="99"/>
      <c r="Z1170" s="99"/>
      <c r="AA1170" s="100" t="s">
        <v>3390</v>
      </c>
      <c r="AB1170" s="100" t="s">
        <v>528</v>
      </c>
      <c r="AC1170" s="101">
        <v>1</v>
      </c>
      <c r="AD1170" s="101"/>
      <c r="AE1170" s="101"/>
      <c r="AF1170" s="101"/>
      <c r="AG1170" s="101"/>
      <c r="AH1170" s="99"/>
      <c r="AI1170" s="105"/>
    </row>
    <row r="1171" spans="1:35">
      <c r="A1171" s="98"/>
      <c r="B1171" s="99"/>
      <c r="C1171" s="263" t="s">
        <v>3230</v>
      </c>
      <c r="D1171" s="264" t="s">
        <v>79</v>
      </c>
      <c r="E1171" s="264" t="s">
        <v>80</v>
      </c>
      <c r="F1171" s="100" t="s">
        <v>3505</v>
      </c>
      <c r="G1171" s="100" t="s">
        <v>3516</v>
      </c>
      <c r="H1171" s="99"/>
      <c r="I1171" s="247">
        <v>32396</v>
      </c>
      <c r="J1171" s="101"/>
      <c r="K1171" s="101">
        <v>1</v>
      </c>
      <c r="L1171" s="101">
        <v>1</v>
      </c>
      <c r="M1171" s="101"/>
      <c r="N1171" s="101"/>
      <c r="O1171" s="101"/>
      <c r="P1171" s="101"/>
      <c r="Q1171" s="101"/>
      <c r="R1171" s="101"/>
      <c r="S1171" s="101"/>
      <c r="T1171" s="101"/>
      <c r="U1171" s="100" t="s">
        <v>507</v>
      </c>
      <c r="V1171" s="100" t="s">
        <v>293</v>
      </c>
      <c r="W1171" s="100" t="s">
        <v>298</v>
      </c>
      <c r="X1171" s="100" t="s">
        <v>227</v>
      </c>
      <c r="Y1171" s="99"/>
      <c r="Z1171" s="99"/>
      <c r="AA1171" s="100" t="s">
        <v>3390</v>
      </c>
      <c r="AB1171" s="100" t="s">
        <v>528</v>
      </c>
      <c r="AC1171" s="101">
        <v>1</v>
      </c>
      <c r="AD1171" s="101"/>
      <c r="AE1171" s="101"/>
      <c r="AF1171" s="101"/>
      <c r="AG1171" s="101"/>
      <c r="AH1171" s="99"/>
      <c r="AI1171" s="105"/>
    </row>
    <row r="1172" spans="1:35">
      <c r="A1172" s="98"/>
      <c r="B1172" s="99"/>
      <c r="C1172" s="263" t="s">
        <v>3230</v>
      </c>
      <c r="D1172" s="264" t="s">
        <v>79</v>
      </c>
      <c r="E1172" s="264" t="s">
        <v>80</v>
      </c>
      <c r="F1172" s="100" t="s">
        <v>3517</v>
      </c>
      <c r="G1172" s="100" t="s">
        <v>2744</v>
      </c>
      <c r="H1172" s="99"/>
      <c r="I1172" s="247">
        <v>24077</v>
      </c>
      <c r="J1172" s="101">
        <v>1</v>
      </c>
      <c r="K1172" s="101"/>
      <c r="L1172" s="101">
        <v>1</v>
      </c>
      <c r="M1172" s="101"/>
      <c r="N1172" s="101"/>
      <c r="O1172" s="101"/>
      <c r="P1172" s="101"/>
      <c r="Q1172" s="101"/>
      <c r="R1172" s="101"/>
      <c r="S1172" s="101"/>
      <c r="T1172" s="101"/>
      <c r="U1172" s="100" t="s">
        <v>507</v>
      </c>
      <c r="V1172" s="100" t="s">
        <v>293</v>
      </c>
      <c r="W1172" s="100" t="s">
        <v>298</v>
      </c>
      <c r="X1172" s="100" t="s">
        <v>227</v>
      </c>
      <c r="Y1172" s="99"/>
      <c r="Z1172" s="99"/>
      <c r="AA1172" s="100" t="s">
        <v>3390</v>
      </c>
      <c r="AB1172" s="100" t="s">
        <v>528</v>
      </c>
      <c r="AC1172" s="101">
        <v>1</v>
      </c>
      <c r="AD1172" s="101"/>
      <c r="AE1172" s="101"/>
      <c r="AF1172" s="101"/>
      <c r="AG1172" s="101"/>
      <c r="AH1172" s="99"/>
      <c r="AI1172" s="105"/>
    </row>
    <row r="1173" spans="1:35">
      <c r="A1173" s="98"/>
      <c r="B1173" s="99"/>
      <c r="C1173" s="263" t="s">
        <v>3230</v>
      </c>
      <c r="D1173" s="264" t="s">
        <v>79</v>
      </c>
      <c r="E1173" s="264" t="s">
        <v>80</v>
      </c>
      <c r="F1173" s="100" t="s">
        <v>2542</v>
      </c>
      <c r="G1173" s="100" t="s">
        <v>3516</v>
      </c>
      <c r="H1173" s="99"/>
      <c r="I1173" s="247">
        <v>30302</v>
      </c>
      <c r="J1173" s="101"/>
      <c r="K1173" s="101">
        <v>1</v>
      </c>
      <c r="L1173" s="101">
        <v>1</v>
      </c>
      <c r="M1173" s="101"/>
      <c r="N1173" s="101"/>
      <c r="O1173" s="101"/>
      <c r="P1173" s="101"/>
      <c r="Q1173" s="101"/>
      <c r="R1173" s="101"/>
      <c r="S1173" s="101"/>
      <c r="T1173" s="101"/>
      <c r="U1173" s="100" t="s">
        <v>507</v>
      </c>
      <c r="V1173" s="100" t="s">
        <v>293</v>
      </c>
      <c r="W1173" s="100" t="s">
        <v>298</v>
      </c>
      <c r="X1173" s="100" t="s">
        <v>227</v>
      </c>
      <c r="Y1173" s="99"/>
      <c r="Z1173" s="99"/>
      <c r="AA1173" s="100" t="s">
        <v>3390</v>
      </c>
      <c r="AB1173" s="100" t="s">
        <v>528</v>
      </c>
      <c r="AC1173" s="101">
        <v>1</v>
      </c>
      <c r="AD1173" s="101"/>
      <c r="AE1173" s="101"/>
      <c r="AF1173" s="101"/>
      <c r="AG1173" s="101"/>
      <c r="AH1173" s="99"/>
      <c r="AI1173" s="105"/>
    </row>
    <row r="1174" spans="1:35">
      <c r="A1174" s="98"/>
      <c r="B1174" s="99"/>
      <c r="C1174" s="263" t="s">
        <v>3230</v>
      </c>
      <c r="D1174" s="264" t="s">
        <v>79</v>
      </c>
      <c r="E1174" s="264" t="s">
        <v>80</v>
      </c>
      <c r="F1174" s="100" t="s">
        <v>3519</v>
      </c>
      <c r="G1174" s="100" t="s">
        <v>3518</v>
      </c>
      <c r="H1174" s="99"/>
      <c r="I1174" s="251" t="s">
        <v>3521</v>
      </c>
      <c r="J1174" s="101">
        <v>1</v>
      </c>
      <c r="K1174" s="101"/>
      <c r="L1174" s="101">
        <v>1</v>
      </c>
      <c r="M1174" s="101"/>
      <c r="N1174" s="101"/>
      <c r="O1174" s="101"/>
      <c r="P1174" s="101"/>
      <c r="Q1174" s="101"/>
      <c r="R1174" s="101"/>
      <c r="S1174" s="101"/>
      <c r="T1174" s="101"/>
      <c r="U1174" s="100" t="s">
        <v>507</v>
      </c>
      <c r="V1174" s="100" t="s">
        <v>293</v>
      </c>
      <c r="W1174" s="100" t="s">
        <v>298</v>
      </c>
      <c r="X1174" s="100" t="s">
        <v>227</v>
      </c>
      <c r="Y1174" s="99"/>
      <c r="Z1174" s="99"/>
      <c r="AA1174" s="100" t="s">
        <v>3390</v>
      </c>
      <c r="AB1174" s="100" t="s">
        <v>528</v>
      </c>
      <c r="AC1174" s="101">
        <v>1</v>
      </c>
      <c r="AD1174" s="101"/>
      <c r="AE1174" s="101"/>
      <c r="AF1174" s="101"/>
      <c r="AG1174" s="101"/>
      <c r="AH1174" s="99"/>
      <c r="AI1174" s="105"/>
    </row>
    <row r="1175" spans="1:35">
      <c r="A1175" s="98"/>
      <c r="B1175" s="99"/>
      <c r="C1175" s="263" t="s">
        <v>3230</v>
      </c>
      <c r="D1175" s="264" t="s">
        <v>79</v>
      </c>
      <c r="E1175" s="264" t="s">
        <v>80</v>
      </c>
      <c r="F1175" s="100" t="s">
        <v>3520</v>
      </c>
      <c r="G1175" s="100" t="s">
        <v>1658</v>
      </c>
      <c r="H1175" s="99"/>
      <c r="I1175" s="247">
        <v>35724</v>
      </c>
      <c r="J1175" s="101">
        <v>1</v>
      </c>
      <c r="K1175" s="101"/>
      <c r="L1175" s="101">
        <v>1</v>
      </c>
      <c r="M1175" s="101"/>
      <c r="N1175" s="101"/>
      <c r="O1175" s="101"/>
      <c r="P1175" s="101"/>
      <c r="Q1175" s="101"/>
      <c r="R1175" s="101"/>
      <c r="S1175" s="101"/>
      <c r="T1175" s="101"/>
      <c r="U1175" s="100" t="s">
        <v>507</v>
      </c>
      <c r="V1175" s="100" t="s">
        <v>293</v>
      </c>
      <c r="W1175" s="100" t="s">
        <v>298</v>
      </c>
      <c r="X1175" s="100" t="s">
        <v>227</v>
      </c>
      <c r="Y1175" s="99"/>
      <c r="Z1175" s="99"/>
      <c r="AA1175" s="100" t="s">
        <v>3307</v>
      </c>
      <c r="AB1175" s="100" t="s">
        <v>528</v>
      </c>
      <c r="AC1175" s="101">
        <v>1</v>
      </c>
      <c r="AD1175" s="101"/>
      <c r="AE1175" s="101"/>
      <c r="AF1175" s="101"/>
      <c r="AG1175" s="101"/>
      <c r="AH1175" s="99"/>
      <c r="AI1175" s="105"/>
    </row>
    <row r="1176" spans="1:35">
      <c r="A1176" s="98"/>
      <c r="B1176" s="99"/>
      <c r="C1176" s="263" t="s">
        <v>3230</v>
      </c>
      <c r="D1176" s="264" t="s">
        <v>79</v>
      </c>
      <c r="E1176" s="264" t="s">
        <v>80</v>
      </c>
      <c r="F1176" s="100" t="s">
        <v>3522</v>
      </c>
      <c r="G1176" s="100" t="s">
        <v>2925</v>
      </c>
      <c r="H1176" s="100" t="s">
        <v>136</v>
      </c>
      <c r="I1176" s="247">
        <v>21839</v>
      </c>
      <c r="J1176" s="101"/>
      <c r="K1176" s="101">
        <v>1</v>
      </c>
      <c r="L1176" s="101">
        <v>1</v>
      </c>
      <c r="M1176" s="101"/>
      <c r="N1176" s="101"/>
      <c r="O1176" s="101"/>
      <c r="P1176" s="101"/>
      <c r="Q1176" s="101"/>
      <c r="R1176" s="101"/>
      <c r="S1176" s="101"/>
      <c r="T1176" s="101"/>
      <c r="U1176" s="100" t="s">
        <v>504</v>
      </c>
      <c r="V1176" s="100" t="s">
        <v>293</v>
      </c>
      <c r="W1176" s="100" t="s">
        <v>298</v>
      </c>
      <c r="X1176" s="100" t="s">
        <v>227</v>
      </c>
      <c r="Y1176" s="99"/>
      <c r="Z1176" s="99"/>
      <c r="AA1176" s="100" t="s">
        <v>3198</v>
      </c>
      <c r="AB1176" s="100" t="s">
        <v>526</v>
      </c>
      <c r="AC1176" s="101">
        <v>2</v>
      </c>
      <c r="AD1176" s="101"/>
      <c r="AE1176" s="101"/>
      <c r="AF1176" s="101"/>
      <c r="AG1176" s="101"/>
      <c r="AH1176" s="99"/>
      <c r="AI1176" s="105"/>
    </row>
    <row r="1177" spans="1:35">
      <c r="A1177" s="98"/>
      <c r="B1177" s="99"/>
      <c r="C1177" s="263" t="s">
        <v>3230</v>
      </c>
      <c r="D1177" s="264" t="s">
        <v>79</v>
      </c>
      <c r="E1177" s="264" t="s">
        <v>80</v>
      </c>
      <c r="F1177" s="100" t="s">
        <v>3570</v>
      </c>
      <c r="G1177" s="100" t="s">
        <v>3571</v>
      </c>
      <c r="H1177" s="99" t="s">
        <v>126</v>
      </c>
      <c r="I1177" s="247">
        <v>32816</v>
      </c>
      <c r="J1177" s="101">
        <v>1</v>
      </c>
      <c r="K1177" s="101"/>
      <c r="L1177" s="101">
        <v>1</v>
      </c>
      <c r="M1177" s="101"/>
      <c r="N1177" s="101"/>
      <c r="O1177" s="101"/>
      <c r="P1177" s="101"/>
      <c r="Q1177" s="101"/>
      <c r="R1177" s="101"/>
      <c r="S1177" s="101"/>
      <c r="T1177" s="101"/>
      <c r="U1177" s="99" t="s">
        <v>1010</v>
      </c>
      <c r="V1177" s="99" t="s">
        <v>519</v>
      </c>
      <c r="W1177" s="99" t="s">
        <v>280</v>
      </c>
      <c r="X1177" s="100" t="s">
        <v>227</v>
      </c>
      <c r="Y1177" s="99"/>
      <c r="Z1177" s="99"/>
      <c r="AA1177" s="100" t="s">
        <v>3199</v>
      </c>
      <c r="AB1177" s="100" t="s">
        <v>528</v>
      </c>
      <c r="AC1177" s="101">
        <v>1</v>
      </c>
      <c r="AD1177" s="101"/>
      <c r="AE1177" s="101"/>
      <c r="AF1177" s="101"/>
      <c r="AG1177" s="101"/>
      <c r="AH1177" s="99"/>
      <c r="AI1177" s="105"/>
    </row>
    <row r="1178" spans="1:35">
      <c r="A1178" s="98"/>
      <c r="B1178" s="99"/>
      <c r="C1178" s="99"/>
      <c r="D1178" s="99"/>
      <c r="E1178" s="99"/>
      <c r="F1178" s="100"/>
      <c r="G1178" s="100"/>
      <c r="H1178" s="99"/>
      <c r="I1178" s="247"/>
      <c r="J1178" s="101"/>
      <c r="K1178" s="101"/>
      <c r="L1178" s="101"/>
      <c r="M1178" s="101"/>
      <c r="N1178" s="101"/>
      <c r="O1178" s="101"/>
      <c r="P1178" s="101"/>
      <c r="Q1178" s="101"/>
      <c r="R1178" s="101"/>
      <c r="S1178" s="101"/>
      <c r="T1178" s="101"/>
      <c r="U1178" s="99"/>
      <c r="V1178" s="99"/>
      <c r="W1178" s="99"/>
      <c r="X1178" s="100"/>
      <c r="Y1178" s="99"/>
      <c r="Z1178" s="99"/>
      <c r="AA1178" s="100" t="s">
        <v>3586</v>
      </c>
      <c r="AB1178" s="100" t="s">
        <v>528</v>
      </c>
      <c r="AC1178" s="101">
        <v>1</v>
      </c>
      <c r="AD1178" s="101"/>
      <c r="AE1178" s="101"/>
      <c r="AF1178" s="101"/>
      <c r="AG1178" s="101"/>
      <c r="AH1178" s="99"/>
      <c r="AI1178" s="105"/>
    </row>
    <row r="1179" spans="1:35">
      <c r="A1179" s="98"/>
      <c r="B1179" s="99"/>
      <c r="C1179" s="263" t="s">
        <v>3230</v>
      </c>
      <c r="D1179" s="264" t="s">
        <v>79</v>
      </c>
      <c r="E1179" s="264" t="s">
        <v>80</v>
      </c>
      <c r="F1179" s="100" t="s">
        <v>3573</v>
      </c>
      <c r="G1179" s="100" t="s">
        <v>3572</v>
      </c>
      <c r="H1179" s="99" t="s">
        <v>120</v>
      </c>
      <c r="I1179" s="247">
        <v>23784</v>
      </c>
      <c r="J1179" s="101">
        <v>1</v>
      </c>
      <c r="K1179" s="101"/>
      <c r="L1179" s="101">
        <v>1</v>
      </c>
      <c r="M1179" s="101"/>
      <c r="N1179" s="101"/>
      <c r="O1179" s="101"/>
      <c r="P1179" s="101"/>
      <c r="Q1179" s="101"/>
      <c r="R1179" s="101"/>
      <c r="S1179" s="101"/>
      <c r="T1179" s="101"/>
      <c r="U1179" s="99" t="s">
        <v>1010</v>
      </c>
      <c r="V1179" s="99" t="s">
        <v>519</v>
      </c>
      <c r="W1179" s="99" t="s">
        <v>280</v>
      </c>
      <c r="X1179" s="100" t="s">
        <v>227</v>
      </c>
      <c r="Y1179" s="99"/>
      <c r="Z1179" s="99"/>
      <c r="AA1179" s="100" t="s">
        <v>3199</v>
      </c>
      <c r="AB1179" s="100" t="s">
        <v>528</v>
      </c>
      <c r="AC1179" s="101">
        <v>1</v>
      </c>
      <c r="AD1179" s="101"/>
      <c r="AE1179" s="101"/>
      <c r="AF1179" s="101"/>
      <c r="AG1179" s="101"/>
      <c r="AH1179" s="99"/>
      <c r="AI1179" s="105"/>
    </row>
    <row r="1180" spans="1:35">
      <c r="A1180" s="98"/>
      <c r="B1180" s="99"/>
      <c r="C1180" s="99"/>
      <c r="D1180" s="99"/>
      <c r="E1180" s="99"/>
      <c r="F1180" s="100"/>
      <c r="G1180" s="100"/>
      <c r="H1180" s="99"/>
      <c r="I1180" s="247"/>
      <c r="J1180" s="101"/>
      <c r="K1180" s="101"/>
      <c r="L1180" s="101"/>
      <c r="M1180" s="101"/>
      <c r="N1180" s="101"/>
      <c r="O1180" s="101"/>
      <c r="P1180" s="101"/>
      <c r="Q1180" s="101"/>
      <c r="R1180" s="101"/>
      <c r="S1180" s="101"/>
      <c r="T1180" s="101"/>
      <c r="U1180" s="99"/>
      <c r="V1180" s="99"/>
      <c r="W1180" s="99"/>
      <c r="X1180" s="100"/>
      <c r="Y1180" s="99"/>
      <c r="Z1180" s="99"/>
      <c r="AA1180" s="100" t="s">
        <v>3586</v>
      </c>
      <c r="AB1180" s="100" t="s">
        <v>528</v>
      </c>
      <c r="AC1180" s="101">
        <v>1</v>
      </c>
      <c r="AD1180" s="101"/>
      <c r="AE1180" s="101"/>
      <c r="AF1180" s="101"/>
      <c r="AG1180" s="101"/>
      <c r="AH1180" s="99"/>
      <c r="AI1180" s="105"/>
    </row>
    <row r="1181" spans="1:35">
      <c r="A1181" s="98"/>
      <c r="B1181" s="99"/>
      <c r="C1181" s="263" t="s">
        <v>3230</v>
      </c>
      <c r="D1181" s="264" t="s">
        <v>79</v>
      </c>
      <c r="E1181" s="264" t="s">
        <v>80</v>
      </c>
      <c r="F1181" s="100" t="s">
        <v>1359</v>
      </c>
      <c r="G1181" s="100" t="s">
        <v>998</v>
      </c>
      <c r="H1181" s="99" t="s">
        <v>588</v>
      </c>
      <c r="I1181" s="247">
        <v>33183</v>
      </c>
      <c r="J1181" s="101">
        <v>1</v>
      </c>
      <c r="K1181" s="101"/>
      <c r="L1181" s="101">
        <v>1</v>
      </c>
      <c r="M1181" s="101"/>
      <c r="N1181" s="101"/>
      <c r="O1181" s="101"/>
      <c r="P1181" s="101"/>
      <c r="Q1181" s="101"/>
      <c r="R1181" s="101"/>
      <c r="S1181" s="101"/>
      <c r="T1181" s="101"/>
      <c r="U1181" s="99" t="s">
        <v>1010</v>
      </c>
      <c r="V1181" s="99" t="s">
        <v>519</v>
      </c>
      <c r="W1181" s="99" t="s">
        <v>280</v>
      </c>
      <c r="X1181" s="100" t="s">
        <v>227</v>
      </c>
      <c r="Y1181" s="99"/>
      <c r="Z1181" s="99"/>
      <c r="AA1181" s="100" t="s">
        <v>3199</v>
      </c>
      <c r="AB1181" s="100" t="s">
        <v>528</v>
      </c>
      <c r="AC1181" s="101">
        <v>1</v>
      </c>
      <c r="AD1181" s="101"/>
      <c r="AE1181" s="101"/>
      <c r="AF1181" s="101"/>
      <c r="AG1181" s="101"/>
      <c r="AH1181" s="99"/>
      <c r="AI1181" s="105"/>
    </row>
    <row r="1182" spans="1:35">
      <c r="A1182" s="98"/>
      <c r="B1182" s="99"/>
      <c r="C1182" s="99"/>
      <c r="D1182" s="99"/>
      <c r="E1182" s="99"/>
      <c r="F1182" s="100"/>
      <c r="G1182" s="100"/>
      <c r="H1182" s="99"/>
      <c r="I1182" s="247"/>
      <c r="J1182" s="101"/>
      <c r="K1182" s="101"/>
      <c r="L1182" s="101"/>
      <c r="M1182" s="101"/>
      <c r="N1182" s="101"/>
      <c r="O1182" s="101"/>
      <c r="P1182" s="101"/>
      <c r="Q1182" s="101"/>
      <c r="R1182" s="101"/>
      <c r="S1182" s="101"/>
      <c r="T1182" s="101"/>
      <c r="U1182" s="99"/>
      <c r="V1182" s="99"/>
      <c r="W1182" s="99"/>
      <c r="X1182" s="100"/>
      <c r="Y1182" s="99"/>
      <c r="Z1182" s="99"/>
      <c r="AA1182" s="100" t="s">
        <v>3586</v>
      </c>
      <c r="AB1182" s="100" t="s">
        <v>528</v>
      </c>
      <c r="AC1182" s="101">
        <v>1</v>
      </c>
      <c r="AD1182" s="101"/>
      <c r="AE1182" s="101"/>
      <c r="AF1182" s="101"/>
      <c r="AG1182" s="101"/>
      <c r="AH1182" s="99"/>
      <c r="AI1182" s="105"/>
    </row>
    <row r="1183" spans="1:35">
      <c r="A1183" s="98"/>
      <c r="B1183" s="99"/>
      <c r="C1183" s="263" t="s">
        <v>3230</v>
      </c>
      <c r="D1183" s="264" t="s">
        <v>79</v>
      </c>
      <c r="E1183" s="264" t="s">
        <v>80</v>
      </c>
      <c r="F1183" s="100" t="s">
        <v>3574</v>
      </c>
      <c r="G1183" s="100" t="s">
        <v>1720</v>
      </c>
      <c r="H1183" s="99" t="s">
        <v>126</v>
      </c>
      <c r="I1183" s="247">
        <v>31627</v>
      </c>
      <c r="J1183" s="101">
        <v>1</v>
      </c>
      <c r="K1183" s="101"/>
      <c r="L1183" s="101">
        <v>1</v>
      </c>
      <c r="M1183" s="101"/>
      <c r="N1183" s="101"/>
      <c r="O1183" s="101"/>
      <c r="P1183" s="101"/>
      <c r="Q1183" s="101"/>
      <c r="R1183" s="101"/>
      <c r="S1183" s="101"/>
      <c r="T1183" s="101"/>
      <c r="U1183" s="99" t="s">
        <v>1010</v>
      </c>
      <c r="V1183" s="99" t="s">
        <v>519</v>
      </c>
      <c r="W1183" s="99" t="s">
        <v>280</v>
      </c>
      <c r="X1183" s="100" t="s">
        <v>227</v>
      </c>
      <c r="Y1183" s="99"/>
      <c r="Z1183" s="99"/>
      <c r="AA1183" s="100" t="s">
        <v>3199</v>
      </c>
      <c r="AB1183" s="100" t="s">
        <v>528</v>
      </c>
      <c r="AC1183" s="101">
        <v>1</v>
      </c>
      <c r="AD1183" s="101"/>
      <c r="AE1183" s="101"/>
      <c r="AF1183" s="101"/>
      <c r="AG1183" s="101"/>
      <c r="AH1183" s="99"/>
      <c r="AI1183" s="105"/>
    </row>
    <row r="1184" spans="1:35">
      <c r="A1184" s="98"/>
      <c r="B1184" s="99"/>
      <c r="C1184" s="99"/>
      <c r="D1184" s="99"/>
      <c r="E1184" s="99"/>
      <c r="F1184" s="100"/>
      <c r="G1184" s="100"/>
      <c r="H1184" s="99"/>
      <c r="I1184" s="247"/>
      <c r="J1184" s="101"/>
      <c r="K1184" s="101"/>
      <c r="L1184" s="101"/>
      <c r="M1184" s="101"/>
      <c r="N1184" s="101"/>
      <c r="O1184" s="101"/>
      <c r="P1184" s="101"/>
      <c r="Q1184" s="101"/>
      <c r="R1184" s="101"/>
      <c r="S1184" s="101"/>
      <c r="T1184" s="101"/>
      <c r="U1184" s="99"/>
      <c r="V1184" s="99"/>
      <c r="W1184" s="99"/>
      <c r="X1184" s="100"/>
      <c r="Y1184" s="99"/>
      <c r="Z1184" s="99"/>
      <c r="AA1184" s="100" t="s">
        <v>3586</v>
      </c>
      <c r="AB1184" s="100" t="s">
        <v>528</v>
      </c>
      <c r="AC1184" s="101">
        <v>1</v>
      </c>
      <c r="AD1184" s="101"/>
      <c r="AE1184" s="101"/>
      <c r="AF1184" s="101"/>
      <c r="AG1184" s="101"/>
      <c r="AH1184" s="99"/>
      <c r="AI1184" s="105"/>
    </row>
    <row r="1185" spans="1:35">
      <c r="A1185" s="98"/>
      <c r="B1185" s="99"/>
      <c r="C1185" s="263" t="s">
        <v>3230</v>
      </c>
      <c r="D1185" s="264" t="s">
        <v>79</v>
      </c>
      <c r="E1185" s="264" t="s">
        <v>80</v>
      </c>
      <c r="F1185" s="100" t="s">
        <v>3574</v>
      </c>
      <c r="G1185" s="100" t="s">
        <v>381</v>
      </c>
      <c r="H1185" s="99" t="s">
        <v>144</v>
      </c>
      <c r="I1185" s="247">
        <v>34962</v>
      </c>
      <c r="J1185" s="101">
        <v>1</v>
      </c>
      <c r="K1185" s="101"/>
      <c r="L1185" s="101">
        <v>1</v>
      </c>
      <c r="M1185" s="101"/>
      <c r="N1185" s="101"/>
      <c r="O1185" s="101"/>
      <c r="P1185" s="101"/>
      <c r="Q1185" s="101"/>
      <c r="R1185" s="101"/>
      <c r="S1185" s="101"/>
      <c r="T1185" s="101"/>
      <c r="U1185" s="99" t="s">
        <v>1010</v>
      </c>
      <c r="V1185" s="99" t="s">
        <v>519</v>
      </c>
      <c r="W1185" s="99" t="s">
        <v>280</v>
      </c>
      <c r="X1185" s="100" t="s">
        <v>227</v>
      </c>
      <c r="Y1185" s="99"/>
      <c r="Z1185" s="99"/>
      <c r="AA1185" s="100" t="s">
        <v>3199</v>
      </c>
      <c r="AB1185" s="100" t="s">
        <v>528</v>
      </c>
      <c r="AC1185" s="101">
        <v>1</v>
      </c>
      <c r="AD1185" s="101"/>
      <c r="AE1185" s="101"/>
      <c r="AF1185" s="101"/>
      <c r="AG1185" s="101"/>
      <c r="AH1185" s="99"/>
      <c r="AI1185" s="105"/>
    </row>
    <row r="1186" spans="1:35">
      <c r="A1186" s="98"/>
      <c r="B1186" s="99"/>
      <c r="C1186" s="99"/>
      <c r="D1186" s="99"/>
      <c r="E1186" s="99"/>
      <c r="F1186" s="100"/>
      <c r="G1186" s="100"/>
      <c r="H1186" s="99"/>
      <c r="I1186" s="247"/>
      <c r="J1186" s="101"/>
      <c r="K1186" s="101"/>
      <c r="L1186" s="101"/>
      <c r="M1186" s="101"/>
      <c r="N1186" s="101"/>
      <c r="O1186" s="101"/>
      <c r="P1186" s="101"/>
      <c r="Q1186" s="101"/>
      <c r="R1186" s="101"/>
      <c r="S1186" s="101"/>
      <c r="T1186" s="101"/>
      <c r="U1186" s="99"/>
      <c r="V1186" s="99"/>
      <c r="W1186" s="99"/>
      <c r="X1186" s="100"/>
      <c r="Y1186" s="99"/>
      <c r="Z1186" s="99"/>
      <c r="AA1186" s="100" t="s">
        <v>3586</v>
      </c>
      <c r="AB1186" s="100" t="s">
        <v>528</v>
      </c>
      <c r="AC1186" s="101">
        <v>1</v>
      </c>
      <c r="AD1186" s="101"/>
      <c r="AE1186" s="101"/>
      <c r="AF1186" s="101"/>
      <c r="AG1186" s="101"/>
      <c r="AH1186" s="99"/>
      <c r="AI1186" s="105"/>
    </row>
    <row r="1187" spans="1:35">
      <c r="A1187" s="98"/>
      <c r="B1187" s="99"/>
      <c r="C1187" s="263" t="s">
        <v>3230</v>
      </c>
      <c r="D1187" s="264" t="s">
        <v>79</v>
      </c>
      <c r="E1187" s="264" t="s">
        <v>80</v>
      </c>
      <c r="F1187" s="100" t="s">
        <v>3574</v>
      </c>
      <c r="G1187" s="100" t="s">
        <v>1589</v>
      </c>
      <c r="H1187" s="99" t="s">
        <v>126</v>
      </c>
      <c r="I1187" s="247">
        <v>32991</v>
      </c>
      <c r="J1187" s="101">
        <v>1</v>
      </c>
      <c r="K1187" s="101"/>
      <c r="L1187" s="101">
        <v>1</v>
      </c>
      <c r="M1187" s="101"/>
      <c r="N1187" s="101"/>
      <c r="O1187" s="101"/>
      <c r="P1187" s="101"/>
      <c r="Q1187" s="101"/>
      <c r="R1187" s="101"/>
      <c r="S1187" s="101"/>
      <c r="T1187" s="101"/>
      <c r="U1187" s="99" t="s">
        <v>1010</v>
      </c>
      <c r="V1187" s="99" t="s">
        <v>519</v>
      </c>
      <c r="W1187" s="99" t="s">
        <v>280</v>
      </c>
      <c r="X1187" s="100" t="s">
        <v>227</v>
      </c>
      <c r="Y1187" s="99"/>
      <c r="Z1187" s="99"/>
      <c r="AA1187" s="100" t="s">
        <v>3199</v>
      </c>
      <c r="AB1187" s="100" t="s">
        <v>528</v>
      </c>
      <c r="AC1187" s="101">
        <v>1</v>
      </c>
      <c r="AD1187" s="101"/>
      <c r="AE1187" s="101"/>
      <c r="AF1187" s="101"/>
      <c r="AG1187" s="101"/>
      <c r="AH1187" s="99"/>
      <c r="AI1187" s="105"/>
    </row>
    <row r="1188" spans="1:35">
      <c r="A1188" s="98"/>
      <c r="B1188" s="99"/>
      <c r="C1188" s="99"/>
      <c r="D1188" s="99"/>
      <c r="E1188" s="99"/>
      <c r="F1188" s="100"/>
      <c r="G1188" s="100"/>
      <c r="H1188" s="99"/>
      <c r="I1188" s="247"/>
      <c r="J1188" s="101"/>
      <c r="K1188" s="101"/>
      <c r="L1188" s="101"/>
      <c r="M1188" s="101"/>
      <c r="N1188" s="101"/>
      <c r="O1188" s="101"/>
      <c r="P1188" s="101"/>
      <c r="Q1188" s="101"/>
      <c r="R1188" s="101"/>
      <c r="S1188" s="101"/>
      <c r="T1188" s="101"/>
      <c r="U1188" s="99"/>
      <c r="V1188" s="99"/>
      <c r="W1188" s="99"/>
      <c r="X1188" s="100"/>
      <c r="Y1188" s="99"/>
      <c r="Z1188" s="99"/>
      <c r="AA1188" s="100" t="s">
        <v>3586</v>
      </c>
      <c r="AB1188" s="100" t="s">
        <v>528</v>
      </c>
      <c r="AC1188" s="101">
        <v>1</v>
      </c>
      <c r="AD1188" s="101"/>
      <c r="AE1188" s="101"/>
      <c r="AF1188" s="101"/>
      <c r="AG1188" s="101"/>
      <c r="AH1188" s="99"/>
      <c r="AI1188" s="105"/>
    </row>
    <row r="1189" spans="1:35">
      <c r="A1189" s="98"/>
      <c r="B1189" s="99"/>
      <c r="C1189" s="263" t="s">
        <v>3230</v>
      </c>
      <c r="D1189" s="264" t="s">
        <v>79</v>
      </c>
      <c r="E1189" s="264" t="s">
        <v>80</v>
      </c>
      <c r="F1189" s="100" t="s">
        <v>3574</v>
      </c>
      <c r="G1189" s="100" t="s">
        <v>210</v>
      </c>
      <c r="H1189" s="99" t="s">
        <v>126</v>
      </c>
      <c r="I1189" s="247">
        <v>29334</v>
      </c>
      <c r="J1189" s="101">
        <v>1</v>
      </c>
      <c r="K1189" s="101"/>
      <c r="L1189" s="101">
        <v>1</v>
      </c>
      <c r="M1189" s="101"/>
      <c r="N1189" s="101"/>
      <c r="O1189" s="101"/>
      <c r="P1189" s="101"/>
      <c r="Q1189" s="101"/>
      <c r="R1189" s="101"/>
      <c r="S1189" s="101"/>
      <c r="T1189" s="101"/>
      <c r="U1189" s="99" t="s">
        <v>1010</v>
      </c>
      <c r="V1189" s="99" t="s">
        <v>519</v>
      </c>
      <c r="W1189" s="99" t="s">
        <v>280</v>
      </c>
      <c r="X1189" s="100" t="s">
        <v>227</v>
      </c>
      <c r="Y1189" s="99"/>
      <c r="Z1189" s="99"/>
      <c r="AA1189" s="100" t="s">
        <v>3199</v>
      </c>
      <c r="AB1189" s="100" t="s">
        <v>528</v>
      </c>
      <c r="AC1189" s="101">
        <v>1</v>
      </c>
      <c r="AD1189" s="101"/>
      <c r="AE1189" s="101"/>
      <c r="AF1189" s="101"/>
      <c r="AG1189" s="101"/>
      <c r="AH1189" s="99"/>
      <c r="AI1189" s="105"/>
    </row>
    <row r="1190" spans="1:35">
      <c r="A1190" s="98"/>
      <c r="B1190" s="99"/>
      <c r="C1190" s="99"/>
      <c r="D1190" s="99"/>
      <c r="E1190" s="99"/>
      <c r="F1190" s="100"/>
      <c r="G1190" s="100"/>
      <c r="H1190" s="99"/>
      <c r="I1190" s="247"/>
      <c r="J1190" s="101"/>
      <c r="K1190" s="101"/>
      <c r="L1190" s="101"/>
      <c r="M1190" s="101"/>
      <c r="N1190" s="101"/>
      <c r="O1190" s="101"/>
      <c r="P1190" s="101"/>
      <c r="Q1190" s="101"/>
      <c r="R1190" s="101"/>
      <c r="S1190" s="101"/>
      <c r="T1190" s="101"/>
      <c r="U1190" s="99"/>
      <c r="V1190" s="99"/>
      <c r="W1190" s="99"/>
      <c r="X1190" s="100"/>
      <c r="Y1190" s="99"/>
      <c r="Z1190" s="99"/>
      <c r="AA1190" s="100" t="s">
        <v>3586</v>
      </c>
      <c r="AB1190" s="100" t="s">
        <v>528</v>
      </c>
      <c r="AC1190" s="101">
        <v>1</v>
      </c>
      <c r="AD1190" s="101"/>
      <c r="AE1190" s="101"/>
      <c r="AF1190" s="101"/>
      <c r="AG1190" s="101"/>
      <c r="AH1190" s="99"/>
      <c r="AI1190" s="105"/>
    </row>
    <row r="1191" spans="1:35">
      <c r="A1191" s="98"/>
      <c r="B1191" s="99"/>
      <c r="C1191" s="263" t="s">
        <v>3230</v>
      </c>
      <c r="D1191" s="264" t="s">
        <v>79</v>
      </c>
      <c r="E1191" s="264" t="s">
        <v>80</v>
      </c>
      <c r="F1191" s="100" t="s">
        <v>3409</v>
      </c>
      <c r="G1191" s="100" t="s">
        <v>309</v>
      </c>
      <c r="H1191" s="99" t="s">
        <v>144</v>
      </c>
      <c r="I1191" s="247">
        <v>34031</v>
      </c>
      <c r="J1191" s="101">
        <v>1</v>
      </c>
      <c r="K1191" s="101"/>
      <c r="L1191" s="101">
        <v>1</v>
      </c>
      <c r="M1191" s="101"/>
      <c r="N1191" s="101"/>
      <c r="O1191" s="101"/>
      <c r="P1191" s="101"/>
      <c r="Q1191" s="101"/>
      <c r="R1191" s="101"/>
      <c r="S1191" s="101"/>
      <c r="T1191" s="101"/>
      <c r="U1191" s="99" t="s">
        <v>1010</v>
      </c>
      <c r="V1191" s="99" t="s">
        <v>519</v>
      </c>
      <c r="W1191" s="99" t="s">
        <v>280</v>
      </c>
      <c r="X1191" s="100" t="s">
        <v>227</v>
      </c>
      <c r="Y1191" s="99"/>
      <c r="Z1191" s="99"/>
      <c r="AA1191" s="100" t="s">
        <v>3199</v>
      </c>
      <c r="AB1191" s="100" t="s">
        <v>528</v>
      </c>
      <c r="AC1191" s="101">
        <v>1</v>
      </c>
      <c r="AD1191" s="101"/>
      <c r="AE1191" s="101"/>
      <c r="AF1191" s="101"/>
      <c r="AG1191" s="101"/>
      <c r="AH1191" s="99"/>
      <c r="AI1191" s="105"/>
    </row>
    <row r="1192" spans="1:35">
      <c r="A1192" s="98"/>
      <c r="B1192" s="99"/>
      <c r="C1192" s="99"/>
      <c r="D1192" s="99"/>
      <c r="E1192" s="99"/>
      <c r="F1192" s="100"/>
      <c r="G1192" s="100"/>
      <c r="H1192" s="99"/>
      <c r="I1192" s="247"/>
      <c r="J1192" s="101"/>
      <c r="K1192" s="101"/>
      <c r="L1192" s="101"/>
      <c r="M1192" s="101"/>
      <c r="N1192" s="101"/>
      <c r="O1192" s="101"/>
      <c r="P1192" s="101"/>
      <c r="Q1192" s="101"/>
      <c r="R1192" s="101"/>
      <c r="S1192" s="101"/>
      <c r="T1192" s="101"/>
      <c r="U1192" s="99"/>
      <c r="V1192" s="99"/>
      <c r="W1192" s="99"/>
      <c r="X1192" s="100"/>
      <c r="Y1192" s="99"/>
      <c r="Z1192" s="99"/>
      <c r="AA1192" s="100" t="s">
        <v>3586</v>
      </c>
      <c r="AB1192" s="100" t="s">
        <v>528</v>
      </c>
      <c r="AC1192" s="101">
        <v>1</v>
      </c>
      <c r="AD1192" s="101"/>
      <c r="AE1192" s="101"/>
      <c r="AF1192" s="101"/>
      <c r="AG1192" s="101"/>
      <c r="AH1192" s="99"/>
      <c r="AI1192" s="105"/>
    </row>
    <row r="1193" spans="1:35">
      <c r="A1193" s="98"/>
      <c r="B1193" s="99"/>
      <c r="C1193" s="263" t="s">
        <v>3230</v>
      </c>
      <c r="D1193" s="264" t="s">
        <v>79</v>
      </c>
      <c r="E1193" s="264" t="s">
        <v>80</v>
      </c>
      <c r="F1193" s="100" t="s">
        <v>3573</v>
      </c>
      <c r="G1193" s="100" t="s">
        <v>3585</v>
      </c>
      <c r="H1193" s="99" t="s">
        <v>120</v>
      </c>
      <c r="I1193" s="247">
        <v>24054</v>
      </c>
      <c r="J1193" s="101">
        <v>1</v>
      </c>
      <c r="K1193" s="101"/>
      <c r="L1193" s="101">
        <v>1</v>
      </c>
      <c r="M1193" s="101"/>
      <c r="N1193" s="101"/>
      <c r="O1193" s="101"/>
      <c r="P1193" s="101"/>
      <c r="Q1193" s="101"/>
      <c r="R1193" s="101"/>
      <c r="S1193" s="101"/>
      <c r="T1193" s="101"/>
      <c r="U1193" s="99" t="s">
        <v>1010</v>
      </c>
      <c r="V1193" s="99" t="s">
        <v>519</v>
      </c>
      <c r="W1193" s="99" t="s">
        <v>280</v>
      </c>
      <c r="X1193" s="100" t="s">
        <v>227</v>
      </c>
      <c r="Y1193" s="99"/>
      <c r="Z1193" s="99"/>
      <c r="AA1193" s="100" t="s">
        <v>3199</v>
      </c>
      <c r="AB1193" s="100" t="s">
        <v>528</v>
      </c>
      <c r="AC1193" s="101">
        <v>1</v>
      </c>
      <c r="AD1193" s="101"/>
      <c r="AE1193" s="101"/>
      <c r="AF1193" s="101"/>
      <c r="AG1193" s="101"/>
      <c r="AH1193" s="99"/>
      <c r="AI1193" s="105"/>
    </row>
    <row r="1194" spans="1:35">
      <c r="A1194" s="98"/>
      <c r="B1194" s="99"/>
      <c r="C1194" s="99"/>
      <c r="D1194" s="99"/>
      <c r="E1194" s="99"/>
      <c r="F1194" s="100"/>
      <c r="G1194" s="100"/>
      <c r="H1194" s="99"/>
      <c r="I1194" s="247"/>
      <c r="J1194" s="101"/>
      <c r="K1194" s="101"/>
      <c r="L1194" s="101"/>
      <c r="M1194" s="101"/>
      <c r="N1194" s="101"/>
      <c r="O1194" s="101"/>
      <c r="P1194" s="101"/>
      <c r="Q1194" s="101"/>
      <c r="R1194" s="101"/>
      <c r="S1194" s="101"/>
      <c r="T1194" s="101"/>
      <c r="U1194" s="99"/>
      <c r="V1194" s="99"/>
      <c r="W1194" s="99"/>
      <c r="X1194" s="100"/>
      <c r="Y1194" s="99"/>
      <c r="Z1194" s="99"/>
      <c r="AA1194" s="100" t="s">
        <v>3586</v>
      </c>
      <c r="AB1194" s="100" t="s">
        <v>528</v>
      </c>
      <c r="AC1194" s="101">
        <v>1</v>
      </c>
      <c r="AD1194" s="101"/>
      <c r="AE1194" s="101"/>
      <c r="AF1194" s="101"/>
      <c r="AG1194" s="101"/>
      <c r="AH1194" s="99"/>
      <c r="AI1194" s="105"/>
    </row>
    <row r="1195" spans="1:35">
      <c r="A1195" s="98"/>
      <c r="B1195" s="99"/>
      <c r="C1195" s="263" t="s">
        <v>3230</v>
      </c>
      <c r="D1195" s="264" t="s">
        <v>79</v>
      </c>
      <c r="E1195" s="264" t="s">
        <v>80</v>
      </c>
      <c r="F1195" s="100" t="s">
        <v>3575</v>
      </c>
      <c r="G1195" s="100" t="s">
        <v>2654</v>
      </c>
      <c r="H1195" s="99" t="s">
        <v>120</v>
      </c>
      <c r="I1195" s="247">
        <v>33364</v>
      </c>
      <c r="J1195" s="101">
        <v>1</v>
      </c>
      <c r="K1195" s="101"/>
      <c r="L1195" s="101">
        <v>1</v>
      </c>
      <c r="M1195" s="101"/>
      <c r="N1195" s="101"/>
      <c r="O1195" s="101"/>
      <c r="P1195" s="101"/>
      <c r="Q1195" s="101"/>
      <c r="R1195" s="101"/>
      <c r="S1195" s="101"/>
      <c r="T1195" s="101"/>
      <c r="U1195" s="99" t="s">
        <v>3584</v>
      </c>
      <c r="V1195" s="99" t="s">
        <v>519</v>
      </c>
      <c r="W1195" s="99" t="s">
        <v>280</v>
      </c>
      <c r="X1195" s="100" t="s">
        <v>227</v>
      </c>
      <c r="Y1195" s="99"/>
      <c r="Z1195" s="99"/>
      <c r="AA1195" s="100" t="s">
        <v>3199</v>
      </c>
      <c r="AB1195" s="100" t="s">
        <v>528</v>
      </c>
      <c r="AC1195" s="101">
        <v>1</v>
      </c>
      <c r="AD1195" s="101"/>
      <c r="AE1195" s="101"/>
      <c r="AF1195" s="101"/>
      <c r="AG1195" s="101"/>
      <c r="AH1195" s="99"/>
      <c r="AI1195" s="105"/>
    </row>
    <row r="1196" spans="1:35">
      <c r="A1196" s="98"/>
      <c r="B1196" s="99"/>
      <c r="C1196" s="99"/>
      <c r="D1196" s="99"/>
      <c r="E1196" s="99"/>
      <c r="F1196" s="100"/>
      <c r="G1196" s="100"/>
      <c r="H1196" s="99"/>
      <c r="I1196" s="247"/>
      <c r="J1196" s="101"/>
      <c r="K1196" s="101"/>
      <c r="L1196" s="101"/>
      <c r="M1196" s="101"/>
      <c r="N1196" s="101"/>
      <c r="O1196" s="101"/>
      <c r="P1196" s="101"/>
      <c r="Q1196" s="101"/>
      <c r="R1196" s="101"/>
      <c r="S1196" s="101"/>
      <c r="T1196" s="101"/>
      <c r="U1196" s="99"/>
      <c r="V1196" s="99"/>
      <c r="W1196" s="99"/>
      <c r="X1196" s="100"/>
      <c r="Y1196" s="99"/>
      <c r="Z1196" s="99"/>
      <c r="AA1196" s="100" t="s">
        <v>3586</v>
      </c>
      <c r="AB1196" s="100" t="s">
        <v>528</v>
      </c>
      <c r="AC1196" s="101">
        <v>1</v>
      </c>
      <c r="AD1196" s="101"/>
      <c r="AE1196" s="101"/>
      <c r="AF1196" s="101"/>
      <c r="AG1196" s="101"/>
      <c r="AH1196" s="99"/>
      <c r="AI1196" s="105"/>
    </row>
    <row r="1197" spans="1:35">
      <c r="A1197" s="98"/>
      <c r="B1197" s="99"/>
      <c r="C1197" s="263" t="s">
        <v>3230</v>
      </c>
      <c r="D1197" s="264" t="s">
        <v>79</v>
      </c>
      <c r="E1197" s="264" t="s">
        <v>80</v>
      </c>
      <c r="F1197" s="100" t="s">
        <v>3576</v>
      </c>
      <c r="G1197" s="100" t="s">
        <v>1726</v>
      </c>
      <c r="H1197" s="99"/>
      <c r="I1197" s="247">
        <v>25752</v>
      </c>
      <c r="J1197" s="101">
        <v>1</v>
      </c>
      <c r="K1197" s="101"/>
      <c r="L1197" s="101">
        <v>1</v>
      </c>
      <c r="M1197" s="101"/>
      <c r="N1197" s="101"/>
      <c r="O1197" s="101"/>
      <c r="P1197" s="101"/>
      <c r="Q1197" s="101"/>
      <c r="R1197" s="101"/>
      <c r="S1197" s="101"/>
      <c r="T1197" s="101"/>
      <c r="U1197" s="99" t="s">
        <v>3584</v>
      </c>
      <c r="V1197" s="99" t="s">
        <v>519</v>
      </c>
      <c r="W1197" s="99" t="s">
        <v>280</v>
      </c>
      <c r="X1197" s="100" t="s">
        <v>227</v>
      </c>
      <c r="Y1197" s="99"/>
      <c r="Z1197" s="99"/>
      <c r="AA1197" s="100" t="s">
        <v>3199</v>
      </c>
      <c r="AB1197" s="100" t="s">
        <v>528</v>
      </c>
      <c r="AC1197" s="101">
        <v>1</v>
      </c>
      <c r="AD1197" s="101"/>
      <c r="AE1197" s="101"/>
      <c r="AF1197" s="101"/>
      <c r="AG1197" s="101"/>
      <c r="AH1197" s="99"/>
      <c r="AI1197" s="105"/>
    </row>
    <row r="1198" spans="1:35">
      <c r="A1198" s="98"/>
      <c r="B1198" s="99"/>
      <c r="C1198" s="99"/>
      <c r="D1198" s="99"/>
      <c r="E1198" s="99"/>
      <c r="F1198" s="100"/>
      <c r="G1198" s="100"/>
      <c r="H1198" s="99"/>
      <c r="I1198" s="247"/>
      <c r="J1198" s="101"/>
      <c r="K1198" s="101"/>
      <c r="L1198" s="101"/>
      <c r="M1198" s="101"/>
      <c r="N1198" s="101"/>
      <c r="O1198" s="101"/>
      <c r="P1198" s="101"/>
      <c r="Q1198" s="101"/>
      <c r="R1198" s="101"/>
      <c r="S1198" s="101"/>
      <c r="T1198" s="101"/>
      <c r="U1198" s="99"/>
      <c r="V1198" s="99"/>
      <c r="W1198" s="99"/>
      <c r="X1198" s="100"/>
      <c r="Y1198" s="99"/>
      <c r="Z1198" s="99"/>
      <c r="AA1198" s="100" t="s">
        <v>3586</v>
      </c>
      <c r="AB1198" s="100" t="s">
        <v>528</v>
      </c>
      <c r="AC1198" s="101">
        <v>1</v>
      </c>
      <c r="AD1198" s="101"/>
      <c r="AE1198" s="101"/>
      <c r="AF1198" s="101"/>
      <c r="AG1198" s="101"/>
      <c r="AH1198" s="99"/>
      <c r="AI1198" s="105"/>
    </row>
    <row r="1199" spans="1:35">
      <c r="A1199" s="98"/>
      <c r="B1199" s="99"/>
      <c r="C1199" s="263" t="s">
        <v>3230</v>
      </c>
      <c r="D1199" s="264" t="s">
        <v>79</v>
      </c>
      <c r="E1199" s="264" t="s">
        <v>80</v>
      </c>
      <c r="F1199" s="100" t="s">
        <v>3578</v>
      </c>
      <c r="G1199" s="100" t="s">
        <v>3577</v>
      </c>
      <c r="H1199" s="99" t="s">
        <v>126</v>
      </c>
      <c r="I1199" s="247">
        <v>28730</v>
      </c>
      <c r="J1199" s="101"/>
      <c r="K1199" s="101">
        <v>1</v>
      </c>
      <c r="L1199" s="101">
        <v>1</v>
      </c>
      <c r="M1199" s="101"/>
      <c r="N1199" s="101"/>
      <c r="O1199" s="101"/>
      <c r="P1199" s="101"/>
      <c r="Q1199" s="101"/>
      <c r="R1199" s="101"/>
      <c r="S1199" s="101"/>
      <c r="T1199" s="101"/>
      <c r="U1199" s="99" t="s">
        <v>3584</v>
      </c>
      <c r="V1199" s="99" t="s">
        <v>519</v>
      </c>
      <c r="W1199" s="99" t="s">
        <v>280</v>
      </c>
      <c r="X1199" s="100" t="s">
        <v>227</v>
      </c>
      <c r="Y1199" s="99"/>
      <c r="Z1199" s="99"/>
      <c r="AA1199" s="100" t="s">
        <v>3199</v>
      </c>
      <c r="AB1199" s="100" t="s">
        <v>528</v>
      </c>
      <c r="AC1199" s="101">
        <v>1</v>
      </c>
      <c r="AD1199" s="101"/>
      <c r="AE1199" s="101"/>
      <c r="AF1199" s="101"/>
      <c r="AG1199" s="101"/>
      <c r="AH1199" s="99"/>
      <c r="AI1199" s="105"/>
    </row>
    <row r="1200" spans="1:35">
      <c r="A1200" s="98"/>
      <c r="B1200" s="99"/>
      <c r="C1200" s="99"/>
      <c r="D1200" s="99"/>
      <c r="E1200" s="99"/>
      <c r="F1200" s="100"/>
      <c r="G1200" s="100"/>
      <c r="H1200" s="99"/>
      <c r="I1200" s="247"/>
      <c r="J1200" s="101"/>
      <c r="K1200" s="101"/>
      <c r="L1200" s="101"/>
      <c r="M1200" s="101"/>
      <c r="N1200" s="101"/>
      <c r="O1200" s="101"/>
      <c r="P1200" s="101"/>
      <c r="Q1200" s="101"/>
      <c r="R1200" s="101"/>
      <c r="S1200" s="101"/>
      <c r="T1200" s="101"/>
      <c r="U1200" s="99"/>
      <c r="V1200" s="99"/>
      <c r="W1200" s="99"/>
      <c r="X1200" s="100"/>
      <c r="Y1200" s="99"/>
      <c r="Z1200" s="99"/>
      <c r="AA1200" s="100" t="s">
        <v>3586</v>
      </c>
      <c r="AB1200" s="100" t="s">
        <v>528</v>
      </c>
      <c r="AC1200" s="101">
        <v>1</v>
      </c>
      <c r="AD1200" s="101"/>
      <c r="AE1200" s="101"/>
      <c r="AF1200" s="101"/>
      <c r="AG1200" s="101"/>
      <c r="AH1200" s="99"/>
      <c r="AI1200" s="105"/>
    </row>
    <row r="1201" spans="1:35">
      <c r="A1201" s="98"/>
      <c r="B1201" s="99"/>
      <c r="C1201" s="263" t="s">
        <v>3230</v>
      </c>
      <c r="D1201" s="264" t="s">
        <v>79</v>
      </c>
      <c r="E1201" s="264" t="s">
        <v>80</v>
      </c>
      <c r="F1201" s="100" t="s">
        <v>3579</v>
      </c>
      <c r="G1201" s="100" t="s">
        <v>3580</v>
      </c>
      <c r="H1201" s="99" t="s">
        <v>81</v>
      </c>
      <c r="I1201" s="247">
        <v>31487</v>
      </c>
      <c r="J1201" s="101">
        <v>1</v>
      </c>
      <c r="K1201" s="101"/>
      <c r="L1201" s="101">
        <v>1</v>
      </c>
      <c r="M1201" s="101"/>
      <c r="N1201" s="101"/>
      <c r="O1201" s="101"/>
      <c r="P1201" s="101"/>
      <c r="Q1201" s="101"/>
      <c r="R1201" s="101"/>
      <c r="S1201" s="101"/>
      <c r="T1201" s="101"/>
      <c r="U1201" s="99" t="s">
        <v>3584</v>
      </c>
      <c r="V1201" s="99" t="s">
        <v>519</v>
      </c>
      <c r="W1201" s="99" t="s">
        <v>280</v>
      </c>
      <c r="X1201" s="100" t="s">
        <v>227</v>
      </c>
      <c r="Y1201" s="99"/>
      <c r="Z1201" s="99"/>
      <c r="AA1201" s="100" t="s">
        <v>3199</v>
      </c>
      <c r="AB1201" s="100" t="s">
        <v>528</v>
      </c>
      <c r="AC1201" s="101">
        <v>1</v>
      </c>
      <c r="AD1201" s="101"/>
      <c r="AE1201" s="101"/>
      <c r="AF1201" s="101"/>
      <c r="AG1201" s="101"/>
      <c r="AH1201" s="99"/>
      <c r="AI1201" s="105"/>
    </row>
    <row r="1202" spans="1:35">
      <c r="A1202" s="98"/>
      <c r="B1202" s="99"/>
      <c r="C1202" s="99"/>
      <c r="D1202" s="99"/>
      <c r="E1202" s="99"/>
      <c r="F1202" s="100"/>
      <c r="G1202" s="100"/>
      <c r="H1202" s="99"/>
      <c r="I1202" s="247"/>
      <c r="J1202" s="101"/>
      <c r="K1202" s="101"/>
      <c r="L1202" s="101"/>
      <c r="M1202" s="101"/>
      <c r="N1202" s="101"/>
      <c r="O1202" s="101"/>
      <c r="P1202" s="101"/>
      <c r="Q1202" s="101"/>
      <c r="R1202" s="101"/>
      <c r="S1202" s="101"/>
      <c r="T1202" s="101"/>
      <c r="U1202" s="99"/>
      <c r="V1202" s="99"/>
      <c r="W1202" s="99"/>
      <c r="X1202" s="100"/>
      <c r="Y1202" s="99"/>
      <c r="Z1202" s="99"/>
      <c r="AA1202" s="100" t="s">
        <v>3586</v>
      </c>
      <c r="AB1202" s="100" t="s">
        <v>528</v>
      </c>
      <c r="AC1202" s="101">
        <v>1</v>
      </c>
      <c r="AD1202" s="101"/>
      <c r="AE1202" s="101"/>
      <c r="AF1202" s="101"/>
      <c r="AG1202" s="101"/>
      <c r="AH1202" s="99"/>
      <c r="AI1202" s="105"/>
    </row>
    <row r="1203" spans="1:35">
      <c r="A1203" s="98"/>
      <c r="B1203" s="99"/>
      <c r="C1203" s="263" t="s">
        <v>3230</v>
      </c>
      <c r="D1203" s="264" t="s">
        <v>79</v>
      </c>
      <c r="E1203" s="264" t="s">
        <v>80</v>
      </c>
      <c r="F1203" s="100" t="s">
        <v>3581</v>
      </c>
      <c r="G1203" s="100" t="s">
        <v>119</v>
      </c>
      <c r="H1203" s="99" t="s">
        <v>136</v>
      </c>
      <c r="I1203" s="247">
        <v>36449</v>
      </c>
      <c r="J1203" s="101">
        <v>1</v>
      </c>
      <c r="K1203" s="101"/>
      <c r="L1203" s="101">
        <v>1</v>
      </c>
      <c r="M1203" s="101"/>
      <c r="N1203" s="101"/>
      <c r="O1203" s="101"/>
      <c r="P1203" s="101"/>
      <c r="Q1203" s="101"/>
      <c r="R1203" s="101"/>
      <c r="S1203" s="101"/>
      <c r="T1203" s="101"/>
      <c r="U1203" s="99" t="s">
        <v>3584</v>
      </c>
      <c r="V1203" s="99" t="s">
        <v>519</v>
      </c>
      <c r="W1203" s="99" t="s">
        <v>280</v>
      </c>
      <c r="X1203" s="100" t="s">
        <v>227</v>
      </c>
      <c r="Y1203" s="99"/>
      <c r="Z1203" s="99"/>
      <c r="AA1203" s="100" t="s">
        <v>3199</v>
      </c>
      <c r="AB1203" s="100" t="s">
        <v>528</v>
      </c>
      <c r="AC1203" s="101">
        <v>1</v>
      </c>
      <c r="AD1203" s="101"/>
      <c r="AE1203" s="101"/>
      <c r="AF1203" s="101"/>
      <c r="AG1203" s="101"/>
      <c r="AH1203" s="99"/>
      <c r="AI1203" s="105"/>
    </row>
    <row r="1204" spans="1:35">
      <c r="A1204" s="98"/>
      <c r="B1204" s="99"/>
      <c r="C1204" s="99"/>
      <c r="D1204" s="99"/>
      <c r="E1204" s="99"/>
      <c r="F1204" s="100"/>
      <c r="G1204" s="100"/>
      <c r="H1204" s="99"/>
      <c r="I1204" s="247"/>
      <c r="J1204" s="101"/>
      <c r="K1204" s="101"/>
      <c r="L1204" s="101"/>
      <c r="M1204" s="101"/>
      <c r="N1204" s="101"/>
      <c r="O1204" s="101"/>
      <c r="P1204" s="101"/>
      <c r="Q1204" s="101"/>
      <c r="R1204" s="101"/>
      <c r="S1204" s="101"/>
      <c r="T1204" s="101"/>
      <c r="U1204" s="99"/>
      <c r="V1204" s="99"/>
      <c r="W1204" s="99"/>
      <c r="X1204" s="100"/>
      <c r="Y1204" s="99"/>
      <c r="Z1204" s="99"/>
      <c r="AA1204" s="100" t="s">
        <v>3586</v>
      </c>
      <c r="AB1204" s="100" t="s">
        <v>528</v>
      </c>
      <c r="AC1204" s="101">
        <v>1</v>
      </c>
      <c r="AD1204" s="101"/>
      <c r="AE1204" s="101"/>
      <c r="AF1204" s="101"/>
      <c r="AG1204" s="101"/>
      <c r="AH1204" s="99"/>
      <c r="AI1204" s="105"/>
    </row>
    <row r="1205" spans="1:35">
      <c r="A1205" s="98"/>
      <c r="B1205" s="99"/>
      <c r="C1205" s="263" t="s">
        <v>3230</v>
      </c>
      <c r="D1205" s="264" t="s">
        <v>79</v>
      </c>
      <c r="E1205" s="264" t="s">
        <v>80</v>
      </c>
      <c r="F1205" s="100" t="s">
        <v>3582</v>
      </c>
      <c r="G1205" s="100" t="s">
        <v>3583</v>
      </c>
      <c r="H1205" s="99" t="s">
        <v>81</v>
      </c>
      <c r="I1205" s="247">
        <v>31342</v>
      </c>
      <c r="J1205" s="101">
        <v>1</v>
      </c>
      <c r="K1205" s="101"/>
      <c r="L1205" s="101">
        <v>1</v>
      </c>
      <c r="M1205" s="101"/>
      <c r="N1205" s="101"/>
      <c r="O1205" s="101"/>
      <c r="P1205" s="101"/>
      <c r="Q1205" s="101"/>
      <c r="R1205" s="101"/>
      <c r="S1205" s="101"/>
      <c r="T1205" s="101"/>
      <c r="U1205" s="99" t="s">
        <v>3584</v>
      </c>
      <c r="V1205" s="99" t="s">
        <v>519</v>
      </c>
      <c r="W1205" s="99" t="s">
        <v>280</v>
      </c>
      <c r="X1205" s="100" t="s">
        <v>227</v>
      </c>
      <c r="Y1205" s="99"/>
      <c r="Z1205" s="99"/>
      <c r="AA1205" s="100" t="s">
        <v>3199</v>
      </c>
      <c r="AB1205" s="100" t="s">
        <v>528</v>
      </c>
      <c r="AC1205" s="101">
        <v>1</v>
      </c>
      <c r="AD1205" s="101"/>
      <c r="AE1205" s="101"/>
      <c r="AF1205" s="101"/>
      <c r="AG1205" s="101"/>
      <c r="AH1205" s="99"/>
      <c r="AI1205" s="105"/>
    </row>
    <row r="1206" spans="1:35">
      <c r="A1206" s="98"/>
      <c r="B1206" s="99"/>
      <c r="C1206" s="99"/>
      <c r="D1206" s="99"/>
      <c r="E1206" s="99"/>
      <c r="F1206" s="100"/>
      <c r="G1206" s="100"/>
      <c r="H1206" s="99"/>
      <c r="I1206" s="247"/>
      <c r="J1206" s="101"/>
      <c r="K1206" s="101"/>
      <c r="L1206" s="101"/>
      <c r="M1206" s="101"/>
      <c r="N1206" s="101"/>
      <c r="O1206" s="101"/>
      <c r="P1206" s="101"/>
      <c r="Q1206" s="101"/>
      <c r="R1206" s="101"/>
      <c r="S1206" s="101"/>
      <c r="T1206" s="101"/>
      <c r="U1206" s="99"/>
      <c r="V1206" s="99"/>
      <c r="W1206" s="99"/>
      <c r="X1206" s="99"/>
      <c r="Y1206" s="99"/>
      <c r="Z1206" s="99"/>
      <c r="AA1206" s="100" t="s">
        <v>3586</v>
      </c>
      <c r="AB1206" s="100" t="s">
        <v>528</v>
      </c>
      <c r="AC1206" s="101">
        <v>1</v>
      </c>
      <c r="AD1206" s="101"/>
      <c r="AE1206" s="101"/>
      <c r="AF1206" s="101"/>
      <c r="AG1206" s="101"/>
      <c r="AH1206" s="99"/>
      <c r="AI1206" s="105"/>
    </row>
    <row r="1207" spans="1:35">
      <c r="A1207" s="98"/>
      <c r="B1207" s="99"/>
      <c r="C1207" s="263" t="s">
        <v>3230</v>
      </c>
      <c r="D1207" s="264" t="s">
        <v>79</v>
      </c>
      <c r="E1207" s="264" t="s">
        <v>80</v>
      </c>
      <c r="F1207" s="100" t="s">
        <v>3587</v>
      </c>
      <c r="G1207" s="100" t="s">
        <v>3588</v>
      </c>
      <c r="H1207" s="99" t="s">
        <v>421</v>
      </c>
      <c r="I1207" s="247">
        <v>32930</v>
      </c>
      <c r="J1207" s="101">
        <v>1</v>
      </c>
      <c r="K1207" s="101"/>
      <c r="L1207" s="101">
        <v>1</v>
      </c>
      <c r="M1207" s="101"/>
      <c r="N1207" s="101"/>
      <c r="O1207" s="101"/>
      <c r="P1207" s="101"/>
      <c r="Q1207" s="101"/>
      <c r="R1207" s="101"/>
      <c r="S1207" s="101"/>
      <c r="T1207" s="101"/>
      <c r="U1207" s="99" t="s">
        <v>3584</v>
      </c>
      <c r="V1207" s="99" t="s">
        <v>519</v>
      </c>
      <c r="W1207" s="99" t="s">
        <v>280</v>
      </c>
      <c r="X1207" s="100" t="s">
        <v>227</v>
      </c>
      <c r="Y1207" s="99"/>
      <c r="Z1207" s="99"/>
      <c r="AA1207" s="100" t="s">
        <v>3199</v>
      </c>
      <c r="AB1207" s="99" t="s">
        <v>526</v>
      </c>
      <c r="AC1207" s="101">
        <v>2</v>
      </c>
      <c r="AD1207" s="101"/>
      <c r="AE1207" s="101"/>
      <c r="AF1207" s="101"/>
      <c r="AG1207" s="101"/>
      <c r="AH1207" s="99"/>
      <c r="AI1207" s="105"/>
    </row>
    <row r="1208" spans="1:35">
      <c r="A1208" s="98"/>
      <c r="B1208" s="99"/>
      <c r="C1208" s="263" t="s">
        <v>3230</v>
      </c>
      <c r="D1208" s="264" t="s">
        <v>79</v>
      </c>
      <c r="E1208" s="264" t="s">
        <v>80</v>
      </c>
      <c r="F1208" s="100" t="s">
        <v>3589</v>
      </c>
      <c r="G1208" s="100" t="s">
        <v>2382</v>
      </c>
      <c r="H1208" s="99" t="s">
        <v>126</v>
      </c>
      <c r="I1208" s="247">
        <v>31425</v>
      </c>
      <c r="J1208" s="101">
        <v>1</v>
      </c>
      <c r="K1208" s="101"/>
      <c r="L1208" s="101">
        <v>1</v>
      </c>
      <c r="M1208" s="101"/>
      <c r="N1208" s="101"/>
      <c r="O1208" s="101"/>
      <c r="P1208" s="101"/>
      <c r="Q1208" s="101"/>
      <c r="R1208" s="101"/>
      <c r="S1208" s="101"/>
      <c r="T1208" s="101"/>
      <c r="U1208" s="99" t="s">
        <v>3584</v>
      </c>
      <c r="V1208" s="99" t="s">
        <v>519</v>
      </c>
      <c r="W1208" s="99" t="s">
        <v>280</v>
      </c>
      <c r="X1208" s="100" t="s">
        <v>227</v>
      </c>
      <c r="Y1208" s="99"/>
      <c r="Z1208" s="99"/>
      <c r="AA1208" s="100" t="s">
        <v>3199</v>
      </c>
      <c r="AB1208" s="99" t="s">
        <v>526</v>
      </c>
      <c r="AC1208" s="101">
        <v>2</v>
      </c>
      <c r="AD1208" s="101"/>
      <c r="AE1208" s="101"/>
      <c r="AF1208" s="101"/>
      <c r="AG1208" s="101"/>
      <c r="AH1208" s="99"/>
      <c r="AI1208" s="105"/>
    </row>
    <row r="1209" spans="1:35">
      <c r="A1209" s="98"/>
      <c r="B1209" s="99"/>
      <c r="C1209" s="263" t="s">
        <v>3230</v>
      </c>
      <c r="D1209" s="264" t="s">
        <v>79</v>
      </c>
      <c r="E1209" s="264" t="s">
        <v>80</v>
      </c>
      <c r="F1209" s="100" t="s">
        <v>3591</v>
      </c>
      <c r="G1209" s="100" t="s">
        <v>3590</v>
      </c>
      <c r="H1209" s="99" t="s">
        <v>115</v>
      </c>
      <c r="I1209" s="247">
        <v>27781</v>
      </c>
      <c r="J1209" s="101">
        <v>1</v>
      </c>
      <c r="K1209" s="101"/>
      <c r="L1209" s="101">
        <v>1</v>
      </c>
      <c r="M1209" s="101"/>
      <c r="N1209" s="101"/>
      <c r="O1209" s="101"/>
      <c r="P1209" s="101"/>
      <c r="Q1209" s="101"/>
      <c r="R1209" s="101"/>
      <c r="S1209" s="101"/>
      <c r="T1209" s="101"/>
      <c r="U1209" s="99" t="s">
        <v>3584</v>
      </c>
      <c r="V1209" s="99" t="s">
        <v>519</v>
      </c>
      <c r="W1209" s="99" t="s">
        <v>280</v>
      </c>
      <c r="X1209" s="100" t="s">
        <v>227</v>
      </c>
      <c r="Y1209" s="99"/>
      <c r="Z1209" s="99"/>
      <c r="AA1209" s="100" t="s">
        <v>3199</v>
      </c>
      <c r="AB1209" s="99" t="s">
        <v>526</v>
      </c>
      <c r="AC1209" s="101">
        <v>2</v>
      </c>
      <c r="AD1209" s="101"/>
      <c r="AE1209" s="101"/>
      <c r="AF1209" s="101"/>
      <c r="AG1209" s="101"/>
      <c r="AH1209" s="99"/>
      <c r="AI1209" s="105"/>
    </row>
    <row r="1210" spans="1:35">
      <c r="A1210" s="98"/>
      <c r="B1210" s="99"/>
      <c r="C1210" s="263" t="s">
        <v>3230</v>
      </c>
      <c r="D1210" s="264" t="s">
        <v>79</v>
      </c>
      <c r="E1210" s="264" t="s">
        <v>80</v>
      </c>
      <c r="F1210" s="100" t="s">
        <v>3575</v>
      </c>
      <c r="G1210" s="100" t="s">
        <v>3592</v>
      </c>
      <c r="H1210" s="99" t="s">
        <v>120</v>
      </c>
      <c r="I1210" s="247">
        <v>30868</v>
      </c>
      <c r="J1210" s="101">
        <v>1</v>
      </c>
      <c r="K1210" s="101"/>
      <c r="L1210" s="101">
        <v>1</v>
      </c>
      <c r="M1210" s="101"/>
      <c r="N1210" s="101"/>
      <c r="O1210" s="101"/>
      <c r="P1210" s="101"/>
      <c r="Q1210" s="101"/>
      <c r="R1210" s="101"/>
      <c r="S1210" s="101"/>
      <c r="T1210" s="101"/>
      <c r="U1210" s="99" t="s">
        <v>3584</v>
      </c>
      <c r="V1210" s="99" t="s">
        <v>519</v>
      </c>
      <c r="W1210" s="99" t="s">
        <v>280</v>
      </c>
      <c r="X1210" s="100" t="s">
        <v>227</v>
      </c>
      <c r="Y1210" s="99"/>
      <c r="Z1210" s="99"/>
      <c r="AA1210" s="100" t="s">
        <v>3199</v>
      </c>
      <c r="AB1210" s="99" t="s">
        <v>526</v>
      </c>
      <c r="AC1210" s="101">
        <v>2</v>
      </c>
      <c r="AD1210" s="101"/>
      <c r="AE1210" s="101"/>
      <c r="AF1210" s="101"/>
      <c r="AG1210" s="101"/>
      <c r="AH1210" s="99"/>
      <c r="AI1210" s="105"/>
    </row>
    <row r="1211" spans="1:35">
      <c r="A1211" s="98"/>
      <c r="B1211" s="99"/>
      <c r="C1211" s="263" t="s">
        <v>3230</v>
      </c>
      <c r="D1211" s="264" t="s">
        <v>79</v>
      </c>
      <c r="E1211" s="264" t="s">
        <v>80</v>
      </c>
      <c r="F1211" s="100" t="s">
        <v>3593</v>
      </c>
      <c r="G1211" s="100" t="s">
        <v>3594</v>
      </c>
      <c r="H1211" s="99" t="s">
        <v>115</v>
      </c>
      <c r="I1211" s="247">
        <v>26535</v>
      </c>
      <c r="J1211" s="101">
        <v>1</v>
      </c>
      <c r="K1211" s="101"/>
      <c r="L1211" s="101">
        <v>1</v>
      </c>
      <c r="M1211" s="101"/>
      <c r="N1211" s="101"/>
      <c r="O1211" s="101"/>
      <c r="P1211" s="101"/>
      <c r="Q1211" s="101"/>
      <c r="R1211" s="101"/>
      <c r="S1211" s="101"/>
      <c r="T1211" s="101"/>
      <c r="U1211" s="99" t="s">
        <v>3584</v>
      </c>
      <c r="V1211" s="99" t="s">
        <v>519</v>
      </c>
      <c r="W1211" s="99" t="s">
        <v>280</v>
      </c>
      <c r="X1211" s="100" t="s">
        <v>227</v>
      </c>
      <c r="Y1211" s="99"/>
      <c r="Z1211" s="99"/>
      <c r="AA1211" s="100" t="s">
        <v>3199</v>
      </c>
      <c r="AB1211" s="99" t="s">
        <v>526</v>
      </c>
      <c r="AC1211" s="101">
        <v>2</v>
      </c>
      <c r="AD1211" s="101"/>
      <c r="AE1211" s="101"/>
      <c r="AF1211" s="101"/>
      <c r="AG1211" s="101"/>
      <c r="AH1211" s="99"/>
      <c r="AI1211" s="105"/>
    </row>
    <row r="1212" spans="1:35">
      <c r="A1212" s="98"/>
      <c r="B1212" s="99"/>
      <c r="C1212" s="263" t="s">
        <v>3230</v>
      </c>
      <c r="D1212" s="264" t="s">
        <v>79</v>
      </c>
      <c r="E1212" s="264" t="s">
        <v>80</v>
      </c>
      <c r="F1212" s="100" t="s">
        <v>3596</v>
      </c>
      <c r="G1212" s="100" t="s">
        <v>3595</v>
      </c>
      <c r="H1212" s="99" t="s">
        <v>421</v>
      </c>
      <c r="I1212" s="247">
        <v>20418</v>
      </c>
      <c r="J1212" s="101">
        <v>1</v>
      </c>
      <c r="K1212" s="101"/>
      <c r="L1212" s="101">
        <v>1</v>
      </c>
      <c r="M1212" s="101"/>
      <c r="N1212" s="101"/>
      <c r="O1212" s="101"/>
      <c r="P1212" s="101"/>
      <c r="Q1212" s="101"/>
      <c r="R1212" s="101"/>
      <c r="S1212" s="101"/>
      <c r="T1212" s="101"/>
      <c r="U1212" s="99" t="s">
        <v>3584</v>
      </c>
      <c r="V1212" s="99" t="s">
        <v>519</v>
      </c>
      <c r="W1212" s="99" t="s">
        <v>280</v>
      </c>
      <c r="X1212" s="100" t="s">
        <v>227</v>
      </c>
      <c r="Y1212" s="99"/>
      <c r="Z1212" s="99"/>
      <c r="AA1212" s="100" t="s">
        <v>3199</v>
      </c>
      <c r="AB1212" s="99" t="s">
        <v>526</v>
      </c>
      <c r="AC1212" s="101">
        <v>2</v>
      </c>
      <c r="AD1212" s="101"/>
      <c r="AE1212" s="101"/>
      <c r="AF1212" s="101"/>
      <c r="AG1212" s="101"/>
      <c r="AH1212" s="99"/>
      <c r="AI1212" s="105"/>
    </row>
    <row r="1213" spans="1:35">
      <c r="A1213" s="98"/>
      <c r="B1213" s="99"/>
      <c r="C1213" s="263" t="s">
        <v>3230</v>
      </c>
      <c r="D1213" s="264" t="s">
        <v>79</v>
      </c>
      <c r="E1213" s="264" t="s">
        <v>80</v>
      </c>
      <c r="F1213" s="100" t="s">
        <v>3591</v>
      </c>
      <c r="G1213" s="100" t="s">
        <v>3597</v>
      </c>
      <c r="H1213" s="99" t="s">
        <v>286</v>
      </c>
      <c r="I1213" s="247">
        <v>36505</v>
      </c>
      <c r="J1213" s="101">
        <v>1</v>
      </c>
      <c r="K1213" s="101"/>
      <c r="L1213" s="101">
        <v>1</v>
      </c>
      <c r="M1213" s="101"/>
      <c r="N1213" s="101"/>
      <c r="O1213" s="101"/>
      <c r="P1213" s="101"/>
      <c r="Q1213" s="101"/>
      <c r="R1213" s="101"/>
      <c r="S1213" s="101"/>
      <c r="T1213" s="101"/>
      <c r="U1213" s="99" t="s">
        <v>3584</v>
      </c>
      <c r="V1213" s="99" t="s">
        <v>519</v>
      </c>
      <c r="W1213" s="99" t="s">
        <v>280</v>
      </c>
      <c r="X1213" s="100" t="s">
        <v>227</v>
      </c>
      <c r="Y1213" s="99"/>
      <c r="Z1213" s="99"/>
      <c r="AA1213" s="100" t="s">
        <v>3199</v>
      </c>
      <c r="AB1213" s="99" t="s">
        <v>526</v>
      </c>
      <c r="AC1213" s="101">
        <v>2</v>
      </c>
      <c r="AD1213" s="101"/>
      <c r="AE1213" s="101"/>
      <c r="AF1213" s="101"/>
      <c r="AG1213" s="101"/>
      <c r="AH1213" s="99"/>
      <c r="AI1213" s="105"/>
    </row>
    <row r="1214" spans="1:35">
      <c r="A1214" s="98"/>
      <c r="B1214" s="99"/>
      <c r="C1214" s="263" t="s">
        <v>3230</v>
      </c>
      <c r="D1214" s="264" t="s">
        <v>79</v>
      </c>
      <c r="E1214" s="264" t="s">
        <v>80</v>
      </c>
      <c r="F1214" s="100" t="s">
        <v>1129</v>
      </c>
      <c r="G1214" s="100" t="s">
        <v>3598</v>
      </c>
      <c r="H1214" s="99" t="s">
        <v>126</v>
      </c>
      <c r="I1214" s="247">
        <v>20418</v>
      </c>
      <c r="J1214" s="101">
        <v>1</v>
      </c>
      <c r="K1214" s="101"/>
      <c r="L1214" s="101">
        <v>1</v>
      </c>
      <c r="M1214" s="101"/>
      <c r="N1214" s="101"/>
      <c r="O1214" s="101"/>
      <c r="P1214" s="101"/>
      <c r="Q1214" s="101"/>
      <c r="R1214" s="101"/>
      <c r="S1214" s="101"/>
      <c r="T1214" s="101"/>
      <c r="U1214" s="99" t="s">
        <v>3584</v>
      </c>
      <c r="V1214" s="99" t="s">
        <v>519</v>
      </c>
      <c r="W1214" s="99" t="s">
        <v>280</v>
      </c>
      <c r="X1214" s="100" t="s">
        <v>227</v>
      </c>
      <c r="Y1214" s="99"/>
      <c r="Z1214" s="99"/>
      <c r="AA1214" s="100" t="s">
        <v>3199</v>
      </c>
      <c r="AB1214" s="99" t="s">
        <v>526</v>
      </c>
      <c r="AC1214" s="101">
        <v>2</v>
      </c>
      <c r="AD1214" s="101"/>
      <c r="AE1214" s="101"/>
      <c r="AF1214" s="101"/>
      <c r="AG1214" s="101"/>
      <c r="AH1214" s="99"/>
      <c r="AI1214" s="105"/>
    </row>
    <row r="1215" spans="1:35">
      <c r="A1215" s="98"/>
      <c r="B1215" s="99"/>
      <c r="C1215" s="263" t="s">
        <v>3230</v>
      </c>
      <c r="D1215" s="264" t="s">
        <v>79</v>
      </c>
      <c r="E1215" s="264" t="s">
        <v>80</v>
      </c>
      <c r="F1215" s="100" t="s">
        <v>3582</v>
      </c>
      <c r="G1215" s="100" t="s">
        <v>470</v>
      </c>
      <c r="H1215" s="99" t="s">
        <v>136</v>
      </c>
      <c r="I1215" s="247">
        <v>19194</v>
      </c>
      <c r="J1215" s="101">
        <v>1</v>
      </c>
      <c r="K1215" s="101"/>
      <c r="L1215" s="101">
        <v>1</v>
      </c>
      <c r="M1215" s="101"/>
      <c r="N1215" s="101"/>
      <c r="O1215" s="101"/>
      <c r="P1215" s="101"/>
      <c r="Q1215" s="101"/>
      <c r="R1215" s="101"/>
      <c r="S1215" s="101"/>
      <c r="T1215" s="101"/>
      <c r="U1215" s="99" t="s">
        <v>3584</v>
      </c>
      <c r="V1215" s="99" t="s">
        <v>519</v>
      </c>
      <c r="W1215" s="99" t="s">
        <v>280</v>
      </c>
      <c r="X1215" s="100" t="s">
        <v>227</v>
      </c>
      <c r="Y1215" s="99"/>
      <c r="Z1215" s="99"/>
      <c r="AA1215" s="100" t="s">
        <v>3199</v>
      </c>
      <c r="AB1215" s="99" t="s">
        <v>526</v>
      </c>
      <c r="AC1215" s="101">
        <v>2</v>
      </c>
      <c r="AD1215" s="101"/>
      <c r="AE1215" s="101"/>
      <c r="AF1215" s="101"/>
      <c r="AG1215" s="101"/>
      <c r="AH1215" s="99"/>
      <c r="AI1215" s="105"/>
    </row>
    <row r="1216" spans="1:35">
      <c r="A1216" s="98"/>
      <c r="B1216" s="99"/>
      <c r="C1216" s="263" t="s">
        <v>3230</v>
      </c>
      <c r="D1216" s="264" t="s">
        <v>79</v>
      </c>
      <c r="E1216" s="264" t="s">
        <v>80</v>
      </c>
      <c r="F1216" s="100" t="s">
        <v>3600</v>
      </c>
      <c r="G1216" s="100" t="s">
        <v>3599</v>
      </c>
      <c r="H1216" s="99" t="s">
        <v>126</v>
      </c>
      <c r="I1216" s="247">
        <v>34729</v>
      </c>
      <c r="J1216" s="101">
        <v>1</v>
      </c>
      <c r="K1216" s="101"/>
      <c r="L1216" s="101">
        <v>1</v>
      </c>
      <c r="M1216" s="101"/>
      <c r="N1216" s="101"/>
      <c r="O1216" s="101"/>
      <c r="P1216" s="101"/>
      <c r="Q1216" s="101"/>
      <c r="R1216" s="101"/>
      <c r="S1216" s="101"/>
      <c r="T1216" s="101"/>
      <c r="U1216" s="99" t="s">
        <v>3584</v>
      </c>
      <c r="V1216" s="99" t="s">
        <v>519</v>
      </c>
      <c r="W1216" s="99" t="s">
        <v>280</v>
      </c>
      <c r="X1216" s="100" t="s">
        <v>227</v>
      </c>
      <c r="Y1216" s="99"/>
      <c r="Z1216" s="99"/>
      <c r="AA1216" s="100" t="s">
        <v>3199</v>
      </c>
      <c r="AB1216" s="99" t="s">
        <v>526</v>
      </c>
      <c r="AC1216" s="101">
        <v>2</v>
      </c>
      <c r="AD1216" s="101"/>
      <c r="AE1216" s="101"/>
      <c r="AF1216" s="101"/>
      <c r="AG1216" s="101"/>
      <c r="AH1216" s="99"/>
      <c r="AI1216" s="105"/>
    </row>
    <row r="1217" spans="1:35">
      <c r="A1217" s="98"/>
      <c r="B1217" s="99"/>
      <c r="C1217" s="263" t="s">
        <v>3230</v>
      </c>
      <c r="D1217" s="264" t="s">
        <v>79</v>
      </c>
      <c r="E1217" s="264" t="s">
        <v>80</v>
      </c>
      <c r="F1217" s="100" t="s">
        <v>3581</v>
      </c>
      <c r="G1217" s="100" t="s">
        <v>3601</v>
      </c>
      <c r="H1217" s="99" t="s">
        <v>1183</v>
      </c>
      <c r="I1217" s="247">
        <v>36232</v>
      </c>
      <c r="J1217" s="101">
        <v>1</v>
      </c>
      <c r="K1217" s="101"/>
      <c r="L1217" s="101">
        <v>1</v>
      </c>
      <c r="M1217" s="101"/>
      <c r="N1217" s="101"/>
      <c r="O1217" s="101"/>
      <c r="P1217" s="101"/>
      <c r="Q1217" s="101"/>
      <c r="R1217" s="101"/>
      <c r="S1217" s="101"/>
      <c r="T1217" s="101"/>
      <c r="U1217" s="99" t="s">
        <v>3584</v>
      </c>
      <c r="V1217" s="99" t="s">
        <v>519</v>
      </c>
      <c r="W1217" s="99" t="s">
        <v>280</v>
      </c>
      <c r="X1217" s="100" t="s">
        <v>227</v>
      </c>
      <c r="Y1217" s="99"/>
      <c r="Z1217" s="99"/>
      <c r="AA1217" s="100" t="s">
        <v>3199</v>
      </c>
      <c r="AB1217" s="99" t="s">
        <v>526</v>
      </c>
      <c r="AC1217" s="101">
        <v>2</v>
      </c>
      <c r="AD1217" s="101"/>
      <c r="AE1217" s="101"/>
      <c r="AF1217" s="101"/>
      <c r="AG1217" s="101"/>
      <c r="AH1217" s="99"/>
      <c r="AI1217" s="105"/>
    </row>
    <row r="1218" spans="1:35">
      <c r="A1218" s="98"/>
      <c r="B1218" s="99"/>
      <c r="C1218" s="263" t="s">
        <v>3230</v>
      </c>
      <c r="D1218" s="264" t="s">
        <v>79</v>
      </c>
      <c r="E1218" s="264" t="s">
        <v>80</v>
      </c>
      <c r="F1218" s="100" t="s">
        <v>3602</v>
      </c>
      <c r="G1218" s="100" t="s">
        <v>1274</v>
      </c>
      <c r="H1218" s="99" t="s">
        <v>160</v>
      </c>
      <c r="I1218" s="247">
        <v>23005</v>
      </c>
      <c r="J1218" s="101">
        <v>1</v>
      </c>
      <c r="K1218" s="101"/>
      <c r="L1218" s="101">
        <v>1</v>
      </c>
      <c r="M1218" s="101"/>
      <c r="N1218" s="101"/>
      <c r="O1218" s="101"/>
      <c r="P1218" s="101"/>
      <c r="Q1218" s="101"/>
      <c r="R1218" s="101"/>
      <c r="S1218" s="101"/>
      <c r="T1218" s="101"/>
      <c r="U1218" s="99" t="s">
        <v>3584</v>
      </c>
      <c r="V1218" s="99" t="s">
        <v>519</v>
      </c>
      <c r="W1218" s="99" t="s">
        <v>280</v>
      </c>
      <c r="X1218" s="100" t="s">
        <v>227</v>
      </c>
      <c r="Y1218" s="99"/>
      <c r="Z1218" s="99"/>
      <c r="AA1218" s="100" t="s">
        <v>3199</v>
      </c>
      <c r="AB1218" s="99" t="s">
        <v>526</v>
      </c>
      <c r="AC1218" s="101">
        <v>2</v>
      </c>
      <c r="AD1218" s="101"/>
      <c r="AE1218" s="101"/>
      <c r="AF1218" s="101"/>
      <c r="AG1218" s="101"/>
      <c r="AH1218" s="99"/>
      <c r="AI1218" s="105"/>
    </row>
    <row r="1219" spans="1:35">
      <c r="A1219" s="98"/>
      <c r="B1219" s="99"/>
      <c r="C1219" s="263" t="s">
        <v>3230</v>
      </c>
      <c r="D1219" s="264" t="s">
        <v>79</v>
      </c>
      <c r="E1219" s="264" t="s">
        <v>80</v>
      </c>
      <c r="F1219" s="100" t="s">
        <v>3603</v>
      </c>
      <c r="G1219" s="100" t="s">
        <v>3604</v>
      </c>
      <c r="H1219" s="99" t="s">
        <v>144</v>
      </c>
      <c r="I1219" s="247">
        <v>32582</v>
      </c>
      <c r="J1219" s="101">
        <v>1</v>
      </c>
      <c r="K1219" s="101"/>
      <c r="L1219" s="101">
        <v>1</v>
      </c>
      <c r="M1219" s="101"/>
      <c r="N1219" s="101"/>
      <c r="O1219" s="101"/>
      <c r="P1219" s="101"/>
      <c r="Q1219" s="101"/>
      <c r="R1219" s="101"/>
      <c r="S1219" s="101"/>
      <c r="T1219" s="101"/>
      <c r="U1219" s="99" t="s">
        <v>3584</v>
      </c>
      <c r="V1219" s="99" t="s">
        <v>519</v>
      </c>
      <c r="W1219" s="99" t="s">
        <v>280</v>
      </c>
      <c r="X1219" s="100" t="s">
        <v>227</v>
      </c>
      <c r="Y1219" s="99"/>
      <c r="Z1219" s="99"/>
      <c r="AA1219" s="100" t="s">
        <v>3199</v>
      </c>
      <c r="AB1219" s="99" t="s">
        <v>526</v>
      </c>
      <c r="AC1219" s="101">
        <v>2</v>
      </c>
      <c r="AD1219" s="101"/>
      <c r="AE1219" s="101"/>
      <c r="AF1219" s="101"/>
      <c r="AG1219" s="101"/>
      <c r="AH1219" s="99"/>
      <c r="AI1219" s="105"/>
    </row>
    <row r="1220" spans="1:35">
      <c r="A1220" s="98"/>
      <c r="B1220" s="99"/>
      <c r="C1220" s="263" t="s">
        <v>3230</v>
      </c>
      <c r="D1220" s="264" t="s">
        <v>79</v>
      </c>
      <c r="E1220" s="264" t="s">
        <v>80</v>
      </c>
      <c r="F1220" s="100" t="s">
        <v>3593</v>
      </c>
      <c r="G1220" s="100" t="s">
        <v>3605</v>
      </c>
      <c r="H1220" s="99" t="s">
        <v>120</v>
      </c>
      <c r="I1220" s="247">
        <v>35834</v>
      </c>
      <c r="J1220" s="101">
        <v>1</v>
      </c>
      <c r="K1220" s="101"/>
      <c r="L1220" s="101">
        <v>1</v>
      </c>
      <c r="M1220" s="101"/>
      <c r="N1220" s="101"/>
      <c r="O1220" s="101"/>
      <c r="P1220" s="101"/>
      <c r="Q1220" s="101"/>
      <c r="R1220" s="101"/>
      <c r="S1220" s="101"/>
      <c r="T1220" s="101"/>
      <c r="U1220" s="99" t="s">
        <v>3584</v>
      </c>
      <c r="V1220" s="99" t="s">
        <v>519</v>
      </c>
      <c r="W1220" s="99" t="s">
        <v>280</v>
      </c>
      <c r="X1220" s="100" t="s">
        <v>227</v>
      </c>
      <c r="Y1220" s="99"/>
      <c r="Z1220" s="99"/>
      <c r="AA1220" s="100" t="s">
        <v>3198</v>
      </c>
      <c r="AB1220" s="99" t="s">
        <v>526</v>
      </c>
      <c r="AC1220" s="101">
        <v>2</v>
      </c>
      <c r="AD1220" s="101"/>
      <c r="AE1220" s="101"/>
      <c r="AF1220" s="101"/>
      <c r="AG1220" s="101"/>
      <c r="AH1220" s="99"/>
      <c r="AI1220" s="105"/>
    </row>
    <row r="1221" spans="1:35">
      <c r="A1221" s="98"/>
      <c r="B1221" s="99"/>
      <c r="C1221" s="263" t="s">
        <v>3230</v>
      </c>
      <c r="D1221" s="264" t="s">
        <v>79</v>
      </c>
      <c r="E1221" s="264" t="s">
        <v>80</v>
      </c>
      <c r="F1221" s="100" t="s">
        <v>1129</v>
      </c>
      <c r="G1221" s="100" t="s">
        <v>2758</v>
      </c>
      <c r="H1221" s="99" t="s">
        <v>117</v>
      </c>
      <c r="I1221" s="96">
        <v>25630</v>
      </c>
      <c r="J1221" s="101">
        <v>1</v>
      </c>
      <c r="K1221" s="101"/>
      <c r="L1221" s="101">
        <v>1</v>
      </c>
      <c r="M1221" s="101"/>
      <c r="N1221" s="101"/>
      <c r="O1221" s="101"/>
      <c r="P1221" s="101"/>
      <c r="Q1221" s="101"/>
      <c r="R1221" s="101"/>
      <c r="S1221" s="101"/>
      <c r="T1221" s="101"/>
      <c r="U1221" s="99" t="s">
        <v>3584</v>
      </c>
      <c r="V1221" s="99" t="s">
        <v>519</v>
      </c>
      <c r="W1221" s="99" t="s">
        <v>280</v>
      </c>
      <c r="X1221" s="100" t="s">
        <v>227</v>
      </c>
      <c r="Y1221" s="99"/>
      <c r="Z1221" s="99"/>
      <c r="AA1221" s="100" t="s">
        <v>3198</v>
      </c>
      <c r="AB1221" s="99" t="s">
        <v>526</v>
      </c>
      <c r="AC1221" s="101">
        <v>2</v>
      </c>
      <c r="AD1221" s="101"/>
      <c r="AE1221" s="101"/>
      <c r="AF1221" s="101"/>
      <c r="AG1221" s="101"/>
      <c r="AH1221" s="99"/>
      <c r="AI1221" s="105"/>
    </row>
    <row r="1222" spans="1:35">
      <c r="A1222" s="98"/>
      <c r="B1222" s="99"/>
      <c r="C1222" s="263" t="s">
        <v>3230</v>
      </c>
      <c r="D1222" s="264" t="s">
        <v>79</v>
      </c>
      <c r="E1222" s="264" t="s">
        <v>80</v>
      </c>
      <c r="F1222" s="100" t="s">
        <v>3606</v>
      </c>
      <c r="G1222" s="100" t="s">
        <v>3607</v>
      </c>
      <c r="H1222" s="99" t="s">
        <v>115</v>
      </c>
      <c r="I1222" s="247">
        <v>30982</v>
      </c>
      <c r="J1222" s="101">
        <v>1</v>
      </c>
      <c r="K1222" s="101"/>
      <c r="L1222" s="101">
        <v>1</v>
      </c>
      <c r="M1222" s="101"/>
      <c r="N1222" s="101"/>
      <c r="O1222" s="101"/>
      <c r="P1222" s="101"/>
      <c r="Q1222" s="101"/>
      <c r="R1222" s="101"/>
      <c r="S1222" s="101"/>
      <c r="T1222" s="101"/>
      <c r="U1222" s="99" t="s">
        <v>1010</v>
      </c>
      <c r="V1222" s="99" t="s">
        <v>519</v>
      </c>
      <c r="W1222" s="99" t="s">
        <v>280</v>
      </c>
      <c r="X1222" s="100" t="s">
        <v>227</v>
      </c>
      <c r="Y1222" s="99"/>
      <c r="Z1222" s="99"/>
      <c r="AA1222" s="100" t="s">
        <v>3198</v>
      </c>
      <c r="AB1222" s="99" t="s">
        <v>526</v>
      </c>
      <c r="AC1222" s="101">
        <v>2</v>
      </c>
      <c r="AD1222" s="101"/>
      <c r="AE1222" s="101"/>
      <c r="AF1222" s="101"/>
      <c r="AG1222" s="101"/>
      <c r="AH1222" s="99"/>
      <c r="AI1222" s="105"/>
    </row>
    <row r="1223" spans="1:35">
      <c r="A1223" s="98"/>
      <c r="B1223" s="99"/>
      <c r="C1223" s="263" t="s">
        <v>3230</v>
      </c>
      <c r="D1223" s="264" t="s">
        <v>79</v>
      </c>
      <c r="E1223" s="264" t="s">
        <v>80</v>
      </c>
      <c r="F1223" s="100" t="s">
        <v>3609</v>
      </c>
      <c r="G1223" s="100" t="s">
        <v>3608</v>
      </c>
      <c r="H1223" s="99"/>
      <c r="I1223" s="247">
        <v>35913</v>
      </c>
      <c r="J1223" s="101">
        <v>1</v>
      </c>
      <c r="K1223" s="101"/>
      <c r="L1223" s="101">
        <v>1</v>
      </c>
      <c r="M1223" s="101"/>
      <c r="N1223" s="101"/>
      <c r="O1223" s="101"/>
      <c r="P1223" s="101"/>
      <c r="Q1223" s="101"/>
      <c r="R1223" s="101"/>
      <c r="S1223" s="101"/>
      <c r="T1223" s="101"/>
      <c r="U1223" s="99" t="s">
        <v>1010</v>
      </c>
      <c r="V1223" s="99" t="s">
        <v>519</v>
      </c>
      <c r="W1223" s="99" t="s">
        <v>280</v>
      </c>
      <c r="X1223" s="100" t="s">
        <v>227</v>
      </c>
      <c r="Y1223" s="99"/>
      <c r="Z1223" s="99"/>
      <c r="AA1223" s="100" t="s">
        <v>3198</v>
      </c>
      <c r="AB1223" s="99" t="s">
        <v>526</v>
      </c>
      <c r="AC1223" s="101">
        <v>2</v>
      </c>
      <c r="AD1223" s="101"/>
      <c r="AE1223" s="101"/>
      <c r="AF1223" s="101"/>
      <c r="AG1223" s="101"/>
      <c r="AH1223" s="99"/>
      <c r="AI1223" s="105"/>
    </row>
    <row r="1224" spans="1:35">
      <c r="A1224" s="98"/>
      <c r="B1224" s="99"/>
      <c r="C1224" s="263" t="s">
        <v>3230</v>
      </c>
      <c r="D1224" s="264" t="s">
        <v>79</v>
      </c>
      <c r="E1224" s="264" t="s">
        <v>80</v>
      </c>
      <c r="F1224" s="100" t="s">
        <v>3610</v>
      </c>
      <c r="G1224" s="100" t="s">
        <v>3611</v>
      </c>
      <c r="H1224" s="99"/>
      <c r="I1224" s="247">
        <v>34417</v>
      </c>
      <c r="J1224" s="101">
        <v>1</v>
      </c>
      <c r="K1224" s="101"/>
      <c r="L1224" s="101">
        <v>1</v>
      </c>
      <c r="M1224" s="101"/>
      <c r="N1224" s="101"/>
      <c r="O1224" s="101"/>
      <c r="P1224" s="101"/>
      <c r="Q1224" s="101"/>
      <c r="R1224" s="101"/>
      <c r="S1224" s="101"/>
      <c r="T1224" s="101"/>
      <c r="U1224" s="99" t="s">
        <v>1010</v>
      </c>
      <c r="V1224" s="99" t="s">
        <v>519</v>
      </c>
      <c r="W1224" s="99" t="s">
        <v>280</v>
      </c>
      <c r="X1224" s="100" t="s">
        <v>227</v>
      </c>
      <c r="Y1224" s="99"/>
      <c r="Z1224" s="99"/>
      <c r="AA1224" s="100" t="s">
        <v>3198</v>
      </c>
      <c r="AB1224" s="99" t="s">
        <v>526</v>
      </c>
      <c r="AC1224" s="101">
        <v>2</v>
      </c>
      <c r="AD1224" s="101"/>
      <c r="AE1224" s="101"/>
      <c r="AF1224" s="101"/>
      <c r="AG1224" s="101"/>
      <c r="AH1224" s="99"/>
      <c r="AI1224" s="105"/>
    </row>
    <row r="1225" spans="1:35">
      <c r="A1225" s="98"/>
      <c r="B1225" s="99"/>
      <c r="C1225" s="263" t="s">
        <v>3230</v>
      </c>
      <c r="D1225" s="264" t="s">
        <v>79</v>
      </c>
      <c r="E1225" s="264" t="s">
        <v>80</v>
      </c>
      <c r="F1225" s="100" t="s">
        <v>3612</v>
      </c>
      <c r="G1225" s="100" t="s">
        <v>2606</v>
      </c>
      <c r="H1225" s="99" t="s">
        <v>115</v>
      </c>
      <c r="I1225" s="247">
        <v>26771</v>
      </c>
      <c r="J1225" s="101">
        <v>1</v>
      </c>
      <c r="K1225" s="101"/>
      <c r="L1225" s="101">
        <v>1</v>
      </c>
      <c r="M1225" s="101"/>
      <c r="N1225" s="101"/>
      <c r="O1225" s="101"/>
      <c r="P1225" s="101"/>
      <c r="Q1225" s="101"/>
      <c r="R1225" s="101"/>
      <c r="S1225" s="101"/>
      <c r="T1225" s="101"/>
      <c r="U1225" s="99" t="s">
        <v>1010</v>
      </c>
      <c r="V1225" s="99" t="s">
        <v>519</v>
      </c>
      <c r="W1225" s="99" t="s">
        <v>280</v>
      </c>
      <c r="X1225" s="100" t="s">
        <v>227</v>
      </c>
      <c r="Y1225" s="99"/>
      <c r="Z1225" s="99"/>
      <c r="AA1225" s="100" t="s">
        <v>3198</v>
      </c>
      <c r="AB1225" s="99" t="s">
        <v>526</v>
      </c>
      <c r="AC1225" s="101">
        <v>2</v>
      </c>
      <c r="AD1225" s="101"/>
      <c r="AE1225" s="101"/>
      <c r="AF1225" s="101"/>
      <c r="AG1225" s="101"/>
      <c r="AH1225" s="99"/>
      <c r="AI1225" s="105"/>
    </row>
    <row r="1226" spans="1:35">
      <c r="A1226" s="98"/>
      <c r="B1226" s="99"/>
      <c r="C1226" s="263" t="s">
        <v>3230</v>
      </c>
      <c r="D1226" s="264" t="s">
        <v>79</v>
      </c>
      <c r="E1226" s="264" t="s">
        <v>80</v>
      </c>
      <c r="F1226" s="100" t="s">
        <v>3613</v>
      </c>
      <c r="G1226" s="100" t="s">
        <v>3614</v>
      </c>
      <c r="H1226" s="99" t="s">
        <v>113</v>
      </c>
      <c r="I1226" s="247">
        <v>36914</v>
      </c>
      <c r="J1226" s="101">
        <v>1</v>
      </c>
      <c r="K1226" s="101"/>
      <c r="L1226" s="101">
        <v>1</v>
      </c>
      <c r="M1226" s="101"/>
      <c r="N1226" s="101"/>
      <c r="O1226" s="101"/>
      <c r="P1226" s="101"/>
      <c r="Q1226" s="101"/>
      <c r="R1226" s="101"/>
      <c r="S1226" s="101"/>
      <c r="T1226" s="101"/>
      <c r="U1226" s="99" t="s">
        <v>1010</v>
      </c>
      <c r="V1226" s="99" t="s">
        <v>519</v>
      </c>
      <c r="W1226" s="99" t="s">
        <v>280</v>
      </c>
      <c r="X1226" s="100" t="s">
        <v>227</v>
      </c>
      <c r="Y1226" s="99"/>
      <c r="Z1226" s="99"/>
      <c r="AA1226" s="100" t="s">
        <v>3198</v>
      </c>
      <c r="AB1226" s="99" t="s">
        <v>526</v>
      </c>
      <c r="AC1226" s="101">
        <v>2</v>
      </c>
      <c r="AD1226" s="101"/>
      <c r="AE1226" s="101"/>
      <c r="AF1226" s="101"/>
      <c r="AG1226" s="101"/>
      <c r="AH1226" s="99"/>
      <c r="AI1226" s="105"/>
    </row>
    <row r="1227" spans="1:35">
      <c r="A1227" s="98"/>
      <c r="B1227" s="99"/>
      <c r="C1227" s="263" t="s">
        <v>3230</v>
      </c>
      <c r="D1227" s="264" t="s">
        <v>79</v>
      </c>
      <c r="E1227" s="264" t="s">
        <v>80</v>
      </c>
      <c r="F1227" s="100" t="s">
        <v>3616</v>
      </c>
      <c r="G1227" s="100" t="s">
        <v>3615</v>
      </c>
      <c r="H1227" s="99"/>
      <c r="I1227" s="247">
        <v>23568</v>
      </c>
      <c r="J1227" s="101">
        <v>1</v>
      </c>
      <c r="K1227" s="101"/>
      <c r="L1227" s="101">
        <v>1</v>
      </c>
      <c r="M1227" s="101"/>
      <c r="N1227" s="101"/>
      <c r="O1227" s="101"/>
      <c r="P1227" s="101"/>
      <c r="Q1227" s="101"/>
      <c r="R1227" s="101"/>
      <c r="S1227" s="101"/>
      <c r="T1227" s="101"/>
      <c r="U1227" s="99" t="s">
        <v>1010</v>
      </c>
      <c r="V1227" s="99" t="s">
        <v>519</v>
      </c>
      <c r="W1227" s="99" t="s">
        <v>280</v>
      </c>
      <c r="X1227" s="100" t="s">
        <v>227</v>
      </c>
      <c r="Y1227" s="99"/>
      <c r="Z1227" s="99"/>
      <c r="AA1227" s="100" t="s">
        <v>3198</v>
      </c>
      <c r="AB1227" s="99" t="s">
        <v>526</v>
      </c>
      <c r="AC1227" s="101">
        <v>2</v>
      </c>
      <c r="AD1227" s="101"/>
      <c r="AE1227" s="101"/>
      <c r="AF1227" s="101"/>
      <c r="AG1227" s="101"/>
      <c r="AH1227" s="99"/>
      <c r="AI1227" s="105"/>
    </row>
    <row r="1228" spans="1:35">
      <c r="A1228" s="98"/>
      <c r="B1228" s="99"/>
      <c r="C1228" s="263" t="s">
        <v>3230</v>
      </c>
      <c r="D1228" s="264" t="s">
        <v>79</v>
      </c>
      <c r="E1228" s="264" t="s">
        <v>80</v>
      </c>
      <c r="F1228" s="100" t="s">
        <v>3617</v>
      </c>
      <c r="G1228" s="100" t="s">
        <v>3618</v>
      </c>
      <c r="H1228" s="99"/>
      <c r="I1228" s="247">
        <v>33973</v>
      </c>
      <c r="J1228" s="101">
        <v>1</v>
      </c>
      <c r="K1228" s="101"/>
      <c r="L1228" s="101">
        <v>1</v>
      </c>
      <c r="M1228" s="101"/>
      <c r="N1228" s="101"/>
      <c r="O1228" s="101"/>
      <c r="P1228" s="101"/>
      <c r="Q1228" s="101"/>
      <c r="R1228" s="101"/>
      <c r="S1228" s="101"/>
      <c r="T1228" s="101"/>
      <c r="U1228" s="99" t="s">
        <v>1010</v>
      </c>
      <c r="V1228" s="99" t="s">
        <v>519</v>
      </c>
      <c r="W1228" s="99" t="s">
        <v>280</v>
      </c>
      <c r="X1228" s="100" t="s">
        <v>227</v>
      </c>
      <c r="Y1228" s="99"/>
      <c r="Z1228" s="99"/>
      <c r="AA1228" s="100" t="s">
        <v>3198</v>
      </c>
      <c r="AB1228" s="99" t="s">
        <v>526</v>
      </c>
      <c r="AC1228" s="101">
        <v>2</v>
      </c>
      <c r="AD1228" s="101"/>
      <c r="AE1228" s="101"/>
      <c r="AF1228" s="101"/>
      <c r="AG1228" s="101"/>
      <c r="AH1228" s="99"/>
      <c r="AI1228" s="105"/>
    </row>
    <row r="1229" spans="1:35">
      <c r="A1229" s="98"/>
      <c r="B1229" s="99"/>
      <c r="C1229" s="263" t="s">
        <v>3230</v>
      </c>
      <c r="D1229" s="264" t="s">
        <v>79</v>
      </c>
      <c r="E1229" s="264" t="s">
        <v>80</v>
      </c>
      <c r="F1229" s="100" t="s">
        <v>3620</v>
      </c>
      <c r="G1229" s="100" t="s">
        <v>3619</v>
      </c>
      <c r="H1229" s="99" t="s">
        <v>160</v>
      </c>
      <c r="I1229" s="247">
        <v>30267</v>
      </c>
      <c r="J1229" s="101">
        <v>1</v>
      </c>
      <c r="K1229" s="101"/>
      <c r="L1229" s="101">
        <v>1</v>
      </c>
      <c r="M1229" s="101"/>
      <c r="N1229" s="101"/>
      <c r="O1229" s="101"/>
      <c r="P1229" s="101"/>
      <c r="Q1229" s="101"/>
      <c r="R1229" s="101"/>
      <c r="S1229" s="101"/>
      <c r="T1229" s="101"/>
      <c r="U1229" s="99" t="s">
        <v>1010</v>
      </c>
      <c r="V1229" s="99" t="s">
        <v>519</v>
      </c>
      <c r="W1229" s="99" t="s">
        <v>280</v>
      </c>
      <c r="X1229" s="100" t="s">
        <v>227</v>
      </c>
      <c r="Y1229" s="99"/>
      <c r="Z1229" s="99"/>
      <c r="AA1229" s="100" t="s">
        <v>3198</v>
      </c>
      <c r="AB1229" s="99" t="s">
        <v>526</v>
      </c>
      <c r="AC1229" s="101">
        <v>2</v>
      </c>
      <c r="AD1229" s="101"/>
      <c r="AE1229" s="101"/>
      <c r="AF1229" s="101"/>
      <c r="AG1229" s="101"/>
      <c r="AH1229" s="99"/>
      <c r="AI1229" s="105"/>
    </row>
    <row r="1230" spans="1:35">
      <c r="A1230" s="98"/>
      <c r="B1230" s="99"/>
      <c r="C1230" s="263" t="s">
        <v>3230</v>
      </c>
      <c r="D1230" s="264" t="s">
        <v>79</v>
      </c>
      <c r="E1230" s="264" t="s">
        <v>80</v>
      </c>
      <c r="F1230" s="100" t="s">
        <v>3621</v>
      </c>
      <c r="G1230" s="100" t="s">
        <v>1182</v>
      </c>
      <c r="H1230" s="99" t="s">
        <v>133</v>
      </c>
      <c r="I1230" s="247">
        <v>32680</v>
      </c>
      <c r="J1230" s="101">
        <v>1</v>
      </c>
      <c r="K1230" s="101"/>
      <c r="L1230" s="101">
        <v>1</v>
      </c>
      <c r="M1230" s="101"/>
      <c r="N1230" s="101"/>
      <c r="O1230" s="101"/>
      <c r="P1230" s="101"/>
      <c r="Q1230" s="101"/>
      <c r="R1230" s="101"/>
      <c r="S1230" s="101"/>
      <c r="T1230" s="101"/>
      <c r="U1230" s="99" t="s">
        <v>1010</v>
      </c>
      <c r="V1230" s="99" t="s">
        <v>519</v>
      </c>
      <c r="W1230" s="99" t="s">
        <v>280</v>
      </c>
      <c r="X1230" s="100" t="s">
        <v>227</v>
      </c>
      <c r="Y1230" s="99"/>
      <c r="Z1230" s="99"/>
      <c r="AA1230" s="100" t="s">
        <v>3198</v>
      </c>
      <c r="AB1230" s="99" t="s">
        <v>526</v>
      </c>
      <c r="AC1230" s="101">
        <v>2</v>
      </c>
      <c r="AD1230" s="101"/>
      <c r="AE1230" s="101"/>
      <c r="AF1230" s="101"/>
      <c r="AG1230" s="101"/>
      <c r="AH1230" s="99"/>
      <c r="AI1230" s="105"/>
    </row>
    <row r="1231" spans="1:35">
      <c r="A1231" s="98"/>
      <c r="B1231" s="99"/>
      <c r="C1231" s="263" t="s">
        <v>3230</v>
      </c>
      <c r="D1231" s="264" t="s">
        <v>79</v>
      </c>
      <c r="E1231" s="264" t="s">
        <v>80</v>
      </c>
      <c r="F1231" s="100" t="s">
        <v>3622</v>
      </c>
      <c r="G1231" s="100" t="s">
        <v>3623</v>
      </c>
      <c r="H1231" s="99" t="s">
        <v>421</v>
      </c>
      <c r="I1231" s="247">
        <v>32094</v>
      </c>
      <c r="J1231" s="101">
        <v>1</v>
      </c>
      <c r="K1231" s="101"/>
      <c r="L1231" s="101">
        <v>1</v>
      </c>
      <c r="M1231" s="101"/>
      <c r="N1231" s="101"/>
      <c r="O1231" s="101"/>
      <c r="P1231" s="101"/>
      <c r="Q1231" s="101"/>
      <c r="R1231" s="101"/>
      <c r="S1231" s="101"/>
      <c r="T1231" s="101"/>
      <c r="U1231" s="99" t="s">
        <v>1010</v>
      </c>
      <c r="V1231" s="99" t="s">
        <v>519</v>
      </c>
      <c r="W1231" s="99" t="s">
        <v>280</v>
      </c>
      <c r="X1231" s="100" t="s">
        <v>227</v>
      </c>
      <c r="Y1231" s="99"/>
      <c r="Z1231" s="99"/>
      <c r="AA1231" s="100" t="s">
        <v>3198</v>
      </c>
      <c r="AB1231" s="99" t="s">
        <v>526</v>
      </c>
      <c r="AC1231" s="101">
        <v>2</v>
      </c>
      <c r="AD1231" s="101"/>
      <c r="AE1231" s="101"/>
      <c r="AF1231" s="101"/>
      <c r="AG1231" s="101"/>
      <c r="AH1231" s="99"/>
      <c r="AI1231" s="105"/>
    </row>
    <row r="1232" spans="1:35">
      <c r="A1232" s="98"/>
      <c r="B1232" s="99"/>
      <c r="C1232" s="263" t="s">
        <v>3230</v>
      </c>
      <c r="D1232" s="264" t="s">
        <v>79</v>
      </c>
      <c r="E1232" s="264" t="s">
        <v>80</v>
      </c>
      <c r="F1232" s="100" t="s">
        <v>3624</v>
      </c>
      <c r="G1232" s="100" t="s">
        <v>3625</v>
      </c>
      <c r="H1232" s="99" t="s">
        <v>115</v>
      </c>
      <c r="I1232" s="247">
        <v>30875</v>
      </c>
      <c r="J1232" s="101"/>
      <c r="K1232" s="101">
        <v>1</v>
      </c>
      <c r="L1232" s="101">
        <v>1</v>
      </c>
      <c r="M1232" s="101"/>
      <c r="N1232" s="101"/>
      <c r="O1232" s="101"/>
      <c r="P1232" s="101"/>
      <c r="Q1232" s="101"/>
      <c r="R1232" s="101"/>
      <c r="S1232" s="101"/>
      <c r="T1232" s="101"/>
      <c r="U1232" s="99" t="s">
        <v>1010</v>
      </c>
      <c r="V1232" s="99" t="s">
        <v>519</v>
      </c>
      <c r="W1232" s="99" t="s">
        <v>280</v>
      </c>
      <c r="X1232" s="100" t="s">
        <v>227</v>
      </c>
      <c r="Y1232" s="99"/>
      <c r="Z1232" s="99"/>
      <c r="AA1232" s="100" t="s">
        <v>3198</v>
      </c>
      <c r="AB1232" s="99" t="s">
        <v>526</v>
      </c>
      <c r="AC1232" s="101">
        <v>2</v>
      </c>
      <c r="AD1232" s="101"/>
      <c r="AE1232" s="101"/>
      <c r="AF1232" s="101"/>
      <c r="AG1232" s="101"/>
      <c r="AH1232" s="99"/>
      <c r="AI1232" s="105"/>
    </row>
    <row r="1233" spans="1:35">
      <c r="A1233" s="98"/>
      <c r="B1233" s="99"/>
      <c r="C1233" s="263" t="s">
        <v>3230</v>
      </c>
      <c r="D1233" s="264" t="s">
        <v>79</v>
      </c>
      <c r="E1233" s="264" t="s">
        <v>80</v>
      </c>
      <c r="F1233" s="100" t="s">
        <v>1359</v>
      </c>
      <c r="G1233" s="100" t="s">
        <v>998</v>
      </c>
      <c r="H1233" s="99" t="s">
        <v>588</v>
      </c>
      <c r="I1233" s="247">
        <v>33183</v>
      </c>
      <c r="J1233" s="101">
        <v>1</v>
      </c>
      <c r="K1233" s="101"/>
      <c r="L1233" s="101">
        <v>1</v>
      </c>
      <c r="M1233" s="101"/>
      <c r="N1233" s="101"/>
      <c r="O1233" s="101"/>
      <c r="P1233" s="101"/>
      <c r="Q1233" s="101"/>
      <c r="R1233" s="101"/>
      <c r="S1233" s="101"/>
      <c r="T1233" s="101"/>
      <c r="U1233" s="99" t="s">
        <v>1010</v>
      </c>
      <c r="V1233" s="99" t="s">
        <v>519</v>
      </c>
      <c r="W1233" s="99" t="s">
        <v>280</v>
      </c>
      <c r="X1233" s="100" t="s">
        <v>227</v>
      </c>
      <c r="Y1233" s="99"/>
      <c r="Z1233" s="99"/>
      <c r="AA1233" s="100" t="s">
        <v>3198</v>
      </c>
      <c r="AB1233" s="99" t="s">
        <v>526</v>
      </c>
      <c r="AC1233" s="101">
        <v>2</v>
      </c>
      <c r="AD1233" s="101"/>
      <c r="AE1233" s="101"/>
      <c r="AF1233" s="101"/>
      <c r="AG1233" s="101"/>
      <c r="AH1233" s="99"/>
      <c r="AI1233" s="105"/>
    </row>
    <row r="1234" spans="1:35">
      <c r="A1234" s="98"/>
      <c r="B1234" s="99"/>
      <c r="C1234" s="263" t="s">
        <v>3230</v>
      </c>
      <c r="D1234" s="264" t="s">
        <v>79</v>
      </c>
      <c r="E1234" s="264" t="s">
        <v>80</v>
      </c>
      <c r="F1234" s="100" t="s">
        <v>3573</v>
      </c>
      <c r="G1234" s="100" t="s">
        <v>3626</v>
      </c>
      <c r="H1234" s="99" t="s">
        <v>126</v>
      </c>
      <c r="I1234" s="247">
        <v>27641</v>
      </c>
      <c r="J1234" s="101"/>
      <c r="K1234" s="101">
        <v>1</v>
      </c>
      <c r="L1234" s="101">
        <v>1</v>
      </c>
      <c r="M1234" s="101"/>
      <c r="N1234" s="101"/>
      <c r="O1234" s="101"/>
      <c r="P1234" s="101"/>
      <c r="Q1234" s="101"/>
      <c r="R1234" s="101"/>
      <c r="S1234" s="101"/>
      <c r="T1234" s="101"/>
      <c r="U1234" s="99" t="s">
        <v>1010</v>
      </c>
      <c r="V1234" s="99" t="s">
        <v>519</v>
      </c>
      <c r="W1234" s="99" t="s">
        <v>280</v>
      </c>
      <c r="X1234" s="100" t="s">
        <v>227</v>
      </c>
      <c r="Y1234" s="99"/>
      <c r="Z1234" s="99"/>
      <c r="AA1234" s="100" t="s">
        <v>3198</v>
      </c>
      <c r="AB1234" s="99" t="s">
        <v>526</v>
      </c>
      <c r="AC1234" s="101">
        <v>2</v>
      </c>
      <c r="AD1234" s="101"/>
      <c r="AE1234" s="101"/>
      <c r="AF1234" s="101"/>
      <c r="AG1234" s="101"/>
      <c r="AH1234" s="99"/>
      <c r="AI1234" s="105"/>
    </row>
    <row r="1235" spans="1:35">
      <c r="A1235" s="98"/>
      <c r="B1235" s="99"/>
      <c r="C1235" s="263" t="s">
        <v>3230</v>
      </c>
      <c r="D1235" s="264" t="s">
        <v>79</v>
      </c>
      <c r="E1235" s="264" t="s">
        <v>80</v>
      </c>
      <c r="F1235" s="100" t="s">
        <v>3573</v>
      </c>
      <c r="G1235" s="100" t="s">
        <v>3585</v>
      </c>
      <c r="H1235" s="99" t="s">
        <v>120</v>
      </c>
      <c r="I1235" s="247">
        <v>24784</v>
      </c>
      <c r="J1235" s="101">
        <v>1</v>
      </c>
      <c r="K1235" s="101"/>
      <c r="L1235" s="101">
        <v>1</v>
      </c>
      <c r="M1235" s="101"/>
      <c r="N1235" s="101"/>
      <c r="O1235" s="101"/>
      <c r="P1235" s="101"/>
      <c r="Q1235" s="101"/>
      <c r="R1235" s="101"/>
      <c r="S1235" s="101"/>
      <c r="T1235" s="101"/>
      <c r="U1235" s="99" t="s">
        <v>1010</v>
      </c>
      <c r="V1235" s="99" t="s">
        <v>519</v>
      </c>
      <c r="W1235" s="99" t="s">
        <v>280</v>
      </c>
      <c r="X1235" s="100" t="s">
        <v>227</v>
      </c>
      <c r="Y1235" s="99"/>
      <c r="Z1235" s="99"/>
      <c r="AA1235" s="100" t="s">
        <v>3198</v>
      </c>
      <c r="AB1235" s="99" t="s">
        <v>526</v>
      </c>
      <c r="AC1235" s="101">
        <v>2</v>
      </c>
      <c r="AD1235" s="101"/>
      <c r="AE1235" s="101"/>
      <c r="AF1235" s="101"/>
      <c r="AG1235" s="101"/>
      <c r="AH1235" s="99"/>
      <c r="AI1235" s="105"/>
    </row>
    <row r="1236" spans="1:35">
      <c r="A1236" s="98"/>
      <c r="B1236" s="99"/>
      <c r="C1236" s="263" t="s">
        <v>3230</v>
      </c>
      <c r="D1236" s="264" t="s">
        <v>79</v>
      </c>
      <c r="E1236" s="264" t="s">
        <v>80</v>
      </c>
      <c r="F1236" s="100" t="s">
        <v>411</v>
      </c>
      <c r="G1236" s="100" t="s">
        <v>3627</v>
      </c>
      <c r="H1236" s="99" t="s">
        <v>421</v>
      </c>
      <c r="I1236" s="247">
        <v>30241</v>
      </c>
      <c r="J1236" s="101">
        <v>1</v>
      </c>
      <c r="K1236" s="101"/>
      <c r="L1236" s="101">
        <v>1</v>
      </c>
      <c r="M1236" s="101"/>
      <c r="N1236" s="101"/>
      <c r="O1236" s="101"/>
      <c r="P1236" s="101"/>
      <c r="Q1236" s="101"/>
      <c r="R1236" s="101"/>
      <c r="S1236" s="101"/>
      <c r="T1236" s="101"/>
      <c r="U1236" s="99" t="s">
        <v>1010</v>
      </c>
      <c r="V1236" s="99" t="s">
        <v>519</v>
      </c>
      <c r="W1236" s="99" t="s">
        <v>280</v>
      </c>
      <c r="X1236" s="100" t="s">
        <v>227</v>
      </c>
      <c r="Y1236" s="99"/>
      <c r="Z1236" s="99"/>
      <c r="AA1236" s="100" t="s">
        <v>3198</v>
      </c>
      <c r="AB1236" s="99" t="s">
        <v>526</v>
      </c>
      <c r="AC1236" s="101">
        <v>2</v>
      </c>
      <c r="AD1236" s="101"/>
      <c r="AE1236" s="101"/>
      <c r="AF1236" s="101"/>
      <c r="AG1236" s="101"/>
      <c r="AH1236" s="99"/>
      <c r="AI1236" s="105"/>
    </row>
    <row r="1237" spans="1:35">
      <c r="A1237" s="98"/>
      <c r="B1237" s="99"/>
      <c r="C1237" s="263" t="s">
        <v>3230</v>
      </c>
      <c r="D1237" s="264" t="s">
        <v>79</v>
      </c>
      <c r="E1237" s="264" t="s">
        <v>80</v>
      </c>
      <c r="F1237" s="100" t="s">
        <v>3628</v>
      </c>
      <c r="G1237" s="100" t="s">
        <v>3629</v>
      </c>
      <c r="H1237" s="99" t="s">
        <v>136</v>
      </c>
      <c r="I1237" s="247">
        <v>26027</v>
      </c>
      <c r="J1237" s="101">
        <v>1</v>
      </c>
      <c r="K1237" s="101"/>
      <c r="L1237" s="101">
        <v>1</v>
      </c>
      <c r="M1237" s="101"/>
      <c r="N1237" s="101"/>
      <c r="O1237" s="101"/>
      <c r="P1237" s="101"/>
      <c r="Q1237" s="101"/>
      <c r="R1237" s="101"/>
      <c r="S1237" s="101"/>
      <c r="T1237" s="101"/>
      <c r="U1237" s="99" t="s">
        <v>1010</v>
      </c>
      <c r="V1237" s="99" t="s">
        <v>519</v>
      </c>
      <c r="W1237" s="99" t="s">
        <v>280</v>
      </c>
      <c r="X1237" s="100" t="s">
        <v>227</v>
      </c>
      <c r="Y1237" s="99"/>
      <c r="Z1237" s="99"/>
      <c r="AA1237" s="100" t="s">
        <v>3586</v>
      </c>
      <c r="AB1237" s="99" t="s">
        <v>528</v>
      </c>
      <c r="AC1237" s="101">
        <v>1</v>
      </c>
      <c r="AD1237" s="101"/>
      <c r="AE1237" s="101"/>
      <c r="AF1237" s="101"/>
      <c r="AG1237" s="101"/>
      <c r="AH1237" s="99"/>
      <c r="AI1237" s="105"/>
    </row>
    <row r="1238" spans="1:35">
      <c r="A1238" s="98"/>
      <c r="B1238" s="99"/>
      <c r="C1238" s="263" t="s">
        <v>3230</v>
      </c>
      <c r="D1238" s="264" t="s">
        <v>79</v>
      </c>
      <c r="E1238" s="264" t="s">
        <v>80</v>
      </c>
      <c r="F1238" s="100" t="s">
        <v>411</v>
      </c>
      <c r="G1238" s="100" t="s">
        <v>1085</v>
      </c>
      <c r="H1238" s="99" t="s">
        <v>421</v>
      </c>
      <c r="I1238" s="247">
        <v>32550</v>
      </c>
      <c r="J1238" s="101">
        <v>1</v>
      </c>
      <c r="K1238" s="101"/>
      <c r="L1238" s="101">
        <v>1</v>
      </c>
      <c r="M1238" s="101"/>
      <c r="N1238" s="101"/>
      <c r="O1238" s="101"/>
      <c r="P1238" s="101"/>
      <c r="Q1238" s="101"/>
      <c r="R1238" s="101"/>
      <c r="S1238" s="101"/>
      <c r="T1238" s="101"/>
      <c r="U1238" s="99" t="s">
        <v>1010</v>
      </c>
      <c r="V1238" s="99" t="s">
        <v>519</v>
      </c>
      <c r="W1238" s="99" t="s">
        <v>280</v>
      </c>
      <c r="X1238" s="100" t="s">
        <v>227</v>
      </c>
      <c r="Y1238" s="99"/>
      <c r="Z1238" s="99"/>
      <c r="AA1238" s="100" t="s">
        <v>3586</v>
      </c>
      <c r="AB1238" s="99" t="s">
        <v>528</v>
      </c>
      <c r="AC1238" s="101">
        <v>1</v>
      </c>
      <c r="AD1238" s="101"/>
      <c r="AE1238" s="101"/>
      <c r="AF1238" s="101"/>
      <c r="AG1238" s="101"/>
      <c r="AH1238" s="99"/>
      <c r="AI1238" s="105"/>
    </row>
    <row r="1239" spans="1:35">
      <c r="A1239" s="98"/>
      <c r="B1239" s="99"/>
      <c r="C1239" s="263" t="s">
        <v>3230</v>
      </c>
      <c r="D1239" s="264" t="s">
        <v>79</v>
      </c>
      <c r="E1239" s="264" t="s">
        <v>80</v>
      </c>
      <c r="F1239" s="100" t="s">
        <v>3630</v>
      </c>
      <c r="G1239" s="100" t="s">
        <v>192</v>
      </c>
      <c r="H1239" s="99" t="s">
        <v>115</v>
      </c>
      <c r="I1239" s="247">
        <v>25822</v>
      </c>
      <c r="J1239" s="101">
        <v>1</v>
      </c>
      <c r="K1239" s="101"/>
      <c r="L1239" s="101">
        <v>1</v>
      </c>
      <c r="M1239" s="101"/>
      <c r="N1239" s="101"/>
      <c r="O1239" s="101"/>
      <c r="P1239" s="101"/>
      <c r="Q1239" s="101"/>
      <c r="R1239" s="101"/>
      <c r="S1239" s="101"/>
      <c r="T1239" s="101"/>
      <c r="U1239" s="99" t="s">
        <v>1010</v>
      </c>
      <c r="V1239" s="99" t="s">
        <v>519</v>
      </c>
      <c r="W1239" s="99" t="s">
        <v>280</v>
      </c>
      <c r="X1239" s="100" t="s">
        <v>227</v>
      </c>
      <c r="Y1239" s="99"/>
      <c r="Z1239" s="99"/>
      <c r="AA1239" s="100" t="s">
        <v>3586</v>
      </c>
      <c r="AB1239" s="99" t="s">
        <v>528</v>
      </c>
      <c r="AC1239" s="101">
        <v>1</v>
      </c>
      <c r="AD1239" s="101"/>
      <c r="AE1239" s="101"/>
      <c r="AF1239" s="101"/>
      <c r="AG1239" s="101"/>
      <c r="AH1239" s="99"/>
      <c r="AI1239" s="105"/>
    </row>
    <row r="1240" spans="1:35">
      <c r="A1240" s="98"/>
      <c r="B1240" s="99"/>
      <c r="C1240" s="263" t="s">
        <v>3230</v>
      </c>
      <c r="D1240" s="264" t="s">
        <v>79</v>
      </c>
      <c r="E1240" s="264" t="s">
        <v>80</v>
      </c>
      <c r="F1240" s="100" t="s">
        <v>3632</v>
      </c>
      <c r="G1240" s="100" t="s">
        <v>3631</v>
      </c>
      <c r="H1240" s="99" t="s">
        <v>126</v>
      </c>
      <c r="I1240" s="247">
        <v>34852</v>
      </c>
      <c r="J1240" s="101">
        <v>1</v>
      </c>
      <c r="K1240" s="101"/>
      <c r="L1240" s="101">
        <v>1</v>
      </c>
      <c r="M1240" s="101"/>
      <c r="N1240" s="101"/>
      <c r="O1240" s="101"/>
      <c r="P1240" s="101"/>
      <c r="Q1240" s="101"/>
      <c r="R1240" s="101"/>
      <c r="S1240" s="101"/>
      <c r="T1240" s="101"/>
      <c r="U1240" s="99" t="s">
        <v>1010</v>
      </c>
      <c r="V1240" s="99" t="s">
        <v>519</v>
      </c>
      <c r="W1240" s="99" t="s">
        <v>280</v>
      </c>
      <c r="X1240" s="100" t="s">
        <v>227</v>
      </c>
      <c r="Y1240" s="99"/>
      <c r="Z1240" s="99"/>
      <c r="AA1240" s="100" t="s">
        <v>3586</v>
      </c>
      <c r="AB1240" s="99" t="s">
        <v>528</v>
      </c>
      <c r="AC1240" s="101">
        <v>1</v>
      </c>
      <c r="AD1240" s="101"/>
      <c r="AE1240" s="101"/>
      <c r="AF1240" s="101"/>
      <c r="AG1240" s="101"/>
      <c r="AH1240" s="99"/>
      <c r="AI1240" s="105"/>
    </row>
    <row r="1241" spans="1:35">
      <c r="A1241" s="98"/>
      <c r="B1241" s="99"/>
      <c r="C1241" s="263" t="s">
        <v>3230</v>
      </c>
      <c r="D1241" s="264" t="s">
        <v>79</v>
      </c>
      <c r="E1241" s="264" t="s">
        <v>80</v>
      </c>
      <c r="F1241" s="100" t="s">
        <v>411</v>
      </c>
      <c r="G1241" s="100" t="s">
        <v>3633</v>
      </c>
      <c r="H1241" s="99" t="s">
        <v>120</v>
      </c>
      <c r="I1241" s="247">
        <v>34496</v>
      </c>
      <c r="J1241" s="101">
        <v>1</v>
      </c>
      <c r="K1241" s="101"/>
      <c r="L1241" s="101">
        <v>1</v>
      </c>
      <c r="M1241" s="101"/>
      <c r="N1241" s="101"/>
      <c r="O1241" s="101"/>
      <c r="P1241" s="101"/>
      <c r="Q1241" s="101"/>
      <c r="R1241" s="101"/>
      <c r="S1241" s="101"/>
      <c r="T1241" s="101"/>
      <c r="U1241" s="99" t="s">
        <v>1010</v>
      </c>
      <c r="V1241" s="99" t="s">
        <v>519</v>
      </c>
      <c r="W1241" s="99" t="s">
        <v>280</v>
      </c>
      <c r="X1241" s="100" t="s">
        <v>227</v>
      </c>
      <c r="Y1241" s="99"/>
      <c r="Z1241" s="99"/>
      <c r="AA1241" s="100" t="s">
        <v>3586</v>
      </c>
      <c r="AB1241" s="99" t="s">
        <v>528</v>
      </c>
      <c r="AC1241" s="101">
        <v>1</v>
      </c>
      <c r="AD1241" s="101"/>
      <c r="AE1241" s="101"/>
      <c r="AF1241" s="101"/>
      <c r="AG1241" s="101"/>
      <c r="AH1241" s="99"/>
      <c r="AI1241" s="105"/>
    </row>
    <row r="1242" spans="1:35">
      <c r="A1242" s="98"/>
      <c r="B1242" s="99"/>
      <c r="C1242" s="263" t="s">
        <v>3230</v>
      </c>
      <c r="D1242" s="264" t="s">
        <v>79</v>
      </c>
      <c r="E1242" s="264" t="s">
        <v>80</v>
      </c>
      <c r="F1242" s="100" t="s">
        <v>3574</v>
      </c>
      <c r="G1242" s="100" t="s">
        <v>381</v>
      </c>
      <c r="H1242" s="99" t="s">
        <v>144</v>
      </c>
      <c r="I1242" s="247">
        <v>34962</v>
      </c>
      <c r="J1242" s="101"/>
      <c r="K1242" s="101">
        <v>1</v>
      </c>
      <c r="L1242" s="101">
        <v>1</v>
      </c>
      <c r="M1242" s="101"/>
      <c r="N1242" s="101"/>
      <c r="O1242" s="101"/>
      <c r="P1242" s="101"/>
      <c r="Q1242" s="101"/>
      <c r="R1242" s="101"/>
      <c r="S1242" s="101"/>
      <c r="T1242" s="101"/>
      <c r="U1242" s="99" t="s">
        <v>1010</v>
      </c>
      <c r="V1242" s="99" t="s">
        <v>519</v>
      </c>
      <c r="W1242" s="99" t="s">
        <v>280</v>
      </c>
      <c r="X1242" s="100" t="s">
        <v>227</v>
      </c>
      <c r="Y1242" s="99"/>
      <c r="Z1242" s="99"/>
      <c r="AA1242" s="100" t="s">
        <v>3586</v>
      </c>
      <c r="AB1242" s="99" t="s">
        <v>528</v>
      </c>
      <c r="AC1242" s="101">
        <v>1</v>
      </c>
      <c r="AD1242" s="101"/>
      <c r="AE1242" s="101"/>
      <c r="AF1242" s="101"/>
      <c r="AG1242" s="101"/>
      <c r="AH1242" s="99"/>
      <c r="AI1242" s="105"/>
    </row>
    <row r="1243" spans="1:35">
      <c r="A1243" s="98"/>
      <c r="B1243" s="99"/>
      <c r="C1243" s="263" t="s">
        <v>3230</v>
      </c>
      <c r="D1243" s="264" t="s">
        <v>79</v>
      </c>
      <c r="E1243" s="264" t="s">
        <v>80</v>
      </c>
      <c r="F1243" s="100" t="s">
        <v>3634</v>
      </c>
      <c r="G1243" s="100" t="s">
        <v>3635</v>
      </c>
      <c r="H1243" s="99" t="s">
        <v>136</v>
      </c>
      <c r="I1243" s="247">
        <v>32279</v>
      </c>
      <c r="J1243" s="101">
        <v>1</v>
      </c>
      <c r="K1243" s="101"/>
      <c r="L1243" s="101">
        <v>1</v>
      </c>
      <c r="M1243" s="101"/>
      <c r="N1243" s="101"/>
      <c r="O1243" s="101"/>
      <c r="P1243" s="101"/>
      <c r="Q1243" s="101"/>
      <c r="R1243" s="101"/>
      <c r="S1243" s="101"/>
      <c r="T1243" s="101"/>
      <c r="U1243" s="99" t="s">
        <v>1010</v>
      </c>
      <c r="V1243" s="99" t="s">
        <v>519</v>
      </c>
      <c r="W1243" s="99" t="s">
        <v>280</v>
      </c>
      <c r="X1243" s="100" t="s">
        <v>227</v>
      </c>
      <c r="Y1243" s="99"/>
      <c r="Z1243" s="99"/>
      <c r="AA1243" s="100" t="s">
        <v>3586</v>
      </c>
      <c r="AB1243" s="99" t="s">
        <v>528</v>
      </c>
      <c r="AC1243" s="101">
        <v>1</v>
      </c>
      <c r="AD1243" s="101"/>
      <c r="AE1243" s="101"/>
      <c r="AF1243" s="101"/>
      <c r="AG1243" s="101"/>
      <c r="AH1243" s="99"/>
      <c r="AI1243" s="105"/>
    </row>
    <row r="1244" spans="1:35">
      <c r="A1244" s="98"/>
      <c r="B1244" s="99"/>
      <c r="C1244" s="263" t="s">
        <v>3230</v>
      </c>
      <c r="D1244" s="264" t="s">
        <v>79</v>
      </c>
      <c r="E1244" s="264" t="s">
        <v>80</v>
      </c>
      <c r="F1244" s="100" t="s">
        <v>3174</v>
      </c>
      <c r="G1244" s="100" t="s">
        <v>3636</v>
      </c>
      <c r="H1244" s="99" t="s">
        <v>126</v>
      </c>
      <c r="I1244" s="247">
        <v>31536</v>
      </c>
      <c r="J1244" s="101"/>
      <c r="K1244" s="101">
        <v>1</v>
      </c>
      <c r="L1244" s="101">
        <v>1</v>
      </c>
      <c r="M1244" s="101"/>
      <c r="N1244" s="101"/>
      <c r="O1244" s="101"/>
      <c r="P1244" s="101"/>
      <c r="Q1244" s="101"/>
      <c r="R1244" s="101"/>
      <c r="S1244" s="101"/>
      <c r="T1244" s="101"/>
      <c r="U1244" s="99" t="s">
        <v>1010</v>
      </c>
      <c r="V1244" s="99" t="s">
        <v>519</v>
      </c>
      <c r="W1244" s="99" t="s">
        <v>280</v>
      </c>
      <c r="X1244" s="100" t="s">
        <v>227</v>
      </c>
      <c r="Y1244" s="99"/>
      <c r="Z1244" s="99"/>
      <c r="AA1244" s="100" t="s">
        <v>3586</v>
      </c>
      <c r="AB1244" s="99" t="s">
        <v>528</v>
      </c>
      <c r="AC1244" s="101">
        <v>1</v>
      </c>
      <c r="AD1244" s="101"/>
      <c r="AE1244" s="101"/>
      <c r="AF1244" s="101"/>
      <c r="AG1244" s="101"/>
      <c r="AH1244" s="99"/>
      <c r="AI1244" s="105"/>
    </row>
    <row r="1245" spans="1:35">
      <c r="A1245" s="98"/>
      <c r="B1245" s="99"/>
      <c r="C1245" s="263" t="s">
        <v>3230</v>
      </c>
      <c r="D1245" s="264" t="s">
        <v>79</v>
      </c>
      <c r="E1245" s="264" t="s">
        <v>80</v>
      </c>
      <c r="F1245" s="100" t="s">
        <v>3637</v>
      </c>
      <c r="G1245" s="100" t="s">
        <v>2590</v>
      </c>
      <c r="H1245" s="99" t="s">
        <v>113</v>
      </c>
      <c r="I1245" s="247">
        <v>31215</v>
      </c>
      <c r="J1245" s="101">
        <v>1</v>
      </c>
      <c r="K1245" s="101"/>
      <c r="L1245" s="101">
        <v>1</v>
      </c>
      <c r="M1245" s="101"/>
      <c r="N1245" s="101"/>
      <c r="O1245" s="101"/>
      <c r="P1245" s="101"/>
      <c r="Q1245" s="101"/>
      <c r="R1245" s="101"/>
      <c r="S1245" s="101"/>
      <c r="T1245" s="101"/>
      <c r="U1245" s="99" t="s">
        <v>1010</v>
      </c>
      <c r="V1245" s="99" t="s">
        <v>519</v>
      </c>
      <c r="W1245" s="99" t="s">
        <v>280</v>
      </c>
      <c r="X1245" s="100" t="s">
        <v>227</v>
      </c>
      <c r="Y1245" s="99"/>
      <c r="Z1245" s="99"/>
      <c r="AA1245" s="100" t="s">
        <v>3586</v>
      </c>
      <c r="AB1245" s="99" t="s">
        <v>528</v>
      </c>
      <c r="AC1245" s="101">
        <v>1</v>
      </c>
      <c r="AD1245" s="101"/>
      <c r="AE1245" s="101"/>
      <c r="AF1245" s="101"/>
      <c r="AG1245" s="101"/>
      <c r="AH1245" s="99"/>
      <c r="AI1245" s="105"/>
    </row>
    <row r="1246" spans="1:35">
      <c r="A1246" s="98"/>
      <c r="B1246" s="99"/>
      <c r="C1246" s="263" t="s">
        <v>3230</v>
      </c>
      <c r="D1246" s="264" t="s">
        <v>79</v>
      </c>
      <c r="E1246" s="264" t="s">
        <v>80</v>
      </c>
      <c r="F1246" s="100" t="s">
        <v>3088</v>
      </c>
      <c r="G1246" s="100" t="s">
        <v>3638</v>
      </c>
      <c r="H1246" s="99" t="s">
        <v>113</v>
      </c>
      <c r="I1246" s="247">
        <v>31099</v>
      </c>
      <c r="J1246" s="101">
        <v>1</v>
      </c>
      <c r="K1246" s="101"/>
      <c r="L1246" s="101">
        <v>1</v>
      </c>
      <c r="M1246" s="101"/>
      <c r="N1246" s="101"/>
      <c r="O1246" s="101"/>
      <c r="P1246" s="101"/>
      <c r="Q1246" s="101"/>
      <c r="R1246" s="101"/>
      <c r="S1246" s="101"/>
      <c r="T1246" s="101"/>
      <c r="U1246" s="99" t="s">
        <v>1010</v>
      </c>
      <c r="V1246" s="99" t="s">
        <v>519</v>
      </c>
      <c r="W1246" s="99" t="s">
        <v>280</v>
      </c>
      <c r="X1246" s="100" t="s">
        <v>227</v>
      </c>
      <c r="Y1246" s="99"/>
      <c r="Z1246" s="99"/>
      <c r="AA1246" s="100" t="s">
        <v>3586</v>
      </c>
      <c r="AB1246" s="99" t="s">
        <v>528</v>
      </c>
      <c r="AC1246" s="101">
        <v>1</v>
      </c>
      <c r="AD1246" s="101"/>
      <c r="AE1246" s="101"/>
      <c r="AF1246" s="101"/>
      <c r="AG1246" s="101"/>
      <c r="AH1246" s="99"/>
      <c r="AI1246" s="105"/>
    </row>
    <row r="1247" spans="1:35">
      <c r="A1247" s="98"/>
      <c r="B1247" s="99"/>
      <c r="C1247" s="263" t="s">
        <v>3230</v>
      </c>
      <c r="D1247" s="264" t="s">
        <v>79</v>
      </c>
      <c r="E1247" s="264" t="s">
        <v>80</v>
      </c>
      <c r="F1247" s="100" t="s">
        <v>1129</v>
      </c>
      <c r="G1247" s="100" t="s">
        <v>2271</v>
      </c>
      <c r="H1247" s="99" t="s">
        <v>1040</v>
      </c>
      <c r="I1247" s="247">
        <v>31192</v>
      </c>
      <c r="J1247" s="101">
        <v>1</v>
      </c>
      <c r="K1247" s="101"/>
      <c r="L1247" s="101">
        <v>1</v>
      </c>
      <c r="M1247" s="101"/>
      <c r="N1247" s="101"/>
      <c r="O1247" s="101"/>
      <c r="P1247" s="101"/>
      <c r="Q1247" s="101"/>
      <c r="R1247" s="101"/>
      <c r="S1247" s="101"/>
      <c r="T1247" s="101"/>
      <c r="U1247" s="99" t="s">
        <v>1010</v>
      </c>
      <c r="V1247" s="99" t="s">
        <v>519</v>
      </c>
      <c r="W1247" s="99" t="s">
        <v>280</v>
      </c>
      <c r="X1247" s="100" t="s">
        <v>227</v>
      </c>
      <c r="Y1247" s="99"/>
      <c r="Z1247" s="99"/>
      <c r="AA1247" s="100" t="s">
        <v>3586</v>
      </c>
      <c r="AB1247" s="99" t="s">
        <v>528</v>
      </c>
      <c r="AC1247" s="101">
        <v>1</v>
      </c>
      <c r="AD1247" s="101"/>
      <c r="AE1247" s="101"/>
      <c r="AF1247" s="101"/>
      <c r="AG1247" s="101"/>
      <c r="AH1247" s="99"/>
      <c r="AI1247" s="105"/>
    </row>
    <row r="1248" spans="1:35">
      <c r="A1248" s="98"/>
      <c r="B1248" s="99"/>
      <c r="C1248" s="263" t="s">
        <v>3230</v>
      </c>
      <c r="D1248" s="264" t="s">
        <v>79</v>
      </c>
      <c r="E1248" s="264" t="s">
        <v>80</v>
      </c>
      <c r="F1248" s="100" t="s">
        <v>2573</v>
      </c>
      <c r="G1248" s="100" t="s">
        <v>3639</v>
      </c>
      <c r="H1248" s="99" t="s">
        <v>133</v>
      </c>
      <c r="I1248" s="247">
        <v>33912</v>
      </c>
      <c r="J1248" s="101">
        <v>1</v>
      </c>
      <c r="K1248" s="101"/>
      <c r="L1248" s="101">
        <v>1</v>
      </c>
      <c r="M1248" s="101"/>
      <c r="N1248" s="101"/>
      <c r="O1248" s="101"/>
      <c r="P1248" s="101"/>
      <c r="Q1248" s="101"/>
      <c r="R1248" s="101"/>
      <c r="S1248" s="101"/>
      <c r="T1248" s="101"/>
      <c r="U1248" s="99" t="s">
        <v>1010</v>
      </c>
      <c r="V1248" s="99" t="s">
        <v>519</v>
      </c>
      <c r="W1248" s="99" t="s">
        <v>280</v>
      </c>
      <c r="X1248" s="100" t="s">
        <v>227</v>
      </c>
      <c r="Y1248" s="99"/>
      <c r="Z1248" s="99"/>
      <c r="AA1248" s="100" t="s">
        <v>3586</v>
      </c>
      <c r="AB1248" s="99" t="s">
        <v>528</v>
      </c>
      <c r="AC1248" s="101">
        <v>1</v>
      </c>
      <c r="AD1248" s="101"/>
      <c r="AE1248" s="101"/>
      <c r="AF1248" s="101"/>
      <c r="AG1248" s="101"/>
      <c r="AH1248" s="99"/>
      <c r="AI1248" s="105"/>
    </row>
    <row r="1249" spans="1:35">
      <c r="A1249" s="98"/>
      <c r="B1249" s="99"/>
      <c r="C1249" s="263" t="s">
        <v>3230</v>
      </c>
      <c r="D1249" s="264" t="s">
        <v>79</v>
      </c>
      <c r="E1249" s="264" t="s">
        <v>80</v>
      </c>
      <c r="F1249" s="100" t="s">
        <v>2046</v>
      </c>
      <c r="G1249" s="100" t="s">
        <v>3640</v>
      </c>
      <c r="H1249" s="99" t="s">
        <v>120</v>
      </c>
      <c r="I1249" s="247">
        <v>33163</v>
      </c>
      <c r="J1249" s="101">
        <v>1</v>
      </c>
      <c r="K1249" s="101"/>
      <c r="L1249" s="101">
        <v>1</v>
      </c>
      <c r="M1249" s="101"/>
      <c r="N1249" s="101"/>
      <c r="O1249" s="101"/>
      <c r="P1249" s="101"/>
      <c r="Q1249" s="101"/>
      <c r="R1249" s="101"/>
      <c r="S1249" s="101"/>
      <c r="T1249" s="101"/>
      <c r="U1249" s="99" t="s">
        <v>1010</v>
      </c>
      <c r="V1249" s="99" t="s">
        <v>519</v>
      </c>
      <c r="W1249" s="99" t="s">
        <v>280</v>
      </c>
      <c r="X1249" s="100" t="s">
        <v>227</v>
      </c>
      <c r="Y1249" s="99"/>
      <c r="Z1249" s="99"/>
      <c r="AA1249" s="100" t="s">
        <v>3586</v>
      </c>
      <c r="AB1249" s="99" t="s">
        <v>528</v>
      </c>
      <c r="AC1249" s="101">
        <v>1</v>
      </c>
      <c r="AD1249" s="101"/>
      <c r="AE1249" s="101"/>
      <c r="AF1249" s="101"/>
      <c r="AG1249" s="101"/>
      <c r="AH1249" s="99"/>
      <c r="AI1249" s="105"/>
    </row>
    <row r="1250" spans="1:35">
      <c r="A1250" s="98"/>
      <c r="B1250" s="99"/>
      <c r="C1250" s="263" t="s">
        <v>3230</v>
      </c>
      <c r="D1250" s="264" t="s">
        <v>79</v>
      </c>
      <c r="E1250" s="264" t="s">
        <v>80</v>
      </c>
      <c r="F1250" s="100" t="s">
        <v>1434</v>
      </c>
      <c r="G1250" s="100" t="s">
        <v>2169</v>
      </c>
      <c r="H1250" s="99" t="s">
        <v>136</v>
      </c>
      <c r="I1250" s="247">
        <v>31863</v>
      </c>
      <c r="J1250" s="101">
        <v>1</v>
      </c>
      <c r="K1250" s="101"/>
      <c r="L1250" s="101">
        <v>1</v>
      </c>
      <c r="M1250" s="101"/>
      <c r="N1250" s="101"/>
      <c r="O1250" s="101"/>
      <c r="P1250" s="101"/>
      <c r="Q1250" s="101"/>
      <c r="R1250" s="101"/>
      <c r="S1250" s="101"/>
      <c r="T1250" s="101"/>
      <c r="U1250" s="99" t="s">
        <v>1010</v>
      </c>
      <c r="V1250" s="99" t="s">
        <v>519</v>
      </c>
      <c r="W1250" s="99" t="s">
        <v>280</v>
      </c>
      <c r="X1250" s="100" t="s">
        <v>227</v>
      </c>
      <c r="Y1250" s="99"/>
      <c r="Z1250" s="99"/>
      <c r="AA1250" s="100" t="s">
        <v>3586</v>
      </c>
      <c r="AB1250" s="99" t="s">
        <v>528</v>
      </c>
      <c r="AC1250" s="101">
        <v>1</v>
      </c>
      <c r="AD1250" s="101"/>
      <c r="AE1250" s="101"/>
      <c r="AF1250" s="101"/>
      <c r="AG1250" s="101"/>
      <c r="AH1250" s="99"/>
      <c r="AI1250" s="105"/>
    </row>
    <row r="1251" spans="1:35">
      <c r="A1251" s="98"/>
      <c r="B1251" s="99"/>
      <c r="C1251" s="263" t="s">
        <v>3230</v>
      </c>
      <c r="D1251" s="264" t="s">
        <v>79</v>
      </c>
      <c r="E1251" s="264" t="s">
        <v>80</v>
      </c>
      <c r="F1251" s="100" t="s">
        <v>3641</v>
      </c>
      <c r="G1251" s="100" t="s">
        <v>3642</v>
      </c>
      <c r="H1251" s="99" t="s">
        <v>604</v>
      </c>
      <c r="I1251" s="247">
        <v>27589</v>
      </c>
      <c r="J1251" s="101">
        <v>1</v>
      </c>
      <c r="K1251" s="101"/>
      <c r="L1251" s="101">
        <v>1</v>
      </c>
      <c r="M1251" s="101"/>
      <c r="N1251" s="101"/>
      <c r="O1251" s="101"/>
      <c r="P1251" s="101"/>
      <c r="Q1251" s="101"/>
      <c r="R1251" s="101"/>
      <c r="S1251" s="101"/>
      <c r="T1251" s="101"/>
      <c r="U1251" s="99" t="s">
        <v>1010</v>
      </c>
      <c r="V1251" s="99" t="s">
        <v>519</v>
      </c>
      <c r="W1251" s="99" t="s">
        <v>280</v>
      </c>
      <c r="X1251" s="100" t="s">
        <v>227</v>
      </c>
      <c r="Y1251" s="99"/>
      <c r="Z1251" s="99"/>
      <c r="AA1251" s="100" t="s">
        <v>3643</v>
      </c>
      <c r="AB1251" s="99" t="s">
        <v>526</v>
      </c>
      <c r="AC1251" s="101">
        <v>2</v>
      </c>
      <c r="AD1251" s="101"/>
      <c r="AE1251" s="101"/>
      <c r="AF1251" s="101"/>
      <c r="AG1251" s="101"/>
      <c r="AH1251" s="99"/>
      <c r="AI1251" s="105"/>
    </row>
    <row r="1252" spans="1:35">
      <c r="A1252" s="98"/>
      <c r="B1252" s="99"/>
      <c r="C1252" s="263" t="s">
        <v>3230</v>
      </c>
      <c r="D1252" s="264" t="s">
        <v>79</v>
      </c>
      <c r="E1252" s="264" t="s">
        <v>80</v>
      </c>
      <c r="F1252" s="100" t="s">
        <v>3644</v>
      </c>
      <c r="G1252" s="100" t="s">
        <v>3645</v>
      </c>
      <c r="H1252" s="99" t="s">
        <v>126</v>
      </c>
      <c r="I1252" s="247">
        <v>44776</v>
      </c>
      <c r="J1252" s="101">
        <v>1</v>
      </c>
      <c r="K1252" s="101"/>
      <c r="L1252" s="101">
        <v>1</v>
      </c>
      <c r="M1252" s="101"/>
      <c r="N1252" s="101"/>
      <c r="O1252" s="101"/>
      <c r="P1252" s="101"/>
      <c r="Q1252" s="101"/>
      <c r="R1252" s="101"/>
      <c r="S1252" s="101"/>
      <c r="T1252" s="101"/>
      <c r="U1252" s="99" t="s">
        <v>3658</v>
      </c>
      <c r="V1252" s="99" t="s">
        <v>223</v>
      </c>
      <c r="W1252" s="99" t="s">
        <v>279</v>
      </c>
      <c r="X1252" s="99" t="s">
        <v>227</v>
      </c>
      <c r="Y1252" s="99">
        <v>9701618852</v>
      </c>
      <c r="Z1252" s="99"/>
      <c r="AA1252" s="100" t="s">
        <v>1961</v>
      </c>
      <c r="AB1252" s="99" t="s">
        <v>528</v>
      </c>
      <c r="AC1252" s="99">
        <v>1</v>
      </c>
      <c r="AD1252" s="101"/>
      <c r="AE1252" s="101"/>
      <c r="AF1252" s="101"/>
      <c r="AG1252" s="101"/>
      <c r="AH1252" s="99"/>
      <c r="AI1252" s="105"/>
    </row>
    <row r="1253" spans="1:35">
      <c r="A1253" s="98"/>
      <c r="B1253" s="99"/>
      <c r="C1253" s="99"/>
      <c r="D1253" s="99"/>
      <c r="E1253" s="99"/>
      <c r="F1253" s="100"/>
      <c r="G1253" s="100"/>
      <c r="H1253" s="99"/>
      <c r="I1253" s="247"/>
      <c r="J1253" s="101"/>
      <c r="K1253" s="101"/>
      <c r="L1253" s="101"/>
      <c r="M1253" s="101"/>
      <c r="N1253" s="101"/>
      <c r="O1253" s="101"/>
      <c r="P1253" s="101"/>
      <c r="Q1253" s="101"/>
      <c r="R1253" s="101"/>
      <c r="S1253" s="101"/>
      <c r="T1253" s="101"/>
      <c r="U1253" s="99"/>
      <c r="V1253" s="99"/>
      <c r="W1253" s="99"/>
      <c r="X1253" s="99"/>
      <c r="Y1253" s="99"/>
      <c r="Z1253" s="99"/>
      <c r="AA1253" s="100" t="s">
        <v>3198</v>
      </c>
      <c r="AB1253" s="100" t="s">
        <v>526</v>
      </c>
      <c r="AC1253" s="99">
        <v>4</v>
      </c>
      <c r="AD1253" s="101"/>
      <c r="AE1253" s="101"/>
      <c r="AF1253" s="101"/>
      <c r="AG1253" s="101"/>
      <c r="AH1253" s="99"/>
      <c r="AI1253" s="105"/>
    </row>
    <row r="1254" spans="1:35">
      <c r="A1254" s="98"/>
      <c r="B1254" s="99"/>
      <c r="C1254" s="99"/>
      <c r="D1254" s="99"/>
      <c r="E1254" s="99"/>
      <c r="F1254" s="100"/>
      <c r="G1254" s="100"/>
      <c r="H1254" s="99"/>
      <c r="I1254" s="247"/>
      <c r="J1254" s="101"/>
      <c r="K1254" s="101"/>
      <c r="L1254" s="101"/>
      <c r="M1254" s="101"/>
      <c r="N1254" s="101"/>
      <c r="O1254" s="101"/>
      <c r="P1254" s="101"/>
      <c r="Q1254" s="101"/>
      <c r="R1254" s="101"/>
      <c r="S1254" s="101"/>
      <c r="T1254" s="101"/>
      <c r="U1254" s="99"/>
      <c r="V1254" s="99"/>
      <c r="W1254" s="99"/>
      <c r="X1254" s="99"/>
      <c r="Y1254" s="99"/>
      <c r="Z1254" s="99"/>
      <c r="AA1254" s="100" t="s">
        <v>3661</v>
      </c>
      <c r="AB1254" s="99" t="s">
        <v>526</v>
      </c>
      <c r="AC1254" s="99">
        <v>166</v>
      </c>
      <c r="AD1254" s="101"/>
      <c r="AE1254" s="101"/>
      <c r="AF1254" s="101"/>
      <c r="AG1254" s="101"/>
      <c r="AH1254" s="99"/>
      <c r="AI1254" s="105"/>
    </row>
    <row r="1255" spans="1:35">
      <c r="A1255" s="98"/>
      <c r="B1255" s="99"/>
      <c r="C1255" s="263" t="s">
        <v>3230</v>
      </c>
      <c r="D1255" s="264" t="s">
        <v>79</v>
      </c>
      <c r="E1255" s="264" t="s">
        <v>80</v>
      </c>
      <c r="F1255" s="100" t="s">
        <v>3644</v>
      </c>
      <c r="G1255" s="100" t="s">
        <v>3646</v>
      </c>
      <c r="H1255" s="99" t="s">
        <v>120</v>
      </c>
      <c r="I1255" s="247">
        <v>28261</v>
      </c>
      <c r="J1255" s="101">
        <v>1</v>
      </c>
      <c r="K1255" s="101"/>
      <c r="L1255" s="101">
        <v>1</v>
      </c>
      <c r="M1255" s="101"/>
      <c r="N1255" s="101"/>
      <c r="O1255" s="101"/>
      <c r="P1255" s="101"/>
      <c r="Q1255" s="101"/>
      <c r="R1255" s="101"/>
      <c r="S1255" s="101"/>
      <c r="T1255" s="101"/>
      <c r="U1255" s="99" t="s">
        <v>3658</v>
      </c>
      <c r="V1255" s="99" t="s">
        <v>223</v>
      </c>
      <c r="W1255" s="99" t="s">
        <v>279</v>
      </c>
      <c r="X1255" s="99" t="s">
        <v>227</v>
      </c>
      <c r="Y1255" s="99">
        <v>9078954661</v>
      </c>
      <c r="Z1255" s="99"/>
      <c r="AA1255" s="100" t="s">
        <v>1961</v>
      </c>
      <c r="AB1255" s="100" t="s">
        <v>528</v>
      </c>
      <c r="AC1255" s="99">
        <v>1</v>
      </c>
      <c r="AD1255" s="101"/>
      <c r="AE1255" s="101"/>
      <c r="AF1255" s="101"/>
      <c r="AG1255" s="101"/>
      <c r="AH1255" s="99"/>
      <c r="AI1255" s="105"/>
    </row>
    <row r="1256" spans="1:35">
      <c r="A1256" s="98"/>
      <c r="B1256" s="99"/>
      <c r="C1256" s="99"/>
      <c r="D1256" s="99"/>
      <c r="E1256" s="99"/>
      <c r="F1256" s="100"/>
      <c r="G1256" s="100"/>
      <c r="H1256" s="99"/>
      <c r="I1256" s="247"/>
      <c r="J1256" s="101"/>
      <c r="K1256" s="101"/>
      <c r="L1256" s="101"/>
      <c r="M1256" s="101"/>
      <c r="N1256" s="101"/>
      <c r="O1256" s="101"/>
      <c r="P1256" s="101"/>
      <c r="Q1256" s="101"/>
      <c r="R1256" s="101"/>
      <c r="S1256" s="101"/>
      <c r="T1256" s="101"/>
      <c r="U1256" s="99"/>
      <c r="V1256" s="99"/>
      <c r="W1256" s="99"/>
      <c r="X1256" s="99"/>
      <c r="Y1256" s="99"/>
      <c r="Z1256" s="99"/>
      <c r="AA1256" s="100" t="s">
        <v>3198</v>
      </c>
      <c r="AB1256" s="99" t="s">
        <v>526</v>
      </c>
      <c r="AC1256" s="99">
        <v>4</v>
      </c>
      <c r="AD1256" s="101"/>
      <c r="AE1256" s="101"/>
      <c r="AF1256" s="101"/>
      <c r="AG1256" s="101"/>
      <c r="AH1256" s="99"/>
      <c r="AI1256" s="105"/>
    </row>
    <row r="1257" spans="1:35">
      <c r="A1257" s="98"/>
      <c r="B1257" s="99"/>
      <c r="C1257" s="99"/>
      <c r="D1257" s="99"/>
      <c r="E1257" s="99"/>
      <c r="F1257" s="100"/>
      <c r="G1257" s="100"/>
      <c r="H1257" s="99"/>
      <c r="I1257" s="247"/>
      <c r="J1257" s="101"/>
      <c r="K1257" s="101"/>
      <c r="L1257" s="101"/>
      <c r="M1257" s="101"/>
      <c r="N1257" s="101"/>
      <c r="O1257" s="101"/>
      <c r="P1257" s="101"/>
      <c r="Q1257" s="101"/>
      <c r="R1257" s="101"/>
      <c r="S1257" s="101"/>
      <c r="T1257" s="101"/>
      <c r="U1257" s="99"/>
      <c r="V1257" s="99"/>
      <c r="W1257" s="99"/>
      <c r="X1257" s="99"/>
      <c r="Y1257" s="99"/>
      <c r="Z1257" s="99"/>
      <c r="AA1257" s="100" t="s">
        <v>3661</v>
      </c>
      <c r="AB1257" s="100" t="s">
        <v>526</v>
      </c>
      <c r="AC1257" s="99">
        <v>166</v>
      </c>
      <c r="AD1257" s="101"/>
      <c r="AE1257" s="101"/>
      <c r="AF1257" s="101"/>
      <c r="AG1257" s="101"/>
      <c r="AH1257" s="99"/>
      <c r="AI1257" s="105"/>
    </row>
    <row r="1258" spans="1:35">
      <c r="A1258" s="98"/>
      <c r="B1258" s="99"/>
      <c r="C1258" s="263" t="s">
        <v>3230</v>
      </c>
      <c r="D1258" s="264" t="s">
        <v>79</v>
      </c>
      <c r="E1258" s="264" t="s">
        <v>80</v>
      </c>
      <c r="F1258" s="100" t="s">
        <v>3647</v>
      </c>
      <c r="G1258" s="100" t="s">
        <v>177</v>
      </c>
      <c r="H1258" s="99" t="s">
        <v>115</v>
      </c>
      <c r="I1258" s="247">
        <v>27270</v>
      </c>
      <c r="J1258" s="101">
        <v>1</v>
      </c>
      <c r="K1258" s="101"/>
      <c r="L1258" s="101">
        <v>1</v>
      </c>
      <c r="M1258" s="101"/>
      <c r="N1258" s="101"/>
      <c r="O1258" s="101"/>
      <c r="P1258" s="101"/>
      <c r="Q1258" s="101"/>
      <c r="R1258" s="101"/>
      <c r="S1258" s="101"/>
      <c r="T1258" s="101"/>
      <c r="U1258" s="99" t="s">
        <v>3658</v>
      </c>
      <c r="V1258" s="99" t="s">
        <v>223</v>
      </c>
      <c r="W1258" s="99" t="s">
        <v>279</v>
      </c>
      <c r="X1258" s="99" t="s">
        <v>227</v>
      </c>
      <c r="Y1258" s="99">
        <v>9125771349</v>
      </c>
      <c r="Z1258" s="99"/>
      <c r="AA1258" s="100" t="s">
        <v>1961</v>
      </c>
      <c r="AB1258" s="100" t="s">
        <v>528</v>
      </c>
      <c r="AC1258" s="99">
        <v>1</v>
      </c>
      <c r="AD1258" s="101"/>
      <c r="AE1258" s="101"/>
      <c r="AF1258" s="101"/>
      <c r="AG1258" s="101"/>
      <c r="AH1258" s="99"/>
      <c r="AI1258" s="105"/>
    </row>
    <row r="1259" spans="1:35">
      <c r="A1259" s="98"/>
      <c r="B1259" s="99"/>
      <c r="C1259" s="99"/>
      <c r="D1259" s="99"/>
      <c r="E1259" s="99"/>
      <c r="F1259" s="100"/>
      <c r="G1259" s="100"/>
      <c r="H1259" s="99"/>
      <c r="I1259" s="247"/>
      <c r="J1259" s="101"/>
      <c r="K1259" s="101"/>
      <c r="L1259" s="101"/>
      <c r="M1259" s="101"/>
      <c r="N1259" s="101"/>
      <c r="O1259" s="101"/>
      <c r="P1259" s="101"/>
      <c r="Q1259" s="101"/>
      <c r="R1259" s="101"/>
      <c r="S1259" s="101"/>
      <c r="T1259" s="101"/>
      <c r="U1259" s="99"/>
      <c r="V1259" s="99"/>
      <c r="W1259" s="99"/>
      <c r="X1259" s="99"/>
      <c r="Y1259" s="99"/>
      <c r="Z1259" s="99"/>
      <c r="AA1259" s="100" t="s">
        <v>3198</v>
      </c>
      <c r="AB1259" s="100" t="s">
        <v>526</v>
      </c>
      <c r="AC1259" s="99">
        <v>4</v>
      </c>
      <c r="AD1259" s="101"/>
      <c r="AE1259" s="101"/>
      <c r="AF1259" s="101"/>
      <c r="AG1259" s="101"/>
      <c r="AH1259" s="99"/>
      <c r="AI1259" s="105"/>
    </row>
    <row r="1260" spans="1:35">
      <c r="A1260" s="98"/>
      <c r="B1260" s="99"/>
      <c r="C1260" s="99"/>
      <c r="D1260" s="99"/>
      <c r="E1260" s="99"/>
      <c r="F1260" s="100"/>
      <c r="G1260" s="100"/>
      <c r="H1260" s="99"/>
      <c r="I1260" s="247"/>
      <c r="J1260" s="101"/>
      <c r="K1260" s="101"/>
      <c r="L1260" s="101"/>
      <c r="M1260" s="101"/>
      <c r="N1260" s="101"/>
      <c r="O1260" s="101"/>
      <c r="P1260" s="101"/>
      <c r="Q1260" s="101"/>
      <c r="R1260" s="101"/>
      <c r="S1260" s="101"/>
      <c r="T1260" s="101"/>
      <c r="U1260" s="99"/>
      <c r="V1260" s="99"/>
      <c r="W1260" s="99"/>
      <c r="X1260" s="99"/>
      <c r="Y1260" s="99"/>
      <c r="Z1260" s="99"/>
      <c r="AA1260" s="100" t="s">
        <v>3661</v>
      </c>
      <c r="AB1260" s="99" t="s">
        <v>526</v>
      </c>
      <c r="AC1260" s="99">
        <v>166</v>
      </c>
      <c r="AD1260" s="101"/>
      <c r="AE1260" s="101"/>
      <c r="AF1260" s="101"/>
      <c r="AG1260" s="101"/>
      <c r="AH1260" s="99"/>
      <c r="AI1260" s="105"/>
    </row>
    <row r="1261" spans="1:35">
      <c r="A1261" s="98"/>
      <c r="B1261" s="99"/>
      <c r="C1261" s="263" t="s">
        <v>3230</v>
      </c>
      <c r="D1261" s="264" t="s">
        <v>79</v>
      </c>
      <c r="E1261" s="264" t="s">
        <v>80</v>
      </c>
      <c r="F1261" s="100" t="s">
        <v>3648</v>
      </c>
      <c r="G1261" s="100" t="s">
        <v>1347</v>
      </c>
      <c r="H1261" s="99"/>
      <c r="I1261" s="247">
        <v>24498</v>
      </c>
      <c r="J1261" s="101">
        <v>1</v>
      </c>
      <c r="K1261" s="101"/>
      <c r="L1261" s="101">
        <v>1</v>
      </c>
      <c r="M1261" s="101"/>
      <c r="N1261" s="101"/>
      <c r="O1261" s="101"/>
      <c r="P1261" s="101"/>
      <c r="Q1261" s="101"/>
      <c r="R1261" s="101"/>
      <c r="S1261" s="101"/>
      <c r="T1261" s="101"/>
      <c r="U1261" s="99" t="s">
        <v>3658</v>
      </c>
      <c r="V1261" s="99" t="s">
        <v>223</v>
      </c>
      <c r="W1261" s="99" t="s">
        <v>279</v>
      </c>
      <c r="X1261" s="99" t="s">
        <v>227</v>
      </c>
      <c r="Y1261" s="99">
        <v>9059527199</v>
      </c>
      <c r="Z1261" s="99"/>
      <c r="AA1261" s="100" t="s">
        <v>1961</v>
      </c>
      <c r="AB1261" s="100" t="s">
        <v>528</v>
      </c>
      <c r="AC1261" s="99">
        <v>1</v>
      </c>
      <c r="AD1261" s="101"/>
      <c r="AE1261" s="101"/>
      <c r="AF1261" s="101"/>
      <c r="AG1261" s="101"/>
      <c r="AH1261" s="99"/>
      <c r="AI1261" s="105"/>
    </row>
    <row r="1262" spans="1:35">
      <c r="A1262" s="98"/>
      <c r="B1262" s="99"/>
      <c r="C1262" s="99"/>
      <c r="D1262" s="99"/>
      <c r="E1262" s="99"/>
      <c r="F1262" s="100"/>
      <c r="G1262" s="100"/>
      <c r="H1262" s="99"/>
      <c r="I1262" s="247"/>
      <c r="J1262" s="101"/>
      <c r="K1262" s="101"/>
      <c r="L1262" s="101"/>
      <c r="M1262" s="101"/>
      <c r="N1262" s="101"/>
      <c r="O1262" s="101"/>
      <c r="P1262" s="101"/>
      <c r="Q1262" s="101"/>
      <c r="R1262" s="101"/>
      <c r="S1262" s="101"/>
      <c r="T1262" s="101"/>
      <c r="U1262" s="99"/>
      <c r="V1262" s="99"/>
      <c r="W1262" s="99"/>
      <c r="X1262" s="99"/>
      <c r="Y1262" s="99"/>
      <c r="Z1262" s="99"/>
      <c r="AA1262" s="100" t="s">
        <v>3198</v>
      </c>
      <c r="AB1262" s="99" t="s">
        <v>526</v>
      </c>
      <c r="AC1262" s="99">
        <v>4</v>
      </c>
      <c r="AD1262" s="101"/>
      <c r="AE1262" s="101"/>
      <c r="AF1262" s="101"/>
      <c r="AG1262" s="101"/>
      <c r="AH1262" s="99"/>
      <c r="AI1262" s="105"/>
    </row>
    <row r="1263" spans="1:35">
      <c r="A1263" s="98"/>
      <c r="B1263" s="99"/>
      <c r="C1263" s="99"/>
      <c r="D1263" s="99"/>
      <c r="E1263" s="99"/>
      <c r="F1263" s="100"/>
      <c r="G1263" s="100"/>
      <c r="H1263" s="99"/>
      <c r="I1263" s="247"/>
      <c r="J1263" s="101"/>
      <c r="K1263" s="101"/>
      <c r="L1263" s="101"/>
      <c r="M1263" s="101"/>
      <c r="N1263" s="101"/>
      <c r="O1263" s="101"/>
      <c r="P1263" s="101"/>
      <c r="Q1263" s="101"/>
      <c r="R1263" s="101"/>
      <c r="S1263" s="101"/>
      <c r="T1263" s="101"/>
      <c r="U1263" s="99"/>
      <c r="V1263" s="99"/>
      <c r="W1263" s="99"/>
      <c r="X1263" s="99"/>
      <c r="Y1263" s="99"/>
      <c r="Z1263" s="99"/>
      <c r="AA1263" s="100" t="s">
        <v>3661</v>
      </c>
      <c r="AB1263" s="100" t="s">
        <v>526</v>
      </c>
      <c r="AC1263" s="99">
        <v>166</v>
      </c>
      <c r="AD1263" s="101"/>
      <c r="AE1263" s="101"/>
      <c r="AF1263" s="101"/>
      <c r="AG1263" s="101"/>
      <c r="AH1263" s="99"/>
      <c r="AI1263" s="105"/>
    </row>
    <row r="1264" spans="1:35">
      <c r="A1264" s="98"/>
      <c r="B1264" s="99"/>
      <c r="C1264" s="263" t="s">
        <v>3230</v>
      </c>
      <c r="D1264" s="264" t="s">
        <v>79</v>
      </c>
      <c r="E1264" s="264" t="s">
        <v>80</v>
      </c>
      <c r="F1264" s="100" t="s">
        <v>3644</v>
      </c>
      <c r="G1264" s="100" t="s">
        <v>3649</v>
      </c>
      <c r="H1264" s="99" t="s">
        <v>113</v>
      </c>
      <c r="I1264" s="247">
        <v>24669</v>
      </c>
      <c r="J1264" s="101">
        <v>1</v>
      </c>
      <c r="K1264" s="101"/>
      <c r="L1264" s="101">
        <v>1</v>
      </c>
      <c r="M1264" s="101"/>
      <c r="N1264" s="101"/>
      <c r="O1264" s="101"/>
      <c r="P1264" s="101"/>
      <c r="Q1264" s="101"/>
      <c r="R1264" s="101"/>
      <c r="S1264" s="101"/>
      <c r="T1264" s="101"/>
      <c r="U1264" s="99" t="s">
        <v>3658</v>
      </c>
      <c r="V1264" s="99" t="s">
        <v>223</v>
      </c>
      <c r="W1264" s="99" t="s">
        <v>279</v>
      </c>
      <c r="X1264" s="99" t="s">
        <v>227</v>
      </c>
      <c r="Y1264" s="99">
        <v>981555627</v>
      </c>
      <c r="Z1264" s="99"/>
      <c r="AA1264" s="100" t="s">
        <v>1961</v>
      </c>
      <c r="AB1264" s="100" t="s">
        <v>528</v>
      </c>
      <c r="AC1264" s="99">
        <v>1</v>
      </c>
      <c r="AD1264" s="101"/>
      <c r="AE1264" s="101"/>
      <c r="AF1264" s="101"/>
      <c r="AG1264" s="101"/>
      <c r="AH1264" s="99"/>
      <c r="AI1264" s="105"/>
    </row>
    <row r="1265" spans="1:35">
      <c r="A1265" s="98"/>
      <c r="B1265" s="99"/>
      <c r="C1265" s="99"/>
      <c r="D1265" s="99"/>
      <c r="E1265" s="99"/>
      <c r="F1265" s="100"/>
      <c r="G1265" s="100"/>
      <c r="H1265" s="99"/>
      <c r="I1265" s="247"/>
      <c r="J1265" s="101"/>
      <c r="K1265" s="101"/>
      <c r="L1265" s="101"/>
      <c r="M1265" s="101"/>
      <c r="N1265" s="101"/>
      <c r="O1265" s="101"/>
      <c r="P1265" s="101"/>
      <c r="Q1265" s="101"/>
      <c r="R1265" s="101"/>
      <c r="S1265" s="101"/>
      <c r="T1265" s="101"/>
      <c r="U1265" s="99"/>
      <c r="V1265" s="99"/>
      <c r="W1265" s="99"/>
      <c r="X1265" s="99"/>
      <c r="Y1265" s="99"/>
      <c r="Z1265" s="99"/>
      <c r="AA1265" s="100" t="s">
        <v>3198</v>
      </c>
      <c r="AB1265" s="100" t="s">
        <v>526</v>
      </c>
      <c r="AC1265" s="99">
        <v>4</v>
      </c>
      <c r="AD1265" s="101"/>
      <c r="AE1265" s="101"/>
      <c r="AF1265" s="101"/>
      <c r="AG1265" s="101"/>
      <c r="AH1265" s="99"/>
      <c r="AI1265" s="105"/>
    </row>
    <row r="1266" spans="1:35">
      <c r="A1266" s="98"/>
      <c r="B1266" s="99"/>
      <c r="C1266" s="99"/>
      <c r="D1266" s="99"/>
      <c r="E1266" s="99"/>
      <c r="F1266" s="100"/>
      <c r="G1266" s="100"/>
      <c r="H1266" s="99"/>
      <c r="I1266" s="247"/>
      <c r="J1266" s="101"/>
      <c r="K1266" s="101"/>
      <c r="L1266" s="101"/>
      <c r="M1266" s="101"/>
      <c r="N1266" s="101"/>
      <c r="O1266" s="101"/>
      <c r="P1266" s="101"/>
      <c r="Q1266" s="101"/>
      <c r="R1266" s="101"/>
      <c r="S1266" s="101"/>
      <c r="T1266" s="101"/>
      <c r="U1266" s="99"/>
      <c r="V1266" s="99"/>
      <c r="W1266" s="99"/>
      <c r="X1266" s="99"/>
      <c r="Y1266" s="99"/>
      <c r="Z1266" s="99"/>
      <c r="AA1266" s="100" t="s">
        <v>3661</v>
      </c>
      <c r="AB1266" s="99" t="s">
        <v>526</v>
      </c>
      <c r="AC1266" s="99">
        <v>166</v>
      </c>
      <c r="AD1266" s="101"/>
      <c r="AE1266" s="101"/>
      <c r="AF1266" s="101"/>
      <c r="AG1266" s="101"/>
      <c r="AH1266" s="99"/>
      <c r="AI1266" s="105"/>
    </row>
    <row r="1267" spans="1:35">
      <c r="A1267" s="98"/>
      <c r="B1267" s="99"/>
      <c r="C1267" s="263" t="s">
        <v>3230</v>
      </c>
      <c r="D1267" s="264" t="s">
        <v>79</v>
      </c>
      <c r="E1267" s="264" t="s">
        <v>80</v>
      </c>
      <c r="F1267" s="100" t="s">
        <v>3650</v>
      </c>
      <c r="G1267" s="100" t="s">
        <v>3651</v>
      </c>
      <c r="H1267" s="99" t="s">
        <v>115</v>
      </c>
      <c r="I1267" s="247"/>
      <c r="J1267" s="101">
        <v>1</v>
      </c>
      <c r="K1267" s="101"/>
      <c r="L1267" s="101">
        <v>1</v>
      </c>
      <c r="M1267" s="101"/>
      <c r="N1267" s="101"/>
      <c r="O1267" s="101"/>
      <c r="P1267" s="101"/>
      <c r="Q1267" s="101"/>
      <c r="R1267" s="101"/>
      <c r="S1267" s="101"/>
      <c r="T1267" s="101"/>
      <c r="U1267" s="99" t="s">
        <v>3658</v>
      </c>
      <c r="V1267" s="99" t="s">
        <v>223</v>
      </c>
      <c r="W1267" s="99" t="s">
        <v>279</v>
      </c>
      <c r="X1267" s="99" t="s">
        <v>227</v>
      </c>
      <c r="Y1267" s="99"/>
      <c r="Z1267" s="99"/>
      <c r="AA1267" s="100" t="s">
        <v>1961</v>
      </c>
      <c r="AB1267" s="100" t="s">
        <v>528</v>
      </c>
      <c r="AC1267" s="99">
        <v>1</v>
      </c>
      <c r="AD1267" s="101"/>
      <c r="AE1267" s="101"/>
      <c r="AF1267" s="101"/>
      <c r="AG1267" s="101"/>
      <c r="AH1267" s="99"/>
      <c r="AI1267" s="105"/>
    </row>
    <row r="1268" spans="1:35">
      <c r="A1268" s="98"/>
      <c r="B1268" s="99"/>
      <c r="C1268" s="99"/>
      <c r="D1268" s="99"/>
      <c r="E1268" s="99"/>
      <c r="F1268" s="100"/>
      <c r="G1268" s="100"/>
      <c r="H1268" s="99"/>
      <c r="I1268" s="247"/>
      <c r="J1268" s="101"/>
      <c r="K1268" s="101"/>
      <c r="L1268" s="101"/>
      <c r="M1268" s="101"/>
      <c r="N1268" s="101"/>
      <c r="O1268" s="101"/>
      <c r="P1268" s="101"/>
      <c r="Q1268" s="101"/>
      <c r="R1268" s="101"/>
      <c r="S1268" s="101"/>
      <c r="T1268" s="101"/>
      <c r="U1268" s="99"/>
      <c r="V1268" s="99"/>
      <c r="W1268" s="99"/>
      <c r="X1268" s="99"/>
      <c r="Y1268" s="99"/>
      <c r="Z1268" s="99"/>
      <c r="AA1268" s="100" t="s">
        <v>3198</v>
      </c>
      <c r="AB1268" s="99" t="s">
        <v>526</v>
      </c>
      <c r="AC1268" s="99">
        <v>4</v>
      </c>
      <c r="AD1268" s="101"/>
      <c r="AE1268" s="101"/>
      <c r="AF1268" s="101"/>
      <c r="AG1268" s="101"/>
      <c r="AH1268" s="99"/>
      <c r="AI1268" s="105"/>
    </row>
    <row r="1269" spans="1:35">
      <c r="A1269" s="98"/>
      <c r="B1269" s="99"/>
      <c r="C1269" s="99"/>
      <c r="D1269" s="99"/>
      <c r="E1269" s="99"/>
      <c r="F1269" s="100"/>
      <c r="G1269" s="100"/>
      <c r="H1269" s="99"/>
      <c r="I1269" s="247"/>
      <c r="J1269" s="101"/>
      <c r="K1269" s="101"/>
      <c r="L1269" s="101"/>
      <c r="M1269" s="101"/>
      <c r="N1269" s="101"/>
      <c r="O1269" s="101"/>
      <c r="P1269" s="101"/>
      <c r="Q1269" s="101"/>
      <c r="R1269" s="101"/>
      <c r="S1269" s="101"/>
      <c r="T1269" s="101"/>
      <c r="U1269" s="99"/>
      <c r="V1269" s="99"/>
      <c r="W1269" s="99"/>
      <c r="X1269" s="99"/>
      <c r="Y1269" s="99"/>
      <c r="Z1269" s="99"/>
      <c r="AA1269" s="100" t="s">
        <v>3661</v>
      </c>
      <c r="AB1269" s="100" t="s">
        <v>526</v>
      </c>
      <c r="AC1269" s="99">
        <v>166</v>
      </c>
      <c r="AD1269" s="101"/>
      <c r="AE1269" s="101"/>
      <c r="AF1269" s="101"/>
      <c r="AG1269" s="101"/>
      <c r="AH1269" s="99"/>
      <c r="AI1269" s="105"/>
    </row>
    <row r="1270" spans="1:35">
      <c r="A1270" s="98"/>
      <c r="B1270" s="99"/>
      <c r="C1270" s="263" t="s">
        <v>3230</v>
      </c>
      <c r="D1270" s="264" t="s">
        <v>79</v>
      </c>
      <c r="E1270" s="264" t="s">
        <v>80</v>
      </c>
      <c r="F1270" s="100" t="s">
        <v>3652</v>
      </c>
      <c r="G1270" s="100" t="s">
        <v>3653</v>
      </c>
      <c r="H1270" s="99"/>
      <c r="I1270" s="247"/>
      <c r="J1270" s="101">
        <v>1</v>
      </c>
      <c r="K1270" s="101"/>
      <c r="L1270" s="101">
        <v>1</v>
      </c>
      <c r="M1270" s="101"/>
      <c r="N1270" s="101"/>
      <c r="O1270" s="101"/>
      <c r="P1270" s="101"/>
      <c r="Q1270" s="101"/>
      <c r="R1270" s="101"/>
      <c r="S1270" s="101"/>
      <c r="T1270" s="101"/>
      <c r="U1270" s="99" t="s">
        <v>3658</v>
      </c>
      <c r="V1270" s="99" t="s">
        <v>223</v>
      </c>
      <c r="W1270" s="99" t="s">
        <v>279</v>
      </c>
      <c r="X1270" s="99" t="s">
        <v>227</v>
      </c>
      <c r="Y1270" s="99"/>
      <c r="Z1270" s="99"/>
      <c r="AA1270" s="100" t="s">
        <v>1961</v>
      </c>
      <c r="AB1270" s="100" t="s">
        <v>528</v>
      </c>
      <c r="AC1270" s="99">
        <v>1</v>
      </c>
      <c r="AD1270" s="101"/>
      <c r="AE1270" s="101"/>
      <c r="AF1270" s="101"/>
      <c r="AG1270" s="101"/>
      <c r="AH1270" s="99"/>
      <c r="AI1270" s="105"/>
    </row>
    <row r="1271" spans="1:35">
      <c r="A1271" s="98"/>
      <c r="B1271" s="99"/>
      <c r="C1271" s="99"/>
      <c r="D1271" s="99"/>
      <c r="E1271" s="99"/>
      <c r="F1271" s="100"/>
      <c r="G1271" s="100"/>
      <c r="H1271" s="99"/>
      <c r="I1271" s="247"/>
      <c r="J1271" s="101"/>
      <c r="K1271" s="101"/>
      <c r="L1271" s="101"/>
      <c r="M1271" s="101"/>
      <c r="N1271" s="101"/>
      <c r="O1271" s="101"/>
      <c r="P1271" s="101"/>
      <c r="Q1271" s="101"/>
      <c r="R1271" s="101"/>
      <c r="S1271" s="101"/>
      <c r="T1271" s="101"/>
      <c r="U1271" s="99"/>
      <c r="V1271" s="99"/>
      <c r="W1271" s="99"/>
      <c r="X1271" s="99"/>
      <c r="Y1271" s="99"/>
      <c r="Z1271" s="99"/>
      <c r="AA1271" s="100" t="s">
        <v>3198</v>
      </c>
      <c r="AB1271" s="100" t="s">
        <v>526</v>
      </c>
      <c r="AC1271" s="99">
        <v>4</v>
      </c>
      <c r="AD1271" s="101"/>
      <c r="AE1271" s="101"/>
      <c r="AF1271" s="101"/>
      <c r="AG1271" s="101"/>
      <c r="AH1271" s="99"/>
      <c r="AI1271" s="105"/>
    </row>
    <row r="1272" spans="1:35">
      <c r="A1272" s="98"/>
      <c r="B1272" s="99"/>
      <c r="C1272" s="99"/>
      <c r="D1272" s="99"/>
      <c r="E1272" s="99"/>
      <c r="F1272" s="100"/>
      <c r="G1272" s="100"/>
      <c r="H1272" s="99"/>
      <c r="I1272" s="247"/>
      <c r="J1272" s="101"/>
      <c r="K1272" s="101"/>
      <c r="L1272" s="101"/>
      <c r="M1272" s="101"/>
      <c r="N1272" s="101"/>
      <c r="O1272" s="101"/>
      <c r="P1272" s="101"/>
      <c r="Q1272" s="101"/>
      <c r="R1272" s="101"/>
      <c r="S1272" s="101"/>
      <c r="T1272" s="101"/>
      <c r="U1272" s="99"/>
      <c r="V1272" s="99"/>
      <c r="W1272" s="99"/>
      <c r="X1272" s="99"/>
      <c r="Y1272" s="99"/>
      <c r="Z1272" s="99"/>
      <c r="AA1272" s="100" t="s">
        <v>3661</v>
      </c>
      <c r="AB1272" s="99" t="s">
        <v>526</v>
      </c>
      <c r="AC1272" s="99">
        <v>166</v>
      </c>
      <c r="AD1272" s="101"/>
      <c r="AE1272" s="101"/>
      <c r="AF1272" s="101"/>
      <c r="AG1272" s="101"/>
      <c r="AH1272" s="99"/>
      <c r="AI1272" s="105"/>
    </row>
    <row r="1273" spans="1:35">
      <c r="A1273" s="98"/>
      <c r="B1273" s="99"/>
      <c r="C1273" s="263" t="s">
        <v>3230</v>
      </c>
      <c r="D1273" s="264" t="s">
        <v>79</v>
      </c>
      <c r="E1273" s="264" t="s">
        <v>80</v>
      </c>
      <c r="F1273" s="100" t="s">
        <v>3652</v>
      </c>
      <c r="G1273" s="100" t="s">
        <v>198</v>
      </c>
      <c r="H1273" s="99"/>
      <c r="I1273" s="247"/>
      <c r="J1273" s="101">
        <v>1</v>
      </c>
      <c r="K1273" s="101"/>
      <c r="L1273" s="101">
        <v>1</v>
      </c>
      <c r="M1273" s="101"/>
      <c r="N1273" s="101"/>
      <c r="O1273" s="101"/>
      <c r="P1273" s="101"/>
      <c r="Q1273" s="101"/>
      <c r="R1273" s="101"/>
      <c r="S1273" s="101"/>
      <c r="T1273" s="101"/>
      <c r="U1273" s="99" t="s">
        <v>3658</v>
      </c>
      <c r="V1273" s="99" t="s">
        <v>223</v>
      </c>
      <c r="W1273" s="99" t="s">
        <v>279</v>
      </c>
      <c r="X1273" s="99" t="s">
        <v>227</v>
      </c>
      <c r="Y1273" s="99"/>
      <c r="Z1273" s="99"/>
      <c r="AA1273" s="100" t="s">
        <v>1961</v>
      </c>
      <c r="AB1273" s="100" t="s">
        <v>528</v>
      </c>
      <c r="AC1273" s="99">
        <v>1</v>
      </c>
      <c r="AD1273" s="101"/>
      <c r="AE1273" s="101"/>
      <c r="AF1273" s="101"/>
      <c r="AG1273" s="101"/>
      <c r="AH1273" s="99"/>
      <c r="AI1273" s="105"/>
    </row>
    <row r="1274" spans="1:35">
      <c r="A1274" s="98"/>
      <c r="B1274" s="99"/>
      <c r="C1274" s="99"/>
      <c r="D1274" s="99"/>
      <c r="E1274" s="99"/>
      <c r="F1274" s="100"/>
      <c r="G1274" s="100"/>
      <c r="H1274" s="99"/>
      <c r="I1274" s="247"/>
      <c r="J1274" s="101"/>
      <c r="K1274" s="101"/>
      <c r="L1274" s="101"/>
      <c r="M1274" s="101"/>
      <c r="N1274" s="101"/>
      <c r="O1274" s="101"/>
      <c r="P1274" s="101"/>
      <c r="Q1274" s="101"/>
      <c r="R1274" s="101"/>
      <c r="S1274" s="101"/>
      <c r="T1274" s="101"/>
      <c r="U1274" s="99"/>
      <c r="V1274" s="99"/>
      <c r="W1274" s="99"/>
      <c r="X1274" s="99"/>
      <c r="Y1274" s="99"/>
      <c r="Z1274" s="99"/>
      <c r="AA1274" s="100" t="s">
        <v>3198</v>
      </c>
      <c r="AB1274" s="99" t="s">
        <v>526</v>
      </c>
      <c r="AC1274" s="99">
        <v>4</v>
      </c>
      <c r="AD1274" s="101"/>
      <c r="AE1274" s="101"/>
      <c r="AF1274" s="101"/>
      <c r="AG1274" s="101"/>
      <c r="AH1274" s="99"/>
      <c r="AI1274" s="105"/>
    </row>
    <row r="1275" spans="1:35">
      <c r="A1275" s="98"/>
      <c r="B1275" s="99"/>
      <c r="C1275" s="99"/>
      <c r="D1275" s="99"/>
      <c r="E1275" s="99"/>
      <c r="F1275" s="100"/>
      <c r="G1275" s="100"/>
      <c r="H1275" s="99"/>
      <c r="I1275" s="247"/>
      <c r="J1275" s="101"/>
      <c r="K1275" s="101"/>
      <c r="L1275" s="101"/>
      <c r="M1275" s="101"/>
      <c r="N1275" s="101"/>
      <c r="O1275" s="101"/>
      <c r="P1275" s="101"/>
      <c r="Q1275" s="101"/>
      <c r="R1275" s="101"/>
      <c r="S1275" s="101"/>
      <c r="T1275" s="101"/>
      <c r="U1275" s="99"/>
      <c r="V1275" s="99"/>
      <c r="W1275" s="99"/>
      <c r="X1275" s="99"/>
      <c r="Y1275" s="99"/>
      <c r="Z1275" s="99"/>
      <c r="AA1275" s="100" t="s">
        <v>3661</v>
      </c>
      <c r="AB1275" s="100" t="s">
        <v>526</v>
      </c>
      <c r="AC1275" s="99">
        <v>166</v>
      </c>
      <c r="AD1275" s="101"/>
      <c r="AE1275" s="101"/>
      <c r="AF1275" s="101"/>
      <c r="AG1275" s="101"/>
      <c r="AH1275" s="99"/>
      <c r="AI1275" s="105"/>
    </row>
    <row r="1276" spans="1:35">
      <c r="A1276" s="98"/>
      <c r="B1276" s="99"/>
      <c r="C1276" s="263" t="s">
        <v>3230</v>
      </c>
      <c r="D1276" s="264" t="s">
        <v>79</v>
      </c>
      <c r="E1276" s="264" t="s">
        <v>80</v>
      </c>
      <c r="F1276" s="100" t="s">
        <v>3644</v>
      </c>
      <c r="G1276" s="100" t="s">
        <v>3654</v>
      </c>
      <c r="H1276" s="99"/>
      <c r="I1276" s="247">
        <v>35175</v>
      </c>
      <c r="J1276" s="101">
        <v>1</v>
      </c>
      <c r="K1276" s="101"/>
      <c r="L1276" s="101">
        <v>1</v>
      </c>
      <c r="M1276" s="101"/>
      <c r="N1276" s="101"/>
      <c r="O1276" s="101"/>
      <c r="P1276" s="101"/>
      <c r="Q1276" s="101"/>
      <c r="R1276" s="101"/>
      <c r="S1276" s="101"/>
      <c r="T1276" s="101"/>
      <c r="U1276" s="99" t="s">
        <v>3658</v>
      </c>
      <c r="V1276" s="99" t="s">
        <v>223</v>
      </c>
      <c r="W1276" s="99" t="s">
        <v>279</v>
      </c>
      <c r="X1276" s="99" t="s">
        <v>227</v>
      </c>
      <c r="Y1276" s="99">
        <v>9661964637</v>
      </c>
      <c r="Z1276" s="99"/>
      <c r="AA1276" s="100" t="s">
        <v>3198</v>
      </c>
      <c r="AB1276" s="99" t="s">
        <v>526</v>
      </c>
      <c r="AC1276" s="99">
        <v>3</v>
      </c>
      <c r="AD1276" s="101"/>
      <c r="AE1276" s="101"/>
      <c r="AF1276" s="101"/>
      <c r="AG1276" s="101"/>
      <c r="AH1276" s="99"/>
      <c r="AI1276" s="105"/>
    </row>
    <row r="1277" spans="1:35">
      <c r="A1277" s="98"/>
      <c r="B1277" s="99"/>
      <c r="C1277" s="99"/>
      <c r="D1277" s="99"/>
      <c r="E1277" s="99"/>
      <c r="F1277" s="100"/>
      <c r="G1277" s="100"/>
      <c r="H1277" s="99"/>
      <c r="I1277" s="247"/>
      <c r="J1277" s="101"/>
      <c r="K1277" s="101"/>
      <c r="L1277" s="101"/>
      <c r="M1277" s="101"/>
      <c r="N1277" s="101"/>
      <c r="O1277" s="101"/>
      <c r="P1277" s="101"/>
      <c r="Q1277" s="101"/>
      <c r="R1277" s="101"/>
      <c r="S1277" s="101"/>
      <c r="T1277" s="101"/>
      <c r="U1277" s="99"/>
      <c r="V1277" s="99"/>
      <c r="W1277" s="99"/>
      <c r="X1277" s="99"/>
      <c r="Y1277" s="99"/>
      <c r="Z1277" s="99"/>
      <c r="AA1277" s="100" t="s">
        <v>3661</v>
      </c>
      <c r="AB1277" s="100" t="s">
        <v>526</v>
      </c>
      <c r="AC1277" s="99">
        <v>166</v>
      </c>
      <c r="AD1277" s="101"/>
      <c r="AE1277" s="101"/>
      <c r="AF1277" s="101"/>
      <c r="AG1277" s="101"/>
      <c r="AH1277" s="99"/>
      <c r="AI1277" s="105"/>
    </row>
    <row r="1278" spans="1:35">
      <c r="A1278" s="98"/>
      <c r="B1278" s="99"/>
      <c r="C1278" s="263" t="s">
        <v>3230</v>
      </c>
      <c r="D1278" s="264" t="s">
        <v>79</v>
      </c>
      <c r="E1278" s="264" t="s">
        <v>80</v>
      </c>
      <c r="F1278" s="100" t="s">
        <v>3218</v>
      </c>
      <c r="G1278" s="100" t="s">
        <v>3655</v>
      </c>
      <c r="H1278" s="99"/>
      <c r="I1278" s="247">
        <v>33823</v>
      </c>
      <c r="J1278" s="101">
        <v>1</v>
      </c>
      <c r="K1278" s="101"/>
      <c r="L1278" s="101">
        <v>1</v>
      </c>
      <c r="M1278" s="101"/>
      <c r="N1278" s="101"/>
      <c r="O1278" s="101"/>
      <c r="P1278" s="101"/>
      <c r="Q1278" s="101"/>
      <c r="R1278" s="101"/>
      <c r="S1278" s="101"/>
      <c r="T1278" s="101"/>
      <c r="U1278" s="99" t="s">
        <v>3658</v>
      </c>
      <c r="V1278" s="99" t="s">
        <v>223</v>
      </c>
      <c r="W1278" s="99" t="s">
        <v>279</v>
      </c>
      <c r="X1278" s="99" t="s">
        <v>227</v>
      </c>
      <c r="Y1278" s="99">
        <v>9262303427</v>
      </c>
      <c r="Z1278" s="99"/>
      <c r="AA1278" s="100" t="s">
        <v>3198</v>
      </c>
      <c r="AB1278" s="99" t="s">
        <v>526</v>
      </c>
      <c r="AC1278" s="99">
        <v>3</v>
      </c>
      <c r="AD1278" s="101"/>
      <c r="AE1278" s="101"/>
      <c r="AF1278" s="101"/>
      <c r="AG1278" s="101"/>
      <c r="AH1278" s="99"/>
      <c r="AI1278" s="105"/>
    </row>
    <row r="1279" spans="1:35">
      <c r="A1279" s="98"/>
      <c r="B1279" s="99"/>
      <c r="C1279" s="99"/>
      <c r="D1279" s="99"/>
      <c r="E1279" s="99"/>
      <c r="F1279" s="100"/>
      <c r="G1279" s="100"/>
      <c r="H1279" s="99"/>
      <c r="I1279" s="247"/>
      <c r="J1279" s="101"/>
      <c r="K1279" s="101"/>
      <c r="L1279" s="101"/>
      <c r="M1279" s="101"/>
      <c r="N1279" s="101"/>
      <c r="O1279" s="101"/>
      <c r="P1279" s="101"/>
      <c r="Q1279" s="101"/>
      <c r="R1279" s="101"/>
      <c r="S1279" s="101"/>
      <c r="T1279" s="101"/>
      <c r="U1279" s="99"/>
      <c r="V1279" s="99"/>
      <c r="W1279" s="99"/>
      <c r="X1279" s="99"/>
      <c r="Y1279" s="99"/>
      <c r="Z1279" s="99"/>
      <c r="AA1279" s="100" t="s">
        <v>3661</v>
      </c>
      <c r="AB1279" s="100" t="s">
        <v>526</v>
      </c>
      <c r="AC1279" s="99">
        <v>166</v>
      </c>
      <c r="AD1279" s="101"/>
      <c r="AE1279" s="101"/>
      <c r="AF1279" s="101"/>
      <c r="AG1279" s="101"/>
      <c r="AH1279" s="99"/>
      <c r="AI1279" s="105"/>
    </row>
    <row r="1280" spans="1:35">
      <c r="A1280" s="98"/>
      <c r="B1280" s="99"/>
      <c r="C1280" s="263" t="s">
        <v>3230</v>
      </c>
      <c r="D1280" s="264" t="s">
        <v>79</v>
      </c>
      <c r="E1280" s="264" t="s">
        <v>80</v>
      </c>
      <c r="F1280" s="100" t="s">
        <v>1303</v>
      </c>
      <c r="G1280" s="100" t="s">
        <v>704</v>
      </c>
      <c r="H1280" s="99" t="s">
        <v>286</v>
      </c>
      <c r="I1280" s="247">
        <v>29552</v>
      </c>
      <c r="J1280" s="101">
        <v>1</v>
      </c>
      <c r="K1280" s="101"/>
      <c r="L1280" s="101">
        <v>1</v>
      </c>
      <c r="M1280" s="101"/>
      <c r="N1280" s="101"/>
      <c r="O1280" s="101"/>
      <c r="P1280" s="101"/>
      <c r="Q1280" s="101"/>
      <c r="R1280" s="101"/>
      <c r="S1280" s="101"/>
      <c r="T1280" s="101"/>
      <c r="U1280" s="99" t="s">
        <v>3658</v>
      </c>
      <c r="V1280" s="99" t="s">
        <v>223</v>
      </c>
      <c r="W1280" s="99" t="s">
        <v>279</v>
      </c>
      <c r="X1280" s="99" t="s">
        <v>227</v>
      </c>
      <c r="Y1280" s="99">
        <v>9466655700</v>
      </c>
      <c r="Z1280" s="99"/>
      <c r="AA1280" s="100" t="s">
        <v>3198</v>
      </c>
      <c r="AB1280" s="99" t="s">
        <v>526</v>
      </c>
      <c r="AC1280" s="99">
        <v>3</v>
      </c>
      <c r="AD1280" s="101"/>
      <c r="AE1280" s="101"/>
      <c r="AF1280" s="101"/>
      <c r="AG1280" s="101"/>
      <c r="AH1280" s="99"/>
      <c r="AI1280" s="105"/>
    </row>
    <row r="1281" spans="1:35">
      <c r="A1281" s="98"/>
      <c r="B1281" s="99"/>
      <c r="C1281" s="99"/>
      <c r="D1281" s="99"/>
      <c r="E1281" s="99"/>
      <c r="F1281" s="100"/>
      <c r="G1281" s="100"/>
      <c r="H1281" s="99"/>
      <c r="I1281" s="247"/>
      <c r="J1281" s="101"/>
      <c r="K1281" s="101"/>
      <c r="L1281" s="101"/>
      <c r="M1281" s="101"/>
      <c r="N1281" s="101"/>
      <c r="O1281" s="101"/>
      <c r="P1281" s="101"/>
      <c r="Q1281" s="101"/>
      <c r="R1281" s="101"/>
      <c r="S1281" s="101"/>
      <c r="T1281" s="101"/>
      <c r="U1281" s="99"/>
      <c r="V1281" s="99"/>
      <c r="W1281" s="99"/>
      <c r="X1281" s="99"/>
      <c r="Y1281" s="99"/>
      <c r="Z1281" s="99"/>
      <c r="AA1281" s="100" t="s">
        <v>3661</v>
      </c>
      <c r="AB1281" s="100" t="s">
        <v>526</v>
      </c>
      <c r="AC1281" s="99">
        <v>166</v>
      </c>
      <c r="AD1281" s="101"/>
      <c r="AE1281" s="101"/>
      <c r="AF1281" s="101"/>
      <c r="AG1281" s="101"/>
      <c r="AH1281" s="99"/>
      <c r="AI1281" s="105"/>
    </row>
    <row r="1282" spans="1:35">
      <c r="A1282" s="98"/>
      <c r="B1282" s="99"/>
      <c r="C1282" s="263" t="s">
        <v>3230</v>
      </c>
      <c r="D1282" s="264" t="s">
        <v>79</v>
      </c>
      <c r="E1282" s="264" t="s">
        <v>80</v>
      </c>
      <c r="F1282" s="100" t="s">
        <v>3660</v>
      </c>
      <c r="G1282" s="100" t="s">
        <v>3659</v>
      </c>
      <c r="H1282" s="99" t="s">
        <v>120</v>
      </c>
      <c r="I1282" s="247"/>
      <c r="J1282" s="101">
        <v>1</v>
      </c>
      <c r="K1282" s="101"/>
      <c r="L1282" s="101">
        <v>1</v>
      </c>
      <c r="M1282" s="101"/>
      <c r="N1282" s="101"/>
      <c r="O1282" s="101"/>
      <c r="P1282" s="101"/>
      <c r="Q1282" s="101"/>
      <c r="R1282" s="101"/>
      <c r="S1282" s="101"/>
      <c r="T1282" s="101"/>
      <c r="U1282" s="99" t="s">
        <v>3658</v>
      </c>
      <c r="V1282" s="99" t="s">
        <v>223</v>
      </c>
      <c r="W1282" s="99" t="s">
        <v>279</v>
      </c>
      <c r="X1282" s="99" t="s">
        <v>227</v>
      </c>
      <c r="Y1282" s="99">
        <v>9466635700</v>
      </c>
      <c r="Z1282" s="99"/>
      <c r="AA1282" s="100" t="s">
        <v>3198</v>
      </c>
      <c r="AB1282" s="99" t="s">
        <v>526</v>
      </c>
      <c r="AC1282" s="99">
        <v>3</v>
      </c>
      <c r="AD1282" s="101"/>
      <c r="AE1282" s="101"/>
      <c r="AF1282" s="101"/>
      <c r="AG1282" s="101"/>
      <c r="AH1282" s="99"/>
      <c r="AI1282" s="105"/>
    </row>
    <row r="1283" spans="1:35">
      <c r="A1283" s="98"/>
      <c r="B1283" s="99"/>
      <c r="C1283" s="99"/>
      <c r="D1283" s="99"/>
      <c r="E1283" s="99"/>
      <c r="F1283" s="100"/>
      <c r="G1283" s="100"/>
      <c r="H1283" s="99"/>
      <c r="I1283" s="247"/>
      <c r="J1283" s="101"/>
      <c r="K1283" s="101"/>
      <c r="L1283" s="101"/>
      <c r="M1283" s="101"/>
      <c r="N1283" s="101"/>
      <c r="O1283" s="101"/>
      <c r="P1283" s="101"/>
      <c r="Q1283" s="101"/>
      <c r="R1283" s="101"/>
      <c r="S1283" s="101"/>
      <c r="T1283" s="101"/>
      <c r="U1283" s="99"/>
      <c r="V1283" s="99"/>
      <c r="W1283" s="99"/>
      <c r="X1283" s="99"/>
      <c r="Y1283" s="99"/>
      <c r="Z1283" s="99"/>
      <c r="AA1283" s="100" t="s">
        <v>3661</v>
      </c>
      <c r="AB1283" s="100" t="s">
        <v>526</v>
      </c>
      <c r="AC1283" s="99">
        <v>166</v>
      </c>
      <c r="AD1283" s="101"/>
      <c r="AE1283" s="101"/>
      <c r="AF1283" s="101"/>
      <c r="AG1283" s="101"/>
      <c r="AH1283" s="99"/>
      <c r="AI1283" s="105"/>
    </row>
    <row r="1284" spans="1:35">
      <c r="A1284" s="98"/>
      <c r="B1284" s="99"/>
      <c r="C1284" s="263" t="s">
        <v>3230</v>
      </c>
      <c r="D1284" s="264" t="s">
        <v>79</v>
      </c>
      <c r="E1284" s="264" t="s">
        <v>80</v>
      </c>
      <c r="F1284" s="100" t="s">
        <v>3656</v>
      </c>
      <c r="G1284" s="100" t="s">
        <v>3657</v>
      </c>
      <c r="H1284" s="99"/>
      <c r="I1284" s="247">
        <v>32399</v>
      </c>
      <c r="J1284" s="101">
        <v>1</v>
      </c>
      <c r="K1284" s="101"/>
      <c r="L1284" s="101">
        <v>1</v>
      </c>
      <c r="M1284" s="101"/>
      <c r="N1284" s="101"/>
      <c r="O1284" s="101"/>
      <c r="P1284" s="101"/>
      <c r="Q1284" s="101"/>
      <c r="R1284" s="101"/>
      <c r="S1284" s="101"/>
      <c r="T1284" s="101"/>
      <c r="U1284" s="99" t="s">
        <v>3658</v>
      </c>
      <c r="V1284" s="99" t="s">
        <v>223</v>
      </c>
      <c r="W1284" s="99" t="s">
        <v>279</v>
      </c>
      <c r="X1284" s="99" t="s">
        <v>227</v>
      </c>
      <c r="Y1284" s="99">
        <v>9308004490</v>
      </c>
      <c r="Z1284" s="99"/>
      <c r="AA1284" s="100" t="s">
        <v>3198</v>
      </c>
      <c r="AB1284" s="99" t="s">
        <v>526</v>
      </c>
      <c r="AC1284" s="99">
        <v>3</v>
      </c>
      <c r="AD1284" s="101"/>
      <c r="AE1284" s="101"/>
      <c r="AF1284" s="101"/>
      <c r="AG1284" s="101"/>
      <c r="AH1284" s="99"/>
      <c r="AI1284" s="105"/>
    </row>
    <row r="1285" spans="1:35">
      <c r="A1285" s="98"/>
      <c r="B1285" s="99"/>
      <c r="C1285" s="99"/>
      <c r="D1285" s="99"/>
      <c r="E1285" s="99"/>
      <c r="F1285" s="100"/>
      <c r="G1285" s="100"/>
      <c r="H1285" s="99"/>
      <c r="I1285" s="247"/>
      <c r="J1285" s="101"/>
      <c r="K1285" s="101"/>
      <c r="L1285" s="101"/>
      <c r="M1285" s="101"/>
      <c r="N1285" s="101"/>
      <c r="O1285" s="101"/>
      <c r="P1285" s="101"/>
      <c r="Q1285" s="101"/>
      <c r="R1285" s="101"/>
      <c r="S1285" s="101"/>
      <c r="T1285" s="101"/>
      <c r="U1285" s="99"/>
      <c r="V1285" s="99"/>
      <c r="W1285" s="99"/>
      <c r="X1285" s="99"/>
      <c r="Y1285" s="99"/>
      <c r="Z1285" s="99"/>
      <c r="AA1285" s="100" t="s">
        <v>3661</v>
      </c>
      <c r="AB1285" s="100" t="s">
        <v>526</v>
      </c>
      <c r="AC1285" s="99">
        <v>166</v>
      </c>
      <c r="AD1285" s="101"/>
      <c r="AE1285" s="101"/>
      <c r="AF1285" s="101"/>
      <c r="AG1285" s="101"/>
      <c r="AH1285" s="99"/>
      <c r="AI1285" s="105"/>
    </row>
    <row r="1286" spans="1:35">
      <c r="A1286" s="98"/>
      <c r="B1286" s="99"/>
      <c r="C1286" s="263" t="s">
        <v>3230</v>
      </c>
      <c r="D1286" s="264" t="s">
        <v>79</v>
      </c>
      <c r="E1286" s="264" t="s">
        <v>80</v>
      </c>
      <c r="F1286" s="100" t="s">
        <v>3662</v>
      </c>
      <c r="G1286" s="100" t="s">
        <v>2189</v>
      </c>
      <c r="H1286" s="99" t="s">
        <v>120</v>
      </c>
      <c r="I1286" s="247"/>
      <c r="J1286" s="101"/>
      <c r="K1286" s="101"/>
      <c r="L1286" s="101"/>
      <c r="M1286" s="101"/>
      <c r="N1286" s="101"/>
      <c r="O1286" s="101"/>
      <c r="P1286" s="101"/>
      <c r="Q1286" s="101"/>
      <c r="R1286" s="101"/>
      <c r="S1286" s="101"/>
      <c r="T1286" s="101"/>
      <c r="U1286" s="99" t="s">
        <v>3658</v>
      </c>
      <c r="V1286" s="99" t="s">
        <v>223</v>
      </c>
      <c r="W1286" s="99" t="s">
        <v>279</v>
      </c>
      <c r="X1286" s="99" t="s">
        <v>227</v>
      </c>
      <c r="Y1286" s="99">
        <v>9197814918</v>
      </c>
      <c r="Z1286" s="99"/>
      <c r="AA1286" s="100" t="s">
        <v>1961</v>
      </c>
      <c r="AB1286" s="100" t="s">
        <v>528</v>
      </c>
      <c r="AC1286" s="99">
        <v>1</v>
      </c>
      <c r="AD1286" s="101"/>
      <c r="AE1286" s="101"/>
      <c r="AF1286" s="101"/>
      <c r="AG1286" s="101"/>
      <c r="AH1286" s="99"/>
      <c r="AI1286" s="105"/>
    </row>
    <row r="1287" spans="1:35">
      <c r="A1287" s="98"/>
      <c r="B1287" s="99"/>
      <c r="C1287" s="99"/>
      <c r="D1287" s="99"/>
      <c r="E1287" s="99"/>
      <c r="F1287" s="100"/>
      <c r="G1287" s="100"/>
      <c r="H1287" s="99"/>
      <c r="I1287" s="247"/>
      <c r="J1287" s="101"/>
      <c r="K1287" s="101"/>
      <c r="L1287" s="101"/>
      <c r="M1287" s="101"/>
      <c r="N1287" s="101"/>
      <c r="O1287" s="101"/>
      <c r="P1287" s="101"/>
      <c r="Q1287" s="101"/>
      <c r="R1287" s="101"/>
      <c r="S1287" s="101"/>
      <c r="T1287" s="101"/>
      <c r="U1287" s="99"/>
      <c r="V1287" s="99"/>
      <c r="W1287" s="99"/>
      <c r="X1287" s="99"/>
      <c r="Y1287" s="99"/>
      <c r="Z1287" s="99"/>
      <c r="AA1287" s="100" t="s">
        <v>3198</v>
      </c>
      <c r="AB1287" s="100" t="s">
        <v>526</v>
      </c>
      <c r="AC1287" s="99">
        <v>3</v>
      </c>
      <c r="AD1287" s="101"/>
      <c r="AE1287" s="101"/>
      <c r="AF1287" s="101"/>
      <c r="AG1287" s="101"/>
      <c r="AH1287" s="99"/>
      <c r="AI1287" s="105"/>
    </row>
    <row r="1288" spans="1:35">
      <c r="A1288" s="98"/>
      <c r="B1288" s="99"/>
      <c r="C1288" s="99"/>
      <c r="D1288" s="99"/>
      <c r="E1288" s="99"/>
      <c r="F1288" s="100"/>
      <c r="G1288" s="100"/>
      <c r="H1288" s="99"/>
      <c r="I1288" s="247"/>
      <c r="J1288" s="101"/>
      <c r="K1288" s="101"/>
      <c r="L1288" s="101"/>
      <c r="M1288" s="101"/>
      <c r="N1288" s="101"/>
      <c r="O1288" s="101"/>
      <c r="P1288" s="101"/>
      <c r="Q1288" s="101"/>
      <c r="R1288" s="101"/>
      <c r="S1288" s="101"/>
      <c r="T1288" s="101"/>
      <c r="U1288" s="99"/>
      <c r="V1288" s="99"/>
      <c r="W1288" s="99"/>
      <c r="X1288" s="99"/>
      <c r="Y1288" s="99"/>
      <c r="Z1288" s="99"/>
      <c r="AA1288" s="100" t="s">
        <v>3661</v>
      </c>
      <c r="AB1288" s="99" t="s">
        <v>526</v>
      </c>
      <c r="AC1288" s="99">
        <v>166</v>
      </c>
      <c r="AD1288" s="101"/>
      <c r="AE1288" s="101"/>
      <c r="AF1288" s="101"/>
      <c r="AG1288" s="101"/>
      <c r="AH1288" s="99"/>
      <c r="AI1288" s="105"/>
    </row>
    <row r="1289" spans="1:35">
      <c r="A1289" s="98"/>
      <c r="B1289" s="99"/>
      <c r="C1289" s="263" t="s">
        <v>3230</v>
      </c>
      <c r="D1289" s="264" t="s">
        <v>79</v>
      </c>
      <c r="E1289" s="264" t="s">
        <v>80</v>
      </c>
      <c r="F1289" s="100" t="s">
        <v>458</v>
      </c>
      <c r="G1289" s="100" t="s">
        <v>3663</v>
      </c>
      <c r="H1289" s="99" t="s">
        <v>136</v>
      </c>
      <c r="I1289" s="247">
        <v>34074</v>
      </c>
      <c r="J1289" s="101">
        <v>1</v>
      </c>
      <c r="K1289" s="101"/>
      <c r="L1289" s="101">
        <v>1</v>
      </c>
      <c r="M1289" s="101"/>
      <c r="N1289" s="101"/>
      <c r="O1289" s="101"/>
      <c r="P1289" s="101"/>
      <c r="Q1289" s="101"/>
      <c r="R1289" s="101"/>
      <c r="S1289" s="101"/>
      <c r="T1289" s="101"/>
      <c r="U1289" s="99" t="s">
        <v>3658</v>
      </c>
      <c r="V1289" s="99" t="s">
        <v>223</v>
      </c>
      <c r="W1289" s="99" t="s">
        <v>279</v>
      </c>
      <c r="X1289" s="99" t="s">
        <v>227</v>
      </c>
      <c r="Y1289" s="99">
        <v>9203291221</v>
      </c>
      <c r="Z1289" s="99"/>
      <c r="AA1289" s="100" t="s">
        <v>1961</v>
      </c>
      <c r="AB1289" s="100" t="s">
        <v>528</v>
      </c>
      <c r="AC1289" s="99">
        <v>1</v>
      </c>
      <c r="AD1289" s="101"/>
      <c r="AE1289" s="101"/>
      <c r="AF1289" s="101"/>
      <c r="AG1289" s="101"/>
      <c r="AH1289" s="99"/>
      <c r="AI1289" s="105"/>
    </row>
    <row r="1290" spans="1:35">
      <c r="A1290" s="98"/>
      <c r="B1290" s="99"/>
      <c r="C1290" s="99"/>
      <c r="D1290" s="99"/>
      <c r="E1290" s="99"/>
      <c r="F1290" s="100"/>
      <c r="G1290" s="100"/>
      <c r="H1290" s="99"/>
      <c r="I1290" s="247"/>
      <c r="J1290" s="101"/>
      <c r="K1290" s="101"/>
      <c r="L1290" s="101"/>
      <c r="M1290" s="101"/>
      <c r="N1290" s="101"/>
      <c r="O1290" s="101"/>
      <c r="P1290" s="101"/>
      <c r="Q1290" s="101"/>
      <c r="R1290" s="101"/>
      <c r="S1290" s="101"/>
      <c r="T1290" s="101"/>
      <c r="U1290" s="99"/>
      <c r="V1290" s="99"/>
      <c r="W1290" s="99"/>
      <c r="X1290" s="99"/>
      <c r="Y1290" s="99"/>
      <c r="Z1290" s="99"/>
      <c r="AA1290" s="100" t="s">
        <v>3198</v>
      </c>
      <c r="AB1290" s="99" t="s">
        <v>526</v>
      </c>
      <c r="AC1290" s="99">
        <v>3</v>
      </c>
      <c r="AD1290" s="101"/>
      <c r="AE1290" s="101"/>
      <c r="AF1290" s="101"/>
      <c r="AG1290" s="101"/>
      <c r="AH1290" s="99"/>
      <c r="AI1290" s="105"/>
    </row>
    <row r="1291" spans="1:35">
      <c r="A1291" s="98"/>
      <c r="B1291" s="99"/>
      <c r="C1291" s="99"/>
      <c r="D1291" s="99"/>
      <c r="E1291" s="99"/>
      <c r="F1291" s="100"/>
      <c r="G1291" s="100"/>
      <c r="H1291" s="99"/>
      <c r="I1291" s="247"/>
      <c r="J1291" s="101"/>
      <c r="K1291" s="101"/>
      <c r="L1291" s="101"/>
      <c r="M1291" s="101"/>
      <c r="N1291" s="101"/>
      <c r="O1291" s="101"/>
      <c r="P1291" s="101"/>
      <c r="Q1291" s="101"/>
      <c r="R1291" s="101"/>
      <c r="S1291" s="101"/>
      <c r="T1291" s="101"/>
      <c r="U1291" s="99"/>
      <c r="V1291" s="99"/>
      <c r="W1291" s="99"/>
      <c r="X1291" s="99"/>
      <c r="Y1291" s="99"/>
      <c r="Z1291" s="99"/>
      <c r="AA1291" s="100" t="s">
        <v>3661</v>
      </c>
      <c r="AB1291" s="100" t="s">
        <v>526</v>
      </c>
      <c r="AC1291" s="99">
        <v>166</v>
      </c>
      <c r="AD1291" s="101"/>
      <c r="AE1291" s="101"/>
      <c r="AF1291" s="101"/>
      <c r="AG1291" s="101"/>
      <c r="AH1291" s="99"/>
      <c r="AI1291" s="105"/>
    </row>
    <row r="1292" spans="1:35">
      <c r="A1292" s="98"/>
      <c r="B1292" s="99"/>
      <c r="C1292" s="263" t="s">
        <v>3230</v>
      </c>
      <c r="D1292" s="264" t="s">
        <v>79</v>
      </c>
      <c r="E1292" s="264" t="s">
        <v>80</v>
      </c>
      <c r="F1292" s="100" t="s">
        <v>3662</v>
      </c>
      <c r="G1292" s="100" t="s">
        <v>3664</v>
      </c>
      <c r="H1292" s="99" t="s">
        <v>202</v>
      </c>
      <c r="I1292" s="247">
        <v>36503</v>
      </c>
      <c r="J1292" s="101">
        <v>1</v>
      </c>
      <c r="K1292" s="101"/>
      <c r="L1292" s="101">
        <v>1</v>
      </c>
      <c r="M1292" s="101"/>
      <c r="N1292" s="101"/>
      <c r="O1292" s="101"/>
      <c r="P1292" s="101"/>
      <c r="Q1292" s="101"/>
      <c r="R1292" s="101"/>
      <c r="S1292" s="101"/>
      <c r="T1292" s="101"/>
      <c r="U1292" s="99" t="s">
        <v>3658</v>
      </c>
      <c r="V1292" s="99" t="s">
        <v>223</v>
      </c>
      <c r="W1292" s="99" t="s">
        <v>279</v>
      </c>
      <c r="X1292" s="99" t="s">
        <v>227</v>
      </c>
      <c r="Y1292" s="99">
        <v>9197814918</v>
      </c>
      <c r="Z1292" s="99"/>
      <c r="AA1292" s="100" t="s">
        <v>1961</v>
      </c>
      <c r="AB1292" s="100" t="s">
        <v>528</v>
      </c>
      <c r="AC1292" s="99">
        <v>1</v>
      </c>
      <c r="AD1292" s="101"/>
      <c r="AE1292" s="101"/>
      <c r="AF1292" s="101"/>
      <c r="AG1292" s="101"/>
      <c r="AH1292" s="99"/>
      <c r="AI1292" s="105"/>
    </row>
    <row r="1293" spans="1:35">
      <c r="A1293" s="98"/>
      <c r="B1293" s="99"/>
      <c r="C1293" s="99"/>
      <c r="D1293" s="99"/>
      <c r="E1293" s="99"/>
      <c r="F1293" s="100"/>
      <c r="G1293" s="100"/>
      <c r="H1293" s="99"/>
      <c r="I1293" s="247"/>
      <c r="J1293" s="101"/>
      <c r="K1293" s="101"/>
      <c r="L1293" s="101"/>
      <c r="M1293" s="101"/>
      <c r="N1293" s="101"/>
      <c r="O1293" s="101"/>
      <c r="P1293" s="101"/>
      <c r="Q1293" s="101"/>
      <c r="R1293" s="101"/>
      <c r="S1293" s="101"/>
      <c r="T1293" s="101"/>
      <c r="U1293" s="99"/>
      <c r="V1293" s="99"/>
      <c r="W1293" s="99"/>
      <c r="X1293" s="99"/>
      <c r="Y1293" s="99"/>
      <c r="Z1293" s="99"/>
      <c r="AA1293" s="100" t="s">
        <v>3198</v>
      </c>
      <c r="AB1293" s="100" t="s">
        <v>526</v>
      </c>
      <c r="AC1293" s="99">
        <v>3</v>
      </c>
      <c r="AD1293" s="101"/>
      <c r="AE1293" s="101"/>
      <c r="AF1293" s="101"/>
      <c r="AG1293" s="101"/>
      <c r="AH1293" s="99"/>
      <c r="AI1293" s="105"/>
    </row>
    <row r="1294" spans="1:35">
      <c r="A1294" s="98"/>
      <c r="B1294" s="99"/>
      <c r="C1294" s="99"/>
      <c r="D1294" s="99"/>
      <c r="E1294" s="99"/>
      <c r="F1294" s="100"/>
      <c r="G1294" s="100"/>
      <c r="H1294" s="99"/>
      <c r="I1294" s="247"/>
      <c r="J1294" s="101"/>
      <c r="K1294" s="101"/>
      <c r="L1294" s="101"/>
      <c r="M1294" s="101"/>
      <c r="N1294" s="101"/>
      <c r="O1294" s="101"/>
      <c r="P1294" s="101"/>
      <c r="Q1294" s="101"/>
      <c r="R1294" s="101"/>
      <c r="S1294" s="101"/>
      <c r="T1294" s="101"/>
      <c r="U1294" s="99"/>
      <c r="V1294" s="99"/>
      <c r="W1294" s="99"/>
      <c r="X1294" s="99"/>
      <c r="Y1294" s="99"/>
      <c r="Z1294" s="99"/>
      <c r="AA1294" s="100" t="s">
        <v>3661</v>
      </c>
      <c r="AB1294" s="99" t="s">
        <v>526</v>
      </c>
      <c r="AC1294" s="99">
        <v>166</v>
      </c>
      <c r="AD1294" s="101"/>
      <c r="AE1294" s="101"/>
      <c r="AF1294" s="101"/>
      <c r="AG1294" s="101"/>
      <c r="AH1294" s="99"/>
      <c r="AI1294" s="105"/>
    </row>
    <row r="1295" spans="1:35">
      <c r="A1295" s="98"/>
      <c r="B1295" s="99"/>
      <c r="C1295" s="263" t="s">
        <v>3230</v>
      </c>
      <c r="D1295" s="264" t="s">
        <v>79</v>
      </c>
      <c r="E1295" s="264" t="s">
        <v>80</v>
      </c>
      <c r="F1295" s="100" t="s">
        <v>458</v>
      </c>
      <c r="G1295" s="100" t="s">
        <v>3665</v>
      </c>
      <c r="H1295" s="99" t="s">
        <v>144</v>
      </c>
      <c r="I1295" s="247">
        <v>28288</v>
      </c>
      <c r="J1295" s="101">
        <v>1</v>
      </c>
      <c r="K1295" s="101"/>
      <c r="L1295" s="101">
        <v>1</v>
      </c>
      <c r="M1295" s="101"/>
      <c r="N1295" s="101"/>
      <c r="O1295" s="101"/>
      <c r="P1295" s="101"/>
      <c r="Q1295" s="101"/>
      <c r="R1295" s="101"/>
      <c r="S1295" s="101"/>
      <c r="T1295" s="101"/>
      <c r="U1295" s="99" t="s">
        <v>3658</v>
      </c>
      <c r="V1295" s="99" t="s">
        <v>223</v>
      </c>
      <c r="W1295" s="99" t="s">
        <v>279</v>
      </c>
      <c r="X1295" s="99" t="s">
        <v>227</v>
      </c>
      <c r="Y1295" s="99"/>
      <c r="Z1295" s="99"/>
      <c r="AA1295" s="100" t="s">
        <v>1961</v>
      </c>
      <c r="AB1295" s="100" t="s">
        <v>528</v>
      </c>
      <c r="AC1295" s="99">
        <v>1</v>
      </c>
      <c r="AD1295" s="101"/>
      <c r="AE1295" s="101"/>
      <c r="AF1295" s="101"/>
      <c r="AG1295" s="101"/>
      <c r="AH1295" s="99"/>
      <c r="AI1295" s="105"/>
    </row>
    <row r="1296" spans="1:35">
      <c r="A1296" s="98"/>
      <c r="B1296" s="99"/>
      <c r="C1296" s="99"/>
      <c r="D1296" s="99"/>
      <c r="E1296" s="99"/>
      <c r="F1296" s="100"/>
      <c r="G1296" s="100"/>
      <c r="H1296" s="99"/>
      <c r="I1296" s="247"/>
      <c r="J1296" s="101"/>
      <c r="K1296" s="101"/>
      <c r="L1296" s="101"/>
      <c r="M1296" s="101"/>
      <c r="N1296" s="101"/>
      <c r="O1296" s="101"/>
      <c r="P1296" s="101"/>
      <c r="Q1296" s="101"/>
      <c r="R1296" s="101"/>
      <c r="S1296" s="101"/>
      <c r="T1296" s="101"/>
      <c r="U1296" s="99"/>
      <c r="V1296" s="99"/>
      <c r="W1296" s="99"/>
      <c r="X1296" s="99"/>
      <c r="Y1296" s="99"/>
      <c r="Z1296" s="99"/>
      <c r="AA1296" s="100" t="s">
        <v>3198</v>
      </c>
      <c r="AB1296" s="99" t="s">
        <v>526</v>
      </c>
      <c r="AC1296" s="99">
        <v>3</v>
      </c>
      <c r="AD1296" s="101"/>
      <c r="AE1296" s="101"/>
      <c r="AF1296" s="101"/>
      <c r="AG1296" s="101"/>
      <c r="AH1296" s="99"/>
      <c r="AI1296" s="105"/>
    </row>
    <row r="1297" spans="1:35">
      <c r="A1297" s="98"/>
      <c r="B1297" s="99"/>
      <c r="C1297" s="99"/>
      <c r="D1297" s="99"/>
      <c r="E1297" s="99"/>
      <c r="F1297" s="100"/>
      <c r="G1297" s="100"/>
      <c r="H1297" s="99"/>
      <c r="I1297" s="247"/>
      <c r="J1297" s="101"/>
      <c r="K1297" s="101"/>
      <c r="L1297" s="101"/>
      <c r="M1297" s="101"/>
      <c r="N1297" s="101"/>
      <c r="O1297" s="101"/>
      <c r="P1297" s="101"/>
      <c r="Q1297" s="101"/>
      <c r="R1297" s="101"/>
      <c r="S1297" s="101"/>
      <c r="T1297" s="101"/>
      <c r="U1297" s="99"/>
      <c r="V1297" s="99"/>
      <c r="W1297" s="99"/>
      <c r="X1297" s="99"/>
      <c r="Y1297" s="99"/>
      <c r="Z1297" s="99"/>
      <c r="AA1297" s="100" t="s">
        <v>3661</v>
      </c>
      <c r="AB1297" s="100" t="s">
        <v>526</v>
      </c>
      <c r="AC1297" s="99">
        <v>166</v>
      </c>
      <c r="AD1297" s="101"/>
      <c r="AE1297" s="101"/>
      <c r="AF1297" s="101"/>
      <c r="AG1297" s="101"/>
      <c r="AH1297" s="99"/>
      <c r="AI1297" s="105"/>
    </row>
    <row r="1298" spans="1:35">
      <c r="A1298" s="98"/>
      <c r="B1298" s="99"/>
      <c r="C1298" s="263" t="s">
        <v>3230</v>
      </c>
      <c r="D1298" s="264" t="s">
        <v>79</v>
      </c>
      <c r="E1298" s="264" t="s">
        <v>80</v>
      </c>
      <c r="F1298" s="100" t="s">
        <v>3666</v>
      </c>
      <c r="G1298" s="100" t="s">
        <v>456</v>
      </c>
      <c r="H1298" s="99"/>
      <c r="I1298" s="247">
        <v>24800</v>
      </c>
      <c r="J1298" s="101">
        <v>1</v>
      </c>
      <c r="K1298" s="101"/>
      <c r="L1298" s="101">
        <v>1</v>
      </c>
      <c r="M1298" s="101"/>
      <c r="N1298" s="101"/>
      <c r="O1298" s="101"/>
      <c r="P1298" s="101"/>
      <c r="Q1298" s="101"/>
      <c r="R1298" s="101"/>
      <c r="S1298" s="101"/>
      <c r="T1298" s="101"/>
      <c r="U1298" s="99" t="s">
        <v>3658</v>
      </c>
      <c r="V1298" s="99" t="s">
        <v>223</v>
      </c>
      <c r="W1298" s="99" t="s">
        <v>279</v>
      </c>
      <c r="X1298" s="99" t="s">
        <v>227</v>
      </c>
      <c r="Y1298" s="99"/>
      <c r="Z1298" s="99"/>
      <c r="AA1298" s="100" t="s">
        <v>1961</v>
      </c>
      <c r="AB1298" s="100" t="s">
        <v>528</v>
      </c>
      <c r="AC1298" s="99">
        <v>1</v>
      </c>
      <c r="AD1298" s="101"/>
      <c r="AE1298" s="101"/>
      <c r="AF1298" s="101"/>
      <c r="AG1298" s="101"/>
      <c r="AH1298" s="99"/>
      <c r="AI1298" s="105"/>
    </row>
    <row r="1299" spans="1:35">
      <c r="A1299" s="98"/>
      <c r="B1299" s="99"/>
      <c r="C1299" s="99"/>
      <c r="D1299" s="99"/>
      <c r="E1299" s="99"/>
      <c r="F1299" s="100"/>
      <c r="G1299" s="100"/>
      <c r="H1299" s="99"/>
      <c r="I1299" s="247"/>
      <c r="J1299" s="101"/>
      <c r="K1299" s="101"/>
      <c r="L1299" s="101"/>
      <c r="M1299" s="101"/>
      <c r="N1299" s="101"/>
      <c r="O1299" s="101"/>
      <c r="P1299" s="101"/>
      <c r="Q1299" s="101"/>
      <c r="R1299" s="101"/>
      <c r="S1299" s="101"/>
      <c r="T1299" s="101"/>
      <c r="U1299" s="99"/>
      <c r="V1299" s="99"/>
      <c r="W1299" s="99"/>
      <c r="X1299" s="99"/>
      <c r="Y1299" s="99"/>
      <c r="Z1299" s="99"/>
      <c r="AA1299" s="100" t="s">
        <v>3198</v>
      </c>
      <c r="AB1299" s="100" t="s">
        <v>526</v>
      </c>
      <c r="AC1299" s="99">
        <v>3</v>
      </c>
      <c r="AD1299" s="101"/>
      <c r="AE1299" s="101"/>
      <c r="AF1299" s="101"/>
      <c r="AG1299" s="101"/>
      <c r="AH1299" s="99"/>
      <c r="AI1299" s="105"/>
    </row>
    <row r="1300" spans="1:35">
      <c r="A1300" s="98"/>
      <c r="B1300" s="99"/>
      <c r="C1300" s="99"/>
      <c r="D1300" s="99"/>
      <c r="E1300" s="99"/>
      <c r="F1300" s="100"/>
      <c r="G1300" s="100"/>
      <c r="H1300" s="99"/>
      <c r="I1300" s="247"/>
      <c r="J1300" s="101"/>
      <c r="K1300" s="101"/>
      <c r="L1300" s="101"/>
      <c r="M1300" s="101"/>
      <c r="N1300" s="101"/>
      <c r="O1300" s="101"/>
      <c r="P1300" s="101"/>
      <c r="Q1300" s="101"/>
      <c r="R1300" s="101"/>
      <c r="S1300" s="101"/>
      <c r="T1300" s="101"/>
      <c r="U1300" s="99"/>
      <c r="V1300" s="99"/>
      <c r="W1300" s="99"/>
      <c r="X1300" s="99"/>
      <c r="Y1300" s="99"/>
      <c r="Z1300" s="99"/>
      <c r="AA1300" s="100" t="s">
        <v>3661</v>
      </c>
      <c r="AB1300" s="99" t="s">
        <v>526</v>
      </c>
      <c r="AC1300" s="99">
        <v>166</v>
      </c>
      <c r="AD1300" s="101"/>
      <c r="AE1300" s="101"/>
      <c r="AF1300" s="101"/>
      <c r="AG1300" s="101"/>
      <c r="AH1300" s="99"/>
      <c r="AI1300" s="105"/>
    </row>
    <row r="1301" spans="1:35">
      <c r="A1301" s="98"/>
      <c r="B1301" s="99"/>
      <c r="C1301" s="263" t="s">
        <v>3230</v>
      </c>
      <c r="D1301" s="264" t="s">
        <v>79</v>
      </c>
      <c r="E1301" s="264" t="s">
        <v>80</v>
      </c>
      <c r="F1301" s="100" t="s">
        <v>197</v>
      </c>
      <c r="G1301" s="100" t="s">
        <v>996</v>
      </c>
      <c r="H1301" s="99" t="s">
        <v>133</v>
      </c>
      <c r="I1301" s="247">
        <v>25561</v>
      </c>
      <c r="J1301" s="101">
        <v>1</v>
      </c>
      <c r="K1301" s="101"/>
      <c r="L1301" s="101">
        <v>1</v>
      </c>
      <c r="M1301" s="101"/>
      <c r="N1301" s="101"/>
      <c r="O1301" s="101"/>
      <c r="P1301" s="101"/>
      <c r="Q1301" s="101"/>
      <c r="R1301" s="101"/>
      <c r="S1301" s="101"/>
      <c r="T1301" s="101"/>
      <c r="U1301" s="99" t="s">
        <v>3658</v>
      </c>
      <c r="V1301" s="99" t="s">
        <v>223</v>
      </c>
      <c r="W1301" s="99" t="s">
        <v>279</v>
      </c>
      <c r="X1301" s="99" t="s">
        <v>227</v>
      </c>
      <c r="Y1301" s="99">
        <v>9078272519</v>
      </c>
      <c r="Z1301" s="99"/>
      <c r="AA1301" s="100" t="s">
        <v>1961</v>
      </c>
      <c r="AB1301" s="100" t="s">
        <v>528</v>
      </c>
      <c r="AC1301" s="99">
        <v>1</v>
      </c>
      <c r="AD1301" s="101"/>
      <c r="AE1301" s="101"/>
      <c r="AF1301" s="101"/>
      <c r="AG1301" s="101"/>
      <c r="AH1301" s="99"/>
      <c r="AI1301" s="105"/>
    </row>
    <row r="1302" spans="1:35">
      <c r="A1302" s="98"/>
      <c r="B1302" s="99"/>
      <c r="C1302" s="99"/>
      <c r="D1302" s="99"/>
      <c r="E1302" s="99"/>
      <c r="F1302" s="100"/>
      <c r="G1302" s="100"/>
      <c r="H1302" s="99"/>
      <c r="I1302" s="247"/>
      <c r="J1302" s="101"/>
      <c r="K1302" s="101"/>
      <c r="L1302" s="101"/>
      <c r="M1302" s="101"/>
      <c r="N1302" s="101"/>
      <c r="O1302" s="101"/>
      <c r="P1302" s="101"/>
      <c r="Q1302" s="101"/>
      <c r="R1302" s="101"/>
      <c r="S1302" s="101"/>
      <c r="T1302" s="101"/>
      <c r="U1302" s="99"/>
      <c r="V1302" s="99"/>
      <c r="W1302" s="99"/>
      <c r="X1302" s="99"/>
      <c r="Y1302" s="99"/>
      <c r="Z1302" s="99"/>
      <c r="AA1302" s="100" t="s">
        <v>3198</v>
      </c>
      <c r="AB1302" s="99" t="s">
        <v>526</v>
      </c>
      <c r="AC1302" s="99">
        <v>3</v>
      </c>
      <c r="AD1302" s="101"/>
      <c r="AE1302" s="101"/>
      <c r="AF1302" s="101"/>
      <c r="AG1302" s="101"/>
      <c r="AH1302" s="99"/>
      <c r="AI1302" s="105"/>
    </row>
    <row r="1303" spans="1:35">
      <c r="A1303" s="98"/>
      <c r="B1303" s="99"/>
      <c r="C1303" s="99"/>
      <c r="D1303" s="99"/>
      <c r="E1303" s="99"/>
      <c r="F1303" s="100"/>
      <c r="G1303" s="100"/>
      <c r="H1303" s="99"/>
      <c r="I1303" s="247"/>
      <c r="J1303" s="101"/>
      <c r="K1303" s="101"/>
      <c r="L1303" s="101"/>
      <c r="M1303" s="101"/>
      <c r="N1303" s="101"/>
      <c r="O1303" s="101"/>
      <c r="P1303" s="101"/>
      <c r="Q1303" s="101"/>
      <c r="R1303" s="101"/>
      <c r="S1303" s="101"/>
      <c r="T1303" s="101"/>
      <c r="U1303" s="99"/>
      <c r="V1303" s="99"/>
      <c r="W1303" s="99"/>
      <c r="X1303" s="99"/>
      <c r="Y1303" s="99"/>
      <c r="Z1303" s="99"/>
      <c r="AA1303" s="100" t="s">
        <v>3661</v>
      </c>
      <c r="AB1303" s="100" t="s">
        <v>526</v>
      </c>
      <c r="AC1303" s="99">
        <v>166</v>
      </c>
      <c r="AD1303" s="101"/>
      <c r="AE1303" s="101"/>
      <c r="AF1303" s="101"/>
      <c r="AG1303" s="101"/>
      <c r="AH1303" s="99"/>
      <c r="AI1303" s="105"/>
    </row>
    <row r="1304" spans="1:35">
      <c r="A1304" s="98"/>
      <c r="B1304" s="99"/>
      <c r="C1304" s="263" t="s">
        <v>3230</v>
      </c>
      <c r="D1304" s="264" t="s">
        <v>79</v>
      </c>
      <c r="E1304" s="264" t="s">
        <v>80</v>
      </c>
      <c r="F1304" s="100" t="s">
        <v>3667</v>
      </c>
      <c r="G1304" s="100" t="s">
        <v>3668</v>
      </c>
      <c r="H1304" s="99" t="s">
        <v>126</v>
      </c>
      <c r="I1304" s="247">
        <v>29373</v>
      </c>
      <c r="J1304" s="101">
        <v>1</v>
      </c>
      <c r="K1304" s="101"/>
      <c r="L1304" s="101">
        <v>1</v>
      </c>
      <c r="M1304" s="101"/>
      <c r="N1304" s="101"/>
      <c r="O1304" s="101"/>
      <c r="P1304" s="101"/>
      <c r="Q1304" s="101"/>
      <c r="R1304" s="101"/>
      <c r="S1304" s="101"/>
      <c r="T1304" s="101"/>
      <c r="U1304" s="99" t="s">
        <v>3658</v>
      </c>
      <c r="V1304" s="99" t="s">
        <v>223</v>
      </c>
      <c r="W1304" s="99" t="s">
        <v>279</v>
      </c>
      <c r="X1304" s="99" t="s">
        <v>227</v>
      </c>
      <c r="Y1304" s="99">
        <v>9519965681</v>
      </c>
      <c r="Z1304" s="99"/>
      <c r="AA1304" s="100" t="s">
        <v>1961</v>
      </c>
      <c r="AB1304" s="100" t="s">
        <v>528</v>
      </c>
      <c r="AC1304" s="99">
        <v>1</v>
      </c>
      <c r="AD1304" s="101"/>
      <c r="AE1304" s="101"/>
      <c r="AF1304" s="101"/>
      <c r="AG1304" s="101"/>
      <c r="AH1304" s="99"/>
      <c r="AI1304" s="105"/>
    </row>
    <row r="1305" spans="1:35">
      <c r="A1305" s="98"/>
      <c r="B1305" s="99"/>
      <c r="C1305" s="99"/>
      <c r="D1305" s="99"/>
      <c r="E1305" s="99"/>
      <c r="F1305" s="100"/>
      <c r="G1305" s="100"/>
      <c r="H1305" s="99"/>
      <c r="I1305" s="247"/>
      <c r="J1305" s="101"/>
      <c r="K1305" s="101"/>
      <c r="L1305" s="101"/>
      <c r="M1305" s="101"/>
      <c r="N1305" s="101"/>
      <c r="O1305" s="101"/>
      <c r="P1305" s="101"/>
      <c r="Q1305" s="101"/>
      <c r="R1305" s="101"/>
      <c r="S1305" s="101"/>
      <c r="T1305" s="101"/>
      <c r="U1305" s="99"/>
      <c r="V1305" s="99"/>
      <c r="W1305" s="99"/>
      <c r="X1305" s="99"/>
      <c r="Y1305" s="99"/>
      <c r="Z1305" s="99"/>
      <c r="AA1305" s="100" t="s">
        <v>3198</v>
      </c>
      <c r="AB1305" s="100" t="s">
        <v>526</v>
      </c>
      <c r="AC1305" s="99">
        <v>3</v>
      </c>
      <c r="AD1305" s="101"/>
      <c r="AE1305" s="101"/>
      <c r="AF1305" s="101"/>
      <c r="AG1305" s="101"/>
      <c r="AH1305" s="99"/>
      <c r="AI1305" s="105"/>
    </row>
    <row r="1306" spans="1:35">
      <c r="A1306" s="98"/>
      <c r="B1306" s="99"/>
      <c r="C1306" s="99"/>
      <c r="D1306" s="99"/>
      <c r="E1306" s="99"/>
      <c r="F1306" s="100"/>
      <c r="G1306" s="100"/>
      <c r="H1306" s="99"/>
      <c r="I1306" s="247"/>
      <c r="J1306" s="101"/>
      <c r="K1306" s="101"/>
      <c r="L1306" s="101"/>
      <c r="M1306" s="101"/>
      <c r="N1306" s="101"/>
      <c r="O1306" s="101"/>
      <c r="P1306" s="101"/>
      <c r="Q1306" s="101"/>
      <c r="R1306" s="101"/>
      <c r="S1306" s="101"/>
      <c r="T1306" s="101"/>
      <c r="U1306" s="99"/>
      <c r="V1306" s="99"/>
      <c r="W1306" s="99"/>
      <c r="X1306" s="99"/>
      <c r="Y1306" s="99"/>
      <c r="Z1306" s="99"/>
      <c r="AA1306" s="100" t="s">
        <v>3661</v>
      </c>
      <c r="AB1306" s="99" t="s">
        <v>526</v>
      </c>
      <c r="AC1306" s="99">
        <v>166</v>
      </c>
      <c r="AD1306" s="101"/>
      <c r="AE1306" s="101"/>
      <c r="AF1306" s="101"/>
      <c r="AG1306" s="101"/>
      <c r="AH1306" s="99"/>
      <c r="AI1306" s="105"/>
    </row>
    <row r="1307" spans="1:35">
      <c r="A1307" s="98"/>
      <c r="B1307" s="99"/>
      <c r="C1307" s="263" t="s">
        <v>3230</v>
      </c>
      <c r="D1307" s="264" t="s">
        <v>79</v>
      </c>
      <c r="E1307" s="264" t="s">
        <v>80</v>
      </c>
      <c r="F1307" s="100" t="s">
        <v>3669</v>
      </c>
      <c r="G1307" s="100" t="s">
        <v>2590</v>
      </c>
      <c r="H1307" s="99" t="s">
        <v>136</v>
      </c>
      <c r="I1307" s="247">
        <v>24742</v>
      </c>
      <c r="J1307" s="101">
        <v>1</v>
      </c>
      <c r="K1307" s="101"/>
      <c r="L1307" s="101">
        <v>1</v>
      </c>
      <c r="M1307" s="101"/>
      <c r="N1307" s="101"/>
      <c r="O1307" s="101"/>
      <c r="P1307" s="101"/>
      <c r="Q1307" s="101"/>
      <c r="R1307" s="101"/>
      <c r="S1307" s="101"/>
      <c r="T1307" s="101"/>
      <c r="U1307" s="99" t="s">
        <v>3658</v>
      </c>
      <c r="V1307" s="99" t="s">
        <v>223</v>
      </c>
      <c r="W1307" s="99" t="s">
        <v>279</v>
      </c>
      <c r="X1307" s="99" t="s">
        <v>227</v>
      </c>
      <c r="Y1307" s="99">
        <v>9197933505</v>
      </c>
      <c r="Z1307" s="99"/>
      <c r="AA1307" s="100" t="s">
        <v>1961</v>
      </c>
      <c r="AB1307" s="100" t="s">
        <v>528</v>
      </c>
      <c r="AC1307" s="99">
        <v>1</v>
      </c>
      <c r="AD1307" s="101"/>
      <c r="AE1307" s="101"/>
      <c r="AF1307" s="101"/>
      <c r="AG1307" s="101"/>
      <c r="AH1307" s="99"/>
      <c r="AI1307" s="105"/>
    </row>
    <row r="1308" spans="1:35">
      <c r="A1308" s="98"/>
      <c r="B1308" s="99"/>
      <c r="C1308" s="99"/>
      <c r="D1308" s="99"/>
      <c r="E1308" s="99"/>
      <c r="F1308" s="100"/>
      <c r="G1308" s="100"/>
      <c r="H1308" s="99"/>
      <c r="I1308" s="247"/>
      <c r="J1308" s="101"/>
      <c r="K1308" s="101"/>
      <c r="L1308" s="101"/>
      <c r="M1308" s="101"/>
      <c r="N1308" s="101"/>
      <c r="O1308" s="101"/>
      <c r="P1308" s="101"/>
      <c r="Q1308" s="101"/>
      <c r="R1308" s="101"/>
      <c r="S1308" s="101"/>
      <c r="T1308" s="101"/>
      <c r="U1308" s="99"/>
      <c r="V1308" s="99"/>
      <c r="W1308" s="99"/>
      <c r="X1308" s="99"/>
      <c r="Y1308" s="99"/>
      <c r="Z1308" s="99"/>
      <c r="AA1308" s="100" t="s">
        <v>3198</v>
      </c>
      <c r="AB1308" s="99" t="s">
        <v>526</v>
      </c>
      <c r="AC1308" s="99">
        <v>3</v>
      </c>
      <c r="AD1308" s="101"/>
      <c r="AE1308" s="101"/>
      <c r="AF1308" s="101"/>
      <c r="AG1308" s="101"/>
      <c r="AH1308" s="99"/>
      <c r="AI1308" s="105"/>
    </row>
    <row r="1309" spans="1:35">
      <c r="A1309" s="98"/>
      <c r="B1309" s="99"/>
      <c r="C1309" s="99"/>
      <c r="D1309" s="99"/>
      <c r="E1309" s="99"/>
      <c r="F1309" s="100"/>
      <c r="G1309" s="100"/>
      <c r="H1309" s="99"/>
      <c r="I1309" s="247"/>
      <c r="J1309" s="101"/>
      <c r="K1309" s="101"/>
      <c r="L1309" s="101"/>
      <c r="M1309" s="101"/>
      <c r="N1309" s="101"/>
      <c r="O1309" s="101"/>
      <c r="P1309" s="101"/>
      <c r="Q1309" s="101"/>
      <c r="R1309" s="101"/>
      <c r="S1309" s="101"/>
      <c r="T1309" s="101"/>
      <c r="U1309" s="99"/>
      <c r="V1309" s="99"/>
      <c r="W1309" s="99"/>
      <c r="X1309" s="99"/>
      <c r="Y1309" s="99"/>
      <c r="Z1309" s="99"/>
      <c r="AA1309" s="100" t="s">
        <v>3661</v>
      </c>
      <c r="AB1309" s="100" t="s">
        <v>526</v>
      </c>
      <c r="AC1309" s="99">
        <v>166</v>
      </c>
      <c r="AD1309" s="101"/>
      <c r="AE1309" s="101"/>
      <c r="AF1309" s="101"/>
      <c r="AG1309" s="101"/>
      <c r="AH1309" s="99"/>
      <c r="AI1309" s="105"/>
    </row>
    <row r="1310" spans="1:35">
      <c r="A1310" s="98"/>
      <c r="B1310" s="99"/>
      <c r="C1310" s="263" t="s">
        <v>3230</v>
      </c>
      <c r="D1310" s="264" t="s">
        <v>79</v>
      </c>
      <c r="E1310" s="264" t="s">
        <v>80</v>
      </c>
      <c r="F1310" s="100" t="s">
        <v>3670</v>
      </c>
      <c r="G1310" s="100" t="s">
        <v>3671</v>
      </c>
      <c r="H1310" s="99" t="s">
        <v>1040</v>
      </c>
      <c r="I1310" s="247">
        <v>24192</v>
      </c>
      <c r="J1310" s="101">
        <v>1</v>
      </c>
      <c r="K1310" s="101"/>
      <c r="L1310" s="101">
        <v>1</v>
      </c>
      <c r="M1310" s="101"/>
      <c r="N1310" s="101"/>
      <c r="O1310" s="101"/>
      <c r="P1310" s="101"/>
      <c r="Q1310" s="101"/>
      <c r="R1310" s="101"/>
      <c r="S1310" s="101"/>
      <c r="T1310" s="101"/>
      <c r="U1310" s="99" t="s">
        <v>3658</v>
      </c>
      <c r="V1310" s="99" t="s">
        <v>223</v>
      </c>
      <c r="W1310" s="99" t="s">
        <v>279</v>
      </c>
      <c r="X1310" s="99" t="s">
        <v>227</v>
      </c>
      <c r="Y1310" s="99"/>
      <c r="Z1310" s="99"/>
      <c r="AA1310" s="100" t="s">
        <v>1961</v>
      </c>
      <c r="AB1310" s="100" t="s">
        <v>528</v>
      </c>
      <c r="AC1310" s="99">
        <v>1</v>
      </c>
      <c r="AD1310" s="101"/>
      <c r="AE1310" s="101"/>
      <c r="AF1310" s="101"/>
      <c r="AG1310" s="101"/>
      <c r="AH1310" s="99"/>
      <c r="AI1310" s="105"/>
    </row>
    <row r="1311" spans="1:35">
      <c r="A1311" s="98"/>
      <c r="B1311" s="99"/>
      <c r="C1311" s="99"/>
      <c r="D1311" s="99"/>
      <c r="E1311" s="99"/>
      <c r="F1311" s="100"/>
      <c r="G1311" s="100"/>
      <c r="H1311" s="99"/>
      <c r="I1311" s="247"/>
      <c r="J1311" s="101"/>
      <c r="K1311" s="101"/>
      <c r="L1311" s="101"/>
      <c r="M1311" s="101"/>
      <c r="N1311" s="101"/>
      <c r="O1311" s="101"/>
      <c r="P1311" s="101"/>
      <c r="Q1311" s="101"/>
      <c r="R1311" s="101"/>
      <c r="S1311" s="101"/>
      <c r="T1311" s="101"/>
      <c r="U1311" s="99"/>
      <c r="V1311" s="99"/>
      <c r="W1311" s="99"/>
      <c r="X1311" s="99"/>
      <c r="Y1311" s="99"/>
      <c r="Z1311" s="99"/>
      <c r="AA1311" s="100" t="s">
        <v>3198</v>
      </c>
      <c r="AB1311" s="100" t="s">
        <v>526</v>
      </c>
      <c r="AC1311" s="99">
        <v>3</v>
      </c>
      <c r="AD1311" s="101"/>
      <c r="AE1311" s="101"/>
      <c r="AF1311" s="101"/>
      <c r="AG1311" s="101"/>
      <c r="AH1311" s="99"/>
      <c r="AI1311" s="105"/>
    </row>
    <row r="1312" spans="1:35">
      <c r="A1312" s="98"/>
      <c r="B1312" s="99"/>
      <c r="C1312" s="99"/>
      <c r="D1312" s="99"/>
      <c r="E1312" s="99"/>
      <c r="F1312" s="100"/>
      <c r="G1312" s="100"/>
      <c r="H1312" s="99"/>
      <c r="I1312" s="247"/>
      <c r="J1312" s="101"/>
      <c r="K1312" s="101"/>
      <c r="L1312" s="101"/>
      <c r="M1312" s="101"/>
      <c r="N1312" s="101"/>
      <c r="O1312" s="101"/>
      <c r="P1312" s="101"/>
      <c r="Q1312" s="101"/>
      <c r="R1312" s="101"/>
      <c r="S1312" s="101"/>
      <c r="T1312" s="101"/>
      <c r="U1312" s="99"/>
      <c r="V1312" s="99"/>
      <c r="W1312" s="99"/>
      <c r="X1312" s="99"/>
      <c r="Y1312" s="99"/>
      <c r="Z1312" s="99"/>
      <c r="AA1312" s="100" t="s">
        <v>3661</v>
      </c>
      <c r="AB1312" s="99" t="s">
        <v>526</v>
      </c>
      <c r="AC1312" s="99">
        <v>166</v>
      </c>
      <c r="AD1312" s="101"/>
      <c r="AE1312" s="101"/>
      <c r="AF1312" s="101"/>
      <c r="AG1312" s="101"/>
      <c r="AH1312" s="99"/>
      <c r="AI1312" s="105"/>
    </row>
    <row r="1313" spans="1:35">
      <c r="A1313" s="98"/>
      <c r="B1313" s="99"/>
      <c r="C1313" s="263" t="s">
        <v>3230</v>
      </c>
      <c r="D1313" s="264" t="s">
        <v>79</v>
      </c>
      <c r="E1313" s="264" t="s">
        <v>80</v>
      </c>
      <c r="F1313" s="100" t="s">
        <v>3672</v>
      </c>
      <c r="G1313" s="100" t="s">
        <v>3673</v>
      </c>
      <c r="H1313" s="99" t="s">
        <v>1040</v>
      </c>
      <c r="I1313" s="247">
        <v>26351</v>
      </c>
      <c r="J1313" s="101">
        <v>1</v>
      </c>
      <c r="K1313" s="101"/>
      <c r="L1313" s="101">
        <v>1</v>
      </c>
      <c r="M1313" s="101"/>
      <c r="N1313" s="101"/>
      <c r="O1313" s="101"/>
      <c r="P1313" s="101"/>
      <c r="Q1313" s="101"/>
      <c r="R1313" s="101"/>
      <c r="S1313" s="101"/>
      <c r="T1313" s="101"/>
      <c r="U1313" s="99" t="s">
        <v>3658</v>
      </c>
      <c r="V1313" s="99" t="s">
        <v>223</v>
      </c>
      <c r="W1313" s="99" t="s">
        <v>279</v>
      </c>
      <c r="X1313" s="99" t="s">
        <v>227</v>
      </c>
      <c r="Y1313" s="99">
        <v>9056922931</v>
      </c>
      <c r="Z1313" s="99"/>
      <c r="AA1313" s="100" t="s">
        <v>1961</v>
      </c>
      <c r="AB1313" s="100" t="s">
        <v>528</v>
      </c>
      <c r="AC1313" s="99">
        <v>1</v>
      </c>
      <c r="AD1313" s="101"/>
      <c r="AE1313" s="101"/>
      <c r="AF1313" s="101"/>
      <c r="AG1313" s="101"/>
      <c r="AH1313" s="99"/>
      <c r="AI1313" s="105"/>
    </row>
    <row r="1314" spans="1:35">
      <c r="A1314" s="98"/>
      <c r="B1314" s="99"/>
      <c r="C1314" s="99"/>
      <c r="D1314" s="99"/>
      <c r="E1314" s="99"/>
      <c r="F1314" s="100"/>
      <c r="G1314" s="100"/>
      <c r="H1314" s="99"/>
      <c r="I1314" s="247"/>
      <c r="J1314" s="101"/>
      <c r="K1314" s="101"/>
      <c r="L1314" s="101"/>
      <c r="M1314" s="101"/>
      <c r="N1314" s="101"/>
      <c r="O1314" s="101"/>
      <c r="P1314" s="101"/>
      <c r="Q1314" s="101"/>
      <c r="R1314" s="101"/>
      <c r="S1314" s="101"/>
      <c r="T1314" s="101"/>
      <c r="U1314" s="99"/>
      <c r="V1314" s="99"/>
      <c r="W1314" s="99"/>
      <c r="X1314" s="99"/>
      <c r="Y1314" s="99"/>
      <c r="Z1314" s="99"/>
      <c r="AA1314" s="100" t="s">
        <v>3198</v>
      </c>
      <c r="AB1314" s="99" t="s">
        <v>526</v>
      </c>
      <c r="AC1314" s="99">
        <v>3</v>
      </c>
      <c r="AD1314" s="101"/>
      <c r="AE1314" s="101"/>
      <c r="AF1314" s="101"/>
      <c r="AG1314" s="101"/>
      <c r="AH1314" s="99"/>
      <c r="AI1314" s="105"/>
    </row>
    <row r="1315" spans="1:35">
      <c r="A1315" s="98"/>
      <c r="B1315" s="99"/>
      <c r="C1315" s="99"/>
      <c r="D1315" s="99"/>
      <c r="E1315" s="99"/>
      <c r="F1315" s="100"/>
      <c r="G1315" s="100"/>
      <c r="H1315" s="99"/>
      <c r="I1315" s="247"/>
      <c r="J1315" s="101"/>
      <c r="K1315" s="101"/>
      <c r="L1315" s="101"/>
      <c r="M1315" s="101"/>
      <c r="N1315" s="101"/>
      <c r="O1315" s="101"/>
      <c r="P1315" s="101"/>
      <c r="Q1315" s="101"/>
      <c r="R1315" s="101"/>
      <c r="S1315" s="101"/>
      <c r="T1315" s="101"/>
      <c r="U1315" s="99"/>
      <c r="V1315" s="99"/>
      <c r="W1315" s="99"/>
      <c r="X1315" s="99"/>
      <c r="Y1315" s="99"/>
      <c r="Z1315" s="99"/>
      <c r="AA1315" s="100" t="s">
        <v>3661</v>
      </c>
      <c r="AB1315" s="100" t="s">
        <v>526</v>
      </c>
      <c r="AC1315" s="99">
        <v>166</v>
      </c>
      <c r="AD1315" s="101"/>
      <c r="AE1315" s="101"/>
      <c r="AF1315" s="101"/>
      <c r="AG1315" s="101"/>
      <c r="AH1315" s="99"/>
      <c r="AI1315" s="105"/>
    </row>
    <row r="1316" spans="1:35">
      <c r="A1316" s="98"/>
      <c r="B1316" s="99"/>
      <c r="C1316" s="263" t="s">
        <v>3230</v>
      </c>
      <c r="D1316" s="264" t="s">
        <v>79</v>
      </c>
      <c r="E1316" s="264" t="s">
        <v>80</v>
      </c>
      <c r="F1316" s="100" t="s">
        <v>3674</v>
      </c>
      <c r="G1316" s="100" t="s">
        <v>3675</v>
      </c>
      <c r="H1316" s="99" t="s">
        <v>115</v>
      </c>
      <c r="I1316" s="247">
        <v>26033</v>
      </c>
      <c r="J1316" s="101">
        <v>1</v>
      </c>
      <c r="K1316" s="101"/>
      <c r="L1316" s="101">
        <v>1</v>
      </c>
      <c r="M1316" s="101"/>
      <c r="N1316" s="101"/>
      <c r="O1316" s="101"/>
      <c r="P1316" s="101"/>
      <c r="Q1316" s="101"/>
      <c r="R1316" s="101"/>
      <c r="S1316" s="101"/>
      <c r="T1316" s="101"/>
      <c r="U1316" s="99" t="s">
        <v>3658</v>
      </c>
      <c r="V1316" s="99" t="s">
        <v>223</v>
      </c>
      <c r="W1316" s="99" t="s">
        <v>279</v>
      </c>
      <c r="X1316" s="99" t="s">
        <v>227</v>
      </c>
      <c r="Y1316" s="99"/>
      <c r="Z1316" s="99"/>
      <c r="AA1316" s="100" t="s">
        <v>1961</v>
      </c>
      <c r="AB1316" s="100" t="s">
        <v>528</v>
      </c>
      <c r="AC1316" s="99">
        <v>1</v>
      </c>
      <c r="AD1316" s="101"/>
      <c r="AE1316" s="101"/>
      <c r="AF1316" s="101"/>
      <c r="AG1316" s="101"/>
      <c r="AH1316" s="99"/>
      <c r="AI1316" s="105"/>
    </row>
    <row r="1317" spans="1:35">
      <c r="A1317" s="98"/>
      <c r="B1317" s="99"/>
      <c r="C1317" s="99"/>
      <c r="D1317" s="99"/>
      <c r="E1317" s="99"/>
      <c r="F1317" s="100"/>
      <c r="G1317" s="100"/>
      <c r="H1317" s="99"/>
      <c r="I1317" s="247"/>
      <c r="J1317" s="101"/>
      <c r="K1317" s="101"/>
      <c r="L1317" s="101"/>
      <c r="M1317" s="101"/>
      <c r="N1317" s="101"/>
      <c r="O1317" s="101"/>
      <c r="P1317" s="101"/>
      <c r="Q1317" s="101"/>
      <c r="R1317" s="101"/>
      <c r="S1317" s="101"/>
      <c r="T1317" s="101"/>
      <c r="U1317" s="99"/>
      <c r="V1317" s="99"/>
      <c r="W1317" s="99"/>
      <c r="X1317" s="99"/>
      <c r="Y1317" s="99"/>
      <c r="Z1317" s="99"/>
      <c r="AA1317" s="100" t="s">
        <v>3198</v>
      </c>
      <c r="AB1317" s="100" t="s">
        <v>526</v>
      </c>
      <c r="AC1317" s="99">
        <v>4</v>
      </c>
      <c r="AD1317" s="101"/>
      <c r="AE1317" s="101"/>
      <c r="AF1317" s="101"/>
      <c r="AG1317" s="101"/>
      <c r="AH1317" s="99"/>
      <c r="AI1317" s="105"/>
    </row>
    <row r="1318" spans="1:35">
      <c r="A1318" s="98"/>
      <c r="B1318" s="99"/>
      <c r="C1318" s="99"/>
      <c r="D1318" s="99"/>
      <c r="E1318" s="99"/>
      <c r="F1318" s="100"/>
      <c r="G1318" s="100"/>
      <c r="H1318" s="99"/>
      <c r="I1318" s="247"/>
      <c r="J1318" s="101"/>
      <c r="K1318" s="101"/>
      <c r="L1318" s="101"/>
      <c r="M1318" s="101"/>
      <c r="N1318" s="101"/>
      <c r="O1318" s="101"/>
      <c r="P1318" s="101"/>
      <c r="Q1318" s="101"/>
      <c r="R1318" s="101"/>
      <c r="S1318" s="101"/>
      <c r="T1318" s="101"/>
      <c r="U1318" s="99"/>
      <c r="V1318" s="99"/>
      <c r="W1318" s="99"/>
      <c r="X1318" s="99"/>
      <c r="Y1318" s="99"/>
      <c r="Z1318" s="99"/>
      <c r="AA1318" s="100" t="s">
        <v>3661</v>
      </c>
      <c r="AB1318" s="99" t="s">
        <v>526</v>
      </c>
      <c r="AC1318" s="99">
        <v>166</v>
      </c>
      <c r="AD1318" s="101"/>
      <c r="AE1318" s="101"/>
      <c r="AF1318" s="101"/>
      <c r="AG1318" s="101"/>
      <c r="AH1318" s="99"/>
      <c r="AI1318" s="105"/>
    </row>
    <row r="1319" spans="1:35">
      <c r="A1319" s="98"/>
      <c r="B1319" s="99"/>
      <c r="C1319" s="263" t="s">
        <v>3230</v>
      </c>
      <c r="D1319" s="264" t="s">
        <v>79</v>
      </c>
      <c r="E1319" s="264" t="s">
        <v>80</v>
      </c>
      <c r="F1319" s="100" t="s">
        <v>1902</v>
      </c>
      <c r="G1319" s="100" t="s">
        <v>192</v>
      </c>
      <c r="H1319" s="99" t="s">
        <v>120</v>
      </c>
      <c r="I1319" s="247">
        <v>31478</v>
      </c>
      <c r="J1319" s="101">
        <v>1</v>
      </c>
      <c r="K1319" s="101"/>
      <c r="L1319" s="101">
        <v>1</v>
      </c>
      <c r="M1319" s="101"/>
      <c r="N1319" s="101"/>
      <c r="O1319" s="101"/>
      <c r="P1319" s="101"/>
      <c r="Q1319" s="101"/>
      <c r="R1319" s="101"/>
      <c r="S1319" s="101"/>
      <c r="T1319" s="101"/>
      <c r="U1319" s="99" t="s">
        <v>3658</v>
      </c>
      <c r="V1319" s="99" t="s">
        <v>223</v>
      </c>
      <c r="W1319" s="99" t="s">
        <v>279</v>
      </c>
      <c r="X1319" s="99" t="s">
        <v>227</v>
      </c>
      <c r="Y1319" s="99">
        <v>9301895218</v>
      </c>
      <c r="Z1319" s="99"/>
      <c r="AA1319" s="100" t="s">
        <v>1961</v>
      </c>
      <c r="AB1319" s="100" t="s">
        <v>528</v>
      </c>
      <c r="AC1319" s="99">
        <v>1</v>
      </c>
      <c r="AD1319" s="101"/>
      <c r="AE1319" s="101"/>
      <c r="AF1319" s="101"/>
      <c r="AG1319" s="101"/>
      <c r="AH1319" s="99"/>
      <c r="AI1319" s="105"/>
    </row>
    <row r="1320" spans="1:35">
      <c r="A1320" s="98"/>
      <c r="B1320" s="99"/>
      <c r="C1320" s="99"/>
      <c r="D1320" s="99"/>
      <c r="E1320" s="99"/>
      <c r="F1320" s="100"/>
      <c r="G1320" s="100"/>
      <c r="H1320" s="99"/>
      <c r="I1320" s="247"/>
      <c r="J1320" s="101"/>
      <c r="K1320" s="101"/>
      <c r="L1320" s="101"/>
      <c r="M1320" s="101"/>
      <c r="N1320" s="101"/>
      <c r="O1320" s="101"/>
      <c r="P1320" s="101"/>
      <c r="Q1320" s="101"/>
      <c r="R1320" s="101"/>
      <c r="S1320" s="101"/>
      <c r="T1320" s="101"/>
      <c r="U1320" s="99"/>
      <c r="V1320" s="99"/>
      <c r="W1320" s="99"/>
      <c r="X1320" s="99"/>
      <c r="Y1320" s="99"/>
      <c r="Z1320" s="99"/>
      <c r="AA1320" s="100" t="s">
        <v>3198</v>
      </c>
      <c r="AB1320" s="99" t="s">
        <v>526</v>
      </c>
      <c r="AC1320" s="99">
        <v>4</v>
      </c>
      <c r="AD1320" s="101"/>
      <c r="AE1320" s="101"/>
      <c r="AF1320" s="101"/>
      <c r="AG1320" s="101"/>
      <c r="AH1320" s="99"/>
      <c r="AI1320" s="105"/>
    </row>
    <row r="1321" spans="1:35">
      <c r="A1321" s="98"/>
      <c r="B1321" s="99"/>
      <c r="C1321" s="99"/>
      <c r="D1321" s="99"/>
      <c r="E1321" s="99"/>
      <c r="F1321" s="100"/>
      <c r="G1321" s="100"/>
      <c r="H1321" s="99"/>
      <c r="I1321" s="247"/>
      <c r="J1321" s="101"/>
      <c r="K1321" s="101"/>
      <c r="L1321" s="101"/>
      <c r="M1321" s="101"/>
      <c r="N1321" s="101"/>
      <c r="O1321" s="101"/>
      <c r="P1321" s="101"/>
      <c r="Q1321" s="101"/>
      <c r="R1321" s="101"/>
      <c r="S1321" s="101"/>
      <c r="T1321" s="101"/>
      <c r="U1321" s="99"/>
      <c r="V1321" s="99"/>
      <c r="W1321" s="99"/>
      <c r="X1321" s="99"/>
      <c r="Y1321" s="99"/>
      <c r="Z1321" s="99"/>
      <c r="AA1321" s="100" t="s">
        <v>3661</v>
      </c>
      <c r="AB1321" s="100" t="s">
        <v>526</v>
      </c>
      <c r="AC1321" s="99">
        <v>166</v>
      </c>
      <c r="AD1321" s="101"/>
      <c r="AE1321" s="101"/>
      <c r="AF1321" s="101"/>
      <c r="AG1321" s="101"/>
      <c r="AH1321" s="99"/>
      <c r="AI1321" s="105"/>
    </row>
    <row r="1322" spans="1:35">
      <c r="A1322" s="98"/>
      <c r="B1322" s="99"/>
      <c r="C1322" s="263" t="s">
        <v>3230</v>
      </c>
      <c r="D1322" s="264" t="s">
        <v>79</v>
      </c>
      <c r="E1322" s="264" t="s">
        <v>80</v>
      </c>
      <c r="F1322" s="100" t="s">
        <v>2053</v>
      </c>
      <c r="G1322" s="100" t="s">
        <v>2884</v>
      </c>
      <c r="H1322" s="99" t="s">
        <v>742</v>
      </c>
      <c r="I1322" s="247"/>
      <c r="J1322" s="101">
        <v>1</v>
      </c>
      <c r="K1322" s="101"/>
      <c r="L1322" s="101">
        <v>1</v>
      </c>
      <c r="M1322" s="101"/>
      <c r="N1322" s="101"/>
      <c r="O1322" s="101"/>
      <c r="P1322" s="101"/>
      <c r="Q1322" s="101"/>
      <c r="R1322" s="101"/>
      <c r="S1322" s="101"/>
      <c r="T1322" s="101"/>
      <c r="U1322" s="99" t="s">
        <v>3658</v>
      </c>
      <c r="V1322" s="99" t="s">
        <v>223</v>
      </c>
      <c r="W1322" s="99" t="s">
        <v>279</v>
      </c>
      <c r="X1322" s="99" t="s">
        <v>227</v>
      </c>
      <c r="Y1322" s="99"/>
      <c r="Z1322" s="99"/>
      <c r="AA1322" s="100" t="s">
        <v>1961</v>
      </c>
      <c r="AB1322" s="100" t="s">
        <v>528</v>
      </c>
      <c r="AC1322" s="99">
        <v>1</v>
      </c>
      <c r="AD1322" s="101"/>
      <c r="AE1322" s="101"/>
      <c r="AF1322" s="101"/>
      <c r="AG1322" s="101"/>
      <c r="AH1322" s="99"/>
      <c r="AI1322" s="105"/>
    </row>
    <row r="1323" spans="1:35">
      <c r="A1323" s="98"/>
      <c r="B1323" s="99"/>
      <c r="C1323" s="99"/>
      <c r="D1323" s="99"/>
      <c r="E1323" s="99"/>
      <c r="F1323" s="100"/>
      <c r="G1323" s="100"/>
      <c r="H1323" s="99"/>
      <c r="I1323" s="247"/>
      <c r="J1323" s="101"/>
      <c r="K1323" s="101"/>
      <c r="L1323" s="101"/>
      <c r="M1323" s="101"/>
      <c r="N1323" s="101"/>
      <c r="O1323" s="101"/>
      <c r="P1323" s="101"/>
      <c r="Q1323" s="101"/>
      <c r="R1323" s="101"/>
      <c r="S1323" s="101"/>
      <c r="T1323" s="101"/>
      <c r="U1323" s="99"/>
      <c r="V1323" s="99"/>
      <c r="W1323" s="99"/>
      <c r="X1323" s="99"/>
      <c r="Y1323" s="99"/>
      <c r="Z1323" s="99"/>
      <c r="AA1323" s="100" t="s">
        <v>3198</v>
      </c>
      <c r="AB1323" s="100" t="s">
        <v>526</v>
      </c>
      <c r="AC1323" s="99">
        <v>4</v>
      </c>
      <c r="AD1323" s="101"/>
      <c r="AE1323" s="101"/>
      <c r="AF1323" s="101"/>
      <c r="AG1323" s="101"/>
      <c r="AH1323" s="99"/>
      <c r="AI1323" s="105"/>
    </row>
    <row r="1324" spans="1:35">
      <c r="A1324" s="98"/>
      <c r="B1324" s="99"/>
      <c r="C1324" s="99"/>
      <c r="D1324" s="99"/>
      <c r="E1324" s="99"/>
      <c r="F1324" s="100"/>
      <c r="G1324" s="100"/>
      <c r="H1324" s="99"/>
      <c r="I1324" s="247"/>
      <c r="J1324" s="101"/>
      <c r="K1324" s="101"/>
      <c r="L1324" s="101"/>
      <c r="M1324" s="101"/>
      <c r="N1324" s="101"/>
      <c r="O1324" s="101"/>
      <c r="P1324" s="101"/>
      <c r="Q1324" s="101"/>
      <c r="R1324" s="101"/>
      <c r="S1324" s="101"/>
      <c r="T1324" s="101"/>
      <c r="U1324" s="99"/>
      <c r="V1324" s="99"/>
      <c r="W1324" s="99"/>
      <c r="X1324" s="99"/>
      <c r="Y1324" s="99"/>
      <c r="Z1324" s="99"/>
      <c r="AA1324" s="100" t="s">
        <v>3661</v>
      </c>
      <c r="AB1324" s="99" t="s">
        <v>526</v>
      </c>
      <c r="AC1324" s="99">
        <v>166</v>
      </c>
      <c r="AD1324" s="101"/>
      <c r="AE1324" s="101"/>
      <c r="AF1324" s="101"/>
      <c r="AG1324" s="101"/>
      <c r="AH1324" s="99"/>
      <c r="AI1324" s="105"/>
    </row>
    <row r="1325" spans="1:35" ht="15" customHeight="1">
      <c r="A1325" s="98"/>
      <c r="B1325" s="99"/>
      <c r="C1325" s="263" t="s">
        <v>3230</v>
      </c>
      <c r="D1325" s="264" t="s">
        <v>79</v>
      </c>
      <c r="E1325" s="264" t="s">
        <v>80</v>
      </c>
      <c r="F1325" s="100" t="s">
        <v>3676</v>
      </c>
      <c r="G1325" s="100" t="s">
        <v>3671</v>
      </c>
      <c r="H1325" s="99" t="s">
        <v>202</v>
      </c>
      <c r="I1325" s="247">
        <v>24162</v>
      </c>
      <c r="J1325" s="101">
        <v>1</v>
      </c>
      <c r="K1325" s="101"/>
      <c r="L1325" s="101">
        <v>1</v>
      </c>
      <c r="M1325" s="101"/>
      <c r="N1325" s="101"/>
      <c r="O1325" s="101"/>
      <c r="P1325" s="101"/>
      <c r="Q1325" s="101"/>
      <c r="R1325" s="101"/>
      <c r="S1325" s="101"/>
      <c r="T1325" s="101"/>
      <c r="U1325" s="99" t="s">
        <v>3658</v>
      </c>
      <c r="V1325" s="99" t="s">
        <v>223</v>
      </c>
      <c r="W1325" s="99" t="s">
        <v>279</v>
      </c>
      <c r="X1325" s="99" t="s">
        <v>227</v>
      </c>
      <c r="Y1325" s="99"/>
      <c r="Z1325" s="99"/>
      <c r="AA1325" s="100" t="s">
        <v>1961</v>
      </c>
      <c r="AB1325" s="100" t="s">
        <v>528</v>
      </c>
      <c r="AC1325" s="99">
        <v>1</v>
      </c>
      <c r="AD1325" s="101"/>
      <c r="AE1325" s="101"/>
      <c r="AF1325" s="101"/>
      <c r="AG1325" s="101"/>
      <c r="AH1325" s="99"/>
      <c r="AI1325" s="105"/>
    </row>
    <row r="1326" spans="1:35" ht="15" customHeight="1">
      <c r="A1326" s="98"/>
      <c r="B1326" s="99"/>
      <c r="C1326" s="99"/>
      <c r="D1326" s="99"/>
      <c r="E1326" s="99"/>
      <c r="F1326" s="100"/>
      <c r="G1326" s="100"/>
      <c r="H1326" s="99"/>
      <c r="I1326" s="247"/>
      <c r="J1326" s="101"/>
      <c r="K1326" s="101"/>
      <c r="L1326" s="101"/>
      <c r="M1326" s="101"/>
      <c r="N1326" s="101"/>
      <c r="O1326" s="101"/>
      <c r="P1326" s="101"/>
      <c r="Q1326" s="101"/>
      <c r="R1326" s="101"/>
      <c r="S1326" s="101"/>
      <c r="T1326" s="101"/>
      <c r="U1326" s="99"/>
      <c r="V1326" s="99"/>
      <c r="W1326" s="99"/>
      <c r="X1326" s="99"/>
      <c r="Y1326" s="99"/>
      <c r="Z1326" s="99"/>
      <c r="AA1326" s="100" t="s">
        <v>3198</v>
      </c>
      <c r="AB1326" s="99" t="s">
        <v>526</v>
      </c>
      <c r="AC1326" s="99">
        <v>4</v>
      </c>
      <c r="AD1326" s="101"/>
      <c r="AE1326" s="101"/>
      <c r="AF1326" s="101"/>
      <c r="AG1326" s="101"/>
      <c r="AH1326" s="99"/>
      <c r="AI1326" s="105"/>
    </row>
    <row r="1327" spans="1:35" ht="15" customHeight="1">
      <c r="A1327" s="98"/>
      <c r="B1327" s="99"/>
      <c r="C1327" s="99"/>
      <c r="D1327" s="99"/>
      <c r="E1327" s="99"/>
      <c r="F1327" s="100"/>
      <c r="G1327" s="100"/>
      <c r="H1327" s="99"/>
      <c r="I1327" s="247"/>
      <c r="J1327" s="101"/>
      <c r="K1327" s="101"/>
      <c r="L1327" s="101"/>
      <c r="M1327" s="101"/>
      <c r="N1327" s="101"/>
      <c r="O1327" s="101"/>
      <c r="P1327" s="101"/>
      <c r="Q1327" s="101"/>
      <c r="R1327" s="101"/>
      <c r="S1327" s="101"/>
      <c r="T1327" s="101"/>
      <c r="U1327" s="99"/>
      <c r="V1327" s="99"/>
      <c r="W1327" s="99"/>
      <c r="X1327" s="99"/>
      <c r="Y1327" s="99"/>
      <c r="Z1327" s="99"/>
      <c r="AA1327" s="100" t="s">
        <v>3661</v>
      </c>
      <c r="AB1327" s="100" t="s">
        <v>526</v>
      </c>
      <c r="AC1327" s="99">
        <v>166</v>
      </c>
      <c r="AD1327" s="101"/>
      <c r="AE1327" s="101"/>
      <c r="AF1327" s="101"/>
      <c r="AG1327" s="101"/>
      <c r="AH1327" s="99"/>
      <c r="AI1327" s="105"/>
    </row>
    <row r="1328" spans="1:35">
      <c r="A1328" s="98"/>
      <c r="B1328" s="99"/>
      <c r="C1328" s="263" t="s">
        <v>3230</v>
      </c>
      <c r="D1328" s="264" t="s">
        <v>79</v>
      </c>
      <c r="E1328" s="264" t="s">
        <v>80</v>
      </c>
      <c r="F1328" s="100" t="s">
        <v>1492</v>
      </c>
      <c r="G1328" s="100" t="s">
        <v>198</v>
      </c>
      <c r="H1328" s="99" t="s">
        <v>160</v>
      </c>
      <c r="I1328" s="247">
        <v>35494</v>
      </c>
      <c r="J1328" s="101">
        <v>1</v>
      </c>
      <c r="K1328" s="101"/>
      <c r="L1328" s="101">
        <v>1</v>
      </c>
      <c r="M1328" s="101"/>
      <c r="N1328" s="101"/>
      <c r="O1328" s="101"/>
      <c r="P1328" s="101"/>
      <c r="Q1328" s="101"/>
      <c r="R1328" s="101"/>
      <c r="S1328" s="101"/>
      <c r="T1328" s="101"/>
      <c r="U1328" s="99" t="s">
        <v>3658</v>
      </c>
      <c r="V1328" s="99" t="s">
        <v>223</v>
      </c>
      <c r="W1328" s="99" t="s">
        <v>279</v>
      </c>
      <c r="X1328" s="99" t="s">
        <v>227</v>
      </c>
      <c r="Y1328" s="99"/>
      <c r="Z1328" s="99"/>
      <c r="AA1328" s="100" t="s">
        <v>1961</v>
      </c>
      <c r="AB1328" s="100" t="s">
        <v>528</v>
      </c>
      <c r="AC1328" s="99">
        <v>1</v>
      </c>
      <c r="AD1328" s="101"/>
      <c r="AE1328" s="101"/>
      <c r="AF1328" s="101"/>
      <c r="AG1328" s="101"/>
      <c r="AH1328" s="99"/>
      <c r="AI1328" s="105"/>
    </row>
    <row r="1329" spans="1:35">
      <c r="A1329" s="98"/>
      <c r="B1329" s="99"/>
      <c r="C1329" s="99"/>
      <c r="D1329" s="99"/>
      <c r="E1329" s="99"/>
      <c r="F1329" s="100"/>
      <c r="G1329" s="100"/>
      <c r="H1329" s="99"/>
      <c r="I1329" s="247"/>
      <c r="J1329" s="101"/>
      <c r="K1329" s="101"/>
      <c r="L1329" s="101"/>
      <c r="M1329" s="101"/>
      <c r="N1329" s="101"/>
      <c r="O1329" s="101"/>
      <c r="P1329" s="101"/>
      <c r="Q1329" s="101"/>
      <c r="R1329" s="101"/>
      <c r="S1329" s="101"/>
      <c r="T1329" s="101"/>
      <c r="U1329" s="99"/>
      <c r="V1329" s="99"/>
      <c r="W1329" s="99"/>
      <c r="X1329" s="99"/>
      <c r="Y1329" s="99"/>
      <c r="Z1329" s="99"/>
      <c r="AA1329" s="100" t="s">
        <v>3198</v>
      </c>
      <c r="AB1329" s="100" t="s">
        <v>526</v>
      </c>
      <c r="AC1329" s="99">
        <v>4</v>
      </c>
      <c r="AD1329" s="101"/>
      <c r="AE1329" s="101"/>
      <c r="AF1329" s="101"/>
      <c r="AG1329" s="101"/>
      <c r="AH1329" s="99"/>
      <c r="AI1329" s="105"/>
    </row>
    <row r="1330" spans="1:35">
      <c r="A1330" s="98"/>
      <c r="B1330" s="99"/>
      <c r="C1330" s="99"/>
      <c r="D1330" s="99"/>
      <c r="E1330" s="99"/>
      <c r="F1330" s="100"/>
      <c r="G1330" s="100"/>
      <c r="H1330" s="99"/>
      <c r="I1330" s="247"/>
      <c r="J1330" s="101"/>
      <c r="K1330" s="101"/>
      <c r="L1330" s="101"/>
      <c r="M1330" s="101"/>
      <c r="N1330" s="101"/>
      <c r="O1330" s="101"/>
      <c r="P1330" s="101"/>
      <c r="Q1330" s="101"/>
      <c r="R1330" s="101"/>
      <c r="S1330" s="101"/>
      <c r="T1330" s="101"/>
      <c r="U1330" s="99"/>
      <c r="V1330" s="99"/>
      <c r="W1330" s="99"/>
      <c r="X1330" s="99"/>
      <c r="Y1330" s="99"/>
      <c r="Z1330" s="99"/>
      <c r="AA1330" s="100" t="s">
        <v>3661</v>
      </c>
      <c r="AB1330" s="99" t="s">
        <v>526</v>
      </c>
      <c r="AC1330" s="99">
        <v>166</v>
      </c>
      <c r="AD1330" s="101"/>
      <c r="AE1330" s="101"/>
      <c r="AF1330" s="101"/>
      <c r="AG1330" s="101"/>
      <c r="AH1330" s="99"/>
      <c r="AI1330" s="105"/>
    </row>
    <row r="1331" spans="1:35">
      <c r="A1331" s="98"/>
      <c r="B1331" s="99"/>
      <c r="C1331" s="263" t="s">
        <v>3230</v>
      </c>
      <c r="D1331" s="264" t="s">
        <v>79</v>
      </c>
      <c r="E1331" s="264" t="s">
        <v>80</v>
      </c>
      <c r="F1331" s="100" t="s">
        <v>458</v>
      </c>
      <c r="G1331" s="100" t="s">
        <v>3677</v>
      </c>
      <c r="H1331" s="100" t="s">
        <v>742</v>
      </c>
      <c r="I1331" s="247">
        <v>27522</v>
      </c>
      <c r="J1331" s="101">
        <v>1</v>
      </c>
      <c r="K1331" s="101"/>
      <c r="L1331" s="101">
        <v>1</v>
      </c>
      <c r="M1331" s="101"/>
      <c r="N1331" s="101"/>
      <c r="O1331" s="101"/>
      <c r="P1331" s="101"/>
      <c r="Q1331" s="101"/>
      <c r="R1331" s="101"/>
      <c r="S1331" s="101"/>
      <c r="T1331" s="101"/>
      <c r="U1331" s="99"/>
      <c r="V1331" s="100" t="s">
        <v>218</v>
      </c>
      <c r="W1331" s="100" t="s">
        <v>279</v>
      </c>
      <c r="X1331" s="100" t="s">
        <v>227</v>
      </c>
      <c r="Y1331" s="99"/>
      <c r="Z1331" s="99"/>
      <c r="AA1331" s="100" t="s">
        <v>3198</v>
      </c>
      <c r="AB1331" s="100" t="s">
        <v>528</v>
      </c>
      <c r="AC1331" s="99">
        <v>1</v>
      </c>
      <c r="AD1331" s="101"/>
      <c r="AE1331" s="101"/>
      <c r="AF1331" s="101"/>
      <c r="AG1331" s="101"/>
      <c r="AH1331" s="99"/>
      <c r="AI1331" s="105"/>
    </row>
    <row r="1332" spans="1:35">
      <c r="A1332" s="98"/>
      <c r="B1332" s="99"/>
      <c r="C1332" s="99"/>
      <c r="D1332" s="99"/>
      <c r="E1332" s="99"/>
      <c r="F1332" s="100"/>
      <c r="G1332" s="100"/>
      <c r="H1332" s="99"/>
      <c r="I1332" s="247"/>
      <c r="J1332" s="101"/>
      <c r="K1332" s="101"/>
      <c r="L1332" s="101"/>
      <c r="M1332" s="101"/>
      <c r="N1332" s="101"/>
      <c r="O1332" s="101"/>
      <c r="P1332" s="101"/>
      <c r="Q1332" s="101"/>
      <c r="R1332" s="101"/>
      <c r="S1332" s="101"/>
      <c r="T1332" s="101"/>
      <c r="U1332" s="99"/>
      <c r="V1332" s="99"/>
      <c r="W1332" s="99"/>
      <c r="X1332" s="99"/>
      <c r="Y1332" s="99"/>
      <c r="Z1332" s="99"/>
      <c r="AA1332" s="100" t="s">
        <v>1961</v>
      </c>
      <c r="AB1332" s="100" t="s">
        <v>528</v>
      </c>
      <c r="AC1332" s="99">
        <v>1</v>
      </c>
      <c r="AD1332" s="101"/>
      <c r="AE1332" s="101"/>
      <c r="AF1332" s="101"/>
      <c r="AG1332" s="101"/>
      <c r="AH1332" s="99"/>
      <c r="AI1332" s="105"/>
    </row>
    <row r="1333" spans="1:35">
      <c r="A1333" s="98"/>
      <c r="B1333" s="99"/>
      <c r="C1333" s="99"/>
      <c r="D1333" s="99"/>
      <c r="E1333" s="99"/>
      <c r="F1333" s="100"/>
      <c r="G1333" s="100"/>
      <c r="H1333" s="99"/>
      <c r="I1333" s="247"/>
      <c r="J1333" s="101"/>
      <c r="K1333" s="101"/>
      <c r="L1333" s="101"/>
      <c r="M1333" s="101"/>
      <c r="N1333" s="101"/>
      <c r="O1333" s="101"/>
      <c r="P1333" s="101"/>
      <c r="Q1333" s="101"/>
      <c r="R1333" s="101"/>
      <c r="S1333" s="101"/>
      <c r="T1333" s="101"/>
      <c r="U1333" s="99"/>
      <c r="V1333" s="99"/>
      <c r="W1333" s="99"/>
      <c r="X1333" s="99"/>
      <c r="Y1333" s="99"/>
      <c r="Z1333" s="99"/>
      <c r="AA1333" s="100" t="s">
        <v>3661</v>
      </c>
      <c r="AB1333" s="100" t="s">
        <v>526</v>
      </c>
      <c r="AC1333" s="99">
        <v>250</v>
      </c>
      <c r="AD1333" s="101"/>
      <c r="AE1333" s="101"/>
      <c r="AF1333" s="101"/>
      <c r="AG1333" s="101"/>
      <c r="AH1333" s="99"/>
      <c r="AI1333" s="105"/>
    </row>
    <row r="1334" spans="1:35">
      <c r="A1334" s="98"/>
      <c r="B1334" s="99"/>
      <c r="C1334" s="263" t="s">
        <v>3230</v>
      </c>
      <c r="D1334" s="264" t="s">
        <v>79</v>
      </c>
      <c r="E1334" s="264" t="s">
        <v>80</v>
      </c>
      <c r="F1334" s="100" t="s">
        <v>466</v>
      </c>
      <c r="G1334" s="100" t="s">
        <v>159</v>
      </c>
      <c r="H1334" s="99"/>
      <c r="I1334" s="247">
        <v>26667</v>
      </c>
      <c r="J1334" s="101">
        <v>1</v>
      </c>
      <c r="K1334" s="101"/>
      <c r="L1334" s="101">
        <v>1</v>
      </c>
      <c r="M1334" s="101"/>
      <c r="N1334" s="101"/>
      <c r="O1334" s="101"/>
      <c r="P1334" s="101"/>
      <c r="Q1334" s="101"/>
      <c r="R1334" s="101"/>
      <c r="S1334" s="101"/>
      <c r="T1334" s="101"/>
      <c r="U1334" s="99"/>
      <c r="V1334" s="100" t="s">
        <v>218</v>
      </c>
      <c r="W1334" s="100" t="s">
        <v>279</v>
      </c>
      <c r="X1334" s="100" t="s">
        <v>227</v>
      </c>
      <c r="Y1334" s="99"/>
      <c r="Z1334" s="99"/>
      <c r="AA1334" s="100" t="s">
        <v>3198</v>
      </c>
      <c r="AB1334" s="100" t="s">
        <v>528</v>
      </c>
      <c r="AC1334" s="99">
        <v>1</v>
      </c>
      <c r="AD1334" s="101"/>
      <c r="AE1334" s="101"/>
      <c r="AF1334" s="101"/>
      <c r="AG1334" s="101"/>
      <c r="AH1334" s="99"/>
      <c r="AI1334" s="105"/>
    </row>
    <row r="1335" spans="1:35">
      <c r="A1335" s="98"/>
      <c r="B1335" s="99"/>
      <c r="C1335" s="99"/>
      <c r="D1335" s="99"/>
      <c r="E1335" s="99"/>
      <c r="F1335" s="100"/>
      <c r="G1335" s="100"/>
      <c r="H1335" s="99"/>
      <c r="I1335" s="247"/>
      <c r="J1335" s="101"/>
      <c r="K1335" s="101"/>
      <c r="L1335" s="101"/>
      <c r="M1335" s="101"/>
      <c r="N1335" s="101"/>
      <c r="O1335" s="101"/>
      <c r="P1335" s="101"/>
      <c r="Q1335" s="101"/>
      <c r="R1335" s="101"/>
      <c r="S1335" s="101"/>
      <c r="T1335" s="101"/>
      <c r="U1335" s="99"/>
      <c r="V1335" s="99"/>
      <c r="W1335" s="99"/>
      <c r="X1335" s="99"/>
      <c r="Y1335" s="99"/>
      <c r="Z1335" s="99"/>
      <c r="AA1335" s="100" t="s">
        <v>1961</v>
      </c>
      <c r="AB1335" s="100" t="s">
        <v>528</v>
      </c>
      <c r="AC1335" s="99">
        <v>1</v>
      </c>
      <c r="AD1335" s="101"/>
      <c r="AE1335" s="101"/>
      <c r="AF1335" s="101"/>
      <c r="AG1335" s="101"/>
      <c r="AH1335" s="99"/>
      <c r="AI1335" s="105"/>
    </row>
    <row r="1336" spans="1:35">
      <c r="A1336" s="98"/>
      <c r="B1336" s="99"/>
      <c r="C1336" s="99"/>
      <c r="D1336" s="99"/>
      <c r="E1336" s="99"/>
      <c r="F1336" s="100"/>
      <c r="G1336" s="100"/>
      <c r="H1336" s="99"/>
      <c r="I1336" s="247"/>
      <c r="J1336" s="101"/>
      <c r="K1336" s="101"/>
      <c r="L1336" s="101"/>
      <c r="M1336" s="101"/>
      <c r="N1336" s="101"/>
      <c r="O1336" s="101"/>
      <c r="P1336" s="101"/>
      <c r="Q1336" s="101"/>
      <c r="R1336" s="101"/>
      <c r="S1336" s="101"/>
      <c r="T1336" s="101"/>
      <c r="U1336" s="99"/>
      <c r="V1336" s="99"/>
      <c r="W1336" s="99"/>
      <c r="X1336" s="99"/>
      <c r="Y1336" s="99"/>
      <c r="Z1336" s="99"/>
      <c r="AA1336" s="100" t="s">
        <v>3661</v>
      </c>
      <c r="AB1336" s="99" t="s">
        <v>526</v>
      </c>
      <c r="AC1336" s="99">
        <v>250</v>
      </c>
      <c r="AD1336" s="101"/>
      <c r="AE1336" s="101"/>
      <c r="AF1336" s="101"/>
      <c r="AG1336" s="101"/>
      <c r="AH1336" s="99"/>
      <c r="AI1336" s="105"/>
    </row>
    <row r="1337" spans="1:35">
      <c r="A1337" s="98"/>
      <c r="B1337" s="99"/>
      <c r="C1337" s="263" t="s">
        <v>3230</v>
      </c>
      <c r="D1337" s="264" t="s">
        <v>79</v>
      </c>
      <c r="E1337" s="264" t="s">
        <v>80</v>
      </c>
      <c r="F1337" s="100" t="s">
        <v>466</v>
      </c>
      <c r="G1337" s="100" t="s">
        <v>2029</v>
      </c>
      <c r="H1337" s="100" t="s">
        <v>144</v>
      </c>
      <c r="I1337" s="247">
        <v>19640</v>
      </c>
      <c r="J1337" s="101">
        <v>1</v>
      </c>
      <c r="K1337" s="101"/>
      <c r="L1337" s="101">
        <v>1</v>
      </c>
      <c r="M1337" s="101"/>
      <c r="N1337" s="101"/>
      <c r="O1337" s="101"/>
      <c r="P1337" s="101"/>
      <c r="Q1337" s="101"/>
      <c r="R1337" s="101"/>
      <c r="S1337" s="101"/>
      <c r="T1337" s="101"/>
      <c r="U1337" s="99"/>
      <c r="V1337" s="100" t="s">
        <v>218</v>
      </c>
      <c r="W1337" s="100" t="s">
        <v>279</v>
      </c>
      <c r="X1337" s="100" t="s">
        <v>227</v>
      </c>
      <c r="Y1337" s="99"/>
      <c r="Z1337" s="99"/>
      <c r="AA1337" s="100" t="s">
        <v>3198</v>
      </c>
      <c r="AB1337" s="100" t="s">
        <v>528</v>
      </c>
      <c r="AC1337" s="99">
        <v>1</v>
      </c>
      <c r="AD1337" s="101"/>
      <c r="AE1337" s="101"/>
      <c r="AF1337" s="101"/>
      <c r="AG1337" s="101"/>
      <c r="AH1337" s="99"/>
      <c r="AI1337" s="105"/>
    </row>
    <row r="1338" spans="1:35">
      <c r="A1338" s="98"/>
      <c r="B1338" s="99"/>
      <c r="C1338" s="99"/>
      <c r="D1338" s="99"/>
      <c r="E1338" s="99"/>
      <c r="F1338" s="100"/>
      <c r="G1338" s="100"/>
      <c r="H1338" s="99"/>
      <c r="I1338" s="247"/>
      <c r="J1338" s="101"/>
      <c r="K1338" s="101"/>
      <c r="L1338" s="101"/>
      <c r="M1338" s="101"/>
      <c r="N1338" s="101"/>
      <c r="O1338" s="101"/>
      <c r="P1338" s="101"/>
      <c r="Q1338" s="101"/>
      <c r="R1338" s="101"/>
      <c r="S1338" s="101"/>
      <c r="T1338" s="101"/>
      <c r="U1338" s="99"/>
      <c r="V1338" s="99"/>
      <c r="W1338" s="99"/>
      <c r="X1338" s="99"/>
      <c r="Y1338" s="99"/>
      <c r="Z1338" s="99"/>
      <c r="AA1338" s="100" t="s">
        <v>1961</v>
      </c>
      <c r="AB1338" s="100" t="s">
        <v>528</v>
      </c>
      <c r="AC1338" s="99">
        <v>1</v>
      </c>
      <c r="AD1338" s="101"/>
      <c r="AE1338" s="101"/>
      <c r="AF1338" s="101"/>
      <c r="AG1338" s="101"/>
      <c r="AH1338" s="99"/>
      <c r="AI1338" s="105"/>
    </row>
    <row r="1339" spans="1:35">
      <c r="A1339" s="98"/>
      <c r="B1339" s="99"/>
      <c r="C1339" s="99"/>
      <c r="D1339" s="99"/>
      <c r="E1339" s="99"/>
      <c r="F1339" s="100"/>
      <c r="G1339" s="100"/>
      <c r="H1339" s="99"/>
      <c r="I1339" s="247"/>
      <c r="J1339" s="101"/>
      <c r="K1339" s="101"/>
      <c r="L1339" s="101"/>
      <c r="M1339" s="101"/>
      <c r="N1339" s="101"/>
      <c r="O1339" s="101"/>
      <c r="P1339" s="101"/>
      <c r="Q1339" s="101"/>
      <c r="R1339" s="101"/>
      <c r="S1339" s="101"/>
      <c r="T1339" s="101"/>
      <c r="U1339" s="99"/>
      <c r="V1339" s="99"/>
      <c r="W1339" s="99"/>
      <c r="X1339" s="99"/>
      <c r="Y1339" s="99"/>
      <c r="Z1339" s="99"/>
      <c r="AA1339" s="100" t="s">
        <v>3661</v>
      </c>
      <c r="AB1339" s="100" t="s">
        <v>526</v>
      </c>
      <c r="AC1339" s="99">
        <v>250</v>
      </c>
      <c r="AD1339" s="101"/>
      <c r="AE1339" s="101"/>
      <c r="AF1339" s="101"/>
      <c r="AG1339" s="101"/>
      <c r="AH1339" s="99"/>
      <c r="AI1339" s="105"/>
    </row>
    <row r="1340" spans="1:35">
      <c r="A1340" s="98"/>
      <c r="B1340" s="99"/>
      <c r="C1340" s="263" t="s">
        <v>3230</v>
      </c>
      <c r="D1340" s="264" t="s">
        <v>79</v>
      </c>
      <c r="E1340" s="264" t="s">
        <v>80</v>
      </c>
      <c r="F1340" s="100" t="s">
        <v>3678</v>
      </c>
      <c r="G1340" s="100" t="s">
        <v>751</v>
      </c>
      <c r="H1340" s="100" t="s">
        <v>136</v>
      </c>
      <c r="I1340" s="247">
        <v>29774</v>
      </c>
      <c r="J1340" s="101">
        <v>1</v>
      </c>
      <c r="K1340" s="101"/>
      <c r="L1340" s="101">
        <v>1</v>
      </c>
      <c r="M1340" s="101"/>
      <c r="N1340" s="101"/>
      <c r="O1340" s="101"/>
      <c r="P1340" s="101"/>
      <c r="Q1340" s="101"/>
      <c r="R1340" s="101"/>
      <c r="S1340" s="101"/>
      <c r="T1340" s="101"/>
      <c r="U1340" s="99"/>
      <c r="V1340" s="100" t="s">
        <v>218</v>
      </c>
      <c r="W1340" s="100" t="s">
        <v>279</v>
      </c>
      <c r="X1340" s="100" t="s">
        <v>227</v>
      </c>
      <c r="Y1340" s="99"/>
      <c r="Z1340" s="99"/>
      <c r="AA1340" s="100" t="s">
        <v>3198</v>
      </c>
      <c r="AB1340" s="100" t="s">
        <v>528</v>
      </c>
      <c r="AC1340" s="99">
        <v>1</v>
      </c>
      <c r="AD1340" s="101"/>
      <c r="AE1340" s="101"/>
      <c r="AF1340" s="101"/>
      <c r="AG1340" s="101"/>
      <c r="AH1340" s="99"/>
      <c r="AI1340" s="105"/>
    </row>
    <row r="1341" spans="1:35">
      <c r="A1341" s="98"/>
      <c r="B1341" s="99"/>
      <c r="C1341" s="99"/>
      <c r="D1341" s="99"/>
      <c r="E1341" s="99"/>
      <c r="F1341" s="100"/>
      <c r="G1341" s="100"/>
      <c r="H1341" s="99"/>
      <c r="I1341" s="247"/>
      <c r="J1341" s="101"/>
      <c r="K1341" s="101"/>
      <c r="L1341" s="101"/>
      <c r="M1341" s="101"/>
      <c r="N1341" s="101"/>
      <c r="O1341" s="101"/>
      <c r="P1341" s="101"/>
      <c r="Q1341" s="101"/>
      <c r="R1341" s="101"/>
      <c r="S1341" s="101"/>
      <c r="T1341" s="101"/>
      <c r="U1341" s="99"/>
      <c r="V1341" s="99"/>
      <c r="W1341" s="99"/>
      <c r="X1341" s="99"/>
      <c r="Y1341" s="99"/>
      <c r="Z1341" s="99"/>
      <c r="AA1341" s="100" t="s">
        <v>1961</v>
      </c>
      <c r="AB1341" s="100" t="s">
        <v>528</v>
      </c>
      <c r="AC1341" s="99">
        <v>1</v>
      </c>
      <c r="AD1341" s="101"/>
      <c r="AE1341" s="101"/>
      <c r="AF1341" s="101"/>
      <c r="AG1341" s="101"/>
      <c r="AH1341" s="99"/>
      <c r="AI1341" s="105"/>
    </row>
    <row r="1342" spans="1:35">
      <c r="A1342" s="98"/>
      <c r="B1342" s="99"/>
      <c r="C1342" s="99"/>
      <c r="D1342" s="99"/>
      <c r="E1342" s="99"/>
      <c r="F1342" s="100"/>
      <c r="G1342" s="100"/>
      <c r="H1342" s="99"/>
      <c r="I1342" s="247"/>
      <c r="J1342" s="101"/>
      <c r="K1342" s="101"/>
      <c r="L1342" s="101"/>
      <c r="M1342" s="101"/>
      <c r="N1342" s="101"/>
      <c r="O1342" s="101"/>
      <c r="P1342" s="101"/>
      <c r="Q1342" s="101"/>
      <c r="R1342" s="101"/>
      <c r="S1342" s="101"/>
      <c r="T1342" s="101"/>
      <c r="U1342" s="99"/>
      <c r="V1342" s="99"/>
      <c r="W1342" s="99"/>
      <c r="X1342" s="99"/>
      <c r="Y1342" s="99"/>
      <c r="Z1342" s="99"/>
      <c r="AA1342" s="100" t="s">
        <v>3661</v>
      </c>
      <c r="AB1342" s="99" t="s">
        <v>526</v>
      </c>
      <c r="AC1342" s="99">
        <v>250</v>
      </c>
      <c r="AD1342" s="101"/>
      <c r="AE1342" s="101"/>
      <c r="AF1342" s="101"/>
      <c r="AG1342" s="101"/>
      <c r="AH1342" s="99"/>
      <c r="AI1342" s="105"/>
    </row>
    <row r="1343" spans="1:35">
      <c r="A1343" s="98"/>
      <c r="B1343" s="99"/>
      <c r="C1343" s="263" t="s">
        <v>3230</v>
      </c>
      <c r="D1343" s="264" t="s">
        <v>79</v>
      </c>
      <c r="E1343" s="264" t="s">
        <v>80</v>
      </c>
      <c r="F1343" s="100" t="s">
        <v>3679</v>
      </c>
      <c r="G1343" s="100" t="s">
        <v>3680</v>
      </c>
      <c r="H1343" s="100" t="s">
        <v>120</v>
      </c>
      <c r="I1343" s="247">
        <v>28396</v>
      </c>
      <c r="J1343" s="101">
        <v>1</v>
      </c>
      <c r="K1343" s="101"/>
      <c r="L1343" s="101">
        <v>1</v>
      </c>
      <c r="M1343" s="101"/>
      <c r="N1343" s="101"/>
      <c r="O1343" s="101"/>
      <c r="P1343" s="101"/>
      <c r="Q1343" s="101"/>
      <c r="R1343" s="101"/>
      <c r="S1343" s="101"/>
      <c r="T1343" s="101"/>
      <c r="U1343" s="99"/>
      <c r="V1343" s="100" t="s">
        <v>218</v>
      </c>
      <c r="W1343" s="100" t="s">
        <v>279</v>
      </c>
      <c r="X1343" s="100" t="s">
        <v>227</v>
      </c>
      <c r="Y1343" s="99"/>
      <c r="Z1343" s="99"/>
      <c r="AA1343" s="100" t="s">
        <v>3198</v>
      </c>
      <c r="AB1343" s="100" t="s">
        <v>528</v>
      </c>
      <c r="AC1343" s="99">
        <v>1</v>
      </c>
      <c r="AD1343" s="101"/>
      <c r="AE1343" s="101"/>
      <c r="AF1343" s="101"/>
      <c r="AG1343" s="101"/>
      <c r="AH1343" s="99"/>
      <c r="AI1343" s="105"/>
    </row>
    <row r="1344" spans="1:35">
      <c r="A1344" s="98"/>
      <c r="B1344" s="99"/>
      <c r="C1344" s="99"/>
      <c r="D1344" s="99"/>
      <c r="E1344" s="99"/>
      <c r="F1344" s="100"/>
      <c r="G1344" s="100"/>
      <c r="H1344" s="99"/>
      <c r="I1344" s="247"/>
      <c r="J1344" s="101"/>
      <c r="K1344" s="101"/>
      <c r="L1344" s="101"/>
      <c r="M1344" s="101"/>
      <c r="N1344" s="101"/>
      <c r="O1344" s="101"/>
      <c r="P1344" s="101"/>
      <c r="Q1344" s="101"/>
      <c r="R1344" s="101"/>
      <c r="S1344" s="101"/>
      <c r="T1344" s="101"/>
      <c r="U1344" s="99"/>
      <c r="V1344" s="99"/>
      <c r="W1344" s="99"/>
      <c r="X1344" s="99"/>
      <c r="Y1344" s="99"/>
      <c r="Z1344" s="99"/>
      <c r="AA1344" s="100" t="s">
        <v>1961</v>
      </c>
      <c r="AB1344" s="100" t="s">
        <v>528</v>
      </c>
      <c r="AC1344" s="99">
        <v>1</v>
      </c>
      <c r="AD1344" s="101"/>
      <c r="AE1344" s="101"/>
      <c r="AF1344" s="101"/>
      <c r="AG1344" s="101"/>
      <c r="AH1344" s="99"/>
      <c r="AI1344" s="105"/>
    </row>
    <row r="1345" spans="1:35">
      <c r="A1345" s="98"/>
      <c r="B1345" s="99"/>
      <c r="C1345" s="99"/>
      <c r="D1345" s="99"/>
      <c r="E1345" s="99"/>
      <c r="F1345" s="100"/>
      <c r="G1345" s="100"/>
      <c r="H1345" s="99"/>
      <c r="I1345" s="247"/>
      <c r="J1345" s="101"/>
      <c r="K1345" s="101"/>
      <c r="L1345" s="101"/>
      <c r="M1345" s="101"/>
      <c r="N1345" s="101"/>
      <c r="O1345" s="101"/>
      <c r="P1345" s="101"/>
      <c r="Q1345" s="101"/>
      <c r="R1345" s="101"/>
      <c r="S1345" s="101"/>
      <c r="T1345" s="101"/>
      <c r="U1345" s="99"/>
      <c r="V1345" s="99"/>
      <c r="W1345" s="99"/>
      <c r="X1345" s="99"/>
      <c r="Y1345" s="99"/>
      <c r="Z1345" s="99"/>
      <c r="AA1345" s="100" t="s">
        <v>3661</v>
      </c>
      <c r="AB1345" s="100" t="s">
        <v>526</v>
      </c>
      <c r="AC1345" s="99">
        <v>250</v>
      </c>
      <c r="AD1345" s="101"/>
      <c r="AE1345" s="101"/>
      <c r="AF1345" s="101"/>
      <c r="AG1345" s="101"/>
      <c r="AH1345" s="99"/>
      <c r="AI1345" s="105"/>
    </row>
    <row r="1346" spans="1:35">
      <c r="A1346" s="98"/>
      <c r="B1346" s="99"/>
      <c r="C1346" s="263" t="s">
        <v>3230</v>
      </c>
      <c r="D1346" s="264" t="s">
        <v>79</v>
      </c>
      <c r="E1346" s="264" t="s">
        <v>80</v>
      </c>
      <c r="F1346" s="100" t="s">
        <v>466</v>
      </c>
      <c r="G1346" s="100" t="s">
        <v>389</v>
      </c>
      <c r="H1346" s="100" t="s">
        <v>115</v>
      </c>
      <c r="I1346" s="247">
        <v>29103</v>
      </c>
      <c r="J1346" s="101">
        <v>1</v>
      </c>
      <c r="K1346" s="101"/>
      <c r="L1346" s="101">
        <v>1</v>
      </c>
      <c r="M1346" s="101"/>
      <c r="N1346" s="101"/>
      <c r="O1346" s="101"/>
      <c r="P1346" s="101"/>
      <c r="Q1346" s="101"/>
      <c r="R1346" s="101"/>
      <c r="S1346" s="101"/>
      <c r="T1346" s="101"/>
      <c r="U1346" s="99"/>
      <c r="V1346" s="100" t="s">
        <v>218</v>
      </c>
      <c r="W1346" s="100" t="s">
        <v>279</v>
      </c>
      <c r="X1346" s="100" t="s">
        <v>227</v>
      </c>
      <c r="Y1346" s="99"/>
      <c r="Z1346" s="99"/>
      <c r="AA1346" s="100" t="s">
        <v>3198</v>
      </c>
      <c r="AB1346" s="100" t="s">
        <v>528</v>
      </c>
      <c r="AC1346" s="99">
        <v>1</v>
      </c>
      <c r="AD1346" s="101"/>
      <c r="AE1346" s="101"/>
      <c r="AF1346" s="101"/>
      <c r="AG1346" s="101"/>
      <c r="AH1346" s="99"/>
      <c r="AI1346" s="105"/>
    </row>
    <row r="1347" spans="1:35">
      <c r="A1347" s="98"/>
      <c r="B1347" s="99"/>
      <c r="C1347" s="99"/>
      <c r="D1347" s="99"/>
      <c r="E1347" s="99"/>
      <c r="F1347" s="100"/>
      <c r="G1347" s="100"/>
      <c r="H1347" s="99"/>
      <c r="I1347" s="247"/>
      <c r="J1347" s="101"/>
      <c r="K1347" s="101"/>
      <c r="L1347" s="101"/>
      <c r="M1347" s="101"/>
      <c r="N1347" s="101"/>
      <c r="O1347" s="101"/>
      <c r="P1347" s="101"/>
      <c r="Q1347" s="101"/>
      <c r="R1347" s="101"/>
      <c r="S1347" s="101"/>
      <c r="T1347" s="101"/>
      <c r="U1347" s="99"/>
      <c r="V1347" s="99"/>
      <c r="W1347" s="99"/>
      <c r="X1347" s="99"/>
      <c r="Y1347" s="99"/>
      <c r="Z1347" s="99"/>
      <c r="AA1347" s="100" t="s">
        <v>1961</v>
      </c>
      <c r="AB1347" s="100" t="s">
        <v>528</v>
      </c>
      <c r="AC1347" s="99">
        <v>1</v>
      </c>
      <c r="AD1347" s="101"/>
      <c r="AE1347" s="101"/>
      <c r="AF1347" s="101"/>
      <c r="AG1347" s="101"/>
      <c r="AH1347" s="99"/>
      <c r="AI1347" s="105"/>
    </row>
    <row r="1348" spans="1:35">
      <c r="A1348" s="98"/>
      <c r="B1348" s="99"/>
      <c r="C1348" s="99"/>
      <c r="D1348" s="99"/>
      <c r="E1348" s="99"/>
      <c r="F1348" s="100"/>
      <c r="G1348" s="100"/>
      <c r="H1348" s="99"/>
      <c r="I1348" s="247"/>
      <c r="J1348" s="101"/>
      <c r="K1348" s="101"/>
      <c r="L1348" s="101"/>
      <c r="M1348" s="101"/>
      <c r="N1348" s="101"/>
      <c r="O1348" s="101"/>
      <c r="P1348" s="101"/>
      <c r="Q1348" s="101"/>
      <c r="R1348" s="101"/>
      <c r="S1348" s="101"/>
      <c r="T1348" s="101"/>
      <c r="U1348" s="99"/>
      <c r="V1348" s="99"/>
      <c r="W1348" s="99"/>
      <c r="X1348" s="99"/>
      <c r="Y1348" s="99"/>
      <c r="Z1348" s="99"/>
      <c r="AA1348" s="100" t="s">
        <v>3661</v>
      </c>
      <c r="AB1348" s="99" t="s">
        <v>526</v>
      </c>
      <c r="AC1348" s="99">
        <v>250</v>
      </c>
      <c r="AD1348" s="101"/>
      <c r="AE1348" s="101"/>
      <c r="AF1348" s="101"/>
      <c r="AG1348" s="101"/>
      <c r="AH1348" s="99"/>
      <c r="AI1348" s="105"/>
    </row>
    <row r="1349" spans="1:35">
      <c r="A1349" s="98"/>
      <c r="B1349" s="99"/>
      <c r="C1349" s="263" t="s">
        <v>3230</v>
      </c>
      <c r="D1349" s="264" t="s">
        <v>79</v>
      </c>
      <c r="E1349" s="264" t="s">
        <v>80</v>
      </c>
      <c r="F1349" s="100" t="s">
        <v>3681</v>
      </c>
      <c r="G1349" s="100" t="s">
        <v>3682</v>
      </c>
      <c r="H1349" s="100" t="s">
        <v>117</v>
      </c>
      <c r="I1349" s="247">
        <v>35265</v>
      </c>
      <c r="J1349" s="101">
        <v>1</v>
      </c>
      <c r="K1349" s="101"/>
      <c r="L1349" s="101">
        <v>1</v>
      </c>
      <c r="M1349" s="101"/>
      <c r="N1349" s="101"/>
      <c r="O1349" s="101"/>
      <c r="P1349" s="101"/>
      <c r="Q1349" s="101"/>
      <c r="R1349" s="101"/>
      <c r="S1349" s="101"/>
      <c r="T1349" s="101"/>
      <c r="U1349" s="99"/>
      <c r="V1349" s="100" t="s">
        <v>218</v>
      </c>
      <c r="W1349" s="100" t="s">
        <v>279</v>
      </c>
      <c r="X1349" s="100" t="s">
        <v>227</v>
      </c>
      <c r="Y1349" s="99"/>
      <c r="Z1349" s="99"/>
      <c r="AA1349" s="100" t="s">
        <v>3198</v>
      </c>
      <c r="AB1349" s="100" t="s">
        <v>528</v>
      </c>
      <c r="AC1349" s="99">
        <v>1</v>
      </c>
      <c r="AD1349" s="101"/>
      <c r="AE1349" s="101"/>
      <c r="AF1349" s="101"/>
      <c r="AG1349" s="101"/>
      <c r="AH1349" s="99"/>
      <c r="AI1349" s="105"/>
    </row>
    <row r="1350" spans="1:35">
      <c r="A1350" s="98"/>
      <c r="B1350" s="99"/>
      <c r="C1350" s="99"/>
      <c r="D1350" s="99"/>
      <c r="E1350" s="99"/>
      <c r="F1350" s="100"/>
      <c r="G1350" s="100"/>
      <c r="H1350" s="99"/>
      <c r="I1350" s="247"/>
      <c r="J1350" s="101"/>
      <c r="K1350" s="101"/>
      <c r="L1350" s="101"/>
      <c r="M1350" s="101"/>
      <c r="N1350" s="101"/>
      <c r="O1350" s="101"/>
      <c r="P1350" s="101"/>
      <c r="Q1350" s="101"/>
      <c r="R1350" s="101"/>
      <c r="S1350" s="101"/>
      <c r="T1350" s="101"/>
      <c r="U1350" s="99"/>
      <c r="V1350" s="99"/>
      <c r="W1350" s="99"/>
      <c r="X1350" s="99"/>
      <c r="Y1350" s="99"/>
      <c r="Z1350" s="99"/>
      <c r="AA1350" s="100" t="s">
        <v>1961</v>
      </c>
      <c r="AB1350" s="100" t="s">
        <v>528</v>
      </c>
      <c r="AC1350" s="99">
        <v>1</v>
      </c>
      <c r="AD1350" s="101"/>
      <c r="AE1350" s="101"/>
      <c r="AF1350" s="101"/>
      <c r="AG1350" s="101"/>
      <c r="AH1350" s="99"/>
      <c r="AI1350" s="105"/>
    </row>
    <row r="1351" spans="1:35">
      <c r="A1351" s="98"/>
      <c r="B1351" s="99"/>
      <c r="C1351" s="99"/>
      <c r="D1351" s="99"/>
      <c r="E1351" s="99"/>
      <c r="F1351" s="100"/>
      <c r="G1351" s="100"/>
      <c r="H1351" s="99"/>
      <c r="I1351" s="247"/>
      <c r="J1351" s="101"/>
      <c r="K1351" s="101"/>
      <c r="L1351" s="101"/>
      <c r="M1351" s="101"/>
      <c r="N1351" s="101"/>
      <c r="O1351" s="101"/>
      <c r="P1351" s="101"/>
      <c r="Q1351" s="101"/>
      <c r="R1351" s="101"/>
      <c r="S1351" s="101"/>
      <c r="T1351" s="101"/>
      <c r="U1351" s="99"/>
      <c r="V1351" s="99"/>
      <c r="W1351" s="99"/>
      <c r="X1351" s="99"/>
      <c r="Y1351" s="99"/>
      <c r="Z1351" s="99"/>
      <c r="AA1351" s="100" t="s">
        <v>3661</v>
      </c>
      <c r="AB1351" s="100" t="s">
        <v>526</v>
      </c>
      <c r="AC1351" s="99">
        <v>250</v>
      </c>
      <c r="AD1351" s="101"/>
      <c r="AE1351" s="101"/>
      <c r="AF1351" s="101"/>
      <c r="AG1351" s="101"/>
      <c r="AH1351" s="99"/>
      <c r="AI1351" s="105"/>
    </row>
    <row r="1352" spans="1:35">
      <c r="A1352" s="98"/>
      <c r="B1352" s="99"/>
      <c r="C1352" s="263" t="s">
        <v>3230</v>
      </c>
      <c r="D1352" s="264" t="s">
        <v>79</v>
      </c>
      <c r="E1352" s="264" t="s">
        <v>80</v>
      </c>
      <c r="F1352" s="100" t="s">
        <v>466</v>
      </c>
      <c r="G1352" s="100" t="s">
        <v>689</v>
      </c>
      <c r="H1352" s="100" t="s">
        <v>136</v>
      </c>
      <c r="I1352" s="247">
        <v>35264</v>
      </c>
      <c r="J1352" s="101">
        <v>1</v>
      </c>
      <c r="K1352" s="101"/>
      <c r="L1352" s="101">
        <v>1</v>
      </c>
      <c r="M1352" s="101"/>
      <c r="N1352" s="101"/>
      <c r="O1352" s="101"/>
      <c r="P1352" s="101"/>
      <c r="Q1352" s="101"/>
      <c r="R1352" s="101"/>
      <c r="S1352" s="101"/>
      <c r="T1352" s="101"/>
      <c r="U1352" s="99"/>
      <c r="V1352" s="100" t="s">
        <v>218</v>
      </c>
      <c r="W1352" s="100" t="s">
        <v>279</v>
      </c>
      <c r="X1352" s="100" t="s">
        <v>227</v>
      </c>
      <c r="Y1352" s="99"/>
      <c r="Z1352" s="99"/>
      <c r="AA1352" s="100" t="s">
        <v>3198</v>
      </c>
      <c r="AB1352" s="100" t="s">
        <v>528</v>
      </c>
      <c r="AC1352" s="99">
        <v>1</v>
      </c>
      <c r="AD1352" s="101"/>
      <c r="AE1352" s="101"/>
      <c r="AF1352" s="101"/>
      <c r="AG1352" s="101"/>
      <c r="AH1352" s="99"/>
      <c r="AI1352" s="105"/>
    </row>
    <row r="1353" spans="1:35">
      <c r="A1353" s="98"/>
      <c r="B1353" s="99"/>
      <c r="C1353" s="99"/>
      <c r="D1353" s="99"/>
      <c r="E1353" s="99"/>
      <c r="F1353" s="100"/>
      <c r="G1353" s="100"/>
      <c r="H1353" s="99"/>
      <c r="I1353" s="247"/>
      <c r="J1353" s="101"/>
      <c r="K1353" s="101"/>
      <c r="L1353" s="101"/>
      <c r="M1353" s="101"/>
      <c r="N1353" s="101"/>
      <c r="O1353" s="101"/>
      <c r="P1353" s="101"/>
      <c r="Q1353" s="101"/>
      <c r="R1353" s="101"/>
      <c r="S1353" s="101"/>
      <c r="T1353" s="101"/>
      <c r="U1353" s="99"/>
      <c r="V1353" s="99"/>
      <c r="W1353" s="99"/>
      <c r="X1353" s="99"/>
      <c r="Y1353" s="99"/>
      <c r="Z1353" s="99"/>
      <c r="AA1353" s="100" t="s">
        <v>1961</v>
      </c>
      <c r="AB1353" s="100" t="s">
        <v>528</v>
      </c>
      <c r="AC1353" s="99">
        <v>1</v>
      </c>
      <c r="AD1353" s="101"/>
      <c r="AE1353" s="101"/>
      <c r="AF1353" s="101"/>
      <c r="AG1353" s="101"/>
      <c r="AH1353" s="99"/>
      <c r="AI1353" s="105"/>
    </row>
    <row r="1354" spans="1:35">
      <c r="A1354" s="98"/>
      <c r="B1354" s="99"/>
      <c r="C1354" s="99"/>
      <c r="D1354" s="99"/>
      <c r="E1354" s="99"/>
      <c r="F1354" s="100"/>
      <c r="G1354" s="100"/>
      <c r="H1354" s="99"/>
      <c r="I1354" s="247"/>
      <c r="J1354" s="101"/>
      <c r="K1354" s="101"/>
      <c r="L1354" s="101"/>
      <c r="M1354" s="101"/>
      <c r="N1354" s="101"/>
      <c r="O1354" s="101"/>
      <c r="P1354" s="101"/>
      <c r="Q1354" s="101"/>
      <c r="R1354" s="101"/>
      <c r="S1354" s="101"/>
      <c r="T1354" s="101"/>
      <c r="U1354" s="99"/>
      <c r="V1354" s="99"/>
      <c r="W1354" s="99"/>
      <c r="X1354" s="99"/>
      <c r="Y1354" s="99"/>
      <c r="Z1354" s="99"/>
      <c r="AA1354" s="100" t="s">
        <v>3661</v>
      </c>
      <c r="AB1354" s="99" t="s">
        <v>526</v>
      </c>
      <c r="AC1354" s="99">
        <v>250</v>
      </c>
      <c r="AD1354" s="101"/>
      <c r="AE1354" s="101"/>
      <c r="AF1354" s="101"/>
      <c r="AG1354" s="101"/>
      <c r="AH1354" s="99"/>
      <c r="AI1354" s="105"/>
    </row>
    <row r="1355" spans="1:35">
      <c r="A1355" s="98"/>
      <c r="B1355" s="99"/>
      <c r="C1355" s="263" t="s">
        <v>3230</v>
      </c>
      <c r="D1355" s="264" t="s">
        <v>79</v>
      </c>
      <c r="E1355" s="264" t="s">
        <v>80</v>
      </c>
      <c r="F1355" s="100" t="s">
        <v>3683</v>
      </c>
      <c r="G1355" s="100" t="s">
        <v>1994</v>
      </c>
      <c r="H1355" s="100" t="s">
        <v>113</v>
      </c>
      <c r="I1355" s="247">
        <v>29714</v>
      </c>
      <c r="J1355" s="101">
        <v>1</v>
      </c>
      <c r="K1355" s="101"/>
      <c r="L1355" s="101">
        <v>1</v>
      </c>
      <c r="M1355" s="101"/>
      <c r="N1355" s="101"/>
      <c r="O1355" s="101"/>
      <c r="P1355" s="101"/>
      <c r="Q1355" s="101"/>
      <c r="R1355" s="101"/>
      <c r="S1355" s="101"/>
      <c r="T1355" s="101"/>
      <c r="U1355" s="99"/>
      <c r="V1355" s="100" t="s">
        <v>218</v>
      </c>
      <c r="W1355" s="100" t="s">
        <v>279</v>
      </c>
      <c r="X1355" s="100" t="s">
        <v>227</v>
      </c>
      <c r="Y1355" s="99"/>
      <c r="Z1355" s="99"/>
      <c r="AA1355" s="100" t="s">
        <v>3198</v>
      </c>
      <c r="AB1355" s="100" t="s">
        <v>528</v>
      </c>
      <c r="AC1355" s="99">
        <v>1</v>
      </c>
      <c r="AD1355" s="101"/>
      <c r="AE1355" s="101"/>
      <c r="AF1355" s="101"/>
      <c r="AG1355" s="101"/>
      <c r="AH1355" s="99"/>
      <c r="AI1355" s="105"/>
    </row>
    <row r="1356" spans="1:35">
      <c r="A1356" s="98"/>
      <c r="B1356" s="99"/>
      <c r="C1356" s="99"/>
      <c r="D1356" s="99"/>
      <c r="E1356" s="99"/>
      <c r="F1356" s="100"/>
      <c r="G1356" s="100"/>
      <c r="H1356" s="99"/>
      <c r="I1356" s="247"/>
      <c r="J1356" s="101"/>
      <c r="K1356" s="101"/>
      <c r="L1356" s="101"/>
      <c r="M1356" s="101"/>
      <c r="N1356" s="101"/>
      <c r="O1356" s="101"/>
      <c r="P1356" s="101"/>
      <c r="Q1356" s="101"/>
      <c r="R1356" s="101"/>
      <c r="S1356" s="101"/>
      <c r="T1356" s="101"/>
      <c r="U1356" s="99"/>
      <c r="V1356" s="99"/>
      <c r="W1356" s="99"/>
      <c r="X1356" s="99"/>
      <c r="Y1356" s="99"/>
      <c r="Z1356" s="99"/>
      <c r="AA1356" s="100" t="s">
        <v>1961</v>
      </c>
      <c r="AB1356" s="100" t="s">
        <v>528</v>
      </c>
      <c r="AC1356" s="99">
        <v>1</v>
      </c>
      <c r="AD1356" s="101"/>
      <c r="AE1356" s="101"/>
      <c r="AF1356" s="101"/>
      <c r="AG1356" s="101"/>
      <c r="AH1356" s="99"/>
      <c r="AI1356" s="105"/>
    </row>
    <row r="1357" spans="1:35">
      <c r="A1357" s="98"/>
      <c r="B1357" s="99"/>
      <c r="C1357" s="99"/>
      <c r="D1357" s="99"/>
      <c r="E1357" s="99"/>
      <c r="F1357" s="100"/>
      <c r="G1357" s="100"/>
      <c r="H1357" s="99"/>
      <c r="I1357" s="247"/>
      <c r="J1357" s="101"/>
      <c r="K1357" s="101"/>
      <c r="L1357" s="101"/>
      <c r="M1357" s="101"/>
      <c r="N1357" s="101"/>
      <c r="O1357" s="101"/>
      <c r="P1357" s="101"/>
      <c r="Q1357" s="101"/>
      <c r="R1357" s="101"/>
      <c r="S1357" s="101"/>
      <c r="T1357" s="101"/>
      <c r="U1357" s="99"/>
      <c r="V1357" s="99"/>
      <c r="W1357" s="99"/>
      <c r="X1357" s="99"/>
      <c r="Y1357" s="99"/>
      <c r="Z1357" s="99"/>
      <c r="AA1357" s="100" t="s">
        <v>3661</v>
      </c>
      <c r="AB1357" s="100" t="s">
        <v>526</v>
      </c>
      <c r="AC1357" s="99">
        <v>250</v>
      </c>
      <c r="AD1357" s="101"/>
      <c r="AE1357" s="101"/>
      <c r="AF1357" s="101"/>
      <c r="AG1357" s="101"/>
      <c r="AH1357" s="99"/>
      <c r="AI1357" s="105"/>
    </row>
    <row r="1358" spans="1:35">
      <c r="A1358" s="98"/>
      <c r="B1358" s="99"/>
      <c r="C1358" s="263" t="s">
        <v>3230</v>
      </c>
      <c r="D1358" s="264" t="s">
        <v>79</v>
      </c>
      <c r="E1358" s="264" t="s">
        <v>80</v>
      </c>
      <c r="F1358" s="100" t="s">
        <v>3684</v>
      </c>
      <c r="G1358" s="100" t="s">
        <v>585</v>
      </c>
      <c r="H1358" s="100" t="s">
        <v>120</v>
      </c>
      <c r="I1358" s="247">
        <v>25417</v>
      </c>
      <c r="J1358" s="101">
        <v>1</v>
      </c>
      <c r="K1358" s="101"/>
      <c r="L1358" s="101">
        <v>1</v>
      </c>
      <c r="M1358" s="101"/>
      <c r="N1358" s="101"/>
      <c r="O1358" s="101"/>
      <c r="P1358" s="101"/>
      <c r="Q1358" s="101"/>
      <c r="R1358" s="101"/>
      <c r="S1358" s="101"/>
      <c r="T1358" s="101"/>
      <c r="U1358" s="99"/>
      <c r="V1358" s="100" t="s">
        <v>218</v>
      </c>
      <c r="W1358" s="100" t="s">
        <v>279</v>
      </c>
      <c r="X1358" s="100" t="s">
        <v>227</v>
      </c>
      <c r="Y1358" s="99"/>
      <c r="Z1358" s="99"/>
      <c r="AA1358" s="100" t="s">
        <v>3198</v>
      </c>
      <c r="AB1358" s="100" t="s">
        <v>528</v>
      </c>
      <c r="AC1358" s="99">
        <v>1</v>
      </c>
      <c r="AD1358" s="101"/>
      <c r="AE1358" s="101"/>
      <c r="AF1358" s="101"/>
      <c r="AG1358" s="101"/>
      <c r="AH1358" s="99"/>
      <c r="AI1358" s="105"/>
    </row>
    <row r="1359" spans="1:35">
      <c r="A1359" s="98"/>
      <c r="B1359" s="99"/>
      <c r="C1359" s="99"/>
      <c r="D1359" s="99"/>
      <c r="E1359" s="99"/>
      <c r="F1359" s="100"/>
      <c r="G1359" s="100"/>
      <c r="H1359" s="99"/>
      <c r="I1359" s="247"/>
      <c r="J1359" s="101"/>
      <c r="K1359" s="101"/>
      <c r="L1359" s="101"/>
      <c r="M1359" s="101"/>
      <c r="N1359" s="101"/>
      <c r="O1359" s="101"/>
      <c r="P1359" s="101"/>
      <c r="Q1359" s="101"/>
      <c r="R1359" s="101"/>
      <c r="S1359" s="101"/>
      <c r="T1359" s="101"/>
      <c r="U1359" s="99"/>
      <c r="V1359" s="99"/>
      <c r="W1359" s="99"/>
      <c r="X1359" s="99"/>
      <c r="Y1359" s="99"/>
      <c r="Z1359" s="99"/>
      <c r="AA1359" s="100" t="s">
        <v>1961</v>
      </c>
      <c r="AB1359" s="100" t="s">
        <v>528</v>
      </c>
      <c r="AC1359" s="99">
        <v>1</v>
      </c>
      <c r="AD1359" s="101"/>
      <c r="AE1359" s="101"/>
      <c r="AF1359" s="101"/>
      <c r="AG1359" s="101"/>
      <c r="AH1359" s="99"/>
      <c r="AI1359" s="105"/>
    </row>
    <row r="1360" spans="1:35">
      <c r="A1360" s="98"/>
      <c r="B1360" s="99"/>
      <c r="C1360" s="99"/>
      <c r="D1360" s="99"/>
      <c r="E1360" s="99"/>
      <c r="F1360" s="100"/>
      <c r="G1360" s="100"/>
      <c r="H1360" s="99"/>
      <c r="I1360" s="247"/>
      <c r="J1360" s="101"/>
      <c r="K1360" s="101"/>
      <c r="L1360" s="101"/>
      <c r="M1360" s="101"/>
      <c r="N1360" s="101"/>
      <c r="O1360" s="101"/>
      <c r="P1360" s="101"/>
      <c r="Q1360" s="101"/>
      <c r="R1360" s="101"/>
      <c r="S1360" s="101"/>
      <c r="T1360" s="101"/>
      <c r="U1360" s="99"/>
      <c r="V1360" s="99"/>
      <c r="W1360" s="99"/>
      <c r="X1360" s="99"/>
      <c r="Y1360" s="99"/>
      <c r="Z1360" s="99"/>
      <c r="AA1360" s="100" t="s">
        <v>3661</v>
      </c>
      <c r="AB1360" s="99" t="s">
        <v>526</v>
      </c>
      <c r="AC1360" s="99">
        <v>250</v>
      </c>
      <c r="AD1360" s="101"/>
      <c r="AE1360" s="101"/>
      <c r="AF1360" s="101"/>
      <c r="AG1360" s="101"/>
      <c r="AH1360" s="99"/>
      <c r="AI1360" s="105"/>
    </row>
    <row r="1361" spans="1:35">
      <c r="A1361" s="98"/>
      <c r="B1361" s="99"/>
      <c r="C1361" s="263" t="s">
        <v>3230</v>
      </c>
      <c r="D1361" s="264" t="s">
        <v>79</v>
      </c>
      <c r="E1361" s="264" t="s">
        <v>80</v>
      </c>
      <c r="F1361" s="100" t="s">
        <v>3684</v>
      </c>
      <c r="G1361" s="100" t="s">
        <v>3685</v>
      </c>
      <c r="H1361" s="100" t="s">
        <v>160</v>
      </c>
      <c r="I1361" s="247">
        <v>36773</v>
      </c>
      <c r="J1361" s="101">
        <v>1</v>
      </c>
      <c r="K1361" s="101"/>
      <c r="L1361" s="101">
        <v>1</v>
      </c>
      <c r="M1361" s="101"/>
      <c r="N1361" s="101"/>
      <c r="O1361" s="101"/>
      <c r="P1361" s="101"/>
      <c r="Q1361" s="101"/>
      <c r="R1361" s="101"/>
      <c r="S1361" s="101"/>
      <c r="T1361" s="101"/>
      <c r="U1361" s="99"/>
      <c r="V1361" s="100" t="s">
        <v>218</v>
      </c>
      <c r="W1361" s="100" t="s">
        <v>279</v>
      </c>
      <c r="X1361" s="100" t="s">
        <v>227</v>
      </c>
      <c r="Y1361" s="99"/>
      <c r="Z1361" s="99"/>
      <c r="AA1361" s="100" t="s">
        <v>3198</v>
      </c>
      <c r="AB1361" s="100" t="s">
        <v>528</v>
      </c>
      <c r="AC1361" s="99">
        <v>1</v>
      </c>
      <c r="AD1361" s="101"/>
      <c r="AE1361" s="101"/>
      <c r="AF1361" s="101"/>
      <c r="AG1361" s="101"/>
      <c r="AH1361" s="99"/>
      <c r="AI1361" s="105"/>
    </row>
    <row r="1362" spans="1:35">
      <c r="A1362" s="98"/>
      <c r="B1362" s="99"/>
      <c r="C1362" s="99"/>
      <c r="D1362" s="99"/>
      <c r="E1362" s="99"/>
      <c r="F1362" s="100"/>
      <c r="G1362" s="100"/>
      <c r="H1362" s="99"/>
      <c r="I1362" s="247"/>
      <c r="J1362" s="101"/>
      <c r="K1362" s="101"/>
      <c r="L1362" s="101"/>
      <c r="M1362" s="101"/>
      <c r="N1362" s="101"/>
      <c r="O1362" s="101"/>
      <c r="P1362" s="101"/>
      <c r="Q1362" s="101"/>
      <c r="R1362" s="101"/>
      <c r="S1362" s="101"/>
      <c r="T1362" s="101"/>
      <c r="U1362" s="99"/>
      <c r="V1362" s="99"/>
      <c r="W1362" s="99"/>
      <c r="X1362" s="99"/>
      <c r="Y1362" s="99"/>
      <c r="Z1362" s="99"/>
      <c r="AA1362" s="100" t="s">
        <v>1961</v>
      </c>
      <c r="AB1362" s="100" t="s">
        <v>528</v>
      </c>
      <c r="AC1362" s="99">
        <v>1</v>
      </c>
      <c r="AD1362" s="101"/>
      <c r="AE1362" s="101"/>
      <c r="AF1362" s="101"/>
      <c r="AG1362" s="101"/>
      <c r="AH1362" s="99"/>
      <c r="AI1362" s="105"/>
    </row>
    <row r="1363" spans="1:35">
      <c r="A1363" s="98"/>
      <c r="B1363" s="99"/>
      <c r="C1363" s="99"/>
      <c r="D1363" s="99"/>
      <c r="E1363" s="99"/>
      <c r="F1363" s="100"/>
      <c r="G1363" s="100"/>
      <c r="H1363" s="99"/>
      <c r="I1363" s="247"/>
      <c r="J1363" s="101"/>
      <c r="K1363" s="101"/>
      <c r="L1363" s="101"/>
      <c r="M1363" s="101"/>
      <c r="N1363" s="101"/>
      <c r="O1363" s="101"/>
      <c r="P1363" s="101"/>
      <c r="Q1363" s="101"/>
      <c r="R1363" s="101"/>
      <c r="S1363" s="101"/>
      <c r="T1363" s="101"/>
      <c r="U1363" s="99"/>
      <c r="V1363" s="99"/>
      <c r="W1363" s="99"/>
      <c r="X1363" s="99"/>
      <c r="Y1363" s="99"/>
      <c r="Z1363" s="99"/>
      <c r="AA1363" s="100" t="s">
        <v>3661</v>
      </c>
      <c r="AB1363" s="100" t="s">
        <v>526</v>
      </c>
      <c r="AC1363" s="99">
        <v>250</v>
      </c>
      <c r="AD1363" s="101"/>
      <c r="AE1363" s="101"/>
      <c r="AF1363" s="101"/>
      <c r="AG1363" s="101"/>
      <c r="AH1363" s="99"/>
      <c r="AI1363" s="105"/>
    </row>
    <row r="1364" spans="1:35">
      <c r="A1364" s="98"/>
      <c r="B1364" s="99"/>
      <c r="C1364" s="263" t="s">
        <v>3230</v>
      </c>
      <c r="D1364" s="264" t="s">
        <v>79</v>
      </c>
      <c r="E1364" s="264" t="s">
        <v>80</v>
      </c>
      <c r="F1364" s="100" t="s">
        <v>466</v>
      </c>
      <c r="G1364" s="100" t="s">
        <v>1158</v>
      </c>
      <c r="H1364" s="100" t="s">
        <v>136</v>
      </c>
      <c r="I1364" s="247">
        <v>30274</v>
      </c>
      <c r="J1364" s="101">
        <v>1</v>
      </c>
      <c r="K1364" s="101"/>
      <c r="L1364" s="101">
        <v>1</v>
      </c>
      <c r="M1364" s="101"/>
      <c r="N1364" s="101"/>
      <c r="O1364" s="101"/>
      <c r="P1364" s="101"/>
      <c r="Q1364" s="101"/>
      <c r="R1364" s="101"/>
      <c r="S1364" s="101"/>
      <c r="T1364" s="101"/>
      <c r="U1364" s="99"/>
      <c r="V1364" s="100" t="s">
        <v>218</v>
      </c>
      <c r="W1364" s="100" t="s">
        <v>279</v>
      </c>
      <c r="X1364" s="100" t="s">
        <v>227</v>
      </c>
      <c r="Y1364" s="99"/>
      <c r="Z1364" s="99"/>
      <c r="AA1364" s="100" t="s">
        <v>3198</v>
      </c>
      <c r="AB1364" s="100" t="s">
        <v>528</v>
      </c>
      <c r="AC1364" s="99">
        <v>1</v>
      </c>
      <c r="AD1364" s="101"/>
      <c r="AE1364" s="101"/>
      <c r="AF1364" s="101"/>
      <c r="AG1364" s="101"/>
      <c r="AH1364" s="99"/>
      <c r="AI1364" s="105"/>
    </row>
    <row r="1365" spans="1:35">
      <c r="A1365" s="98"/>
      <c r="B1365" s="99"/>
      <c r="C1365" s="99"/>
      <c r="D1365" s="99"/>
      <c r="E1365" s="99"/>
      <c r="F1365" s="100"/>
      <c r="G1365" s="100"/>
      <c r="H1365" s="99"/>
      <c r="I1365" s="247"/>
      <c r="J1365" s="101"/>
      <c r="K1365" s="101"/>
      <c r="L1365" s="101"/>
      <c r="M1365" s="101"/>
      <c r="N1365" s="101"/>
      <c r="O1365" s="101"/>
      <c r="P1365" s="101"/>
      <c r="Q1365" s="101"/>
      <c r="R1365" s="101"/>
      <c r="S1365" s="101"/>
      <c r="T1365" s="101"/>
      <c r="U1365" s="99"/>
      <c r="V1365" s="99"/>
      <c r="W1365" s="99"/>
      <c r="X1365" s="99"/>
      <c r="Y1365" s="99"/>
      <c r="Z1365" s="99"/>
      <c r="AA1365" s="100" t="s">
        <v>1961</v>
      </c>
      <c r="AB1365" s="100" t="s">
        <v>528</v>
      </c>
      <c r="AC1365" s="99">
        <v>1</v>
      </c>
      <c r="AD1365" s="101"/>
      <c r="AE1365" s="101"/>
      <c r="AF1365" s="101"/>
      <c r="AG1365" s="101"/>
      <c r="AH1365" s="99"/>
      <c r="AI1365" s="105"/>
    </row>
    <row r="1366" spans="1:35">
      <c r="A1366" s="98"/>
      <c r="B1366" s="99"/>
      <c r="C1366" s="99"/>
      <c r="D1366" s="99"/>
      <c r="E1366" s="99"/>
      <c r="F1366" s="100"/>
      <c r="G1366" s="100"/>
      <c r="H1366" s="99"/>
      <c r="I1366" s="247"/>
      <c r="J1366" s="101"/>
      <c r="K1366" s="101"/>
      <c r="L1366" s="101"/>
      <c r="M1366" s="101"/>
      <c r="N1366" s="101"/>
      <c r="O1366" s="101"/>
      <c r="P1366" s="101"/>
      <c r="Q1366" s="101"/>
      <c r="R1366" s="101"/>
      <c r="S1366" s="101"/>
      <c r="T1366" s="101"/>
      <c r="U1366" s="99"/>
      <c r="V1366" s="99"/>
      <c r="W1366" s="99"/>
      <c r="X1366" s="99"/>
      <c r="Y1366" s="99"/>
      <c r="Z1366" s="99"/>
      <c r="AA1366" s="100" t="s">
        <v>3661</v>
      </c>
      <c r="AB1366" s="99" t="s">
        <v>526</v>
      </c>
      <c r="AC1366" s="99">
        <v>250</v>
      </c>
      <c r="AD1366" s="101"/>
      <c r="AE1366" s="101"/>
      <c r="AF1366" s="101"/>
      <c r="AG1366" s="101"/>
      <c r="AH1366" s="99"/>
      <c r="AI1366" s="105"/>
    </row>
    <row r="1367" spans="1:35">
      <c r="A1367" s="98"/>
      <c r="B1367" s="99"/>
      <c r="C1367" s="263" t="s">
        <v>3230</v>
      </c>
      <c r="D1367" s="264" t="s">
        <v>79</v>
      </c>
      <c r="E1367" s="264" t="s">
        <v>80</v>
      </c>
      <c r="F1367" s="100" t="s">
        <v>3686</v>
      </c>
      <c r="G1367" s="100" t="s">
        <v>3687</v>
      </c>
      <c r="H1367" s="100" t="s">
        <v>126</v>
      </c>
      <c r="I1367" s="247">
        <v>27970</v>
      </c>
      <c r="J1367" s="101">
        <v>1</v>
      </c>
      <c r="K1367" s="101"/>
      <c r="L1367" s="101">
        <v>1</v>
      </c>
      <c r="M1367" s="101"/>
      <c r="N1367" s="101"/>
      <c r="O1367" s="101"/>
      <c r="P1367" s="101"/>
      <c r="Q1367" s="101"/>
      <c r="R1367" s="101"/>
      <c r="S1367" s="101"/>
      <c r="T1367" s="101"/>
      <c r="U1367" s="99"/>
      <c r="V1367" s="100" t="s">
        <v>218</v>
      </c>
      <c r="W1367" s="100" t="s">
        <v>279</v>
      </c>
      <c r="X1367" s="100" t="s">
        <v>227</v>
      </c>
      <c r="Y1367" s="99"/>
      <c r="Z1367" s="99"/>
      <c r="AA1367" s="100" t="s">
        <v>3198</v>
      </c>
      <c r="AB1367" s="100" t="s">
        <v>528</v>
      </c>
      <c r="AC1367" s="99">
        <v>1</v>
      </c>
      <c r="AD1367" s="101"/>
      <c r="AE1367" s="101"/>
      <c r="AF1367" s="101"/>
      <c r="AG1367" s="101"/>
      <c r="AH1367" s="99"/>
      <c r="AI1367" s="105"/>
    </row>
    <row r="1368" spans="1:35">
      <c r="A1368" s="98"/>
      <c r="B1368" s="99"/>
      <c r="C1368" s="99"/>
      <c r="D1368" s="99"/>
      <c r="E1368" s="99"/>
      <c r="F1368" s="100"/>
      <c r="G1368" s="100"/>
      <c r="H1368" s="99"/>
      <c r="I1368" s="247"/>
      <c r="J1368" s="101"/>
      <c r="K1368" s="101"/>
      <c r="L1368" s="101"/>
      <c r="M1368" s="101"/>
      <c r="N1368" s="101"/>
      <c r="O1368" s="101"/>
      <c r="P1368" s="101"/>
      <c r="Q1368" s="101"/>
      <c r="R1368" s="101"/>
      <c r="S1368" s="101"/>
      <c r="T1368" s="101"/>
      <c r="U1368" s="99"/>
      <c r="V1368" s="99"/>
      <c r="W1368" s="99"/>
      <c r="X1368" s="99"/>
      <c r="Y1368" s="99"/>
      <c r="Z1368" s="99"/>
      <c r="AA1368" s="100" t="s">
        <v>1961</v>
      </c>
      <c r="AB1368" s="100" t="s">
        <v>528</v>
      </c>
      <c r="AC1368" s="99">
        <v>1</v>
      </c>
      <c r="AD1368" s="101"/>
      <c r="AE1368" s="101"/>
      <c r="AF1368" s="101"/>
      <c r="AG1368" s="101"/>
      <c r="AH1368" s="99"/>
      <c r="AI1368" s="105"/>
    </row>
    <row r="1369" spans="1:35">
      <c r="A1369" s="98"/>
      <c r="B1369" s="99"/>
      <c r="C1369" s="99"/>
      <c r="D1369" s="99"/>
      <c r="E1369" s="99"/>
      <c r="F1369" s="100"/>
      <c r="G1369" s="100"/>
      <c r="H1369" s="99"/>
      <c r="I1369" s="247"/>
      <c r="J1369" s="101"/>
      <c r="K1369" s="101"/>
      <c r="L1369" s="101"/>
      <c r="M1369" s="101"/>
      <c r="N1369" s="101"/>
      <c r="O1369" s="101"/>
      <c r="P1369" s="101"/>
      <c r="Q1369" s="101"/>
      <c r="R1369" s="101"/>
      <c r="S1369" s="101"/>
      <c r="T1369" s="101"/>
      <c r="U1369" s="99"/>
      <c r="V1369" s="99"/>
      <c r="W1369" s="99"/>
      <c r="X1369" s="99"/>
      <c r="Y1369" s="99"/>
      <c r="Z1369" s="99"/>
      <c r="AA1369" s="100" t="s">
        <v>3661</v>
      </c>
      <c r="AB1369" s="100" t="s">
        <v>526</v>
      </c>
      <c r="AC1369" s="99">
        <v>250</v>
      </c>
      <c r="AD1369" s="101"/>
      <c r="AE1369" s="101"/>
      <c r="AF1369" s="101"/>
      <c r="AG1369" s="101"/>
      <c r="AH1369" s="99"/>
      <c r="AI1369" s="105"/>
    </row>
    <row r="1370" spans="1:35">
      <c r="A1370" s="98"/>
      <c r="B1370" s="99"/>
      <c r="C1370" s="263" t="s">
        <v>3230</v>
      </c>
      <c r="D1370" s="264" t="s">
        <v>79</v>
      </c>
      <c r="E1370" s="264" t="s">
        <v>80</v>
      </c>
      <c r="F1370" s="100" t="s">
        <v>3686</v>
      </c>
      <c r="G1370" s="100" t="s">
        <v>3688</v>
      </c>
      <c r="H1370" s="100" t="s">
        <v>126</v>
      </c>
      <c r="I1370" s="247">
        <v>26363</v>
      </c>
      <c r="J1370" s="101">
        <v>1</v>
      </c>
      <c r="K1370" s="101"/>
      <c r="L1370" s="101">
        <v>1</v>
      </c>
      <c r="M1370" s="101"/>
      <c r="N1370" s="101"/>
      <c r="O1370" s="101"/>
      <c r="P1370" s="101"/>
      <c r="Q1370" s="101"/>
      <c r="R1370" s="101"/>
      <c r="S1370" s="101"/>
      <c r="T1370" s="101"/>
      <c r="U1370" s="99"/>
      <c r="V1370" s="100" t="s">
        <v>218</v>
      </c>
      <c r="W1370" s="100" t="s">
        <v>279</v>
      </c>
      <c r="X1370" s="100" t="s">
        <v>227</v>
      </c>
      <c r="Y1370" s="99"/>
      <c r="Z1370" s="99"/>
      <c r="AA1370" s="100" t="s">
        <v>3198</v>
      </c>
      <c r="AB1370" s="100" t="s">
        <v>528</v>
      </c>
      <c r="AC1370" s="99">
        <v>1</v>
      </c>
      <c r="AD1370" s="101"/>
      <c r="AE1370" s="101"/>
      <c r="AF1370" s="101"/>
      <c r="AG1370" s="101"/>
      <c r="AH1370" s="99"/>
      <c r="AI1370" s="105"/>
    </row>
    <row r="1371" spans="1:35">
      <c r="A1371" s="98"/>
      <c r="B1371" s="99"/>
      <c r="C1371" s="99"/>
      <c r="D1371" s="99"/>
      <c r="E1371" s="99"/>
      <c r="F1371" s="100"/>
      <c r="G1371" s="100"/>
      <c r="H1371" s="99"/>
      <c r="I1371" s="247"/>
      <c r="J1371" s="101"/>
      <c r="K1371" s="101"/>
      <c r="L1371" s="101"/>
      <c r="M1371" s="101"/>
      <c r="N1371" s="101"/>
      <c r="O1371" s="101"/>
      <c r="P1371" s="101"/>
      <c r="Q1371" s="101"/>
      <c r="R1371" s="101"/>
      <c r="S1371" s="101"/>
      <c r="T1371" s="101"/>
      <c r="U1371" s="99"/>
      <c r="V1371" s="99"/>
      <c r="W1371" s="99"/>
      <c r="X1371" s="99"/>
      <c r="Y1371" s="99"/>
      <c r="Z1371" s="99"/>
      <c r="AA1371" s="100" t="s">
        <v>1961</v>
      </c>
      <c r="AB1371" s="100" t="s">
        <v>528</v>
      </c>
      <c r="AC1371" s="99">
        <v>1</v>
      </c>
      <c r="AD1371" s="101"/>
      <c r="AE1371" s="101"/>
      <c r="AF1371" s="101"/>
      <c r="AG1371" s="101"/>
      <c r="AH1371" s="99"/>
      <c r="AI1371" s="105"/>
    </row>
    <row r="1372" spans="1:35">
      <c r="A1372" s="98"/>
      <c r="B1372" s="99"/>
      <c r="C1372" s="99"/>
      <c r="D1372" s="99"/>
      <c r="E1372" s="99"/>
      <c r="F1372" s="100"/>
      <c r="G1372" s="100"/>
      <c r="H1372" s="99"/>
      <c r="I1372" s="247"/>
      <c r="J1372" s="101"/>
      <c r="K1372" s="101"/>
      <c r="L1372" s="101"/>
      <c r="M1372" s="101"/>
      <c r="N1372" s="101"/>
      <c r="O1372" s="101"/>
      <c r="P1372" s="101"/>
      <c r="Q1372" s="101"/>
      <c r="R1372" s="101"/>
      <c r="S1372" s="101"/>
      <c r="T1372" s="101"/>
      <c r="U1372" s="99"/>
      <c r="V1372" s="99"/>
      <c r="W1372" s="99"/>
      <c r="X1372" s="99"/>
      <c r="Y1372" s="99"/>
      <c r="Z1372" s="99"/>
      <c r="AA1372" s="100" t="s">
        <v>3661</v>
      </c>
      <c r="AB1372" s="99" t="s">
        <v>526</v>
      </c>
      <c r="AC1372" s="99">
        <v>250</v>
      </c>
      <c r="AD1372" s="101"/>
      <c r="AE1372" s="101"/>
      <c r="AF1372" s="101"/>
      <c r="AG1372" s="101"/>
      <c r="AH1372" s="99"/>
      <c r="AI1372" s="105"/>
    </row>
    <row r="1373" spans="1:35">
      <c r="A1373" s="98"/>
      <c r="B1373" s="99"/>
      <c r="C1373" s="263" t="s">
        <v>3230</v>
      </c>
      <c r="D1373" s="264" t="s">
        <v>79</v>
      </c>
      <c r="E1373" s="264" t="s">
        <v>80</v>
      </c>
      <c r="F1373" s="100" t="s">
        <v>3686</v>
      </c>
      <c r="G1373" s="100" t="s">
        <v>584</v>
      </c>
      <c r="H1373" s="100" t="s">
        <v>126</v>
      </c>
      <c r="I1373" s="247">
        <v>29255</v>
      </c>
      <c r="J1373" s="101">
        <v>1</v>
      </c>
      <c r="K1373" s="101"/>
      <c r="L1373" s="101">
        <v>1</v>
      </c>
      <c r="M1373" s="101"/>
      <c r="N1373" s="101"/>
      <c r="O1373" s="101"/>
      <c r="P1373" s="101"/>
      <c r="Q1373" s="101"/>
      <c r="R1373" s="101"/>
      <c r="S1373" s="101"/>
      <c r="T1373" s="101"/>
      <c r="U1373" s="99"/>
      <c r="V1373" s="100" t="s">
        <v>218</v>
      </c>
      <c r="W1373" s="100" t="s">
        <v>279</v>
      </c>
      <c r="X1373" s="100" t="s">
        <v>227</v>
      </c>
      <c r="Y1373" s="99"/>
      <c r="Z1373" s="99"/>
      <c r="AA1373" s="100" t="s">
        <v>3198</v>
      </c>
      <c r="AB1373" s="100" t="s">
        <v>528</v>
      </c>
      <c r="AC1373" s="99">
        <v>1</v>
      </c>
      <c r="AD1373" s="101"/>
      <c r="AE1373" s="101"/>
      <c r="AF1373" s="101"/>
      <c r="AG1373" s="101"/>
      <c r="AH1373" s="99"/>
      <c r="AI1373" s="105"/>
    </row>
    <row r="1374" spans="1:35">
      <c r="A1374" s="98"/>
      <c r="B1374" s="99"/>
      <c r="C1374" s="99"/>
      <c r="D1374" s="99"/>
      <c r="E1374" s="99"/>
      <c r="F1374" s="100"/>
      <c r="G1374" s="100"/>
      <c r="H1374" s="99"/>
      <c r="I1374" s="247"/>
      <c r="J1374" s="101"/>
      <c r="K1374" s="101"/>
      <c r="L1374" s="101"/>
      <c r="M1374" s="101"/>
      <c r="N1374" s="101"/>
      <c r="O1374" s="101"/>
      <c r="P1374" s="101"/>
      <c r="Q1374" s="101"/>
      <c r="R1374" s="101"/>
      <c r="S1374" s="101"/>
      <c r="T1374" s="101"/>
      <c r="U1374" s="99"/>
      <c r="V1374" s="99"/>
      <c r="W1374" s="99"/>
      <c r="X1374" s="99"/>
      <c r="Y1374" s="99"/>
      <c r="Z1374" s="99"/>
      <c r="AA1374" s="100" t="s">
        <v>1961</v>
      </c>
      <c r="AB1374" s="100" t="s">
        <v>528</v>
      </c>
      <c r="AC1374" s="99">
        <v>1</v>
      </c>
      <c r="AD1374" s="101"/>
      <c r="AE1374" s="101"/>
      <c r="AF1374" s="101"/>
      <c r="AG1374" s="101"/>
      <c r="AH1374" s="99"/>
      <c r="AI1374" s="105"/>
    </row>
    <row r="1375" spans="1:35">
      <c r="A1375" s="98"/>
      <c r="B1375" s="99"/>
      <c r="C1375" s="99"/>
      <c r="D1375" s="99"/>
      <c r="E1375" s="99"/>
      <c r="F1375" s="100"/>
      <c r="G1375" s="100"/>
      <c r="H1375" s="99"/>
      <c r="I1375" s="247"/>
      <c r="J1375" s="101"/>
      <c r="K1375" s="101"/>
      <c r="L1375" s="101"/>
      <c r="M1375" s="101"/>
      <c r="N1375" s="101"/>
      <c r="O1375" s="101"/>
      <c r="P1375" s="101"/>
      <c r="Q1375" s="101"/>
      <c r="R1375" s="101"/>
      <c r="S1375" s="101"/>
      <c r="T1375" s="101"/>
      <c r="U1375" s="99"/>
      <c r="V1375" s="99"/>
      <c r="W1375" s="99"/>
      <c r="X1375" s="99"/>
      <c r="Y1375" s="99"/>
      <c r="Z1375" s="99"/>
      <c r="AA1375" s="100" t="s">
        <v>3661</v>
      </c>
      <c r="AB1375" s="100" t="s">
        <v>526</v>
      </c>
      <c r="AC1375" s="99">
        <v>250</v>
      </c>
      <c r="AD1375" s="101"/>
      <c r="AE1375" s="101"/>
      <c r="AF1375" s="101"/>
      <c r="AG1375" s="101"/>
      <c r="AH1375" s="99"/>
      <c r="AI1375" s="105"/>
    </row>
    <row r="1376" spans="1:35">
      <c r="A1376" s="98"/>
      <c r="B1376" s="99"/>
      <c r="C1376" s="263" t="s">
        <v>3230</v>
      </c>
      <c r="D1376" s="264" t="s">
        <v>79</v>
      </c>
      <c r="E1376" s="264" t="s">
        <v>80</v>
      </c>
      <c r="F1376" s="100" t="s">
        <v>3335</v>
      </c>
      <c r="G1376" s="100" t="s">
        <v>470</v>
      </c>
      <c r="H1376" s="100" t="s">
        <v>160</v>
      </c>
      <c r="I1376" s="247">
        <v>21386</v>
      </c>
      <c r="J1376" s="101">
        <v>1</v>
      </c>
      <c r="K1376" s="101"/>
      <c r="L1376" s="101">
        <v>1</v>
      </c>
      <c r="M1376" s="101"/>
      <c r="N1376" s="101"/>
      <c r="O1376" s="101"/>
      <c r="P1376" s="101"/>
      <c r="Q1376" s="101"/>
      <c r="R1376" s="101"/>
      <c r="S1376" s="101"/>
      <c r="T1376" s="101"/>
      <c r="U1376" s="99"/>
      <c r="V1376" s="100" t="s">
        <v>218</v>
      </c>
      <c r="W1376" s="100" t="s">
        <v>279</v>
      </c>
      <c r="X1376" s="100" t="s">
        <v>227</v>
      </c>
      <c r="Y1376" s="99"/>
      <c r="Z1376" s="99"/>
      <c r="AA1376" s="100" t="s">
        <v>3704</v>
      </c>
      <c r="AB1376" s="100" t="s">
        <v>528</v>
      </c>
      <c r="AC1376" s="99">
        <v>1</v>
      </c>
      <c r="AD1376" s="101"/>
      <c r="AE1376" s="101"/>
      <c r="AF1376" s="101"/>
      <c r="AG1376" s="101"/>
      <c r="AH1376" s="99"/>
      <c r="AI1376" s="105"/>
    </row>
    <row r="1377" spans="1:35">
      <c r="A1377" s="98"/>
      <c r="B1377" s="99"/>
      <c r="C1377" s="99"/>
      <c r="D1377" s="99"/>
      <c r="E1377" s="99"/>
      <c r="F1377" s="100"/>
      <c r="G1377" s="100"/>
      <c r="H1377" s="99"/>
      <c r="I1377" s="247"/>
      <c r="J1377" s="101"/>
      <c r="K1377" s="101"/>
      <c r="L1377" s="101"/>
      <c r="M1377" s="101"/>
      <c r="N1377" s="101"/>
      <c r="O1377" s="101"/>
      <c r="P1377" s="101"/>
      <c r="Q1377" s="101"/>
      <c r="R1377" s="101"/>
      <c r="S1377" s="101"/>
      <c r="T1377" s="101"/>
      <c r="U1377" s="99"/>
      <c r="V1377" s="99"/>
      <c r="W1377" s="99"/>
      <c r="X1377" s="99"/>
      <c r="Y1377" s="99"/>
      <c r="Z1377" s="99"/>
      <c r="AA1377" s="100" t="s">
        <v>1961</v>
      </c>
      <c r="AB1377" s="100" t="s">
        <v>528</v>
      </c>
      <c r="AC1377" s="99">
        <v>1</v>
      </c>
      <c r="AD1377" s="101"/>
      <c r="AE1377" s="101"/>
      <c r="AF1377" s="101"/>
      <c r="AG1377" s="101"/>
      <c r="AH1377" s="99"/>
      <c r="AI1377" s="105"/>
    </row>
    <row r="1378" spans="1:35">
      <c r="A1378" s="98"/>
      <c r="B1378" s="99"/>
      <c r="C1378" s="99"/>
      <c r="D1378" s="99"/>
      <c r="E1378" s="99"/>
      <c r="F1378" s="100"/>
      <c r="G1378" s="100"/>
      <c r="H1378" s="99"/>
      <c r="I1378" s="247"/>
      <c r="J1378" s="101"/>
      <c r="K1378" s="101"/>
      <c r="L1378" s="101"/>
      <c r="M1378" s="101"/>
      <c r="N1378" s="101"/>
      <c r="O1378" s="101"/>
      <c r="P1378" s="101"/>
      <c r="Q1378" s="101"/>
      <c r="R1378" s="101"/>
      <c r="S1378" s="101"/>
      <c r="T1378" s="101"/>
      <c r="U1378" s="99"/>
      <c r="V1378" s="99"/>
      <c r="W1378" s="99"/>
      <c r="X1378" s="99"/>
      <c r="Y1378" s="99"/>
      <c r="Z1378" s="99"/>
      <c r="AA1378" s="100" t="s">
        <v>3661</v>
      </c>
      <c r="AB1378" s="99" t="s">
        <v>526</v>
      </c>
      <c r="AC1378" s="99">
        <v>250</v>
      </c>
      <c r="AD1378" s="101"/>
      <c r="AE1378" s="101"/>
      <c r="AF1378" s="101"/>
      <c r="AG1378" s="101"/>
      <c r="AH1378" s="99"/>
      <c r="AI1378" s="105"/>
    </row>
    <row r="1379" spans="1:35">
      <c r="A1379" s="98"/>
      <c r="B1379" s="99"/>
      <c r="C1379" s="263" t="s">
        <v>3230</v>
      </c>
      <c r="D1379" s="264" t="s">
        <v>79</v>
      </c>
      <c r="E1379" s="264" t="s">
        <v>80</v>
      </c>
      <c r="F1379" s="100" t="s">
        <v>3689</v>
      </c>
      <c r="G1379" s="100" t="s">
        <v>3690</v>
      </c>
      <c r="H1379" s="100" t="s">
        <v>144</v>
      </c>
      <c r="I1379" s="247">
        <v>33401</v>
      </c>
      <c r="J1379" s="101">
        <v>1</v>
      </c>
      <c r="K1379" s="101"/>
      <c r="L1379" s="101">
        <v>1</v>
      </c>
      <c r="M1379" s="101"/>
      <c r="N1379" s="101"/>
      <c r="O1379" s="101"/>
      <c r="P1379" s="101"/>
      <c r="Q1379" s="101"/>
      <c r="R1379" s="101"/>
      <c r="S1379" s="101"/>
      <c r="T1379" s="101"/>
      <c r="U1379" s="99"/>
      <c r="V1379" s="100" t="s">
        <v>218</v>
      </c>
      <c r="W1379" s="100" t="s">
        <v>279</v>
      </c>
      <c r="X1379" s="100" t="s">
        <v>227</v>
      </c>
      <c r="Y1379" s="99"/>
      <c r="Z1379" s="99"/>
      <c r="AA1379" s="100" t="s">
        <v>3704</v>
      </c>
      <c r="AB1379" s="100" t="s">
        <v>528</v>
      </c>
      <c r="AC1379" s="99">
        <v>1</v>
      </c>
      <c r="AD1379" s="101"/>
      <c r="AE1379" s="101"/>
      <c r="AF1379" s="101"/>
      <c r="AG1379" s="101"/>
      <c r="AH1379" s="99"/>
      <c r="AI1379" s="105"/>
    </row>
    <row r="1380" spans="1:35">
      <c r="A1380" s="98"/>
      <c r="B1380" s="99"/>
      <c r="C1380" s="99"/>
      <c r="D1380" s="99"/>
      <c r="E1380" s="99"/>
      <c r="F1380" s="100"/>
      <c r="G1380" s="100"/>
      <c r="H1380" s="99"/>
      <c r="I1380" s="247"/>
      <c r="J1380" s="101"/>
      <c r="K1380" s="101"/>
      <c r="L1380" s="101"/>
      <c r="M1380" s="101"/>
      <c r="N1380" s="101"/>
      <c r="O1380" s="101"/>
      <c r="P1380" s="101"/>
      <c r="Q1380" s="101"/>
      <c r="R1380" s="101"/>
      <c r="S1380" s="101"/>
      <c r="T1380" s="101"/>
      <c r="U1380" s="99"/>
      <c r="V1380" s="99"/>
      <c r="W1380" s="99"/>
      <c r="X1380" s="99"/>
      <c r="Y1380" s="99"/>
      <c r="Z1380" s="99"/>
      <c r="AA1380" s="100" t="s">
        <v>1961</v>
      </c>
      <c r="AB1380" s="100" t="s">
        <v>528</v>
      </c>
      <c r="AC1380" s="99">
        <v>1</v>
      </c>
      <c r="AD1380" s="101"/>
      <c r="AE1380" s="101"/>
      <c r="AF1380" s="101"/>
      <c r="AG1380" s="101"/>
      <c r="AH1380" s="99"/>
      <c r="AI1380" s="105"/>
    </row>
    <row r="1381" spans="1:35">
      <c r="A1381" s="98"/>
      <c r="B1381" s="99"/>
      <c r="C1381" s="99"/>
      <c r="D1381" s="99"/>
      <c r="E1381" s="99"/>
      <c r="F1381" s="100"/>
      <c r="G1381" s="100"/>
      <c r="H1381" s="99"/>
      <c r="I1381" s="247"/>
      <c r="J1381" s="101"/>
      <c r="K1381" s="101"/>
      <c r="L1381" s="101"/>
      <c r="M1381" s="101"/>
      <c r="N1381" s="101"/>
      <c r="O1381" s="101"/>
      <c r="P1381" s="101"/>
      <c r="Q1381" s="101"/>
      <c r="R1381" s="101"/>
      <c r="S1381" s="101"/>
      <c r="T1381" s="101"/>
      <c r="U1381" s="99"/>
      <c r="V1381" s="99"/>
      <c r="W1381" s="99"/>
      <c r="X1381" s="99"/>
      <c r="Y1381" s="99"/>
      <c r="Z1381" s="99"/>
      <c r="AA1381" s="100" t="s">
        <v>3661</v>
      </c>
      <c r="AB1381" s="100" t="s">
        <v>526</v>
      </c>
      <c r="AC1381" s="99">
        <v>250</v>
      </c>
      <c r="AD1381" s="101"/>
      <c r="AE1381" s="101"/>
      <c r="AF1381" s="101"/>
      <c r="AG1381" s="101"/>
      <c r="AH1381" s="99"/>
      <c r="AI1381" s="105"/>
    </row>
    <row r="1382" spans="1:35">
      <c r="A1382" s="98"/>
      <c r="B1382" s="99"/>
      <c r="C1382" s="263" t="s">
        <v>3230</v>
      </c>
      <c r="D1382" s="264" t="s">
        <v>79</v>
      </c>
      <c r="E1382" s="264" t="s">
        <v>80</v>
      </c>
      <c r="F1382" s="100" t="s">
        <v>3338</v>
      </c>
      <c r="G1382" s="100" t="s">
        <v>1134</v>
      </c>
      <c r="H1382" s="100" t="s">
        <v>421</v>
      </c>
      <c r="I1382" s="247">
        <v>33338</v>
      </c>
      <c r="J1382" s="101">
        <v>1</v>
      </c>
      <c r="K1382" s="101"/>
      <c r="L1382" s="101">
        <v>1</v>
      </c>
      <c r="M1382" s="101"/>
      <c r="N1382" s="101"/>
      <c r="O1382" s="101"/>
      <c r="P1382" s="101"/>
      <c r="Q1382" s="101"/>
      <c r="R1382" s="101"/>
      <c r="S1382" s="101"/>
      <c r="T1382" s="101"/>
      <c r="U1382" s="99"/>
      <c r="V1382" s="100" t="s">
        <v>218</v>
      </c>
      <c r="W1382" s="100" t="s">
        <v>279</v>
      </c>
      <c r="X1382" s="100" t="s">
        <v>227</v>
      </c>
      <c r="Y1382" s="99"/>
      <c r="Z1382" s="99"/>
      <c r="AA1382" s="100" t="s">
        <v>3704</v>
      </c>
      <c r="AB1382" s="100" t="s">
        <v>528</v>
      </c>
      <c r="AC1382" s="99">
        <v>1</v>
      </c>
      <c r="AD1382" s="101"/>
      <c r="AE1382" s="101"/>
      <c r="AF1382" s="101"/>
      <c r="AG1382" s="101"/>
      <c r="AH1382" s="99"/>
      <c r="AI1382" s="105"/>
    </row>
    <row r="1383" spans="1:35">
      <c r="A1383" s="98"/>
      <c r="B1383" s="99"/>
      <c r="C1383" s="99"/>
      <c r="D1383" s="99"/>
      <c r="E1383" s="99"/>
      <c r="F1383" s="100"/>
      <c r="G1383" s="100"/>
      <c r="H1383" s="99"/>
      <c r="I1383" s="247"/>
      <c r="J1383" s="101"/>
      <c r="K1383" s="101"/>
      <c r="L1383" s="101"/>
      <c r="M1383" s="101"/>
      <c r="N1383" s="101"/>
      <c r="O1383" s="101"/>
      <c r="P1383" s="101"/>
      <c r="Q1383" s="101"/>
      <c r="R1383" s="101"/>
      <c r="S1383" s="101"/>
      <c r="T1383" s="101"/>
      <c r="U1383" s="99"/>
      <c r="V1383" s="99"/>
      <c r="W1383" s="99"/>
      <c r="X1383" s="99"/>
      <c r="Y1383" s="99"/>
      <c r="Z1383" s="99"/>
      <c r="AA1383" s="100" t="s">
        <v>1961</v>
      </c>
      <c r="AB1383" s="100" t="s">
        <v>528</v>
      </c>
      <c r="AC1383" s="99">
        <v>1</v>
      </c>
      <c r="AD1383" s="101"/>
      <c r="AE1383" s="101"/>
      <c r="AF1383" s="101"/>
      <c r="AG1383" s="101"/>
      <c r="AH1383" s="99"/>
      <c r="AI1383" s="105"/>
    </row>
    <row r="1384" spans="1:35">
      <c r="A1384" s="98"/>
      <c r="B1384" s="99"/>
      <c r="C1384" s="99"/>
      <c r="D1384" s="99"/>
      <c r="E1384" s="99"/>
      <c r="F1384" s="100"/>
      <c r="G1384" s="100"/>
      <c r="H1384" s="99"/>
      <c r="I1384" s="247"/>
      <c r="J1384" s="101"/>
      <c r="K1384" s="101"/>
      <c r="L1384" s="101"/>
      <c r="M1384" s="101"/>
      <c r="N1384" s="101"/>
      <c r="O1384" s="101"/>
      <c r="P1384" s="101"/>
      <c r="Q1384" s="101"/>
      <c r="R1384" s="101"/>
      <c r="S1384" s="101"/>
      <c r="T1384" s="101"/>
      <c r="U1384" s="99"/>
      <c r="V1384" s="99"/>
      <c r="W1384" s="99"/>
      <c r="X1384" s="99"/>
      <c r="Y1384" s="99"/>
      <c r="Z1384" s="99"/>
      <c r="AA1384" s="100" t="s">
        <v>3661</v>
      </c>
      <c r="AB1384" s="99" t="s">
        <v>526</v>
      </c>
      <c r="AC1384" s="99">
        <v>250</v>
      </c>
      <c r="AD1384" s="101"/>
      <c r="AE1384" s="101"/>
      <c r="AF1384" s="101"/>
      <c r="AG1384" s="101"/>
      <c r="AH1384" s="99"/>
      <c r="AI1384" s="105"/>
    </row>
    <row r="1385" spans="1:35">
      <c r="A1385" s="98"/>
      <c r="B1385" s="99"/>
      <c r="C1385" s="263" t="s">
        <v>3230</v>
      </c>
      <c r="D1385" s="264" t="s">
        <v>79</v>
      </c>
      <c r="E1385" s="264" t="s">
        <v>80</v>
      </c>
      <c r="F1385" s="100" t="s">
        <v>3338</v>
      </c>
      <c r="G1385" s="100" t="s">
        <v>3691</v>
      </c>
      <c r="H1385" s="100" t="s">
        <v>286</v>
      </c>
      <c r="I1385" s="247">
        <v>23521</v>
      </c>
      <c r="J1385" s="101"/>
      <c r="K1385" s="101">
        <v>1</v>
      </c>
      <c r="L1385" s="101">
        <v>1</v>
      </c>
      <c r="M1385" s="101"/>
      <c r="N1385" s="101"/>
      <c r="O1385" s="101"/>
      <c r="P1385" s="101"/>
      <c r="Q1385" s="101"/>
      <c r="R1385" s="101"/>
      <c r="S1385" s="101"/>
      <c r="T1385" s="101"/>
      <c r="U1385" s="99"/>
      <c r="V1385" s="100" t="s">
        <v>218</v>
      </c>
      <c r="W1385" s="100" t="s">
        <v>279</v>
      </c>
      <c r="X1385" s="100" t="s">
        <v>227</v>
      </c>
      <c r="Y1385" s="99"/>
      <c r="Z1385" s="99"/>
      <c r="AA1385" s="100" t="s">
        <v>3704</v>
      </c>
      <c r="AB1385" s="100" t="s">
        <v>528</v>
      </c>
      <c r="AC1385" s="99">
        <v>1</v>
      </c>
      <c r="AD1385" s="101"/>
      <c r="AE1385" s="101"/>
      <c r="AF1385" s="101"/>
      <c r="AG1385" s="101"/>
      <c r="AH1385" s="99"/>
      <c r="AI1385" s="105"/>
    </row>
    <row r="1386" spans="1:35">
      <c r="A1386" s="98"/>
      <c r="B1386" s="99"/>
      <c r="C1386" s="99"/>
      <c r="D1386" s="99"/>
      <c r="E1386" s="99"/>
      <c r="F1386" s="100"/>
      <c r="G1386" s="100"/>
      <c r="H1386" s="99"/>
      <c r="I1386" s="247"/>
      <c r="J1386" s="101"/>
      <c r="K1386" s="101"/>
      <c r="L1386" s="101"/>
      <c r="M1386" s="101"/>
      <c r="N1386" s="101"/>
      <c r="O1386" s="101"/>
      <c r="P1386" s="101"/>
      <c r="Q1386" s="101"/>
      <c r="R1386" s="101"/>
      <c r="S1386" s="101"/>
      <c r="T1386" s="101"/>
      <c r="U1386" s="99"/>
      <c r="V1386" s="99"/>
      <c r="W1386" s="99"/>
      <c r="X1386" s="99"/>
      <c r="Y1386" s="99"/>
      <c r="Z1386" s="99"/>
      <c r="AA1386" s="100" t="s">
        <v>1961</v>
      </c>
      <c r="AB1386" s="100" t="s">
        <v>528</v>
      </c>
      <c r="AC1386" s="99">
        <v>1</v>
      </c>
      <c r="AD1386" s="101"/>
      <c r="AE1386" s="101"/>
      <c r="AF1386" s="101"/>
      <c r="AG1386" s="101"/>
      <c r="AH1386" s="99"/>
      <c r="AI1386" s="105"/>
    </row>
    <row r="1387" spans="1:35">
      <c r="A1387" s="98"/>
      <c r="B1387" s="99"/>
      <c r="C1387" s="99"/>
      <c r="D1387" s="99"/>
      <c r="E1387" s="99"/>
      <c r="F1387" s="100"/>
      <c r="G1387" s="100"/>
      <c r="H1387" s="99"/>
      <c r="I1387" s="247"/>
      <c r="J1387" s="101"/>
      <c r="K1387" s="101"/>
      <c r="L1387" s="101"/>
      <c r="M1387" s="101"/>
      <c r="N1387" s="101"/>
      <c r="O1387" s="101"/>
      <c r="P1387" s="101"/>
      <c r="Q1387" s="101"/>
      <c r="R1387" s="101"/>
      <c r="S1387" s="101"/>
      <c r="T1387" s="101"/>
      <c r="U1387" s="99"/>
      <c r="V1387" s="99"/>
      <c r="W1387" s="99"/>
      <c r="X1387" s="99"/>
      <c r="Y1387" s="99"/>
      <c r="Z1387" s="99"/>
      <c r="AA1387" s="100" t="s">
        <v>3661</v>
      </c>
      <c r="AB1387" s="100" t="s">
        <v>526</v>
      </c>
      <c r="AC1387" s="99">
        <v>250</v>
      </c>
      <c r="AD1387" s="101"/>
      <c r="AE1387" s="101"/>
      <c r="AF1387" s="101"/>
      <c r="AG1387" s="101"/>
      <c r="AH1387" s="99"/>
      <c r="AI1387" s="105"/>
    </row>
    <row r="1388" spans="1:35">
      <c r="A1388" s="98"/>
      <c r="B1388" s="99"/>
      <c r="C1388" s="263" t="s">
        <v>3230</v>
      </c>
      <c r="D1388" s="264" t="s">
        <v>79</v>
      </c>
      <c r="E1388" s="264" t="s">
        <v>80</v>
      </c>
      <c r="F1388" s="100" t="s">
        <v>3692</v>
      </c>
      <c r="G1388" s="100" t="s">
        <v>3693</v>
      </c>
      <c r="H1388" s="100" t="s">
        <v>588</v>
      </c>
      <c r="I1388" s="247">
        <v>25158</v>
      </c>
      <c r="J1388" s="101"/>
      <c r="K1388" s="101">
        <v>1</v>
      </c>
      <c r="L1388" s="101">
        <v>1</v>
      </c>
      <c r="M1388" s="101"/>
      <c r="N1388" s="101"/>
      <c r="O1388" s="101"/>
      <c r="P1388" s="101"/>
      <c r="Q1388" s="101"/>
      <c r="R1388" s="101"/>
      <c r="S1388" s="101"/>
      <c r="T1388" s="101"/>
      <c r="U1388" s="99"/>
      <c r="V1388" s="100" t="s">
        <v>218</v>
      </c>
      <c r="W1388" s="100" t="s">
        <v>279</v>
      </c>
      <c r="X1388" s="100" t="s">
        <v>227</v>
      </c>
      <c r="Y1388" s="99"/>
      <c r="Z1388" s="99"/>
      <c r="AA1388" s="100" t="s">
        <v>3704</v>
      </c>
      <c r="AB1388" s="100" t="s">
        <v>528</v>
      </c>
      <c r="AC1388" s="99">
        <v>1</v>
      </c>
      <c r="AD1388" s="101"/>
      <c r="AE1388" s="101"/>
      <c r="AF1388" s="101"/>
      <c r="AG1388" s="101"/>
      <c r="AH1388" s="99"/>
      <c r="AI1388" s="105"/>
    </row>
    <row r="1389" spans="1:35">
      <c r="A1389" s="98"/>
      <c r="B1389" s="99"/>
      <c r="C1389" s="99"/>
      <c r="D1389" s="99"/>
      <c r="E1389" s="99"/>
      <c r="F1389" s="100"/>
      <c r="G1389" s="100"/>
      <c r="H1389" s="99"/>
      <c r="I1389" s="247"/>
      <c r="J1389" s="101"/>
      <c r="K1389" s="101"/>
      <c r="L1389" s="101"/>
      <c r="M1389" s="101"/>
      <c r="N1389" s="101"/>
      <c r="O1389" s="101"/>
      <c r="P1389" s="101"/>
      <c r="Q1389" s="101"/>
      <c r="R1389" s="101"/>
      <c r="S1389" s="101"/>
      <c r="T1389" s="101"/>
      <c r="U1389" s="99"/>
      <c r="V1389" s="99"/>
      <c r="W1389" s="99"/>
      <c r="X1389" s="99"/>
      <c r="Y1389" s="99"/>
      <c r="Z1389" s="99"/>
      <c r="AA1389" s="100" t="s">
        <v>1961</v>
      </c>
      <c r="AB1389" s="100" t="s">
        <v>528</v>
      </c>
      <c r="AC1389" s="99">
        <v>1</v>
      </c>
      <c r="AD1389" s="101"/>
      <c r="AE1389" s="101"/>
      <c r="AF1389" s="101"/>
      <c r="AG1389" s="101"/>
      <c r="AH1389" s="99"/>
      <c r="AI1389" s="105"/>
    </row>
    <row r="1390" spans="1:35">
      <c r="A1390" s="98"/>
      <c r="B1390" s="99"/>
      <c r="C1390" s="99"/>
      <c r="D1390" s="99"/>
      <c r="E1390" s="99"/>
      <c r="F1390" s="100"/>
      <c r="G1390" s="100"/>
      <c r="H1390" s="99"/>
      <c r="I1390" s="247"/>
      <c r="J1390" s="101"/>
      <c r="K1390" s="101"/>
      <c r="L1390" s="101"/>
      <c r="M1390" s="101"/>
      <c r="N1390" s="101"/>
      <c r="O1390" s="101"/>
      <c r="P1390" s="101"/>
      <c r="Q1390" s="101"/>
      <c r="R1390" s="101"/>
      <c r="S1390" s="101"/>
      <c r="T1390" s="101"/>
      <c r="U1390" s="99"/>
      <c r="V1390" s="99"/>
      <c r="W1390" s="99"/>
      <c r="X1390" s="99"/>
      <c r="Y1390" s="99"/>
      <c r="Z1390" s="99"/>
      <c r="AA1390" s="100" t="s">
        <v>3661</v>
      </c>
      <c r="AB1390" s="99" t="s">
        <v>526</v>
      </c>
      <c r="AC1390" s="99">
        <v>250</v>
      </c>
      <c r="AD1390" s="101"/>
      <c r="AE1390" s="101"/>
      <c r="AF1390" s="101"/>
      <c r="AG1390" s="101"/>
      <c r="AH1390" s="99"/>
      <c r="AI1390" s="105"/>
    </row>
    <row r="1391" spans="1:35">
      <c r="A1391" s="98"/>
      <c r="B1391" s="99"/>
      <c r="C1391" s="263" t="s">
        <v>3230</v>
      </c>
      <c r="D1391" s="264" t="s">
        <v>79</v>
      </c>
      <c r="E1391" s="264" t="s">
        <v>80</v>
      </c>
      <c r="F1391" s="100" t="s">
        <v>3335</v>
      </c>
      <c r="G1391" s="100" t="s">
        <v>776</v>
      </c>
      <c r="H1391" s="100" t="s">
        <v>120</v>
      </c>
      <c r="I1391" s="247">
        <v>33699</v>
      </c>
      <c r="J1391" s="101">
        <v>1</v>
      </c>
      <c r="K1391" s="101"/>
      <c r="L1391" s="101">
        <v>1</v>
      </c>
      <c r="M1391" s="101"/>
      <c r="N1391" s="101"/>
      <c r="O1391" s="101"/>
      <c r="P1391" s="101"/>
      <c r="Q1391" s="101"/>
      <c r="R1391" s="101"/>
      <c r="S1391" s="101"/>
      <c r="T1391" s="101"/>
      <c r="U1391" s="99"/>
      <c r="V1391" s="100" t="s">
        <v>218</v>
      </c>
      <c r="W1391" s="100" t="s">
        <v>279</v>
      </c>
      <c r="X1391" s="100" t="s">
        <v>227</v>
      </c>
      <c r="Y1391" s="99"/>
      <c r="Z1391" s="99"/>
      <c r="AA1391" s="100" t="s">
        <v>3704</v>
      </c>
      <c r="AB1391" s="100" t="s">
        <v>528</v>
      </c>
      <c r="AC1391" s="99">
        <v>1</v>
      </c>
      <c r="AD1391" s="101"/>
      <c r="AE1391" s="101"/>
      <c r="AF1391" s="101"/>
      <c r="AG1391" s="101"/>
      <c r="AH1391" s="99"/>
      <c r="AI1391" s="105"/>
    </row>
    <row r="1392" spans="1:35">
      <c r="A1392" s="98"/>
      <c r="B1392" s="99"/>
      <c r="C1392" s="99"/>
      <c r="D1392" s="99"/>
      <c r="E1392" s="99"/>
      <c r="F1392" s="100"/>
      <c r="G1392" s="100"/>
      <c r="H1392" s="99"/>
      <c r="I1392" s="247"/>
      <c r="J1392" s="101"/>
      <c r="K1392" s="101"/>
      <c r="L1392" s="101"/>
      <c r="M1392" s="101"/>
      <c r="N1392" s="101"/>
      <c r="O1392" s="101"/>
      <c r="P1392" s="101"/>
      <c r="Q1392" s="101"/>
      <c r="R1392" s="101"/>
      <c r="S1392" s="101"/>
      <c r="T1392" s="101"/>
      <c r="U1392" s="99"/>
      <c r="V1392" s="99"/>
      <c r="W1392" s="99"/>
      <c r="X1392" s="99"/>
      <c r="Y1392" s="99"/>
      <c r="Z1392" s="99"/>
      <c r="AA1392" s="100" t="s">
        <v>1961</v>
      </c>
      <c r="AB1392" s="100" t="s">
        <v>528</v>
      </c>
      <c r="AC1392" s="99">
        <v>1</v>
      </c>
      <c r="AD1392" s="101"/>
      <c r="AE1392" s="101"/>
      <c r="AF1392" s="101"/>
      <c r="AG1392" s="101"/>
      <c r="AH1392" s="99"/>
      <c r="AI1392" s="105"/>
    </row>
    <row r="1393" spans="1:35">
      <c r="A1393" s="98"/>
      <c r="B1393" s="99"/>
      <c r="C1393" s="99"/>
      <c r="D1393" s="99"/>
      <c r="E1393" s="99"/>
      <c r="F1393" s="100"/>
      <c r="G1393" s="100"/>
      <c r="H1393" s="99"/>
      <c r="I1393" s="247"/>
      <c r="J1393" s="101"/>
      <c r="K1393" s="101"/>
      <c r="L1393" s="101"/>
      <c r="M1393" s="101"/>
      <c r="N1393" s="101"/>
      <c r="O1393" s="101"/>
      <c r="P1393" s="101"/>
      <c r="Q1393" s="101"/>
      <c r="R1393" s="101"/>
      <c r="S1393" s="101"/>
      <c r="T1393" s="101"/>
      <c r="U1393" s="99"/>
      <c r="V1393" s="99"/>
      <c r="W1393" s="99"/>
      <c r="X1393" s="99"/>
      <c r="Y1393" s="99"/>
      <c r="Z1393" s="99"/>
      <c r="AA1393" s="100" t="s">
        <v>3661</v>
      </c>
      <c r="AB1393" s="100" t="s">
        <v>526</v>
      </c>
      <c r="AC1393" s="99">
        <v>250</v>
      </c>
      <c r="AD1393" s="101"/>
      <c r="AE1393" s="101"/>
      <c r="AF1393" s="101"/>
      <c r="AG1393" s="101"/>
      <c r="AH1393" s="99"/>
      <c r="AI1393" s="105"/>
    </row>
    <row r="1394" spans="1:35">
      <c r="A1394" s="98"/>
      <c r="B1394" s="99"/>
      <c r="C1394" s="263" t="s">
        <v>3230</v>
      </c>
      <c r="D1394" s="264" t="s">
        <v>79</v>
      </c>
      <c r="E1394" s="264" t="s">
        <v>80</v>
      </c>
      <c r="F1394" s="100" t="s">
        <v>1322</v>
      </c>
      <c r="G1394" s="100" t="s">
        <v>3694</v>
      </c>
      <c r="H1394" s="100" t="s">
        <v>133</v>
      </c>
      <c r="I1394" s="247">
        <v>23053</v>
      </c>
      <c r="J1394" s="101">
        <v>1</v>
      </c>
      <c r="K1394" s="101"/>
      <c r="L1394" s="101">
        <v>1</v>
      </c>
      <c r="M1394" s="101"/>
      <c r="N1394" s="101"/>
      <c r="O1394" s="101"/>
      <c r="P1394" s="101"/>
      <c r="Q1394" s="101"/>
      <c r="R1394" s="101"/>
      <c r="S1394" s="101"/>
      <c r="T1394" s="101"/>
      <c r="U1394" s="99"/>
      <c r="V1394" s="100" t="s">
        <v>218</v>
      </c>
      <c r="W1394" s="100" t="s">
        <v>279</v>
      </c>
      <c r="X1394" s="100" t="s">
        <v>227</v>
      </c>
      <c r="Y1394" s="99"/>
      <c r="Z1394" s="99"/>
      <c r="AA1394" s="100" t="s">
        <v>3704</v>
      </c>
      <c r="AB1394" s="100" t="s">
        <v>528</v>
      </c>
      <c r="AC1394" s="99">
        <v>1</v>
      </c>
      <c r="AD1394" s="101"/>
      <c r="AE1394" s="101"/>
      <c r="AF1394" s="101"/>
      <c r="AG1394" s="101"/>
      <c r="AH1394" s="99"/>
      <c r="AI1394" s="105"/>
    </row>
    <row r="1395" spans="1:35">
      <c r="A1395" s="98"/>
      <c r="B1395" s="99"/>
      <c r="C1395" s="99"/>
      <c r="D1395" s="99"/>
      <c r="E1395" s="99"/>
      <c r="F1395" s="100"/>
      <c r="G1395" s="100"/>
      <c r="H1395" s="99"/>
      <c r="I1395" s="247"/>
      <c r="J1395" s="101"/>
      <c r="K1395" s="101"/>
      <c r="L1395" s="101"/>
      <c r="M1395" s="101"/>
      <c r="N1395" s="101"/>
      <c r="O1395" s="101"/>
      <c r="P1395" s="101"/>
      <c r="Q1395" s="101"/>
      <c r="R1395" s="101"/>
      <c r="S1395" s="101"/>
      <c r="T1395" s="101"/>
      <c r="U1395" s="99"/>
      <c r="V1395" s="99"/>
      <c r="W1395" s="99"/>
      <c r="X1395" s="99"/>
      <c r="Y1395" s="99"/>
      <c r="Z1395" s="99"/>
      <c r="AA1395" s="100" t="s">
        <v>1961</v>
      </c>
      <c r="AB1395" s="100" t="s">
        <v>528</v>
      </c>
      <c r="AC1395" s="99">
        <v>1</v>
      </c>
      <c r="AD1395" s="101"/>
      <c r="AE1395" s="101"/>
      <c r="AF1395" s="101"/>
      <c r="AG1395" s="101"/>
      <c r="AH1395" s="99"/>
      <c r="AI1395" s="105"/>
    </row>
    <row r="1396" spans="1:35">
      <c r="A1396" s="98"/>
      <c r="B1396" s="99"/>
      <c r="C1396" s="99"/>
      <c r="D1396" s="99"/>
      <c r="E1396" s="99"/>
      <c r="F1396" s="100"/>
      <c r="G1396" s="100"/>
      <c r="H1396" s="99"/>
      <c r="I1396" s="247"/>
      <c r="J1396" s="101"/>
      <c r="K1396" s="101"/>
      <c r="L1396" s="101"/>
      <c r="M1396" s="101"/>
      <c r="N1396" s="101"/>
      <c r="O1396" s="101"/>
      <c r="P1396" s="101"/>
      <c r="Q1396" s="101"/>
      <c r="R1396" s="101"/>
      <c r="S1396" s="101"/>
      <c r="T1396" s="101"/>
      <c r="U1396" s="99"/>
      <c r="V1396" s="99"/>
      <c r="W1396" s="99"/>
      <c r="X1396" s="99"/>
      <c r="Y1396" s="99"/>
      <c r="Z1396" s="99"/>
      <c r="AA1396" s="100" t="s">
        <v>3661</v>
      </c>
      <c r="AB1396" s="99" t="s">
        <v>526</v>
      </c>
      <c r="AC1396" s="99">
        <v>250</v>
      </c>
      <c r="AD1396" s="101"/>
      <c r="AE1396" s="101"/>
      <c r="AF1396" s="101"/>
      <c r="AG1396" s="101"/>
      <c r="AH1396" s="99"/>
      <c r="AI1396" s="105"/>
    </row>
    <row r="1397" spans="1:35">
      <c r="A1397" s="98"/>
      <c r="B1397" s="99"/>
      <c r="C1397" s="263" t="s">
        <v>3230</v>
      </c>
      <c r="D1397" s="264" t="s">
        <v>79</v>
      </c>
      <c r="E1397" s="264" t="s">
        <v>80</v>
      </c>
      <c r="F1397" s="100" t="s">
        <v>3695</v>
      </c>
      <c r="G1397" s="100" t="s">
        <v>891</v>
      </c>
      <c r="H1397" s="100" t="s">
        <v>115</v>
      </c>
      <c r="I1397" s="247">
        <v>30651</v>
      </c>
      <c r="J1397" s="101">
        <v>1</v>
      </c>
      <c r="K1397" s="101"/>
      <c r="L1397" s="101">
        <v>1</v>
      </c>
      <c r="M1397" s="101"/>
      <c r="N1397" s="101"/>
      <c r="O1397" s="101"/>
      <c r="P1397" s="101"/>
      <c r="Q1397" s="101"/>
      <c r="R1397" s="101"/>
      <c r="S1397" s="101"/>
      <c r="T1397" s="101"/>
      <c r="U1397" s="99"/>
      <c r="V1397" s="100" t="s">
        <v>218</v>
      </c>
      <c r="W1397" s="100" t="s">
        <v>279</v>
      </c>
      <c r="X1397" s="100" t="s">
        <v>227</v>
      </c>
      <c r="Y1397" s="99"/>
      <c r="Z1397" s="99"/>
      <c r="AA1397" s="100" t="s">
        <v>3704</v>
      </c>
      <c r="AB1397" s="100" t="s">
        <v>528</v>
      </c>
      <c r="AC1397" s="99">
        <v>1</v>
      </c>
      <c r="AD1397" s="101"/>
      <c r="AE1397" s="101"/>
      <c r="AF1397" s="101"/>
      <c r="AG1397" s="101"/>
      <c r="AH1397" s="99"/>
      <c r="AI1397" s="105"/>
    </row>
    <row r="1398" spans="1:35">
      <c r="A1398" s="98"/>
      <c r="B1398" s="99"/>
      <c r="C1398" s="99"/>
      <c r="D1398" s="99"/>
      <c r="E1398" s="99"/>
      <c r="F1398" s="100"/>
      <c r="G1398" s="100"/>
      <c r="H1398" s="99"/>
      <c r="I1398" s="247"/>
      <c r="J1398" s="101"/>
      <c r="K1398" s="101"/>
      <c r="L1398" s="101"/>
      <c r="M1398" s="101"/>
      <c r="N1398" s="101"/>
      <c r="O1398" s="101"/>
      <c r="P1398" s="101"/>
      <c r="Q1398" s="101"/>
      <c r="R1398" s="101"/>
      <c r="S1398" s="101"/>
      <c r="T1398" s="101"/>
      <c r="U1398" s="99"/>
      <c r="V1398" s="99"/>
      <c r="W1398" s="99"/>
      <c r="X1398" s="99"/>
      <c r="Y1398" s="99"/>
      <c r="Z1398" s="99"/>
      <c r="AA1398" s="100" t="s">
        <v>1961</v>
      </c>
      <c r="AB1398" s="100" t="s">
        <v>528</v>
      </c>
      <c r="AC1398" s="99">
        <v>1</v>
      </c>
      <c r="AD1398" s="101"/>
      <c r="AE1398" s="101"/>
      <c r="AF1398" s="101"/>
      <c r="AG1398" s="101"/>
      <c r="AH1398" s="99"/>
      <c r="AI1398" s="105"/>
    </row>
    <row r="1399" spans="1:35">
      <c r="A1399" s="98"/>
      <c r="B1399" s="99"/>
      <c r="C1399" s="99"/>
      <c r="D1399" s="99"/>
      <c r="E1399" s="99"/>
      <c r="F1399" s="100"/>
      <c r="G1399" s="100"/>
      <c r="H1399" s="99"/>
      <c r="I1399" s="247"/>
      <c r="J1399" s="101"/>
      <c r="K1399" s="101"/>
      <c r="L1399" s="101"/>
      <c r="M1399" s="101"/>
      <c r="N1399" s="101"/>
      <c r="O1399" s="101"/>
      <c r="P1399" s="101"/>
      <c r="Q1399" s="101"/>
      <c r="R1399" s="101"/>
      <c r="S1399" s="101"/>
      <c r="T1399" s="101"/>
      <c r="U1399" s="99"/>
      <c r="V1399" s="99"/>
      <c r="W1399" s="99"/>
      <c r="X1399" s="99"/>
      <c r="Y1399" s="99"/>
      <c r="Z1399" s="99"/>
      <c r="AA1399" s="100" t="s">
        <v>3661</v>
      </c>
      <c r="AB1399" s="100" t="s">
        <v>526</v>
      </c>
      <c r="AC1399" s="99">
        <v>250</v>
      </c>
      <c r="AD1399" s="101"/>
      <c r="AE1399" s="101"/>
      <c r="AF1399" s="101"/>
      <c r="AG1399" s="101"/>
      <c r="AH1399" s="99"/>
      <c r="AI1399" s="105"/>
    </row>
    <row r="1400" spans="1:35">
      <c r="A1400" s="98"/>
      <c r="B1400" s="99"/>
      <c r="C1400" s="263" t="s">
        <v>3230</v>
      </c>
      <c r="D1400" s="264" t="s">
        <v>79</v>
      </c>
      <c r="E1400" s="264" t="s">
        <v>80</v>
      </c>
      <c r="F1400" s="100" t="s">
        <v>974</v>
      </c>
      <c r="G1400" s="100" t="s">
        <v>2636</v>
      </c>
      <c r="H1400" s="100" t="s">
        <v>1957</v>
      </c>
      <c r="I1400" s="247">
        <v>31207</v>
      </c>
      <c r="J1400" s="252">
        <v>1</v>
      </c>
      <c r="K1400" s="101"/>
      <c r="L1400" s="101">
        <v>1</v>
      </c>
      <c r="M1400" s="101"/>
      <c r="N1400" s="101"/>
      <c r="O1400" s="101"/>
      <c r="P1400" s="101"/>
      <c r="Q1400" s="101"/>
      <c r="R1400" s="101"/>
      <c r="S1400" s="101"/>
      <c r="T1400" s="101"/>
      <c r="U1400" s="99"/>
      <c r="V1400" s="100" t="s">
        <v>218</v>
      </c>
      <c r="W1400" s="100" t="s">
        <v>279</v>
      </c>
      <c r="X1400" s="100" t="s">
        <v>227</v>
      </c>
      <c r="Y1400" s="99"/>
      <c r="Z1400" s="99"/>
      <c r="AA1400" s="100" t="s">
        <v>3704</v>
      </c>
      <c r="AB1400" s="100" t="s">
        <v>528</v>
      </c>
      <c r="AC1400" s="99">
        <v>1</v>
      </c>
      <c r="AD1400" s="101"/>
      <c r="AE1400" s="101"/>
      <c r="AF1400" s="101"/>
      <c r="AG1400" s="101"/>
      <c r="AH1400" s="99"/>
      <c r="AI1400" s="105"/>
    </row>
    <row r="1401" spans="1:35">
      <c r="A1401" s="98"/>
      <c r="B1401" s="99"/>
      <c r="C1401" s="99"/>
      <c r="D1401" s="99"/>
      <c r="E1401" s="99"/>
      <c r="F1401" s="100"/>
      <c r="G1401" s="100"/>
      <c r="H1401" s="99"/>
      <c r="I1401" s="247"/>
      <c r="J1401" s="101"/>
      <c r="K1401" s="101"/>
      <c r="L1401" s="101"/>
      <c r="M1401" s="101"/>
      <c r="N1401" s="101"/>
      <c r="O1401" s="101"/>
      <c r="P1401" s="101"/>
      <c r="Q1401" s="101"/>
      <c r="R1401" s="101"/>
      <c r="S1401" s="101"/>
      <c r="T1401" s="101"/>
      <c r="U1401" s="99"/>
      <c r="V1401" s="99"/>
      <c r="W1401" s="99"/>
      <c r="X1401" s="99"/>
      <c r="Y1401" s="99"/>
      <c r="Z1401" s="99"/>
      <c r="AA1401" s="100" t="s">
        <v>1961</v>
      </c>
      <c r="AB1401" s="100" t="s">
        <v>528</v>
      </c>
      <c r="AC1401" s="99">
        <v>1</v>
      </c>
      <c r="AD1401" s="101"/>
      <c r="AE1401" s="101"/>
      <c r="AF1401" s="101"/>
      <c r="AG1401" s="101"/>
      <c r="AH1401" s="99"/>
      <c r="AI1401" s="105"/>
    </row>
    <row r="1402" spans="1:35">
      <c r="A1402" s="98"/>
      <c r="B1402" s="99"/>
      <c r="C1402" s="99"/>
      <c r="D1402" s="99"/>
      <c r="E1402" s="99"/>
      <c r="F1402" s="100"/>
      <c r="G1402" s="100"/>
      <c r="H1402" s="99"/>
      <c r="I1402" s="247"/>
      <c r="J1402" s="101"/>
      <c r="K1402" s="101"/>
      <c r="L1402" s="101"/>
      <c r="M1402" s="101"/>
      <c r="N1402" s="101"/>
      <c r="O1402" s="101"/>
      <c r="P1402" s="101"/>
      <c r="Q1402" s="101"/>
      <c r="R1402" s="101"/>
      <c r="S1402" s="101"/>
      <c r="T1402" s="101"/>
      <c r="U1402" s="99"/>
      <c r="V1402" s="99"/>
      <c r="W1402" s="99"/>
      <c r="X1402" s="99"/>
      <c r="Y1402" s="99"/>
      <c r="Z1402" s="99"/>
      <c r="AA1402" s="100" t="s">
        <v>3661</v>
      </c>
      <c r="AB1402" s="100" t="s">
        <v>526</v>
      </c>
      <c r="AC1402" s="99">
        <v>250</v>
      </c>
      <c r="AD1402" s="101"/>
      <c r="AE1402" s="101"/>
      <c r="AF1402" s="101"/>
      <c r="AG1402" s="101"/>
      <c r="AH1402" s="99"/>
      <c r="AI1402" s="105"/>
    </row>
    <row r="1403" spans="1:35">
      <c r="A1403" s="98"/>
      <c r="B1403" s="99"/>
      <c r="C1403" s="263" t="s">
        <v>3230</v>
      </c>
      <c r="D1403" s="264" t="s">
        <v>79</v>
      </c>
      <c r="E1403" s="264" t="s">
        <v>80</v>
      </c>
      <c r="F1403" s="100" t="s">
        <v>974</v>
      </c>
      <c r="G1403" s="100" t="s">
        <v>3696</v>
      </c>
      <c r="H1403" s="100" t="s">
        <v>604</v>
      </c>
      <c r="I1403" s="247">
        <v>33828</v>
      </c>
      <c r="J1403" s="101">
        <v>1</v>
      </c>
      <c r="K1403" s="101"/>
      <c r="L1403" s="101">
        <v>1</v>
      </c>
      <c r="M1403" s="101"/>
      <c r="N1403" s="101"/>
      <c r="O1403" s="101"/>
      <c r="P1403" s="101"/>
      <c r="Q1403" s="101"/>
      <c r="R1403" s="101"/>
      <c r="S1403" s="101"/>
      <c r="T1403" s="101"/>
      <c r="U1403" s="99"/>
      <c r="V1403" s="100" t="s">
        <v>218</v>
      </c>
      <c r="W1403" s="100" t="s">
        <v>279</v>
      </c>
      <c r="X1403" s="100" t="s">
        <v>227</v>
      </c>
      <c r="Y1403" s="99"/>
      <c r="Z1403" s="99"/>
      <c r="AA1403" s="100" t="s">
        <v>3704</v>
      </c>
      <c r="AB1403" s="100" t="s">
        <v>526</v>
      </c>
      <c r="AC1403" s="99">
        <v>1</v>
      </c>
      <c r="AD1403" s="101"/>
      <c r="AE1403" s="101"/>
      <c r="AF1403" s="101"/>
      <c r="AG1403" s="101"/>
      <c r="AH1403" s="99"/>
      <c r="AI1403" s="105"/>
    </row>
    <row r="1404" spans="1:35">
      <c r="A1404" s="98"/>
      <c r="B1404" s="99"/>
      <c r="C1404" s="99"/>
      <c r="D1404" s="99"/>
      <c r="E1404" s="99"/>
      <c r="F1404" s="100"/>
      <c r="G1404" s="100"/>
      <c r="H1404" s="99"/>
      <c r="I1404" s="247"/>
      <c r="J1404" s="101"/>
      <c r="K1404" s="101"/>
      <c r="L1404" s="101"/>
      <c r="M1404" s="101"/>
      <c r="N1404" s="101"/>
      <c r="O1404" s="101"/>
      <c r="P1404" s="101"/>
      <c r="Q1404" s="101"/>
      <c r="R1404" s="101"/>
      <c r="S1404" s="101"/>
      <c r="T1404" s="101"/>
      <c r="U1404" s="99"/>
      <c r="V1404" s="99"/>
      <c r="W1404" s="99"/>
      <c r="X1404" s="99"/>
      <c r="Y1404" s="99"/>
      <c r="Z1404" s="99"/>
      <c r="AA1404" s="100" t="s">
        <v>1961</v>
      </c>
      <c r="AB1404" s="100" t="s">
        <v>528</v>
      </c>
      <c r="AC1404" s="99">
        <v>1</v>
      </c>
      <c r="AD1404" s="101"/>
      <c r="AE1404" s="101"/>
      <c r="AF1404" s="101"/>
      <c r="AG1404" s="101"/>
      <c r="AH1404" s="99"/>
      <c r="AI1404" s="105"/>
    </row>
    <row r="1405" spans="1:35">
      <c r="A1405" s="98"/>
      <c r="B1405" s="99"/>
      <c r="C1405" s="99"/>
      <c r="D1405" s="99"/>
      <c r="E1405" s="99"/>
      <c r="F1405" s="100"/>
      <c r="G1405" s="100"/>
      <c r="H1405" s="99"/>
      <c r="I1405" s="247"/>
      <c r="J1405" s="101"/>
      <c r="K1405" s="101"/>
      <c r="L1405" s="101"/>
      <c r="M1405" s="101"/>
      <c r="N1405" s="101"/>
      <c r="O1405" s="101"/>
      <c r="P1405" s="101"/>
      <c r="Q1405" s="101"/>
      <c r="R1405" s="101"/>
      <c r="S1405" s="101"/>
      <c r="T1405" s="101"/>
      <c r="U1405" s="99"/>
      <c r="V1405" s="99"/>
      <c r="W1405" s="99"/>
      <c r="X1405" s="99"/>
      <c r="Y1405" s="99"/>
      <c r="Z1405" s="99"/>
      <c r="AA1405" s="100" t="s">
        <v>3661</v>
      </c>
      <c r="AB1405" s="100" t="s">
        <v>526</v>
      </c>
      <c r="AC1405" s="99">
        <v>250</v>
      </c>
      <c r="AD1405" s="101"/>
      <c r="AE1405" s="101"/>
      <c r="AF1405" s="101"/>
      <c r="AG1405" s="101"/>
      <c r="AH1405" s="99"/>
      <c r="AI1405" s="105"/>
    </row>
    <row r="1406" spans="1:35">
      <c r="A1406" s="98"/>
      <c r="B1406" s="99"/>
      <c r="C1406" s="263" t="s">
        <v>3230</v>
      </c>
      <c r="D1406" s="264" t="s">
        <v>79</v>
      </c>
      <c r="E1406" s="264" t="s">
        <v>80</v>
      </c>
      <c r="F1406" s="100" t="s">
        <v>2578</v>
      </c>
      <c r="G1406" s="100" t="s">
        <v>3697</v>
      </c>
      <c r="H1406" s="99"/>
      <c r="I1406" s="247">
        <v>24202</v>
      </c>
      <c r="J1406" s="101">
        <v>1</v>
      </c>
      <c r="K1406" s="101"/>
      <c r="L1406" s="101">
        <v>1</v>
      </c>
      <c r="M1406" s="101"/>
      <c r="N1406" s="101"/>
      <c r="O1406" s="101"/>
      <c r="P1406" s="101"/>
      <c r="Q1406" s="101"/>
      <c r="R1406" s="101"/>
      <c r="S1406" s="101"/>
      <c r="T1406" s="101"/>
      <c r="U1406" s="99"/>
      <c r="V1406" s="100" t="s">
        <v>218</v>
      </c>
      <c r="W1406" s="100" t="s">
        <v>279</v>
      </c>
      <c r="X1406" s="100" t="s">
        <v>227</v>
      </c>
      <c r="Y1406" s="99"/>
      <c r="Z1406" s="99"/>
      <c r="AA1406" s="100" t="s">
        <v>3704</v>
      </c>
      <c r="AB1406" s="100" t="s">
        <v>528</v>
      </c>
      <c r="AC1406" s="99">
        <v>1</v>
      </c>
      <c r="AD1406" s="101"/>
      <c r="AE1406" s="101"/>
      <c r="AF1406" s="101"/>
      <c r="AG1406" s="101"/>
      <c r="AH1406" s="99"/>
      <c r="AI1406" s="105"/>
    </row>
    <row r="1407" spans="1:35">
      <c r="A1407" s="98"/>
      <c r="B1407" s="99"/>
      <c r="C1407" s="99"/>
      <c r="D1407" s="99"/>
      <c r="E1407" s="99"/>
      <c r="F1407" s="100"/>
      <c r="G1407" s="100"/>
      <c r="H1407" s="99"/>
      <c r="I1407" s="247"/>
      <c r="J1407" s="101"/>
      <c r="K1407" s="101"/>
      <c r="L1407" s="101"/>
      <c r="M1407" s="101"/>
      <c r="N1407" s="101"/>
      <c r="O1407" s="101"/>
      <c r="P1407" s="101"/>
      <c r="Q1407" s="101"/>
      <c r="R1407" s="101"/>
      <c r="S1407" s="101"/>
      <c r="T1407" s="101"/>
      <c r="U1407" s="99"/>
      <c r="V1407" s="99"/>
      <c r="W1407" s="99"/>
      <c r="X1407" s="99"/>
      <c r="Y1407" s="99"/>
      <c r="Z1407" s="99"/>
      <c r="AA1407" s="100" t="s">
        <v>1961</v>
      </c>
      <c r="AB1407" s="100" t="s">
        <v>528</v>
      </c>
      <c r="AC1407" s="99">
        <v>1</v>
      </c>
      <c r="AD1407" s="101"/>
      <c r="AE1407" s="101"/>
      <c r="AF1407" s="101"/>
      <c r="AG1407" s="101"/>
      <c r="AH1407" s="99"/>
      <c r="AI1407" s="105"/>
    </row>
    <row r="1408" spans="1:35">
      <c r="A1408" s="98"/>
      <c r="B1408" s="99"/>
      <c r="C1408" s="99"/>
      <c r="D1408" s="99"/>
      <c r="E1408" s="99"/>
      <c r="F1408" s="100"/>
      <c r="G1408" s="100"/>
      <c r="H1408" s="99"/>
      <c r="I1408" s="247"/>
      <c r="J1408" s="101"/>
      <c r="K1408" s="101"/>
      <c r="L1408" s="101"/>
      <c r="M1408" s="101"/>
      <c r="N1408" s="101"/>
      <c r="O1408" s="101"/>
      <c r="P1408" s="101"/>
      <c r="Q1408" s="101"/>
      <c r="R1408" s="101"/>
      <c r="S1408" s="101"/>
      <c r="T1408" s="101"/>
      <c r="U1408" s="99"/>
      <c r="V1408" s="99"/>
      <c r="W1408" s="99"/>
      <c r="X1408" s="99"/>
      <c r="Y1408" s="99"/>
      <c r="Z1408" s="99"/>
      <c r="AA1408" s="100" t="s">
        <v>3661</v>
      </c>
      <c r="AB1408" s="99" t="s">
        <v>526</v>
      </c>
      <c r="AC1408" s="99">
        <v>250</v>
      </c>
      <c r="AD1408" s="101"/>
      <c r="AE1408" s="101"/>
      <c r="AF1408" s="101"/>
      <c r="AG1408" s="101"/>
      <c r="AH1408" s="99"/>
      <c r="AI1408" s="105"/>
    </row>
    <row r="1409" spans="1:35">
      <c r="A1409" s="98"/>
      <c r="B1409" s="99"/>
      <c r="C1409" s="263" t="s">
        <v>3230</v>
      </c>
      <c r="D1409" s="264" t="s">
        <v>79</v>
      </c>
      <c r="E1409" s="264" t="s">
        <v>80</v>
      </c>
      <c r="F1409" s="100" t="s">
        <v>3698</v>
      </c>
      <c r="G1409" s="100" t="s">
        <v>3699</v>
      </c>
      <c r="H1409" s="100" t="s">
        <v>115</v>
      </c>
      <c r="I1409" s="247">
        <v>27158</v>
      </c>
      <c r="J1409" s="252">
        <v>1</v>
      </c>
      <c r="K1409" s="101"/>
      <c r="L1409" s="101">
        <v>1</v>
      </c>
      <c r="M1409" s="101"/>
      <c r="N1409" s="101"/>
      <c r="O1409" s="101"/>
      <c r="P1409" s="101"/>
      <c r="Q1409" s="101"/>
      <c r="R1409" s="101"/>
      <c r="S1409" s="101"/>
      <c r="T1409" s="101"/>
      <c r="U1409" s="99"/>
      <c r="V1409" s="100" t="s">
        <v>218</v>
      </c>
      <c r="W1409" s="100" t="s">
        <v>279</v>
      </c>
      <c r="X1409" s="100" t="s">
        <v>227</v>
      </c>
      <c r="Y1409" s="99"/>
      <c r="Z1409" s="99"/>
      <c r="AA1409" s="100" t="s">
        <v>3704</v>
      </c>
      <c r="AB1409" s="100" t="s">
        <v>528</v>
      </c>
      <c r="AC1409" s="99">
        <v>1</v>
      </c>
      <c r="AD1409" s="101"/>
      <c r="AE1409" s="101"/>
      <c r="AF1409" s="101"/>
      <c r="AG1409" s="101"/>
      <c r="AH1409" s="99"/>
      <c r="AI1409" s="105"/>
    </row>
    <row r="1410" spans="1:35">
      <c r="A1410" s="98"/>
      <c r="B1410" s="99"/>
      <c r="C1410" s="99"/>
      <c r="D1410" s="99"/>
      <c r="E1410" s="99"/>
      <c r="F1410" s="100"/>
      <c r="G1410" s="100"/>
      <c r="H1410" s="99"/>
      <c r="I1410" s="247"/>
      <c r="J1410" s="101"/>
      <c r="K1410" s="101"/>
      <c r="L1410" s="101"/>
      <c r="M1410" s="101"/>
      <c r="N1410" s="101"/>
      <c r="O1410" s="101"/>
      <c r="P1410" s="101"/>
      <c r="Q1410" s="101"/>
      <c r="R1410" s="101"/>
      <c r="S1410" s="101"/>
      <c r="T1410" s="101"/>
      <c r="U1410" s="99"/>
      <c r="V1410" s="99"/>
      <c r="W1410" s="99"/>
      <c r="X1410" s="99"/>
      <c r="Y1410" s="99"/>
      <c r="Z1410" s="99"/>
      <c r="AA1410" s="100" t="s">
        <v>1961</v>
      </c>
      <c r="AB1410" s="100" t="s">
        <v>528</v>
      </c>
      <c r="AC1410" s="99">
        <v>1</v>
      </c>
      <c r="AD1410" s="101"/>
      <c r="AE1410" s="101"/>
      <c r="AF1410" s="101"/>
      <c r="AG1410" s="101"/>
      <c r="AH1410" s="99"/>
      <c r="AI1410" s="105"/>
    </row>
    <row r="1411" spans="1:35">
      <c r="A1411" s="98"/>
      <c r="B1411" s="99"/>
      <c r="C1411" s="99"/>
      <c r="D1411" s="99"/>
      <c r="E1411" s="99"/>
      <c r="F1411" s="100"/>
      <c r="G1411" s="100"/>
      <c r="H1411" s="99"/>
      <c r="I1411" s="247"/>
      <c r="J1411" s="101"/>
      <c r="K1411" s="101"/>
      <c r="L1411" s="101"/>
      <c r="M1411" s="101"/>
      <c r="N1411" s="101"/>
      <c r="O1411" s="101"/>
      <c r="P1411" s="101"/>
      <c r="Q1411" s="101"/>
      <c r="R1411" s="101"/>
      <c r="S1411" s="101"/>
      <c r="T1411" s="101"/>
      <c r="U1411" s="99"/>
      <c r="V1411" s="99"/>
      <c r="W1411" s="99"/>
      <c r="X1411" s="99"/>
      <c r="Y1411" s="99"/>
      <c r="Z1411" s="99"/>
      <c r="AA1411" s="100" t="s">
        <v>3661</v>
      </c>
      <c r="AB1411" s="100" t="s">
        <v>526</v>
      </c>
      <c r="AC1411" s="99">
        <v>250</v>
      </c>
      <c r="AD1411" s="101"/>
      <c r="AE1411" s="101"/>
      <c r="AF1411" s="101"/>
      <c r="AG1411" s="101"/>
      <c r="AH1411" s="99"/>
      <c r="AI1411" s="105"/>
    </row>
    <row r="1412" spans="1:35">
      <c r="A1412" s="98"/>
      <c r="B1412" s="99"/>
      <c r="C1412" s="263" t="s">
        <v>3230</v>
      </c>
      <c r="D1412" s="264" t="s">
        <v>79</v>
      </c>
      <c r="E1412" s="264" t="s">
        <v>80</v>
      </c>
      <c r="F1412" s="100" t="s">
        <v>3700</v>
      </c>
      <c r="G1412" s="100" t="s">
        <v>3701</v>
      </c>
      <c r="H1412" s="100" t="s">
        <v>604</v>
      </c>
      <c r="I1412" s="247">
        <v>32703</v>
      </c>
      <c r="J1412" s="101">
        <v>1</v>
      </c>
      <c r="K1412" s="101"/>
      <c r="L1412" s="101">
        <v>1</v>
      </c>
      <c r="M1412" s="101"/>
      <c r="N1412" s="101"/>
      <c r="O1412" s="101"/>
      <c r="P1412" s="101"/>
      <c r="Q1412" s="101"/>
      <c r="R1412" s="101"/>
      <c r="S1412" s="101"/>
      <c r="T1412" s="101"/>
      <c r="U1412" s="99"/>
      <c r="V1412" s="100" t="s">
        <v>218</v>
      </c>
      <c r="W1412" s="100" t="s">
        <v>279</v>
      </c>
      <c r="X1412" s="100" t="s">
        <v>227</v>
      </c>
      <c r="Y1412" s="99"/>
      <c r="Z1412" s="99"/>
      <c r="AA1412" s="100" t="s">
        <v>3704</v>
      </c>
      <c r="AB1412" s="100" t="s">
        <v>528</v>
      </c>
      <c r="AC1412" s="99">
        <v>1</v>
      </c>
      <c r="AD1412" s="101"/>
      <c r="AE1412" s="101"/>
      <c r="AF1412" s="101"/>
      <c r="AG1412" s="101"/>
      <c r="AH1412" s="99"/>
      <c r="AI1412" s="105"/>
    </row>
    <row r="1413" spans="1:35">
      <c r="A1413" s="98"/>
      <c r="B1413" s="99"/>
      <c r="C1413" s="99"/>
      <c r="D1413" s="99"/>
      <c r="E1413" s="99"/>
      <c r="F1413" s="100"/>
      <c r="G1413" s="100"/>
      <c r="H1413" s="99"/>
      <c r="I1413" s="247"/>
      <c r="J1413" s="101"/>
      <c r="K1413" s="101"/>
      <c r="L1413" s="101"/>
      <c r="M1413" s="101"/>
      <c r="N1413" s="101"/>
      <c r="O1413" s="101"/>
      <c r="P1413" s="101"/>
      <c r="Q1413" s="101"/>
      <c r="R1413" s="101"/>
      <c r="S1413" s="101"/>
      <c r="T1413" s="101"/>
      <c r="U1413" s="99"/>
      <c r="V1413" s="99"/>
      <c r="W1413" s="99"/>
      <c r="X1413" s="99"/>
      <c r="Y1413" s="99"/>
      <c r="Z1413" s="99"/>
      <c r="AA1413" s="100" t="s">
        <v>1961</v>
      </c>
      <c r="AB1413" s="100" t="s">
        <v>528</v>
      </c>
      <c r="AC1413" s="99">
        <v>1</v>
      </c>
      <c r="AD1413" s="101"/>
      <c r="AE1413" s="101"/>
      <c r="AF1413" s="101"/>
      <c r="AG1413" s="101"/>
      <c r="AH1413" s="99"/>
      <c r="AI1413" s="105"/>
    </row>
    <row r="1414" spans="1:35">
      <c r="A1414" s="98"/>
      <c r="B1414" s="99"/>
      <c r="C1414" s="99"/>
      <c r="D1414" s="99"/>
      <c r="E1414" s="99"/>
      <c r="F1414" s="100"/>
      <c r="G1414" s="100"/>
      <c r="H1414" s="99"/>
      <c r="I1414" s="247"/>
      <c r="J1414" s="101"/>
      <c r="K1414" s="101"/>
      <c r="L1414" s="101"/>
      <c r="M1414" s="101"/>
      <c r="N1414" s="101"/>
      <c r="O1414" s="101"/>
      <c r="P1414" s="101"/>
      <c r="Q1414" s="101"/>
      <c r="R1414" s="101"/>
      <c r="S1414" s="101"/>
      <c r="T1414" s="101"/>
      <c r="U1414" s="99"/>
      <c r="V1414" s="99"/>
      <c r="W1414" s="99"/>
      <c r="X1414" s="99"/>
      <c r="Y1414" s="99"/>
      <c r="Z1414" s="99"/>
      <c r="AA1414" s="100" t="s">
        <v>3661</v>
      </c>
      <c r="AB1414" s="99" t="s">
        <v>526</v>
      </c>
      <c r="AC1414" s="99">
        <v>250</v>
      </c>
      <c r="AD1414" s="101"/>
      <c r="AE1414" s="101"/>
      <c r="AF1414" s="101"/>
      <c r="AG1414" s="101"/>
      <c r="AH1414" s="99"/>
      <c r="AI1414" s="105"/>
    </row>
    <row r="1415" spans="1:35">
      <c r="A1415" s="98"/>
      <c r="B1415" s="99"/>
      <c r="C1415" s="263" t="s">
        <v>3230</v>
      </c>
      <c r="D1415" s="264" t="s">
        <v>79</v>
      </c>
      <c r="E1415" s="264" t="s">
        <v>80</v>
      </c>
      <c r="F1415" s="100" t="s">
        <v>3702</v>
      </c>
      <c r="G1415" s="100" t="s">
        <v>3703</v>
      </c>
      <c r="H1415" s="100" t="s">
        <v>604</v>
      </c>
      <c r="I1415" s="247">
        <v>36174</v>
      </c>
      <c r="J1415" s="101">
        <v>1</v>
      </c>
      <c r="K1415" s="101"/>
      <c r="L1415" s="101">
        <v>1</v>
      </c>
      <c r="M1415" s="101"/>
      <c r="N1415" s="101"/>
      <c r="O1415" s="101"/>
      <c r="P1415" s="101"/>
      <c r="Q1415" s="101"/>
      <c r="R1415" s="101"/>
      <c r="S1415" s="101"/>
      <c r="T1415" s="101"/>
      <c r="U1415" s="99"/>
      <c r="V1415" s="100" t="s">
        <v>218</v>
      </c>
      <c r="W1415" s="100" t="s">
        <v>279</v>
      </c>
      <c r="X1415" s="100" t="s">
        <v>227</v>
      </c>
      <c r="Y1415" s="99"/>
      <c r="Z1415" s="99"/>
      <c r="AA1415" s="100" t="s">
        <v>3704</v>
      </c>
      <c r="AB1415" s="100" t="s">
        <v>528</v>
      </c>
      <c r="AC1415" s="99">
        <v>1</v>
      </c>
      <c r="AD1415" s="101"/>
      <c r="AE1415" s="101"/>
      <c r="AF1415" s="101"/>
      <c r="AG1415" s="101"/>
      <c r="AH1415" s="99"/>
      <c r="AI1415" s="105"/>
    </row>
    <row r="1416" spans="1:35">
      <c r="A1416" s="98"/>
      <c r="B1416" s="99"/>
      <c r="C1416" s="99"/>
      <c r="D1416" s="99"/>
      <c r="E1416" s="99"/>
      <c r="F1416" s="100"/>
      <c r="G1416" s="100"/>
      <c r="H1416" s="99"/>
      <c r="I1416" s="247"/>
      <c r="J1416" s="101"/>
      <c r="K1416" s="101"/>
      <c r="L1416" s="101"/>
      <c r="M1416" s="101"/>
      <c r="N1416" s="101"/>
      <c r="O1416" s="101"/>
      <c r="P1416" s="101"/>
      <c r="Q1416" s="101"/>
      <c r="R1416" s="101"/>
      <c r="S1416" s="101"/>
      <c r="T1416" s="101"/>
      <c r="U1416" s="99"/>
      <c r="V1416" s="99"/>
      <c r="W1416" s="99"/>
      <c r="X1416" s="99"/>
      <c r="Y1416" s="99"/>
      <c r="Z1416" s="99"/>
      <c r="AA1416" s="100" t="s">
        <v>1961</v>
      </c>
      <c r="AB1416" s="100" t="s">
        <v>528</v>
      </c>
      <c r="AC1416" s="99">
        <v>1</v>
      </c>
      <c r="AD1416" s="101"/>
      <c r="AE1416" s="101"/>
      <c r="AF1416" s="101"/>
      <c r="AG1416" s="101"/>
      <c r="AH1416" s="99"/>
      <c r="AI1416" s="105"/>
    </row>
    <row r="1417" spans="1:35">
      <c r="A1417" s="98"/>
      <c r="B1417" s="99"/>
      <c r="C1417" s="99"/>
      <c r="D1417" s="99"/>
      <c r="E1417" s="99"/>
      <c r="F1417" s="100"/>
      <c r="G1417" s="100"/>
      <c r="H1417" s="99"/>
      <c r="I1417" s="247"/>
      <c r="J1417" s="101"/>
      <c r="K1417" s="101"/>
      <c r="L1417" s="101"/>
      <c r="M1417" s="101"/>
      <c r="N1417" s="101"/>
      <c r="O1417" s="101"/>
      <c r="P1417" s="101"/>
      <c r="Q1417" s="101"/>
      <c r="R1417" s="101"/>
      <c r="S1417" s="101"/>
      <c r="T1417" s="101"/>
      <c r="U1417" s="99"/>
      <c r="V1417" s="99"/>
      <c r="W1417" s="99"/>
      <c r="X1417" s="99"/>
      <c r="Y1417" s="99"/>
      <c r="Z1417" s="99"/>
      <c r="AA1417" s="100" t="s">
        <v>3661</v>
      </c>
      <c r="AB1417" s="100" t="s">
        <v>526</v>
      </c>
      <c r="AC1417" s="99">
        <v>250</v>
      </c>
      <c r="AD1417" s="101"/>
      <c r="AE1417" s="101"/>
      <c r="AF1417" s="101"/>
      <c r="AG1417" s="101"/>
      <c r="AH1417" s="99"/>
      <c r="AI1417" s="105"/>
    </row>
    <row r="1418" spans="1:35">
      <c r="A1418" s="98"/>
      <c r="B1418" s="99"/>
      <c r="C1418" s="263" t="s">
        <v>3230</v>
      </c>
      <c r="D1418" s="264" t="s">
        <v>79</v>
      </c>
      <c r="E1418" s="264" t="s">
        <v>80</v>
      </c>
      <c r="F1418" s="100" t="s">
        <v>3705</v>
      </c>
      <c r="G1418" s="100" t="s">
        <v>1037</v>
      </c>
      <c r="H1418" s="100" t="s">
        <v>126</v>
      </c>
      <c r="I1418" s="247">
        <v>34086</v>
      </c>
      <c r="J1418" s="101">
        <v>1</v>
      </c>
      <c r="K1418" s="101"/>
      <c r="L1418" s="101">
        <v>1</v>
      </c>
      <c r="M1418" s="101"/>
      <c r="N1418" s="101"/>
      <c r="O1418" s="101"/>
      <c r="P1418" s="101"/>
      <c r="Q1418" s="101"/>
      <c r="R1418" s="101"/>
      <c r="S1418" s="101"/>
      <c r="T1418" s="101"/>
      <c r="U1418" s="99"/>
      <c r="V1418" s="100" t="s">
        <v>218</v>
      </c>
      <c r="W1418" s="100" t="s">
        <v>279</v>
      </c>
      <c r="X1418" s="100" t="s">
        <v>227</v>
      </c>
      <c r="Y1418" s="99"/>
      <c r="Z1418" s="99"/>
      <c r="AA1418" s="100" t="s">
        <v>3704</v>
      </c>
      <c r="AB1418" s="100" t="s">
        <v>528</v>
      </c>
      <c r="AC1418" s="99">
        <v>1</v>
      </c>
      <c r="AD1418" s="101"/>
      <c r="AE1418" s="101"/>
      <c r="AF1418" s="101"/>
      <c r="AG1418" s="101"/>
      <c r="AH1418" s="99"/>
      <c r="AI1418" s="105"/>
    </row>
    <row r="1419" spans="1:35">
      <c r="A1419" s="98"/>
      <c r="B1419" s="99"/>
      <c r="C1419" s="99"/>
      <c r="D1419" s="99"/>
      <c r="E1419" s="99"/>
      <c r="F1419" s="100"/>
      <c r="G1419" s="100"/>
      <c r="H1419" s="99"/>
      <c r="I1419" s="247"/>
      <c r="J1419" s="101"/>
      <c r="K1419" s="101"/>
      <c r="L1419" s="101"/>
      <c r="M1419" s="101"/>
      <c r="N1419" s="101"/>
      <c r="O1419" s="101"/>
      <c r="P1419" s="101"/>
      <c r="Q1419" s="101"/>
      <c r="R1419" s="101"/>
      <c r="S1419" s="101"/>
      <c r="T1419" s="101"/>
      <c r="U1419" s="99"/>
      <c r="V1419" s="99"/>
      <c r="W1419" s="99"/>
      <c r="X1419" s="99"/>
      <c r="Y1419" s="99"/>
      <c r="Z1419" s="99"/>
      <c r="AA1419" s="100" t="s">
        <v>1961</v>
      </c>
      <c r="AB1419" s="100" t="s">
        <v>528</v>
      </c>
      <c r="AC1419" s="99">
        <v>1</v>
      </c>
      <c r="AD1419" s="101"/>
      <c r="AE1419" s="101"/>
      <c r="AF1419" s="101"/>
      <c r="AG1419" s="101"/>
      <c r="AH1419" s="99"/>
      <c r="AI1419" s="105"/>
    </row>
    <row r="1420" spans="1:35">
      <c r="A1420" s="98"/>
      <c r="B1420" s="99"/>
      <c r="C1420" s="263" t="s">
        <v>3230</v>
      </c>
      <c r="D1420" s="264" t="s">
        <v>79</v>
      </c>
      <c r="E1420" s="264" t="s">
        <v>80</v>
      </c>
      <c r="F1420" s="100" t="s">
        <v>3706</v>
      </c>
      <c r="G1420" s="100" t="s">
        <v>2910</v>
      </c>
      <c r="H1420" s="100" t="s">
        <v>742</v>
      </c>
      <c r="I1420" s="247">
        <v>27509</v>
      </c>
      <c r="J1420" s="101">
        <v>1</v>
      </c>
      <c r="K1420" s="101"/>
      <c r="L1420" s="101">
        <v>1</v>
      </c>
      <c r="M1420" s="101"/>
      <c r="N1420" s="101"/>
      <c r="O1420" s="101"/>
      <c r="P1420" s="101"/>
      <c r="Q1420" s="101"/>
      <c r="R1420" s="101"/>
      <c r="S1420" s="101"/>
      <c r="T1420" s="101"/>
      <c r="U1420" s="99"/>
      <c r="V1420" s="100" t="s">
        <v>218</v>
      </c>
      <c r="W1420" s="100" t="s">
        <v>279</v>
      </c>
      <c r="X1420" s="100" t="s">
        <v>227</v>
      </c>
      <c r="Y1420" s="99"/>
      <c r="Z1420" s="99"/>
      <c r="AA1420" s="100" t="s">
        <v>3704</v>
      </c>
      <c r="AB1420" s="100" t="s">
        <v>528</v>
      </c>
      <c r="AC1420" s="99">
        <v>1</v>
      </c>
      <c r="AD1420" s="101"/>
      <c r="AE1420" s="101"/>
      <c r="AF1420" s="101"/>
      <c r="AG1420" s="101"/>
      <c r="AH1420" s="99"/>
      <c r="AI1420" s="105"/>
    </row>
    <row r="1421" spans="1:35">
      <c r="A1421" s="98"/>
      <c r="B1421" s="99"/>
      <c r="C1421" s="99"/>
      <c r="D1421" s="99"/>
      <c r="E1421" s="99"/>
      <c r="F1421" s="100"/>
      <c r="G1421" s="100"/>
      <c r="H1421" s="99"/>
      <c r="I1421" s="247"/>
      <c r="J1421" s="101"/>
      <c r="K1421" s="101"/>
      <c r="L1421" s="101"/>
      <c r="M1421" s="101"/>
      <c r="N1421" s="101"/>
      <c r="O1421" s="101"/>
      <c r="P1421" s="101"/>
      <c r="Q1421" s="101"/>
      <c r="R1421" s="101"/>
      <c r="S1421" s="101"/>
      <c r="T1421" s="101"/>
      <c r="U1421" s="99"/>
      <c r="V1421" s="99"/>
      <c r="W1421" s="99"/>
      <c r="X1421" s="99"/>
      <c r="Y1421" s="99"/>
      <c r="Z1421" s="99"/>
      <c r="AA1421" s="100" t="s">
        <v>1961</v>
      </c>
      <c r="AB1421" s="100" t="s">
        <v>528</v>
      </c>
      <c r="AC1421" s="99">
        <v>1</v>
      </c>
      <c r="AD1421" s="101"/>
      <c r="AE1421" s="101"/>
      <c r="AF1421" s="101"/>
      <c r="AG1421" s="101"/>
      <c r="AH1421" s="99"/>
      <c r="AI1421" s="105"/>
    </row>
    <row r="1422" spans="1:35">
      <c r="A1422" s="98"/>
      <c r="B1422" s="99"/>
      <c r="C1422" s="263" t="s">
        <v>3230</v>
      </c>
      <c r="D1422" s="264" t="s">
        <v>79</v>
      </c>
      <c r="E1422" s="264" t="s">
        <v>80</v>
      </c>
      <c r="F1422" s="100" t="s">
        <v>3333</v>
      </c>
      <c r="G1422" s="100" t="s">
        <v>1400</v>
      </c>
      <c r="H1422" s="100" t="s">
        <v>136</v>
      </c>
      <c r="I1422" s="247">
        <v>30468</v>
      </c>
      <c r="J1422" s="101">
        <v>1</v>
      </c>
      <c r="K1422" s="101"/>
      <c r="L1422" s="101">
        <v>1</v>
      </c>
      <c r="M1422" s="101"/>
      <c r="N1422" s="101"/>
      <c r="O1422" s="101"/>
      <c r="P1422" s="101"/>
      <c r="Q1422" s="101"/>
      <c r="R1422" s="101"/>
      <c r="S1422" s="101"/>
      <c r="T1422" s="101"/>
      <c r="U1422" s="99"/>
      <c r="V1422" s="100" t="s">
        <v>218</v>
      </c>
      <c r="W1422" s="100" t="s">
        <v>279</v>
      </c>
      <c r="X1422" s="100" t="s">
        <v>227</v>
      </c>
      <c r="Y1422" s="99"/>
      <c r="Z1422" s="99"/>
      <c r="AA1422" s="100" t="s">
        <v>3704</v>
      </c>
      <c r="AB1422" s="100" t="s">
        <v>528</v>
      </c>
      <c r="AC1422" s="99">
        <v>1</v>
      </c>
      <c r="AD1422" s="101"/>
      <c r="AE1422" s="101"/>
      <c r="AF1422" s="101"/>
      <c r="AG1422" s="101"/>
      <c r="AH1422" s="99"/>
      <c r="AI1422" s="105"/>
    </row>
    <row r="1423" spans="1:35">
      <c r="A1423" s="98"/>
      <c r="B1423" s="99"/>
      <c r="C1423" s="99"/>
      <c r="D1423" s="99"/>
      <c r="E1423" s="99"/>
      <c r="F1423" s="100"/>
      <c r="G1423" s="100"/>
      <c r="H1423" s="99"/>
      <c r="I1423" s="247"/>
      <c r="J1423" s="101"/>
      <c r="K1423" s="101"/>
      <c r="L1423" s="101"/>
      <c r="M1423" s="101"/>
      <c r="N1423" s="101"/>
      <c r="O1423" s="101"/>
      <c r="P1423" s="101"/>
      <c r="Q1423" s="101"/>
      <c r="R1423" s="101"/>
      <c r="S1423" s="101"/>
      <c r="T1423" s="101"/>
      <c r="U1423" s="99"/>
      <c r="V1423" s="99"/>
      <c r="W1423" s="99"/>
      <c r="X1423" s="99"/>
      <c r="Y1423" s="99"/>
      <c r="Z1423" s="99"/>
      <c r="AA1423" s="100" t="s">
        <v>1961</v>
      </c>
      <c r="AB1423" s="100" t="s">
        <v>528</v>
      </c>
      <c r="AC1423" s="99">
        <v>1</v>
      </c>
      <c r="AD1423" s="101"/>
      <c r="AE1423" s="101"/>
      <c r="AF1423" s="101"/>
      <c r="AG1423" s="101"/>
      <c r="AH1423" s="99"/>
      <c r="AI1423" s="105"/>
    </row>
    <row r="1424" spans="1:35">
      <c r="A1424" s="98"/>
      <c r="B1424" s="99"/>
      <c r="C1424" s="263" t="s">
        <v>3230</v>
      </c>
      <c r="D1424" s="264" t="s">
        <v>79</v>
      </c>
      <c r="E1424" s="264" t="s">
        <v>80</v>
      </c>
      <c r="F1424" s="100" t="s">
        <v>3707</v>
      </c>
      <c r="G1424" s="100" t="s">
        <v>3708</v>
      </c>
      <c r="H1424" s="100" t="s">
        <v>588</v>
      </c>
      <c r="I1424" s="247">
        <v>34469</v>
      </c>
      <c r="J1424" s="101">
        <v>1</v>
      </c>
      <c r="K1424" s="101"/>
      <c r="L1424" s="101">
        <v>1</v>
      </c>
      <c r="M1424" s="101"/>
      <c r="N1424" s="101"/>
      <c r="O1424" s="101"/>
      <c r="P1424" s="101"/>
      <c r="Q1424" s="101"/>
      <c r="R1424" s="101"/>
      <c r="S1424" s="101"/>
      <c r="T1424" s="101"/>
      <c r="U1424" s="99"/>
      <c r="V1424" s="100" t="s">
        <v>218</v>
      </c>
      <c r="W1424" s="100" t="s">
        <v>279</v>
      </c>
      <c r="X1424" s="100" t="s">
        <v>227</v>
      </c>
      <c r="Y1424" s="99"/>
      <c r="Z1424" s="99"/>
      <c r="AA1424" s="100" t="s">
        <v>3704</v>
      </c>
      <c r="AB1424" s="100" t="s">
        <v>528</v>
      </c>
      <c r="AC1424" s="99">
        <v>1</v>
      </c>
      <c r="AD1424" s="101"/>
      <c r="AE1424" s="101"/>
      <c r="AF1424" s="101"/>
      <c r="AG1424" s="101"/>
      <c r="AH1424" s="99"/>
      <c r="AI1424" s="105"/>
    </row>
    <row r="1425" spans="1:35">
      <c r="A1425" s="98"/>
      <c r="B1425" s="99"/>
      <c r="C1425" s="99"/>
      <c r="D1425" s="99"/>
      <c r="E1425" s="99"/>
      <c r="F1425" s="100"/>
      <c r="G1425" s="100"/>
      <c r="H1425" s="99"/>
      <c r="I1425" s="247"/>
      <c r="J1425" s="101"/>
      <c r="K1425" s="101"/>
      <c r="L1425" s="101"/>
      <c r="M1425" s="101"/>
      <c r="N1425" s="101"/>
      <c r="O1425" s="101"/>
      <c r="P1425" s="101"/>
      <c r="Q1425" s="101"/>
      <c r="R1425" s="101"/>
      <c r="S1425" s="101"/>
      <c r="T1425" s="101"/>
      <c r="U1425" s="99"/>
      <c r="V1425" s="99"/>
      <c r="W1425" s="99"/>
      <c r="X1425" s="99"/>
      <c r="Y1425" s="99"/>
      <c r="Z1425" s="99"/>
      <c r="AA1425" s="100" t="s">
        <v>1961</v>
      </c>
      <c r="AB1425" s="100" t="s">
        <v>528</v>
      </c>
      <c r="AC1425" s="99">
        <v>1</v>
      </c>
      <c r="AD1425" s="101"/>
      <c r="AE1425" s="101"/>
      <c r="AF1425" s="101"/>
      <c r="AG1425" s="101"/>
      <c r="AH1425" s="99"/>
      <c r="AI1425" s="105"/>
    </row>
    <row r="1426" spans="1:35">
      <c r="A1426" s="98"/>
      <c r="B1426" s="99"/>
      <c r="C1426" s="263" t="s">
        <v>3230</v>
      </c>
      <c r="D1426" s="264" t="s">
        <v>79</v>
      </c>
      <c r="E1426" s="264" t="s">
        <v>80</v>
      </c>
      <c r="F1426" s="100" t="s">
        <v>3709</v>
      </c>
      <c r="G1426" s="100" t="s">
        <v>3373</v>
      </c>
      <c r="H1426" s="100" t="s">
        <v>136</v>
      </c>
      <c r="I1426" s="247">
        <v>21212</v>
      </c>
      <c r="J1426" s="101">
        <v>1</v>
      </c>
      <c r="K1426" s="101"/>
      <c r="L1426" s="101">
        <v>1</v>
      </c>
      <c r="M1426" s="101"/>
      <c r="N1426" s="101"/>
      <c r="O1426" s="101"/>
      <c r="P1426" s="101"/>
      <c r="Q1426" s="101"/>
      <c r="R1426" s="101"/>
      <c r="S1426" s="101"/>
      <c r="T1426" s="101"/>
      <c r="U1426" s="99"/>
      <c r="V1426" s="100" t="s">
        <v>218</v>
      </c>
      <c r="W1426" s="100" t="s">
        <v>279</v>
      </c>
      <c r="X1426" s="100" t="s">
        <v>227</v>
      </c>
      <c r="Y1426" s="99"/>
      <c r="Z1426" s="99"/>
      <c r="AA1426" s="100" t="s">
        <v>3704</v>
      </c>
      <c r="AB1426" s="100" t="s">
        <v>528</v>
      </c>
      <c r="AC1426" s="99">
        <v>1</v>
      </c>
      <c r="AD1426" s="101"/>
      <c r="AE1426" s="101"/>
      <c r="AF1426" s="101"/>
      <c r="AG1426" s="101"/>
      <c r="AH1426" s="99"/>
      <c r="AI1426" s="105"/>
    </row>
    <row r="1427" spans="1:35">
      <c r="A1427" s="98"/>
      <c r="B1427" s="99"/>
      <c r="C1427" s="99"/>
      <c r="D1427" s="99"/>
      <c r="E1427" s="99"/>
      <c r="F1427" s="100"/>
      <c r="G1427" s="100"/>
      <c r="H1427" s="99"/>
      <c r="I1427" s="247"/>
      <c r="J1427" s="101"/>
      <c r="K1427" s="101"/>
      <c r="L1427" s="101"/>
      <c r="M1427" s="101"/>
      <c r="N1427" s="101"/>
      <c r="O1427" s="101"/>
      <c r="P1427" s="101"/>
      <c r="Q1427" s="101"/>
      <c r="R1427" s="101"/>
      <c r="S1427" s="101"/>
      <c r="T1427" s="101"/>
      <c r="U1427" s="99"/>
      <c r="V1427" s="99"/>
      <c r="W1427" s="99"/>
      <c r="X1427" s="99"/>
      <c r="Y1427" s="99"/>
      <c r="Z1427" s="99"/>
      <c r="AA1427" s="100" t="s">
        <v>1961</v>
      </c>
      <c r="AB1427" s="100" t="s">
        <v>528</v>
      </c>
      <c r="AC1427" s="99">
        <v>1</v>
      </c>
      <c r="AD1427" s="101"/>
      <c r="AE1427" s="101"/>
      <c r="AF1427" s="101"/>
      <c r="AG1427" s="101"/>
      <c r="AH1427" s="99"/>
      <c r="AI1427" s="105"/>
    </row>
    <row r="1428" spans="1:35">
      <c r="A1428" s="98"/>
      <c r="B1428" s="99"/>
      <c r="C1428" s="263" t="s">
        <v>3230</v>
      </c>
      <c r="D1428" s="264" t="s">
        <v>79</v>
      </c>
      <c r="E1428" s="264" t="s">
        <v>80</v>
      </c>
      <c r="F1428" s="100" t="s">
        <v>3710</v>
      </c>
      <c r="G1428" s="100" t="s">
        <v>3711</v>
      </c>
      <c r="H1428" s="100" t="s">
        <v>126</v>
      </c>
      <c r="I1428" s="247">
        <v>27449</v>
      </c>
      <c r="J1428" s="101">
        <v>1</v>
      </c>
      <c r="K1428" s="101"/>
      <c r="L1428" s="101">
        <v>1</v>
      </c>
      <c r="M1428" s="101"/>
      <c r="N1428" s="101"/>
      <c r="O1428" s="101"/>
      <c r="P1428" s="101"/>
      <c r="Q1428" s="101"/>
      <c r="R1428" s="101"/>
      <c r="S1428" s="101"/>
      <c r="T1428" s="101"/>
      <c r="U1428" s="99"/>
      <c r="V1428" s="100" t="s">
        <v>218</v>
      </c>
      <c r="W1428" s="100" t="s">
        <v>279</v>
      </c>
      <c r="X1428" s="100" t="s">
        <v>227</v>
      </c>
      <c r="Y1428" s="99"/>
      <c r="Z1428" s="99"/>
      <c r="AA1428" s="100" t="s">
        <v>3704</v>
      </c>
      <c r="AB1428" s="100" t="s">
        <v>528</v>
      </c>
      <c r="AC1428" s="99">
        <v>1</v>
      </c>
      <c r="AD1428" s="101"/>
      <c r="AE1428" s="101"/>
      <c r="AF1428" s="101"/>
      <c r="AG1428" s="101"/>
      <c r="AH1428" s="99"/>
      <c r="AI1428" s="105"/>
    </row>
    <row r="1429" spans="1:35">
      <c r="A1429" s="98"/>
      <c r="B1429" s="99"/>
      <c r="C1429" s="99"/>
      <c r="D1429" s="99"/>
      <c r="E1429" s="99"/>
      <c r="F1429" s="100"/>
      <c r="G1429" s="100"/>
      <c r="H1429" s="99"/>
      <c r="I1429" s="247"/>
      <c r="J1429" s="101"/>
      <c r="K1429" s="101"/>
      <c r="L1429" s="101"/>
      <c r="M1429" s="101"/>
      <c r="N1429" s="101"/>
      <c r="O1429" s="101"/>
      <c r="P1429" s="101"/>
      <c r="Q1429" s="101"/>
      <c r="R1429" s="101"/>
      <c r="S1429" s="101"/>
      <c r="T1429" s="101"/>
      <c r="U1429" s="99"/>
      <c r="V1429" s="99"/>
      <c r="W1429" s="99"/>
      <c r="X1429" s="99"/>
      <c r="Y1429" s="99"/>
      <c r="Z1429" s="99"/>
      <c r="AA1429" s="100" t="s">
        <v>1961</v>
      </c>
      <c r="AB1429" s="100" t="s">
        <v>528</v>
      </c>
      <c r="AC1429" s="99">
        <v>1</v>
      </c>
      <c r="AD1429" s="101"/>
      <c r="AE1429" s="101"/>
      <c r="AF1429" s="101"/>
      <c r="AG1429" s="101"/>
      <c r="AH1429" s="99"/>
      <c r="AI1429" s="105"/>
    </row>
    <row r="1430" spans="1:35">
      <c r="A1430" s="98"/>
      <c r="B1430" s="99"/>
      <c r="C1430" s="263" t="s">
        <v>3230</v>
      </c>
      <c r="D1430" s="264" t="s">
        <v>79</v>
      </c>
      <c r="E1430" s="264" t="s">
        <v>80</v>
      </c>
      <c r="F1430" s="100" t="s">
        <v>1336</v>
      </c>
      <c r="G1430" s="100" t="s">
        <v>2590</v>
      </c>
      <c r="H1430" s="100" t="s">
        <v>126</v>
      </c>
      <c r="I1430" s="247">
        <v>33674</v>
      </c>
      <c r="J1430" s="101">
        <v>1</v>
      </c>
      <c r="K1430" s="101"/>
      <c r="L1430" s="101">
        <v>1</v>
      </c>
      <c r="M1430" s="101"/>
      <c r="N1430" s="101"/>
      <c r="O1430" s="101"/>
      <c r="P1430" s="101"/>
      <c r="Q1430" s="101"/>
      <c r="R1430" s="101"/>
      <c r="S1430" s="101"/>
      <c r="T1430" s="101"/>
      <c r="U1430" s="99"/>
      <c r="V1430" s="100" t="s">
        <v>218</v>
      </c>
      <c r="W1430" s="100" t="s">
        <v>279</v>
      </c>
      <c r="X1430" s="100" t="s">
        <v>227</v>
      </c>
      <c r="Y1430" s="99"/>
      <c r="Z1430" s="99"/>
      <c r="AA1430" s="100" t="s">
        <v>3704</v>
      </c>
      <c r="AB1430" s="100" t="s">
        <v>528</v>
      </c>
      <c r="AC1430" s="99">
        <v>1</v>
      </c>
      <c r="AD1430" s="101"/>
      <c r="AE1430" s="101"/>
      <c r="AF1430" s="101"/>
      <c r="AG1430" s="101"/>
      <c r="AH1430" s="99"/>
      <c r="AI1430" s="105"/>
    </row>
    <row r="1431" spans="1:35">
      <c r="A1431" s="98"/>
      <c r="B1431" s="99"/>
      <c r="C1431" s="99"/>
      <c r="D1431" s="99"/>
      <c r="E1431" s="99"/>
      <c r="F1431" s="100"/>
      <c r="G1431" s="100"/>
      <c r="H1431" s="99"/>
      <c r="I1431" s="247"/>
      <c r="J1431" s="101"/>
      <c r="K1431" s="101"/>
      <c r="L1431" s="101"/>
      <c r="M1431" s="101"/>
      <c r="N1431" s="101"/>
      <c r="O1431" s="101"/>
      <c r="P1431" s="101"/>
      <c r="Q1431" s="101"/>
      <c r="R1431" s="101"/>
      <c r="S1431" s="101"/>
      <c r="T1431" s="101"/>
      <c r="U1431" s="99"/>
      <c r="V1431" s="99"/>
      <c r="W1431" s="99"/>
      <c r="X1431" s="99"/>
      <c r="Y1431" s="99"/>
      <c r="Z1431" s="99"/>
      <c r="AA1431" s="100" t="s">
        <v>1961</v>
      </c>
      <c r="AB1431" s="100" t="s">
        <v>528</v>
      </c>
      <c r="AC1431" s="99">
        <v>1</v>
      </c>
      <c r="AD1431" s="101"/>
      <c r="AE1431" s="101"/>
      <c r="AF1431" s="101"/>
      <c r="AG1431" s="101"/>
      <c r="AH1431" s="99"/>
      <c r="AI1431" s="105"/>
    </row>
    <row r="1432" spans="1:35">
      <c r="A1432" s="98"/>
      <c r="B1432" s="99"/>
      <c r="C1432" s="263" t="s">
        <v>3230</v>
      </c>
      <c r="D1432" s="264" t="s">
        <v>79</v>
      </c>
      <c r="E1432" s="264" t="s">
        <v>80</v>
      </c>
      <c r="F1432" s="100" t="s">
        <v>3712</v>
      </c>
      <c r="G1432" s="100" t="s">
        <v>1004</v>
      </c>
      <c r="H1432" s="100" t="s">
        <v>283</v>
      </c>
      <c r="I1432" s="247">
        <v>28474</v>
      </c>
      <c r="J1432" s="101">
        <v>1</v>
      </c>
      <c r="K1432" s="101"/>
      <c r="L1432" s="101">
        <v>1</v>
      </c>
      <c r="M1432" s="101"/>
      <c r="N1432" s="101"/>
      <c r="O1432" s="101"/>
      <c r="P1432" s="101"/>
      <c r="Q1432" s="101"/>
      <c r="R1432" s="101"/>
      <c r="S1432" s="101"/>
      <c r="T1432" s="101"/>
      <c r="U1432" s="99"/>
      <c r="V1432" s="100" t="s">
        <v>218</v>
      </c>
      <c r="W1432" s="100" t="s">
        <v>279</v>
      </c>
      <c r="X1432" s="100" t="s">
        <v>227</v>
      </c>
      <c r="Y1432" s="99"/>
      <c r="Z1432" s="99"/>
      <c r="AA1432" s="100" t="s">
        <v>3704</v>
      </c>
      <c r="AB1432" s="100" t="s">
        <v>528</v>
      </c>
      <c r="AC1432" s="99">
        <v>1</v>
      </c>
      <c r="AD1432" s="101"/>
      <c r="AE1432" s="101"/>
      <c r="AF1432" s="101"/>
      <c r="AG1432" s="101"/>
      <c r="AH1432" s="99"/>
      <c r="AI1432" s="105"/>
    </row>
    <row r="1433" spans="1:35">
      <c r="A1433" s="98"/>
      <c r="B1433" s="99"/>
      <c r="C1433" s="99"/>
      <c r="D1433" s="99"/>
      <c r="E1433" s="99"/>
      <c r="F1433" s="100"/>
      <c r="G1433" s="100"/>
      <c r="H1433" s="99"/>
      <c r="I1433" s="247"/>
      <c r="J1433" s="101"/>
      <c r="K1433" s="101"/>
      <c r="L1433" s="101"/>
      <c r="M1433" s="101"/>
      <c r="N1433" s="101"/>
      <c r="O1433" s="101"/>
      <c r="P1433" s="101"/>
      <c r="Q1433" s="101"/>
      <c r="R1433" s="101"/>
      <c r="S1433" s="101"/>
      <c r="T1433" s="101"/>
      <c r="U1433" s="99"/>
      <c r="V1433" s="99"/>
      <c r="W1433" s="99"/>
      <c r="X1433" s="99"/>
      <c r="Y1433" s="99"/>
      <c r="Z1433" s="99"/>
      <c r="AA1433" s="100" t="s">
        <v>1961</v>
      </c>
      <c r="AB1433" s="100" t="s">
        <v>528</v>
      </c>
      <c r="AC1433" s="99">
        <v>1</v>
      </c>
      <c r="AD1433" s="101"/>
      <c r="AE1433" s="101"/>
      <c r="AF1433" s="101"/>
      <c r="AG1433" s="101"/>
      <c r="AH1433" s="99"/>
      <c r="AI1433" s="105"/>
    </row>
    <row r="1434" spans="1:35">
      <c r="A1434" s="98"/>
      <c r="B1434" s="99"/>
      <c r="C1434" s="263" t="s">
        <v>3230</v>
      </c>
      <c r="D1434" s="264" t="s">
        <v>79</v>
      </c>
      <c r="E1434" s="264" t="s">
        <v>80</v>
      </c>
      <c r="F1434" s="100" t="s">
        <v>1336</v>
      </c>
      <c r="G1434" s="100" t="s">
        <v>2790</v>
      </c>
      <c r="H1434" s="100" t="s">
        <v>160</v>
      </c>
      <c r="I1434" s="247">
        <v>24722</v>
      </c>
      <c r="J1434" s="101">
        <v>1</v>
      </c>
      <c r="K1434" s="101"/>
      <c r="L1434" s="101">
        <v>1</v>
      </c>
      <c r="M1434" s="101"/>
      <c r="N1434" s="101"/>
      <c r="O1434" s="101"/>
      <c r="P1434" s="101"/>
      <c r="Q1434" s="101"/>
      <c r="R1434" s="101"/>
      <c r="S1434" s="101"/>
      <c r="T1434" s="101"/>
      <c r="U1434" s="99"/>
      <c r="V1434" s="100" t="s">
        <v>218</v>
      </c>
      <c r="W1434" s="100" t="s">
        <v>279</v>
      </c>
      <c r="X1434" s="100" t="s">
        <v>227</v>
      </c>
      <c r="Y1434" s="99"/>
      <c r="Z1434" s="99"/>
      <c r="AA1434" s="100" t="s">
        <v>3704</v>
      </c>
      <c r="AB1434" s="100" t="s">
        <v>528</v>
      </c>
      <c r="AC1434" s="99">
        <v>1</v>
      </c>
      <c r="AD1434" s="101"/>
      <c r="AE1434" s="101"/>
      <c r="AF1434" s="101"/>
      <c r="AG1434" s="101"/>
      <c r="AH1434" s="99"/>
      <c r="AI1434" s="105"/>
    </row>
    <row r="1435" spans="1:35">
      <c r="A1435" s="98"/>
      <c r="B1435" s="99"/>
      <c r="C1435" s="263"/>
      <c r="D1435" s="264"/>
      <c r="E1435" s="264"/>
      <c r="F1435" s="100"/>
      <c r="G1435" s="100"/>
      <c r="H1435" s="99"/>
      <c r="I1435" s="247"/>
      <c r="J1435" s="101"/>
      <c r="K1435" s="101"/>
      <c r="L1435" s="101"/>
      <c r="M1435" s="101"/>
      <c r="N1435" s="101"/>
      <c r="O1435" s="101"/>
      <c r="P1435" s="101"/>
      <c r="Q1435" s="101"/>
      <c r="R1435" s="101"/>
      <c r="S1435" s="101"/>
      <c r="T1435" s="101"/>
      <c r="U1435" s="99"/>
      <c r="V1435" s="99"/>
      <c r="W1435" s="99"/>
      <c r="X1435" s="99"/>
      <c r="Y1435" s="99"/>
      <c r="Z1435" s="99"/>
      <c r="AA1435" s="100" t="s">
        <v>1961</v>
      </c>
      <c r="AB1435" s="100" t="s">
        <v>528</v>
      </c>
      <c r="AC1435" s="99">
        <v>1</v>
      </c>
      <c r="AD1435" s="101"/>
      <c r="AE1435" s="101"/>
      <c r="AF1435" s="101"/>
      <c r="AG1435" s="101"/>
      <c r="AH1435" s="99"/>
      <c r="AI1435" s="105"/>
    </row>
    <row r="1436" spans="1:35">
      <c r="A1436" s="98"/>
      <c r="B1436" s="99"/>
      <c r="C1436" s="263" t="s">
        <v>3230</v>
      </c>
      <c r="D1436" s="264" t="s">
        <v>79</v>
      </c>
      <c r="E1436" s="264" t="s">
        <v>80</v>
      </c>
      <c r="F1436" s="100" t="s">
        <v>3713</v>
      </c>
      <c r="G1436" s="100" t="s">
        <v>389</v>
      </c>
      <c r="H1436" s="100" t="s">
        <v>120</v>
      </c>
      <c r="I1436" s="247">
        <v>26780</v>
      </c>
      <c r="J1436" s="101">
        <v>1</v>
      </c>
      <c r="K1436" s="101"/>
      <c r="L1436" s="101">
        <v>1</v>
      </c>
      <c r="M1436" s="101"/>
      <c r="N1436" s="101"/>
      <c r="O1436" s="101"/>
      <c r="P1436" s="101"/>
      <c r="Q1436" s="101"/>
      <c r="R1436" s="101"/>
      <c r="S1436" s="101"/>
      <c r="T1436" s="101"/>
      <c r="U1436" s="99"/>
      <c r="V1436" s="100" t="s">
        <v>218</v>
      </c>
      <c r="W1436" s="100" t="s">
        <v>279</v>
      </c>
      <c r="X1436" s="100" t="s">
        <v>227</v>
      </c>
      <c r="Y1436" s="99"/>
      <c r="Z1436" s="99"/>
      <c r="AA1436" s="100" t="s">
        <v>3704</v>
      </c>
      <c r="AB1436" s="100" t="s">
        <v>528</v>
      </c>
      <c r="AC1436" s="99">
        <v>1</v>
      </c>
      <c r="AD1436" s="101"/>
      <c r="AE1436" s="101"/>
      <c r="AF1436" s="101"/>
      <c r="AG1436" s="101"/>
      <c r="AH1436" s="99"/>
      <c r="AI1436" s="105"/>
    </row>
    <row r="1437" spans="1:35">
      <c r="A1437" s="98"/>
      <c r="B1437" s="99"/>
      <c r="C1437" s="263"/>
      <c r="D1437" s="264"/>
      <c r="E1437" s="264"/>
      <c r="F1437" s="100"/>
      <c r="G1437" s="100"/>
      <c r="H1437" s="99"/>
      <c r="I1437" s="247"/>
      <c r="J1437" s="101"/>
      <c r="K1437" s="101"/>
      <c r="L1437" s="101"/>
      <c r="M1437" s="101"/>
      <c r="N1437" s="101"/>
      <c r="O1437" s="101"/>
      <c r="P1437" s="101"/>
      <c r="Q1437" s="101"/>
      <c r="R1437" s="101"/>
      <c r="S1437" s="101"/>
      <c r="T1437" s="101"/>
      <c r="U1437" s="99"/>
      <c r="V1437" s="99"/>
      <c r="W1437" s="99"/>
      <c r="X1437" s="99"/>
      <c r="Y1437" s="99"/>
      <c r="Z1437" s="99"/>
      <c r="AA1437" s="100" t="s">
        <v>1961</v>
      </c>
      <c r="AB1437" s="100" t="s">
        <v>528</v>
      </c>
      <c r="AC1437" s="99">
        <v>1</v>
      </c>
      <c r="AD1437" s="101"/>
      <c r="AE1437" s="101"/>
      <c r="AF1437" s="101"/>
      <c r="AG1437" s="101"/>
      <c r="AH1437" s="99"/>
      <c r="AI1437" s="105"/>
    </row>
    <row r="1438" spans="1:35">
      <c r="A1438" s="98"/>
      <c r="B1438" s="99"/>
      <c r="C1438" s="263" t="s">
        <v>3230</v>
      </c>
      <c r="D1438" s="264" t="s">
        <v>79</v>
      </c>
      <c r="E1438" s="264" t="s">
        <v>80</v>
      </c>
      <c r="F1438" s="100" t="s">
        <v>3714</v>
      </c>
      <c r="G1438" s="100" t="s">
        <v>2189</v>
      </c>
      <c r="H1438" s="100" t="s">
        <v>120</v>
      </c>
      <c r="I1438" s="247">
        <v>29619</v>
      </c>
      <c r="J1438" s="101">
        <v>1</v>
      </c>
      <c r="K1438" s="101"/>
      <c r="L1438" s="101">
        <v>1</v>
      </c>
      <c r="M1438" s="101"/>
      <c r="N1438" s="101"/>
      <c r="O1438" s="101"/>
      <c r="P1438" s="101"/>
      <c r="Q1438" s="101"/>
      <c r="R1438" s="101"/>
      <c r="S1438" s="101"/>
      <c r="T1438" s="101"/>
      <c r="U1438" s="99"/>
      <c r="V1438" s="100" t="s">
        <v>218</v>
      </c>
      <c r="W1438" s="100" t="s">
        <v>279</v>
      </c>
      <c r="X1438" s="100" t="s">
        <v>227</v>
      </c>
      <c r="Y1438" s="99"/>
      <c r="Z1438" s="99"/>
      <c r="AA1438" s="100" t="s">
        <v>3704</v>
      </c>
      <c r="AB1438" s="100" t="s">
        <v>528</v>
      </c>
      <c r="AC1438" s="99">
        <v>1</v>
      </c>
      <c r="AD1438" s="101"/>
      <c r="AE1438" s="101"/>
      <c r="AF1438" s="101"/>
      <c r="AG1438" s="101"/>
      <c r="AH1438" s="99"/>
      <c r="AI1438" s="105"/>
    </row>
    <row r="1439" spans="1:35">
      <c r="A1439" s="98"/>
      <c r="B1439" s="99"/>
      <c r="C1439" s="263"/>
      <c r="D1439" s="264"/>
      <c r="E1439" s="264"/>
      <c r="F1439" s="100"/>
      <c r="G1439" s="100"/>
      <c r="H1439" s="99"/>
      <c r="I1439" s="247"/>
      <c r="J1439" s="101"/>
      <c r="K1439" s="101"/>
      <c r="L1439" s="101"/>
      <c r="M1439" s="101"/>
      <c r="N1439" s="101"/>
      <c r="O1439" s="101"/>
      <c r="P1439" s="101"/>
      <c r="Q1439" s="101"/>
      <c r="R1439" s="101"/>
      <c r="S1439" s="101"/>
      <c r="T1439" s="101"/>
      <c r="U1439" s="99"/>
      <c r="V1439" s="99"/>
      <c r="W1439" s="99"/>
      <c r="X1439" s="99"/>
      <c r="Y1439" s="99"/>
      <c r="Z1439" s="99"/>
      <c r="AA1439" s="100" t="s">
        <v>1961</v>
      </c>
      <c r="AB1439" s="100" t="s">
        <v>528</v>
      </c>
      <c r="AC1439" s="99">
        <v>1</v>
      </c>
      <c r="AD1439" s="101"/>
      <c r="AE1439" s="101"/>
      <c r="AF1439" s="101"/>
      <c r="AG1439" s="101"/>
      <c r="AH1439" s="99"/>
      <c r="AI1439" s="105"/>
    </row>
    <row r="1440" spans="1:35">
      <c r="A1440" s="98"/>
      <c r="B1440" s="99"/>
      <c r="C1440" s="263" t="s">
        <v>3230</v>
      </c>
      <c r="D1440" s="264" t="s">
        <v>79</v>
      </c>
      <c r="E1440" s="264" t="s">
        <v>80</v>
      </c>
      <c r="F1440" s="100" t="s">
        <v>3715</v>
      </c>
      <c r="G1440" s="100" t="s">
        <v>1506</v>
      </c>
      <c r="H1440" s="100" t="s">
        <v>133</v>
      </c>
      <c r="I1440" s="247">
        <v>22101</v>
      </c>
      <c r="J1440" s="101"/>
      <c r="K1440" s="101">
        <v>1</v>
      </c>
      <c r="L1440" s="101">
        <v>1</v>
      </c>
      <c r="M1440" s="101"/>
      <c r="N1440" s="101"/>
      <c r="O1440" s="101"/>
      <c r="P1440" s="101"/>
      <c r="Q1440" s="101"/>
      <c r="R1440" s="101"/>
      <c r="S1440" s="101"/>
      <c r="T1440" s="101"/>
      <c r="U1440" s="99"/>
      <c r="V1440" s="100" t="s">
        <v>218</v>
      </c>
      <c r="W1440" s="100" t="s">
        <v>279</v>
      </c>
      <c r="X1440" s="100" t="s">
        <v>227</v>
      </c>
      <c r="Y1440" s="99"/>
      <c r="Z1440" s="99"/>
      <c r="AA1440" s="100" t="s">
        <v>3704</v>
      </c>
      <c r="AB1440" s="100" t="s">
        <v>528</v>
      </c>
      <c r="AC1440" s="99">
        <v>1</v>
      </c>
      <c r="AD1440" s="101"/>
      <c r="AE1440" s="101"/>
      <c r="AF1440" s="101"/>
      <c r="AG1440" s="101"/>
      <c r="AH1440" s="99"/>
      <c r="AI1440" s="105"/>
    </row>
    <row r="1441" spans="1:35">
      <c r="A1441" s="98"/>
      <c r="B1441" s="99"/>
      <c r="C1441" s="263"/>
      <c r="D1441" s="264"/>
      <c r="E1441" s="264"/>
      <c r="F1441" s="100"/>
      <c r="G1441" s="100"/>
      <c r="H1441" s="99"/>
      <c r="I1441" s="247"/>
      <c r="J1441" s="101"/>
      <c r="K1441" s="101"/>
      <c r="L1441" s="101"/>
      <c r="M1441" s="101"/>
      <c r="N1441" s="101"/>
      <c r="O1441" s="101"/>
      <c r="P1441" s="101"/>
      <c r="Q1441" s="101"/>
      <c r="R1441" s="101"/>
      <c r="S1441" s="101"/>
      <c r="T1441" s="101"/>
      <c r="U1441" s="99"/>
      <c r="V1441" s="99"/>
      <c r="W1441" s="99"/>
      <c r="X1441" s="99"/>
      <c r="Y1441" s="99"/>
      <c r="Z1441" s="99"/>
      <c r="AA1441" s="100" t="s">
        <v>1961</v>
      </c>
      <c r="AB1441" s="100" t="s">
        <v>528</v>
      </c>
      <c r="AC1441" s="99">
        <v>1</v>
      </c>
      <c r="AD1441" s="101"/>
      <c r="AE1441" s="101"/>
      <c r="AF1441" s="101"/>
      <c r="AG1441" s="101"/>
      <c r="AH1441" s="99"/>
      <c r="AI1441" s="105"/>
    </row>
    <row r="1442" spans="1:35">
      <c r="A1442" s="98"/>
      <c r="B1442" s="99"/>
      <c r="C1442" s="263" t="s">
        <v>3230</v>
      </c>
      <c r="D1442" s="264" t="s">
        <v>79</v>
      </c>
      <c r="E1442" s="264" t="s">
        <v>80</v>
      </c>
      <c r="F1442" s="100" t="s">
        <v>3716</v>
      </c>
      <c r="G1442" s="100" t="s">
        <v>1160</v>
      </c>
      <c r="H1442" s="100" t="s">
        <v>136</v>
      </c>
      <c r="I1442" s="247">
        <v>27640</v>
      </c>
      <c r="J1442" s="101">
        <v>1</v>
      </c>
      <c r="K1442" s="101"/>
      <c r="L1442" s="101">
        <v>1</v>
      </c>
      <c r="M1442" s="101"/>
      <c r="N1442" s="101"/>
      <c r="O1442" s="101"/>
      <c r="P1442" s="101"/>
      <c r="Q1442" s="101"/>
      <c r="R1442" s="101"/>
      <c r="S1442" s="101"/>
      <c r="T1442" s="101"/>
      <c r="U1442" s="99"/>
      <c r="V1442" s="100" t="s">
        <v>218</v>
      </c>
      <c r="W1442" s="100" t="s">
        <v>279</v>
      </c>
      <c r="X1442" s="100" t="s">
        <v>227</v>
      </c>
      <c r="Y1442" s="99"/>
      <c r="Z1442" s="99"/>
      <c r="AA1442" s="100" t="s">
        <v>3704</v>
      </c>
      <c r="AB1442" s="100" t="s">
        <v>528</v>
      </c>
      <c r="AC1442" s="99">
        <v>1</v>
      </c>
      <c r="AD1442" s="101"/>
      <c r="AE1442" s="101"/>
      <c r="AF1442" s="101"/>
      <c r="AG1442" s="101"/>
      <c r="AH1442" s="99"/>
      <c r="AI1442" s="105"/>
    </row>
    <row r="1443" spans="1:35">
      <c r="A1443" s="98"/>
      <c r="B1443" s="99"/>
      <c r="C1443" s="263"/>
      <c r="D1443" s="264"/>
      <c r="E1443" s="264"/>
      <c r="F1443" s="100"/>
      <c r="G1443" s="100"/>
      <c r="H1443" s="99"/>
      <c r="I1443" s="247"/>
      <c r="J1443" s="101"/>
      <c r="K1443" s="101"/>
      <c r="L1443" s="101"/>
      <c r="M1443" s="101"/>
      <c r="N1443" s="101"/>
      <c r="O1443" s="101"/>
      <c r="P1443" s="101"/>
      <c r="Q1443" s="101"/>
      <c r="R1443" s="101"/>
      <c r="S1443" s="101"/>
      <c r="T1443" s="101"/>
      <c r="U1443" s="99"/>
      <c r="V1443" s="99"/>
      <c r="W1443" s="99"/>
      <c r="X1443" s="99"/>
      <c r="Y1443" s="99"/>
      <c r="Z1443" s="99"/>
      <c r="AA1443" s="100" t="s">
        <v>1961</v>
      </c>
      <c r="AB1443" s="100" t="s">
        <v>528</v>
      </c>
      <c r="AC1443" s="99">
        <v>1</v>
      </c>
      <c r="AD1443" s="101"/>
      <c r="AE1443" s="101"/>
      <c r="AF1443" s="101"/>
      <c r="AG1443" s="101"/>
      <c r="AH1443" s="99"/>
      <c r="AI1443" s="105"/>
    </row>
    <row r="1444" spans="1:35">
      <c r="A1444" s="98"/>
      <c r="B1444" s="99"/>
      <c r="C1444" s="263" t="s">
        <v>3230</v>
      </c>
      <c r="D1444" s="264" t="s">
        <v>79</v>
      </c>
      <c r="E1444" s="264" t="s">
        <v>80</v>
      </c>
      <c r="F1444" s="100" t="s">
        <v>3717</v>
      </c>
      <c r="G1444" s="100" t="s">
        <v>343</v>
      </c>
      <c r="H1444" s="100" t="s">
        <v>286</v>
      </c>
      <c r="I1444" s="247">
        <v>28109</v>
      </c>
      <c r="J1444" s="101">
        <v>1</v>
      </c>
      <c r="K1444" s="101"/>
      <c r="L1444" s="101">
        <v>1</v>
      </c>
      <c r="M1444" s="101"/>
      <c r="N1444" s="101"/>
      <c r="O1444" s="101"/>
      <c r="P1444" s="101"/>
      <c r="Q1444" s="101"/>
      <c r="R1444" s="101"/>
      <c r="S1444" s="101"/>
      <c r="T1444" s="101"/>
      <c r="U1444" s="99"/>
      <c r="V1444" s="100" t="s">
        <v>218</v>
      </c>
      <c r="W1444" s="100" t="s">
        <v>279</v>
      </c>
      <c r="X1444" s="100" t="s">
        <v>227</v>
      </c>
      <c r="Y1444" s="99"/>
      <c r="Z1444" s="99"/>
      <c r="AA1444" s="100" t="s">
        <v>3704</v>
      </c>
      <c r="AB1444" s="100" t="s">
        <v>528</v>
      </c>
      <c r="AC1444" s="99">
        <v>1</v>
      </c>
      <c r="AD1444" s="101"/>
      <c r="AE1444" s="101"/>
      <c r="AF1444" s="101"/>
      <c r="AG1444" s="101"/>
      <c r="AH1444" s="99"/>
      <c r="AI1444" s="105"/>
    </row>
    <row r="1445" spans="1:35">
      <c r="A1445" s="98"/>
      <c r="B1445" s="99"/>
      <c r="C1445" s="263"/>
      <c r="D1445" s="264"/>
      <c r="E1445" s="264"/>
      <c r="F1445" s="100"/>
      <c r="G1445" s="100"/>
      <c r="H1445" s="99"/>
      <c r="I1445" s="247"/>
      <c r="J1445" s="101"/>
      <c r="K1445" s="101"/>
      <c r="L1445" s="101"/>
      <c r="M1445" s="101"/>
      <c r="N1445" s="101"/>
      <c r="O1445" s="101"/>
      <c r="P1445" s="101"/>
      <c r="Q1445" s="101"/>
      <c r="R1445" s="101"/>
      <c r="S1445" s="101"/>
      <c r="T1445" s="101"/>
      <c r="U1445" s="99"/>
      <c r="V1445" s="99"/>
      <c r="W1445" s="99"/>
      <c r="X1445" s="99"/>
      <c r="Y1445" s="99"/>
      <c r="Z1445" s="99"/>
      <c r="AA1445" s="100" t="s">
        <v>1961</v>
      </c>
      <c r="AB1445" s="100" t="s">
        <v>528</v>
      </c>
      <c r="AC1445" s="99">
        <v>1</v>
      </c>
      <c r="AD1445" s="101"/>
      <c r="AE1445" s="101"/>
      <c r="AF1445" s="101"/>
      <c r="AG1445" s="101"/>
      <c r="AH1445" s="99"/>
      <c r="AI1445" s="105"/>
    </row>
    <row r="1446" spans="1:35">
      <c r="A1446" s="98"/>
      <c r="B1446" s="99"/>
      <c r="C1446" s="263" t="s">
        <v>3230</v>
      </c>
      <c r="D1446" s="264" t="s">
        <v>79</v>
      </c>
      <c r="E1446" s="264" t="s">
        <v>80</v>
      </c>
      <c r="F1446" s="100" t="s">
        <v>2501</v>
      </c>
      <c r="G1446" s="100" t="s">
        <v>3718</v>
      </c>
      <c r="H1446" s="100" t="s">
        <v>113</v>
      </c>
      <c r="I1446" s="247">
        <v>24949</v>
      </c>
      <c r="J1446" s="101">
        <v>1</v>
      </c>
      <c r="K1446" s="101"/>
      <c r="L1446" s="101">
        <v>1</v>
      </c>
      <c r="M1446" s="101"/>
      <c r="N1446" s="101"/>
      <c r="O1446" s="101"/>
      <c r="P1446" s="101"/>
      <c r="Q1446" s="101"/>
      <c r="R1446" s="101"/>
      <c r="S1446" s="101"/>
      <c r="T1446" s="101"/>
      <c r="U1446" s="99"/>
      <c r="V1446" s="100" t="s">
        <v>218</v>
      </c>
      <c r="W1446" s="100" t="s">
        <v>279</v>
      </c>
      <c r="X1446" s="100" t="s">
        <v>227</v>
      </c>
      <c r="Y1446" s="99"/>
      <c r="Z1446" s="99"/>
      <c r="AA1446" s="100" t="s">
        <v>3704</v>
      </c>
      <c r="AB1446" s="100" t="s">
        <v>528</v>
      </c>
      <c r="AC1446" s="99">
        <v>1</v>
      </c>
      <c r="AD1446" s="101"/>
      <c r="AE1446" s="101"/>
      <c r="AF1446" s="101"/>
      <c r="AG1446" s="101"/>
      <c r="AH1446" s="99"/>
      <c r="AI1446" s="105"/>
    </row>
    <row r="1447" spans="1:35">
      <c r="A1447" s="98"/>
      <c r="B1447" s="99"/>
      <c r="C1447" s="99"/>
      <c r="D1447" s="99"/>
      <c r="E1447" s="99"/>
      <c r="F1447" s="100"/>
      <c r="G1447" s="100"/>
      <c r="H1447" s="99"/>
      <c r="I1447" s="247"/>
      <c r="J1447" s="101"/>
      <c r="K1447" s="101"/>
      <c r="L1447" s="101"/>
      <c r="M1447" s="101"/>
      <c r="N1447" s="101"/>
      <c r="O1447" s="101"/>
      <c r="P1447" s="101"/>
      <c r="Q1447" s="101"/>
      <c r="R1447" s="101"/>
      <c r="S1447" s="101"/>
      <c r="T1447" s="101"/>
      <c r="U1447" s="99"/>
      <c r="V1447" s="99"/>
      <c r="W1447" s="99"/>
      <c r="X1447" s="99"/>
      <c r="Y1447" s="99"/>
      <c r="Z1447" s="99"/>
      <c r="AA1447" s="100" t="s">
        <v>1961</v>
      </c>
      <c r="AB1447" s="100" t="s">
        <v>528</v>
      </c>
      <c r="AC1447" s="99">
        <v>1</v>
      </c>
      <c r="AD1447" s="101"/>
      <c r="AE1447" s="101"/>
      <c r="AF1447" s="101"/>
      <c r="AG1447" s="101"/>
      <c r="AH1447" s="99"/>
      <c r="AI1447" s="105"/>
    </row>
    <row r="1448" spans="1:35">
      <c r="A1448" s="98"/>
      <c r="B1448" s="99"/>
      <c r="C1448" s="263" t="s">
        <v>3230</v>
      </c>
      <c r="D1448" s="264" t="s">
        <v>79</v>
      </c>
      <c r="E1448" s="264" t="s">
        <v>80</v>
      </c>
      <c r="F1448" s="100" t="s">
        <v>466</v>
      </c>
      <c r="G1448" s="100" t="s">
        <v>2557</v>
      </c>
      <c r="H1448" s="100" t="s">
        <v>3719</v>
      </c>
      <c r="I1448" s="247">
        <v>29255</v>
      </c>
      <c r="J1448" s="101">
        <v>1</v>
      </c>
      <c r="K1448" s="101"/>
      <c r="L1448" s="101">
        <v>1</v>
      </c>
      <c r="M1448" s="101"/>
      <c r="N1448" s="101"/>
      <c r="O1448" s="101"/>
      <c r="P1448" s="101"/>
      <c r="Q1448" s="101"/>
      <c r="R1448" s="101"/>
      <c r="S1448" s="101"/>
      <c r="T1448" s="101"/>
      <c r="U1448" s="99"/>
      <c r="V1448" s="100" t="s">
        <v>218</v>
      </c>
      <c r="W1448" s="100" t="s">
        <v>279</v>
      </c>
      <c r="X1448" s="100" t="s">
        <v>227</v>
      </c>
      <c r="Y1448" s="99"/>
      <c r="Z1448" s="99"/>
      <c r="AA1448" s="100" t="s">
        <v>3704</v>
      </c>
      <c r="AB1448" s="100" t="s">
        <v>528</v>
      </c>
      <c r="AC1448" s="99">
        <v>1</v>
      </c>
      <c r="AD1448" s="101"/>
      <c r="AE1448" s="101"/>
      <c r="AF1448" s="101"/>
      <c r="AG1448" s="101"/>
      <c r="AH1448" s="99"/>
      <c r="AI1448" s="105"/>
    </row>
    <row r="1449" spans="1:35">
      <c r="A1449" s="98"/>
      <c r="B1449" s="99"/>
      <c r="C1449" s="99"/>
      <c r="D1449" s="99"/>
      <c r="E1449" s="99"/>
      <c r="F1449" s="100"/>
      <c r="G1449" s="100"/>
      <c r="H1449" s="99"/>
      <c r="I1449" s="247"/>
      <c r="J1449" s="101"/>
      <c r="K1449" s="101"/>
      <c r="L1449" s="101"/>
      <c r="M1449" s="101"/>
      <c r="N1449" s="101"/>
      <c r="O1449" s="101"/>
      <c r="P1449" s="101"/>
      <c r="Q1449" s="101"/>
      <c r="R1449" s="101"/>
      <c r="S1449" s="101"/>
      <c r="T1449" s="101"/>
      <c r="U1449" s="99"/>
      <c r="V1449" s="99"/>
      <c r="W1449" s="99"/>
      <c r="X1449" s="99"/>
      <c r="Y1449" s="99"/>
      <c r="Z1449" s="99"/>
      <c r="AA1449" s="100" t="s">
        <v>1961</v>
      </c>
      <c r="AB1449" s="100" t="s">
        <v>528</v>
      </c>
      <c r="AC1449" s="99">
        <v>1</v>
      </c>
      <c r="AD1449" s="101"/>
      <c r="AE1449" s="101"/>
      <c r="AF1449" s="101"/>
      <c r="AG1449" s="101"/>
      <c r="AH1449" s="99"/>
      <c r="AI1449" s="105"/>
    </row>
    <row r="1450" spans="1:35">
      <c r="A1450" s="98"/>
      <c r="B1450" s="99"/>
      <c r="C1450" s="263" t="s">
        <v>3230</v>
      </c>
      <c r="D1450" s="264" t="s">
        <v>79</v>
      </c>
      <c r="E1450" s="264" t="s">
        <v>80</v>
      </c>
      <c r="F1450" s="100" t="s">
        <v>3720</v>
      </c>
      <c r="G1450" s="100" t="s">
        <v>2502</v>
      </c>
      <c r="H1450" s="100" t="s">
        <v>421</v>
      </c>
      <c r="I1450" s="247">
        <v>32407</v>
      </c>
      <c r="J1450" s="101">
        <v>1</v>
      </c>
      <c r="K1450" s="101"/>
      <c r="L1450" s="101">
        <v>1</v>
      </c>
      <c r="M1450" s="101"/>
      <c r="N1450" s="101"/>
      <c r="O1450" s="101"/>
      <c r="P1450" s="101"/>
      <c r="Q1450" s="101"/>
      <c r="R1450" s="101"/>
      <c r="S1450" s="101"/>
      <c r="T1450" s="101"/>
      <c r="U1450" s="99"/>
      <c r="V1450" s="100" t="s">
        <v>218</v>
      </c>
      <c r="W1450" s="100" t="s">
        <v>279</v>
      </c>
      <c r="X1450" s="100" t="s">
        <v>227</v>
      </c>
      <c r="Y1450" s="99"/>
      <c r="Z1450" s="99"/>
      <c r="AA1450" s="100" t="s">
        <v>3704</v>
      </c>
      <c r="AB1450" s="100" t="s">
        <v>528</v>
      </c>
      <c r="AC1450" s="99">
        <v>1</v>
      </c>
      <c r="AD1450" s="101"/>
      <c r="AE1450" s="101"/>
      <c r="AF1450" s="101"/>
      <c r="AG1450" s="101"/>
      <c r="AH1450" s="99"/>
      <c r="AI1450" s="105"/>
    </row>
    <row r="1451" spans="1:35">
      <c r="A1451" s="98"/>
      <c r="B1451" s="99"/>
      <c r="C1451" s="99"/>
      <c r="D1451" s="99"/>
      <c r="E1451" s="99"/>
      <c r="F1451" s="100"/>
      <c r="G1451" s="100"/>
      <c r="H1451" s="99"/>
      <c r="I1451" s="247"/>
      <c r="J1451" s="101"/>
      <c r="K1451" s="101"/>
      <c r="L1451" s="101"/>
      <c r="M1451" s="101"/>
      <c r="N1451" s="101"/>
      <c r="O1451" s="101"/>
      <c r="P1451" s="101"/>
      <c r="Q1451" s="101"/>
      <c r="R1451" s="101"/>
      <c r="S1451" s="101"/>
      <c r="T1451" s="101"/>
      <c r="U1451" s="99"/>
      <c r="V1451" s="99"/>
      <c r="W1451" s="99"/>
      <c r="X1451" s="99"/>
      <c r="Y1451" s="99"/>
      <c r="Z1451" s="99"/>
      <c r="AA1451" s="100" t="s">
        <v>1961</v>
      </c>
      <c r="AB1451" s="100" t="s">
        <v>528</v>
      </c>
      <c r="AC1451" s="99">
        <v>1</v>
      </c>
      <c r="AD1451" s="101"/>
      <c r="AE1451" s="101"/>
      <c r="AF1451" s="101"/>
      <c r="AG1451" s="101"/>
      <c r="AH1451" s="99"/>
      <c r="AI1451" s="105"/>
    </row>
    <row r="1452" spans="1:35">
      <c r="A1452" s="98"/>
      <c r="B1452" s="99"/>
      <c r="C1452" s="263" t="s">
        <v>3230</v>
      </c>
      <c r="D1452" s="264" t="s">
        <v>79</v>
      </c>
      <c r="E1452" s="264" t="s">
        <v>80</v>
      </c>
      <c r="F1452" s="100" t="s">
        <v>3721</v>
      </c>
      <c r="G1452" s="100" t="s">
        <v>3217</v>
      </c>
      <c r="H1452" s="100" t="s">
        <v>136</v>
      </c>
      <c r="I1452" s="247">
        <v>32741</v>
      </c>
      <c r="J1452" s="101">
        <v>1</v>
      </c>
      <c r="K1452" s="101"/>
      <c r="L1452" s="101">
        <v>1</v>
      </c>
      <c r="M1452" s="101"/>
      <c r="N1452" s="101"/>
      <c r="O1452" s="101"/>
      <c r="P1452" s="101"/>
      <c r="Q1452" s="101"/>
      <c r="R1452" s="101"/>
      <c r="S1452" s="101"/>
      <c r="T1452" s="101"/>
      <c r="U1452" s="99"/>
      <c r="V1452" s="100" t="s">
        <v>218</v>
      </c>
      <c r="W1452" s="100" t="s">
        <v>279</v>
      </c>
      <c r="X1452" s="100" t="s">
        <v>227</v>
      </c>
      <c r="Y1452" s="99"/>
      <c r="Z1452" s="99"/>
      <c r="AA1452" s="100" t="s">
        <v>3704</v>
      </c>
      <c r="AB1452" s="100" t="s">
        <v>528</v>
      </c>
      <c r="AC1452" s="99">
        <v>1</v>
      </c>
      <c r="AD1452" s="101"/>
      <c r="AE1452" s="101"/>
      <c r="AF1452" s="101"/>
      <c r="AG1452" s="101"/>
      <c r="AH1452" s="99"/>
      <c r="AI1452" s="105"/>
    </row>
    <row r="1453" spans="1:35">
      <c r="A1453" s="98"/>
      <c r="B1453" s="99"/>
      <c r="C1453" s="99"/>
      <c r="D1453" s="99"/>
      <c r="E1453" s="99"/>
      <c r="F1453" s="100"/>
      <c r="G1453" s="100"/>
      <c r="H1453" s="99"/>
      <c r="I1453" s="247"/>
      <c r="J1453" s="101"/>
      <c r="K1453" s="101"/>
      <c r="L1453" s="101"/>
      <c r="M1453" s="101"/>
      <c r="N1453" s="101"/>
      <c r="O1453" s="101"/>
      <c r="P1453" s="101"/>
      <c r="Q1453" s="101"/>
      <c r="R1453" s="101"/>
      <c r="S1453" s="101"/>
      <c r="T1453" s="101"/>
      <c r="U1453" s="99"/>
      <c r="V1453" s="99"/>
      <c r="W1453" s="99"/>
      <c r="X1453" s="99"/>
      <c r="Y1453" s="99"/>
      <c r="Z1453" s="99"/>
      <c r="AA1453" s="100" t="s">
        <v>1961</v>
      </c>
      <c r="AB1453" s="100" t="s">
        <v>528</v>
      </c>
      <c r="AC1453" s="99">
        <v>1</v>
      </c>
      <c r="AD1453" s="101"/>
      <c r="AE1453" s="101"/>
      <c r="AF1453" s="101"/>
      <c r="AG1453" s="101"/>
      <c r="AH1453" s="99"/>
      <c r="AI1453" s="105"/>
    </row>
    <row r="1454" spans="1:35">
      <c r="A1454" s="98"/>
      <c r="B1454" s="99"/>
      <c r="C1454" s="263" t="s">
        <v>3230</v>
      </c>
      <c r="D1454" s="264" t="s">
        <v>79</v>
      </c>
      <c r="E1454" s="264" t="s">
        <v>80</v>
      </c>
      <c r="F1454" s="100" t="s">
        <v>595</v>
      </c>
      <c r="G1454" s="100" t="s">
        <v>1720</v>
      </c>
      <c r="H1454" s="100" t="s">
        <v>283</v>
      </c>
      <c r="I1454" s="247">
        <v>24848</v>
      </c>
      <c r="J1454" s="101">
        <v>1</v>
      </c>
      <c r="K1454" s="101"/>
      <c r="L1454" s="101">
        <v>1</v>
      </c>
      <c r="M1454" s="101"/>
      <c r="N1454" s="101"/>
      <c r="O1454" s="101"/>
      <c r="P1454" s="101"/>
      <c r="Q1454" s="101"/>
      <c r="R1454" s="101"/>
      <c r="S1454" s="101"/>
      <c r="T1454" s="101"/>
      <c r="U1454" s="99"/>
      <c r="V1454" s="100" t="s">
        <v>218</v>
      </c>
      <c r="W1454" s="100" t="s">
        <v>279</v>
      </c>
      <c r="X1454" s="100" t="s">
        <v>227</v>
      </c>
      <c r="Y1454" s="99"/>
      <c r="Z1454" s="99"/>
      <c r="AA1454" s="100" t="s">
        <v>3704</v>
      </c>
      <c r="AB1454" s="100" t="s">
        <v>528</v>
      </c>
      <c r="AC1454" s="99">
        <v>1</v>
      </c>
      <c r="AD1454" s="101"/>
      <c r="AE1454" s="101"/>
      <c r="AF1454" s="101"/>
      <c r="AG1454" s="101"/>
      <c r="AH1454" s="99"/>
      <c r="AI1454" s="105"/>
    </row>
    <row r="1455" spans="1:35">
      <c r="A1455" s="98"/>
      <c r="B1455" s="99"/>
      <c r="C1455" s="99"/>
      <c r="D1455" s="99"/>
      <c r="E1455" s="99"/>
      <c r="F1455" s="100"/>
      <c r="G1455" s="100"/>
      <c r="H1455" s="99"/>
      <c r="I1455" s="247"/>
      <c r="J1455" s="101"/>
      <c r="K1455" s="101"/>
      <c r="L1455" s="101"/>
      <c r="M1455" s="101"/>
      <c r="N1455" s="101"/>
      <c r="O1455" s="101"/>
      <c r="P1455" s="101"/>
      <c r="Q1455" s="101"/>
      <c r="R1455" s="101"/>
      <c r="S1455" s="101"/>
      <c r="T1455" s="101"/>
      <c r="U1455" s="99"/>
      <c r="V1455" s="99"/>
      <c r="W1455" s="99"/>
      <c r="X1455" s="99"/>
      <c r="Y1455" s="99"/>
      <c r="Z1455" s="99"/>
      <c r="AA1455" s="100" t="s">
        <v>1961</v>
      </c>
      <c r="AB1455" s="100" t="s">
        <v>528</v>
      </c>
      <c r="AC1455" s="99">
        <v>1</v>
      </c>
      <c r="AD1455" s="101"/>
      <c r="AE1455" s="101"/>
      <c r="AF1455" s="101"/>
      <c r="AG1455" s="101"/>
      <c r="AH1455" s="99"/>
      <c r="AI1455" s="105"/>
    </row>
    <row r="1456" spans="1:35">
      <c r="A1456" s="98"/>
      <c r="B1456" s="99"/>
      <c r="C1456" s="263" t="s">
        <v>3230</v>
      </c>
      <c r="D1456" s="264" t="s">
        <v>79</v>
      </c>
      <c r="E1456" s="264" t="s">
        <v>80</v>
      </c>
      <c r="F1456" s="100" t="s">
        <v>3722</v>
      </c>
      <c r="G1456" s="100" t="s">
        <v>3723</v>
      </c>
      <c r="H1456" s="100" t="s">
        <v>120</v>
      </c>
      <c r="I1456" s="247">
        <v>25452</v>
      </c>
      <c r="J1456" s="101">
        <v>1</v>
      </c>
      <c r="K1456" s="101"/>
      <c r="L1456" s="101">
        <v>1</v>
      </c>
      <c r="M1456" s="101"/>
      <c r="N1456" s="101"/>
      <c r="O1456" s="101"/>
      <c r="P1456" s="101"/>
      <c r="Q1456" s="101"/>
      <c r="R1456" s="101"/>
      <c r="S1456" s="101"/>
      <c r="T1456" s="101"/>
      <c r="U1456" s="99"/>
      <c r="V1456" s="100" t="s">
        <v>218</v>
      </c>
      <c r="W1456" s="100" t="s">
        <v>279</v>
      </c>
      <c r="X1456" s="100" t="s">
        <v>227</v>
      </c>
      <c r="Y1456" s="99"/>
      <c r="Z1456" s="99"/>
      <c r="AA1456" s="100" t="s">
        <v>3704</v>
      </c>
      <c r="AB1456" s="100" t="s">
        <v>528</v>
      </c>
      <c r="AC1456" s="99">
        <v>1</v>
      </c>
      <c r="AD1456" s="101"/>
      <c r="AE1456" s="101"/>
      <c r="AF1456" s="101"/>
      <c r="AG1456" s="101"/>
      <c r="AH1456" s="99"/>
      <c r="AI1456" s="105"/>
    </row>
    <row r="1457" spans="1:35">
      <c r="A1457" s="98"/>
      <c r="B1457" s="99"/>
      <c r="C1457" s="99"/>
      <c r="D1457" s="99"/>
      <c r="E1457" s="99"/>
      <c r="F1457" s="100"/>
      <c r="G1457" s="100"/>
      <c r="H1457" s="99"/>
      <c r="I1457" s="247"/>
      <c r="J1457" s="101"/>
      <c r="K1457" s="101"/>
      <c r="L1457" s="101"/>
      <c r="M1457" s="101"/>
      <c r="N1457" s="101"/>
      <c r="O1457" s="101"/>
      <c r="P1457" s="101"/>
      <c r="Q1457" s="101"/>
      <c r="R1457" s="101"/>
      <c r="S1457" s="101"/>
      <c r="T1457" s="101"/>
      <c r="U1457" s="99"/>
      <c r="V1457" s="99"/>
      <c r="W1457" s="99"/>
      <c r="X1457" s="99"/>
      <c r="Y1457" s="99"/>
      <c r="Z1457" s="99"/>
      <c r="AA1457" s="100" t="s">
        <v>1961</v>
      </c>
      <c r="AB1457" s="100" t="s">
        <v>528</v>
      </c>
      <c r="AC1457" s="99">
        <v>1</v>
      </c>
      <c r="AD1457" s="101"/>
      <c r="AE1457" s="101"/>
      <c r="AF1457" s="101"/>
      <c r="AG1457" s="101"/>
      <c r="AH1457" s="99"/>
      <c r="AI1457" s="105"/>
    </row>
    <row r="1458" spans="1:35">
      <c r="A1458" s="98"/>
      <c r="B1458" s="99"/>
      <c r="C1458" s="263" t="s">
        <v>3230</v>
      </c>
      <c r="D1458" s="264" t="s">
        <v>79</v>
      </c>
      <c r="E1458" s="264" t="s">
        <v>80</v>
      </c>
      <c r="F1458" s="100" t="s">
        <v>2997</v>
      </c>
      <c r="G1458" s="100" t="s">
        <v>1569</v>
      </c>
      <c r="H1458" s="100" t="s">
        <v>160</v>
      </c>
      <c r="I1458" s="247">
        <v>32752</v>
      </c>
      <c r="J1458" s="101">
        <v>1</v>
      </c>
      <c r="K1458" s="101"/>
      <c r="L1458" s="101">
        <v>1</v>
      </c>
      <c r="M1458" s="101"/>
      <c r="N1458" s="101"/>
      <c r="O1458" s="101"/>
      <c r="P1458" s="101"/>
      <c r="Q1458" s="101"/>
      <c r="R1458" s="101"/>
      <c r="S1458" s="101"/>
      <c r="T1458" s="101"/>
      <c r="U1458" s="99"/>
      <c r="V1458" s="100" t="s">
        <v>218</v>
      </c>
      <c r="W1458" s="100" t="s">
        <v>279</v>
      </c>
      <c r="X1458" s="100" t="s">
        <v>227</v>
      </c>
      <c r="Y1458" s="99"/>
      <c r="Z1458" s="99"/>
      <c r="AA1458" s="100" t="s">
        <v>3704</v>
      </c>
      <c r="AB1458" s="100" t="s">
        <v>528</v>
      </c>
      <c r="AC1458" s="99">
        <v>1</v>
      </c>
      <c r="AD1458" s="101"/>
      <c r="AE1458" s="101"/>
      <c r="AF1458" s="101"/>
      <c r="AG1458" s="101"/>
      <c r="AH1458" s="99"/>
      <c r="AI1458" s="105"/>
    </row>
    <row r="1459" spans="1:35">
      <c r="A1459" s="98"/>
      <c r="B1459" s="99"/>
      <c r="C1459" s="99"/>
      <c r="D1459" s="99"/>
      <c r="E1459" s="99"/>
      <c r="F1459" s="100"/>
      <c r="G1459" s="100"/>
      <c r="H1459" s="99"/>
      <c r="I1459" s="247"/>
      <c r="J1459" s="101"/>
      <c r="K1459" s="101"/>
      <c r="L1459" s="101"/>
      <c r="M1459" s="101"/>
      <c r="N1459" s="101"/>
      <c r="O1459" s="101"/>
      <c r="P1459" s="101"/>
      <c r="Q1459" s="101"/>
      <c r="R1459" s="101"/>
      <c r="S1459" s="101"/>
      <c r="T1459" s="101"/>
      <c r="U1459" s="99"/>
      <c r="V1459" s="99"/>
      <c r="W1459" s="99"/>
      <c r="X1459" s="99"/>
      <c r="Y1459" s="99"/>
      <c r="Z1459" s="99"/>
      <c r="AA1459" s="100" t="s">
        <v>1961</v>
      </c>
      <c r="AB1459" s="100" t="s">
        <v>528</v>
      </c>
      <c r="AC1459" s="99">
        <v>1</v>
      </c>
      <c r="AD1459" s="101"/>
      <c r="AE1459" s="101"/>
      <c r="AF1459" s="101"/>
      <c r="AG1459" s="101"/>
      <c r="AH1459" s="99"/>
      <c r="AI1459" s="105"/>
    </row>
    <row r="1460" spans="1:35">
      <c r="A1460" s="98"/>
      <c r="B1460" s="99"/>
      <c r="C1460" s="263" t="s">
        <v>3230</v>
      </c>
      <c r="D1460" s="264" t="s">
        <v>79</v>
      </c>
      <c r="E1460" s="264" t="s">
        <v>80</v>
      </c>
      <c r="F1460" s="100" t="s">
        <v>3724</v>
      </c>
      <c r="G1460" s="100" t="s">
        <v>1274</v>
      </c>
      <c r="H1460" s="100" t="s">
        <v>115</v>
      </c>
      <c r="I1460" s="247">
        <v>29247</v>
      </c>
      <c r="J1460" s="101">
        <v>1</v>
      </c>
      <c r="K1460" s="101"/>
      <c r="L1460" s="101">
        <v>1</v>
      </c>
      <c r="M1460" s="101"/>
      <c r="N1460" s="101"/>
      <c r="O1460" s="101"/>
      <c r="P1460" s="101"/>
      <c r="Q1460" s="101"/>
      <c r="R1460" s="101"/>
      <c r="S1460" s="101"/>
      <c r="T1460" s="101"/>
      <c r="U1460" s="99"/>
      <c r="V1460" s="100" t="s">
        <v>218</v>
      </c>
      <c r="W1460" s="100" t="s">
        <v>279</v>
      </c>
      <c r="X1460" s="100" t="s">
        <v>227</v>
      </c>
      <c r="Y1460" s="99"/>
      <c r="Z1460" s="99"/>
      <c r="AA1460" s="100" t="s">
        <v>3704</v>
      </c>
      <c r="AB1460" s="100" t="s">
        <v>528</v>
      </c>
      <c r="AC1460" s="99">
        <v>1</v>
      </c>
      <c r="AD1460" s="101"/>
      <c r="AE1460" s="101"/>
      <c r="AF1460" s="101"/>
      <c r="AG1460" s="101"/>
      <c r="AH1460" s="99"/>
      <c r="AI1460" s="105"/>
    </row>
    <row r="1461" spans="1:35">
      <c r="A1461" s="98"/>
      <c r="B1461" s="99"/>
      <c r="C1461" s="99"/>
      <c r="D1461" s="99"/>
      <c r="E1461" s="99"/>
      <c r="F1461" s="100"/>
      <c r="G1461" s="100"/>
      <c r="H1461" s="99"/>
      <c r="I1461" s="247"/>
      <c r="J1461" s="101"/>
      <c r="K1461" s="101"/>
      <c r="L1461" s="101"/>
      <c r="M1461" s="101"/>
      <c r="N1461" s="101"/>
      <c r="O1461" s="101"/>
      <c r="P1461" s="101"/>
      <c r="Q1461" s="101"/>
      <c r="R1461" s="101"/>
      <c r="S1461" s="101"/>
      <c r="T1461" s="101"/>
      <c r="U1461" s="99"/>
      <c r="V1461" s="99"/>
      <c r="W1461" s="99"/>
      <c r="X1461" s="99"/>
      <c r="Y1461" s="99"/>
      <c r="Z1461" s="99"/>
      <c r="AA1461" s="100" t="s">
        <v>1961</v>
      </c>
      <c r="AB1461" s="100" t="s">
        <v>528</v>
      </c>
      <c r="AC1461" s="99">
        <v>1</v>
      </c>
      <c r="AD1461" s="101"/>
      <c r="AE1461" s="101"/>
      <c r="AF1461" s="101"/>
      <c r="AG1461" s="101"/>
      <c r="AH1461" s="99"/>
      <c r="AI1461" s="105"/>
    </row>
    <row r="1462" spans="1:35">
      <c r="A1462" s="98"/>
      <c r="B1462" s="99"/>
      <c r="C1462" s="263" t="s">
        <v>3230</v>
      </c>
      <c r="D1462" s="264" t="s">
        <v>79</v>
      </c>
      <c r="E1462" s="264" t="s">
        <v>80</v>
      </c>
      <c r="F1462" s="100" t="s">
        <v>3725</v>
      </c>
      <c r="G1462" s="100" t="s">
        <v>751</v>
      </c>
      <c r="H1462" s="100" t="s">
        <v>115</v>
      </c>
      <c r="I1462" s="247">
        <v>35487</v>
      </c>
      <c r="J1462" s="101">
        <v>1</v>
      </c>
      <c r="K1462" s="101"/>
      <c r="L1462" s="101">
        <v>1</v>
      </c>
      <c r="M1462" s="101"/>
      <c r="N1462" s="101"/>
      <c r="O1462" s="101"/>
      <c r="P1462" s="101"/>
      <c r="Q1462" s="101"/>
      <c r="R1462" s="101"/>
      <c r="S1462" s="101"/>
      <c r="T1462" s="101"/>
      <c r="U1462" s="99"/>
      <c r="V1462" s="100" t="s">
        <v>218</v>
      </c>
      <c r="W1462" s="100" t="s">
        <v>279</v>
      </c>
      <c r="X1462" s="100" t="s">
        <v>227</v>
      </c>
      <c r="Y1462" s="99"/>
      <c r="Z1462" s="99"/>
      <c r="AA1462" s="100" t="s">
        <v>3643</v>
      </c>
      <c r="AB1462" s="100" t="s">
        <v>528</v>
      </c>
      <c r="AC1462" s="99">
        <v>1</v>
      </c>
      <c r="AD1462" s="101"/>
      <c r="AE1462" s="101"/>
      <c r="AF1462" s="101"/>
      <c r="AG1462" s="101"/>
      <c r="AH1462" s="99"/>
      <c r="AI1462" s="105"/>
    </row>
    <row r="1463" spans="1:35">
      <c r="A1463" s="98"/>
      <c r="B1463" s="99"/>
      <c r="C1463" s="99"/>
      <c r="D1463" s="99"/>
      <c r="E1463" s="99"/>
      <c r="F1463" s="100"/>
      <c r="G1463" s="100"/>
      <c r="H1463" s="99"/>
      <c r="I1463" s="247"/>
      <c r="J1463" s="101"/>
      <c r="K1463" s="101"/>
      <c r="L1463" s="101"/>
      <c r="M1463" s="101"/>
      <c r="N1463" s="101"/>
      <c r="O1463" s="101"/>
      <c r="P1463" s="101"/>
      <c r="Q1463" s="101"/>
      <c r="R1463" s="101"/>
      <c r="S1463" s="101"/>
      <c r="T1463" s="101"/>
      <c r="U1463" s="99"/>
      <c r="V1463" s="99"/>
      <c r="W1463" s="99"/>
      <c r="X1463" s="99"/>
      <c r="Y1463" s="99"/>
      <c r="Z1463" s="99"/>
      <c r="AA1463" s="100" t="s">
        <v>1961</v>
      </c>
      <c r="AB1463" s="100" t="s">
        <v>528</v>
      </c>
      <c r="AC1463" s="99">
        <v>1</v>
      </c>
      <c r="AD1463" s="101"/>
      <c r="AE1463" s="101"/>
      <c r="AF1463" s="101"/>
      <c r="AG1463" s="101"/>
      <c r="AH1463" s="99"/>
      <c r="AI1463" s="105"/>
    </row>
    <row r="1464" spans="1:35">
      <c r="A1464" s="98"/>
      <c r="B1464" s="99"/>
      <c r="C1464" s="263" t="s">
        <v>3230</v>
      </c>
      <c r="D1464" s="264" t="s">
        <v>79</v>
      </c>
      <c r="E1464" s="264" t="s">
        <v>80</v>
      </c>
      <c r="F1464" s="100" t="s">
        <v>193</v>
      </c>
      <c r="G1464" s="100" t="s">
        <v>3726</v>
      </c>
      <c r="H1464" s="100" t="s">
        <v>421</v>
      </c>
      <c r="I1464" s="247">
        <v>27799</v>
      </c>
      <c r="J1464" s="101">
        <v>1</v>
      </c>
      <c r="K1464" s="101"/>
      <c r="L1464" s="101">
        <v>1</v>
      </c>
      <c r="M1464" s="101"/>
      <c r="N1464" s="101"/>
      <c r="O1464" s="101"/>
      <c r="P1464" s="101"/>
      <c r="Q1464" s="101"/>
      <c r="R1464" s="101"/>
      <c r="S1464" s="101"/>
      <c r="T1464" s="101"/>
      <c r="U1464" s="99"/>
      <c r="V1464" s="100" t="s">
        <v>218</v>
      </c>
      <c r="W1464" s="100" t="s">
        <v>279</v>
      </c>
      <c r="X1464" s="100" t="s">
        <v>227</v>
      </c>
      <c r="Y1464" s="99"/>
      <c r="Z1464" s="99"/>
      <c r="AA1464" s="100" t="s">
        <v>3643</v>
      </c>
      <c r="AB1464" s="100" t="s">
        <v>528</v>
      </c>
      <c r="AC1464" s="99">
        <v>1</v>
      </c>
      <c r="AD1464" s="101"/>
      <c r="AE1464" s="101"/>
      <c r="AF1464" s="101"/>
      <c r="AG1464" s="101"/>
      <c r="AH1464" s="99"/>
      <c r="AI1464" s="105"/>
    </row>
    <row r="1465" spans="1:35">
      <c r="A1465" s="98"/>
      <c r="B1465" s="99"/>
      <c r="C1465" s="99"/>
      <c r="D1465" s="99"/>
      <c r="E1465" s="99"/>
      <c r="F1465" s="100"/>
      <c r="G1465" s="100"/>
      <c r="H1465" s="99"/>
      <c r="I1465" s="247"/>
      <c r="J1465" s="101"/>
      <c r="K1465" s="101"/>
      <c r="L1465" s="101"/>
      <c r="M1465" s="101"/>
      <c r="N1465" s="101"/>
      <c r="O1465" s="101"/>
      <c r="P1465" s="101"/>
      <c r="Q1465" s="101"/>
      <c r="R1465" s="101"/>
      <c r="S1465" s="101"/>
      <c r="T1465" s="101"/>
      <c r="U1465" s="99"/>
      <c r="V1465" s="99"/>
      <c r="W1465" s="99"/>
      <c r="X1465" s="99"/>
      <c r="Y1465" s="99"/>
      <c r="Z1465" s="99"/>
      <c r="AA1465" s="100" t="s">
        <v>1961</v>
      </c>
      <c r="AB1465" s="100" t="s">
        <v>528</v>
      </c>
      <c r="AC1465" s="99">
        <v>1</v>
      </c>
      <c r="AD1465" s="101"/>
      <c r="AE1465" s="101"/>
      <c r="AF1465" s="101"/>
      <c r="AG1465" s="101"/>
      <c r="AH1465" s="99"/>
      <c r="AI1465" s="105"/>
    </row>
    <row r="1466" spans="1:35">
      <c r="A1466" s="98"/>
      <c r="B1466" s="99"/>
      <c r="C1466" s="263" t="s">
        <v>3230</v>
      </c>
      <c r="D1466" s="264" t="s">
        <v>79</v>
      </c>
      <c r="E1466" s="264" t="s">
        <v>80</v>
      </c>
      <c r="F1466" s="100" t="s">
        <v>3727</v>
      </c>
      <c r="G1466" s="100" t="s">
        <v>3472</v>
      </c>
      <c r="H1466" s="100" t="s">
        <v>160</v>
      </c>
      <c r="I1466" s="247">
        <v>30100</v>
      </c>
      <c r="J1466" s="101">
        <v>1</v>
      </c>
      <c r="K1466" s="101"/>
      <c r="L1466" s="101">
        <v>1</v>
      </c>
      <c r="M1466" s="101"/>
      <c r="N1466" s="101"/>
      <c r="O1466" s="101"/>
      <c r="P1466" s="101"/>
      <c r="Q1466" s="101"/>
      <c r="R1466" s="101"/>
      <c r="S1466" s="101"/>
      <c r="T1466" s="101"/>
      <c r="U1466" s="99"/>
      <c r="V1466" s="100" t="s">
        <v>218</v>
      </c>
      <c r="W1466" s="100" t="s">
        <v>279</v>
      </c>
      <c r="X1466" s="100" t="s">
        <v>227</v>
      </c>
      <c r="Y1466" s="99"/>
      <c r="Z1466" s="99"/>
      <c r="AA1466" s="100" t="s">
        <v>3643</v>
      </c>
      <c r="AB1466" s="100" t="s">
        <v>528</v>
      </c>
      <c r="AC1466" s="99">
        <v>1</v>
      </c>
      <c r="AD1466" s="101"/>
      <c r="AE1466" s="101"/>
      <c r="AF1466" s="101"/>
      <c r="AG1466" s="101"/>
      <c r="AH1466" s="99"/>
      <c r="AI1466" s="105"/>
    </row>
    <row r="1467" spans="1:35">
      <c r="A1467" s="98"/>
      <c r="B1467" s="99"/>
      <c r="C1467" s="99"/>
      <c r="D1467" s="99"/>
      <c r="E1467" s="99"/>
      <c r="F1467" s="100"/>
      <c r="G1467" s="100"/>
      <c r="H1467" s="99"/>
      <c r="I1467" s="247"/>
      <c r="J1467" s="101"/>
      <c r="K1467" s="101"/>
      <c r="L1467" s="101"/>
      <c r="M1467" s="101"/>
      <c r="N1467" s="101"/>
      <c r="O1467" s="101"/>
      <c r="P1467" s="101"/>
      <c r="Q1467" s="101"/>
      <c r="R1467" s="101"/>
      <c r="S1467" s="101"/>
      <c r="T1467" s="101"/>
      <c r="U1467" s="99"/>
      <c r="V1467" s="99"/>
      <c r="W1467" s="99"/>
      <c r="X1467" s="99"/>
      <c r="Y1467" s="99"/>
      <c r="Z1467" s="99"/>
      <c r="AA1467" s="100" t="s">
        <v>1961</v>
      </c>
      <c r="AB1467" s="100" t="s">
        <v>528</v>
      </c>
      <c r="AC1467" s="99">
        <v>1</v>
      </c>
      <c r="AD1467" s="101"/>
      <c r="AE1467" s="101"/>
      <c r="AF1467" s="101"/>
      <c r="AG1467" s="101"/>
      <c r="AH1467" s="99"/>
      <c r="AI1467" s="105"/>
    </row>
    <row r="1468" spans="1:35">
      <c r="A1468" s="98"/>
      <c r="B1468" s="99"/>
      <c r="C1468" s="263" t="s">
        <v>3230</v>
      </c>
      <c r="D1468" s="264" t="s">
        <v>79</v>
      </c>
      <c r="E1468" s="264" t="s">
        <v>80</v>
      </c>
      <c r="F1468" s="100" t="s">
        <v>3728</v>
      </c>
      <c r="G1468" s="100" t="s">
        <v>715</v>
      </c>
      <c r="H1468" s="100" t="s">
        <v>604</v>
      </c>
      <c r="I1468" s="247">
        <v>25163</v>
      </c>
      <c r="J1468" s="101">
        <v>1</v>
      </c>
      <c r="K1468" s="101"/>
      <c r="L1468" s="101">
        <v>1</v>
      </c>
      <c r="M1468" s="101"/>
      <c r="N1468" s="101"/>
      <c r="O1468" s="101"/>
      <c r="P1468" s="101"/>
      <c r="Q1468" s="101"/>
      <c r="R1468" s="101"/>
      <c r="S1468" s="101"/>
      <c r="T1468" s="101"/>
      <c r="U1468" s="99"/>
      <c r="V1468" s="100" t="s">
        <v>218</v>
      </c>
      <c r="W1468" s="100" t="s">
        <v>279</v>
      </c>
      <c r="X1468" s="100" t="s">
        <v>227</v>
      </c>
      <c r="Y1468" s="99"/>
      <c r="Z1468" s="99"/>
      <c r="AA1468" s="100" t="s">
        <v>3643</v>
      </c>
      <c r="AB1468" s="100" t="s">
        <v>528</v>
      </c>
      <c r="AC1468" s="99">
        <v>1</v>
      </c>
      <c r="AD1468" s="101"/>
      <c r="AE1468" s="101"/>
      <c r="AF1468" s="101"/>
      <c r="AG1468" s="101"/>
      <c r="AH1468" s="99"/>
      <c r="AI1468" s="105"/>
    </row>
    <row r="1469" spans="1:35">
      <c r="A1469" s="98"/>
      <c r="B1469" s="99"/>
      <c r="C1469" s="99"/>
      <c r="D1469" s="99"/>
      <c r="E1469" s="99"/>
      <c r="F1469" s="100"/>
      <c r="G1469" s="100"/>
      <c r="H1469" s="99"/>
      <c r="I1469" s="247"/>
      <c r="J1469" s="101"/>
      <c r="K1469" s="101"/>
      <c r="L1469" s="101"/>
      <c r="M1469" s="101"/>
      <c r="N1469" s="101"/>
      <c r="O1469" s="101"/>
      <c r="P1469" s="101"/>
      <c r="Q1469" s="101"/>
      <c r="R1469" s="101"/>
      <c r="S1469" s="101"/>
      <c r="T1469" s="101"/>
      <c r="U1469" s="99"/>
      <c r="V1469" s="99"/>
      <c r="W1469" s="99"/>
      <c r="X1469" s="99"/>
      <c r="Y1469" s="99"/>
      <c r="Z1469" s="99"/>
      <c r="AA1469" s="100" t="s">
        <v>1961</v>
      </c>
      <c r="AB1469" s="100" t="s">
        <v>528</v>
      </c>
      <c r="AC1469" s="99">
        <v>1</v>
      </c>
      <c r="AD1469" s="101"/>
      <c r="AE1469" s="101"/>
      <c r="AF1469" s="101"/>
      <c r="AG1469" s="101"/>
      <c r="AH1469" s="99"/>
      <c r="AI1469" s="105"/>
    </row>
    <row r="1470" spans="1:35">
      <c r="A1470" s="98"/>
      <c r="B1470" s="99"/>
      <c r="C1470" s="263" t="s">
        <v>3230</v>
      </c>
      <c r="D1470" s="264" t="s">
        <v>79</v>
      </c>
      <c r="E1470" s="264" t="s">
        <v>80</v>
      </c>
      <c r="F1470" s="100" t="s">
        <v>3729</v>
      </c>
      <c r="G1470" s="100" t="s">
        <v>3730</v>
      </c>
      <c r="H1470" s="100" t="s">
        <v>160</v>
      </c>
      <c r="I1470" s="247">
        <v>37149</v>
      </c>
      <c r="J1470" s="101">
        <v>1</v>
      </c>
      <c r="K1470" s="101"/>
      <c r="L1470" s="101">
        <v>1</v>
      </c>
      <c r="M1470" s="101"/>
      <c r="N1470" s="101"/>
      <c r="O1470" s="101"/>
      <c r="P1470" s="101"/>
      <c r="Q1470" s="101"/>
      <c r="R1470" s="101"/>
      <c r="S1470" s="101"/>
      <c r="T1470" s="101"/>
      <c r="U1470" s="99"/>
      <c r="V1470" s="100" t="s">
        <v>218</v>
      </c>
      <c r="W1470" s="100" t="s">
        <v>279</v>
      </c>
      <c r="X1470" s="100" t="s">
        <v>227</v>
      </c>
      <c r="Y1470" s="99"/>
      <c r="Z1470" s="99"/>
      <c r="AA1470" s="100" t="s">
        <v>3643</v>
      </c>
      <c r="AB1470" s="100" t="s">
        <v>528</v>
      </c>
      <c r="AC1470" s="99">
        <v>1</v>
      </c>
      <c r="AD1470" s="101"/>
      <c r="AE1470" s="101"/>
      <c r="AF1470" s="101"/>
      <c r="AG1470" s="101"/>
      <c r="AH1470" s="99"/>
      <c r="AI1470" s="105"/>
    </row>
    <row r="1471" spans="1:35">
      <c r="A1471" s="98"/>
      <c r="B1471" s="99"/>
      <c r="C1471" s="99"/>
      <c r="D1471" s="99"/>
      <c r="E1471" s="99"/>
      <c r="F1471" s="100"/>
      <c r="G1471" s="100"/>
      <c r="H1471" s="99"/>
      <c r="I1471" s="247"/>
      <c r="J1471" s="101"/>
      <c r="K1471" s="101"/>
      <c r="L1471" s="101"/>
      <c r="M1471" s="101"/>
      <c r="N1471" s="101"/>
      <c r="O1471" s="101"/>
      <c r="P1471" s="101"/>
      <c r="Q1471" s="101"/>
      <c r="R1471" s="101"/>
      <c r="S1471" s="101"/>
      <c r="T1471" s="101"/>
      <c r="U1471" s="99"/>
      <c r="V1471" s="99"/>
      <c r="W1471" s="99"/>
      <c r="X1471" s="99"/>
      <c r="Y1471" s="99"/>
      <c r="Z1471" s="99"/>
      <c r="AA1471" s="100" t="s">
        <v>1961</v>
      </c>
      <c r="AB1471" s="100" t="s">
        <v>528</v>
      </c>
      <c r="AC1471" s="99">
        <v>1</v>
      </c>
      <c r="AD1471" s="101"/>
      <c r="AE1471" s="101"/>
      <c r="AF1471" s="101"/>
      <c r="AG1471" s="101"/>
      <c r="AH1471" s="99"/>
      <c r="AI1471" s="105"/>
    </row>
    <row r="1472" spans="1:35">
      <c r="A1472" s="98"/>
      <c r="B1472" s="99"/>
      <c r="C1472" s="263" t="s">
        <v>3230</v>
      </c>
      <c r="D1472" s="264" t="s">
        <v>79</v>
      </c>
      <c r="E1472" s="264" t="s">
        <v>80</v>
      </c>
      <c r="F1472" s="100" t="s">
        <v>3686</v>
      </c>
      <c r="G1472" s="100" t="s">
        <v>3731</v>
      </c>
      <c r="H1472" s="100" t="s">
        <v>126</v>
      </c>
      <c r="I1472" s="247">
        <v>34733</v>
      </c>
      <c r="J1472" s="101">
        <v>1</v>
      </c>
      <c r="K1472" s="101"/>
      <c r="L1472" s="101">
        <v>1</v>
      </c>
      <c r="M1472" s="101"/>
      <c r="N1472" s="101"/>
      <c r="O1472" s="101"/>
      <c r="P1472" s="101"/>
      <c r="Q1472" s="101"/>
      <c r="R1472" s="101"/>
      <c r="S1472" s="101"/>
      <c r="T1472" s="101"/>
      <c r="U1472" s="99"/>
      <c r="V1472" s="100" t="s">
        <v>218</v>
      </c>
      <c r="W1472" s="100" t="s">
        <v>279</v>
      </c>
      <c r="X1472" s="100" t="s">
        <v>227</v>
      </c>
      <c r="Y1472" s="99"/>
      <c r="Z1472" s="99"/>
      <c r="AA1472" s="100" t="s">
        <v>3643</v>
      </c>
      <c r="AB1472" s="100" t="s">
        <v>528</v>
      </c>
      <c r="AC1472" s="99">
        <v>1</v>
      </c>
      <c r="AD1472" s="101"/>
      <c r="AE1472" s="101"/>
      <c r="AF1472" s="101"/>
      <c r="AG1472" s="101"/>
      <c r="AH1472" s="99"/>
      <c r="AI1472" s="105"/>
    </row>
    <row r="1473" spans="1:35">
      <c r="A1473" s="98"/>
      <c r="B1473" s="99"/>
      <c r="C1473" s="99"/>
      <c r="D1473" s="99"/>
      <c r="E1473" s="99"/>
      <c r="F1473" s="100"/>
      <c r="G1473" s="100"/>
      <c r="H1473" s="99"/>
      <c r="I1473" s="247"/>
      <c r="J1473" s="101"/>
      <c r="K1473" s="101"/>
      <c r="L1473" s="101"/>
      <c r="M1473" s="101"/>
      <c r="N1473" s="101"/>
      <c r="O1473" s="101"/>
      <c r="P1473" s="101"/>
      <c r="Q1473" s="101"/>
      <c r="R1473" s="101"/>
      <c r="S1473" s="101"/>
      <c r="T1473" s="101"/>
      <c r="U1473" s="99"/>
      <c r="V1473" s="99"/>
      <c r="W1473" s="99"/>
      <c r="X1473" s="99"/>
      <c r="Y1473" s="99"/>
      <c r="Z1473" s="99"/>
      <c r="AA1473" s="100" t="s">
        <v>1961</v>
      </c>
      <c r="AB1473" s="100" t="s">
        <v>528</v>
      </c>
      <c r="AC1473" s="99">
        <v>1</v>
      </c>
      <c r="AD1473" s="101"/>
      <c r="AE1473" s="101"/>
      <c r="AF1473" s="101"/>
      <c r="AG1473" s="101"/>
      <c r="AH1473" s="99"/>
      <c r="AI1473" s="105"/>
    </row>
    <row r="1474" spans="1:35">
      <c r="A1474" s="98"/>
      <c r="B1474" s="99"/>
      <c r="C1474" s="263" t="s">
        <v>3230</v>
      </c>
      <c r="D1474" s="264" t="s">
        <v>79</v>
      </c>
      <c r="E1474" s="264" t="s">
        <v>80</v>
      </c>
      <c r="F1474" s="100" t="s">
        <v>466</v>
      </c>
      <c r="G1474" s="100" t="s">
        <v>922</v>
      </c>
      <c r="H1474" s="100" t="s">
        <v>3719</v>
      </c>
      <c r="I1474" s="247">
        <v>31296</v>
      </c>
      <c r="J1474" s="101">
        <v>1</v>
      </c>
      <c r="K1474" s="101"/>
      <c r="L1474" s="101">
        <v>1</v>
      </c>
      <c r="M1474" s="101"/>
      <c r="N1474" s="101"/>
      <c r="O1474" s="101"/>
      <c r="P1474" s="101"/>
      <c r="Q1474" s="101"/>
      <c r="R1474" s="101"/>
      <c r="S1474" s="101"/>
      <c r="T1474" s="101"/>
      <c r="U1474" s="99"/>
      <c r="V1474" s="100" t="s">
        <v>218</v>
      </c>
      <c r="W1474" s="100" t="s">
        <v>279</v>
      </c>
      <c r="X1474" s="100" t="s">
        <v>227</v>
      </c>
      <c r="Y1474" s="99"/>
      <c r="Z1474" s="99"/>
      <c r="AA1474" s="100" t="s">
        <v>3643</v>
      </c>
      <c r="AB1474" s="100" t="s">
        <v>528</v>
      </c>
      <c r="AC1474" s="99">
        <v>1</v>
      </c>
      <c r="AD1474" s="101"/>
      <c r="AE1474" s="101"/>
      <c r="AF1474" s="101"/>
      <c r="AG1474" s="101"/>
      <c r="AH1474" s="99"/>
      <c r="AI1474" s="105"/>
    </row>
    <row r="1475" spans="1:35">
      <c r="A1475" s="98"/>
      <c r="B1475" s="99"/>
      <c r="C1475" s="99"/>
      <c r="D1475" s="99"/>
      <c r="E1475" s="99"/>
      <c r="F1475" s="100"/>
      <c r="G1475" s="100"/>
      <c r="H1475" s="99"/>
      <c r="I1475" s="247"/>
      <c r="J1475" s="101"/>
      <c r="K1475" s="101"/>
      <c r="L1475" s="101"/>
      <c r="M1475" s="101"/>
      <c r="N1475" s="101"/>
      <c r="O1475" s="101"/>
      <c r="P1475" s="101"/>
      <c r="Q1475" s="101"/>
      <c r="R1475" s="101"/>
      <c r="S1475" s="101"/>
      <c r="T1475" s="101"/>
      <c r="U1475" s="99"/>
      <c r="V1475" s="99"/>
      <c r="W1475" s="99"/>
      <c r="X1475" s="99"/>
      <c r="Y1475" s="99"/>
      <c r="Z1475" s="99"/>
      <c r="AA1475" s="100" t="s">
        <v>1961</v>
      </c>
      <c r="AB1475" s="100" t="s">
        <v>528</v>
      </c>
      <c r="AC1475" s="99">
        <v>1</v>
      </c>
      <c r="AD1475" s="101"/>
      <c r="AE1475" s="101"/>
      <c r="AF1475" s="101"/>
      <c r="AG1475" s="101"/>
      <c r="AH1475" s="99"/>
      <c r="AI1475" s="105"/>
    </row>
    <row r="1476" spans="1:35">
      <c r="A1476" s="98"/>
      <c r="B1476" s="99"/>
      <c r="C1476" s="263" t="s">
        <v>3230</v>
      </c>
      <c r="D1476" s="264" t="s">
        <v>79</v>
      </c>
      <c r="E1476" s="264" t="s">
        <v>80</v>
      </c>
      <c r="F1476" s="100" t="s">
        <v>3732</v>
      </c>
      <c r="G1476" s="100" t="s">
        <v>3733</v>
      </c>
      <c r="H1476" s="100" t="s">
        <v>588</v>
      </c>
      <c r="I1476" s="247">
        <v>30531</v>
      </c>
      <c r="J1476" s="101">
        <v>1</v>
      </c>
      <c r="K1476" s="101"/>
      <c r="L1476" s="101">
        <v>1</v>
      </c>
      <c r="M1476" s="101"/>
      <c r="N1476" s="101"/>
      <c r="O1476" s="101"/>
      <c r="P1476" s="101"/>
      <c r="Q1476" s="101"/>
      <c r="R1476" s="101"/>
      <c r="S1476" s="101"/>
      <c r="T1476" s="101"/>
      <c r="U1476" s="99"/>
      <c r="V1476" s="100" t="s">
        <v>218</v>
      </c>
      <c r="W1476" s="100" t="s">
        <v>279</v>
      </c>
      <c r="X1476" s="100" t="s">
        <v>227</v>
      </c>
      <c r="Y1476" s="99"/>
      <c r="Z1476" s="99"/>
      <c r="AA1476" s="100" t="s">
        <v>3643</v>
      </c>
      <c r="AB1476" s="100" t="s">
        <v>528</v>
      </c>
      <c r="AC1476" s="99">
        <v>1</v>
      </c>
      <c r="AD1476" s="101"/>
      <c r="AE1476" s="101"/>
      <c r="AF1476" s="101"/>
      <c r="AG1476" s="101"/>
      <c r="AH1476" s="99"/>
      <c r="AI1476" s="105"/>
    </row>
    <row r="1477" spans="1:35">
      <c r="A1477" s="98"/>
      <c r="B1477" s="99"/>
      <c r="C1477" s="99"/>
      <c r="D1477" s="99"/>
      <c r="E1477" s="99"/>
      <c r="F1477" s="100"/>
      <c r="G1477" s="100"/>
      <c r="H1477" s="99"/>
      <c r="I1477" s="247"/>
      <c r="J1477" s="101"/>
      <c r="K1477" s="101"/>
      <c r="L1477" s="101"/>
      <c r="M1477" s="101"/>
      <c r="N1477" s="101"/>
      <c r="O1477" s="101"/>
      <c r="P1477" s="101"/>
      <c r="Q1477" s="101"/>
      <c r="R1477" s="101"/>
      <c r="S1477" s="101"/>
      <c r="T1477" s="101"/>
      <c r="U1477" s="99"/>
      <c r="V1477" s="99"/>
      <c r="W1477" s="99"/>
      <c r="X1477" s="99"/>
      <c r="Y1477" s="99"/>
      <c r="Z1477" s="99"/>
      <c r="AA1477" s="100" t="s">
        <v>1961</v>
      </c>
      <c r="AB1477" s="100" t="s">
        <v>528</v>
      </c>
      <c r="AC1477" s="99">
        <v>1</v>
      </c>
      <c r="AD1477" s="101"/>
      <c r="AE1477" s="101"/>
      <c r="AF1477" s="101"/>
      <c r="AG1477" s="101"/>
      <c r="AH1477" s="99"/>
      <c r="AI1477" s="105"/>
    </row>
    <row r="1478" spans="1:35">
      <c r="A1478" s="98"/>
      <c r="B1478" s="99"/>
      <c r="C1478" s="263" t="s">
        <v>3230</v>
      </c>
      <c r="D1478" s="264" t="s">
        <v>79</v>
      </c>
      <c r="E1478" s="264" t="s">
        <v>80</v>
      </c>
      <c r="F1478" s="100" t="s">
        <v>131</v>
      </c>
      <c r="G1478" s="100" t="s">
        <v>996</v>
      </c>
      <c r="H1478" s="100" t="s">
        <v>113</v>
      </c>
      <c r="I1478" s="247">
        <v>29921</v>
      </c>
      <c r="J1478" s="101">
        <v>1</v>
      </c>
      <c r="K1478" s="101"/>
      <c r="L1478" s="101">
        <v>1</v>
      </c>
      <c r="M1478" s="101"/>
      <c r="N1478" s="101"/>
      <c r="O1478" s="101"/>
      <c r="P1478" s="101"/>
      <c r="Q1478" s="101"/>
      <c r="R1478" s="101"/>
      <c r="S1478" s="101"/>
      <c r="T1478" s="101"/>
      <c r="U1478" s="99"/>
      <c r="V1478" s="100" t="s">
        <v>218</v>
      </c>
      <c r="W1478" s="100" t="s">
        <v>279</v>
      </c>
      <c r="X1478" s="100" t="s">
        <v>227</v>
      </c>
      <c r="Y1478" s="99"/>
      <c r="Z1478" s="99"/>
      <c r="AA1478" s="100" t="s">
        <v>3643</v>
      </c>
      <c r="AB1478" s="100" t="s">
        <v>528</v>
      </c>
      <c r="AC1478" s="99">
        <v>1</v>
      </c>
      <c r="AD1478" s="101"/>
      <c r="AE1478" s="101"/>
      <c r="AF1478" s="101"/>
      <c r="AG1478" s="101"/>
      <c r="AH1478" s="99"/>
      <c r="AI1478" s="105"/>
    </row>
    <row r="1479" spans="1:35">
      <c r="A1479" s="98"/>
      <c r="B1479" s="99"/>
      <c r="C1479" s="99"/>
      <c r="D1479" s="99"/>
      <c r="E1479" s="99"/>
      <c r="F1479" s="100"/>
      <c r="G1479" s="100"/>
      <c r="H1479" s="99"/>
      <c r="I1479" s="247"/>
      <c r="J1479" s="101"/>
      <c r="K1479" s="101"/>
      <c r="L1479" s="101"/>
      <c r="M1479" s="101"/>
      <c r="N1479" s="101"/>
      <c r="O1479" s="101"/>
      <c r="P1479" s="101"/>
      <c r="Q1479" s="101"/>
      <c r="R1479" s="101"/>
      <c r="S1479" s="101"/>
      <c r="T1479" s="101"/>
      <c r="U1479" s="99"/>
      <c r="V1479" s="99"/>
      <c r="W1479" s="99"/>
      <c r="X1479" s="99"/>
      <c r="Y1479" s="99"/>
      <c r="Z1479" s="99"/>
      <c r="AA1479" s="100" t="s">
        <v>1961</v>
      </c>
      <c r="AB1479" s="100" t="s">
        <v>528</v>
      </c>
      <c r="AC1479" s="99">
        <v>1</v>
      </c>
      <c r="AD1479" s="101"/>
      <c r="AE1479" s="101"/>
      <c r="AF1479" s="101"/>
      <c r="AG1479" s="101"/>
      <c r="AH1479" s="99"/>
      <c r="AI1479" s="105"/>
    </row>
    <row r="1480" spans="1:35">
      <c r="A1480" s="98"/>
      <c r="B1480" s="99"/>
      <c r="C1480" s="263" t="s">
        <v>3230</v>
      </c>
      <c r="D1480" s="264" t="s">
        <v>79</v>
      </c>
      <c r="E1480" s="264" t="s">
        <v>80</v>
      </c>
      <c r="F1480" s="100" t="s">
        <v>3734</v>
      </c>
      <c r="G1480" s="100" t="s">
        <v>3735</v>
      </c>
      <c r="H1480" s="100" t="s">
        <v>113</v>
      </c>
      <c r="I1480" s="247">
        <v>29692</v>
      </c>
      <c r="J1480" s="101">
        <v>1</v>
      </c>
      <c r="K1480" s="101"/>
      <c r="L1480" s="101">
        <v>1</v>
      </c>
      <c r="M1480" s="101"/>
      <c r="N1480" s="101"/>
      <c r="O1480" s="101"/>
      <c r="P1480" s="101"/>
      <c r="Q1480" s="101"/>
      <c r="R1480" s="101"/>
      <c r="S1480" s="101"/>
      <c r="T1480" s="101"/>
      <c r="U1480" s="99"/>
      <c r="V1480" s="100" t="s">
        <v>218</v>
      </c>
      <c r="W1480" s="100" t="s">
        <v>279</v>
      </c>
      <c r="X1480" s="100" t="s">
        <v>227</v>
      </c>
      <c r="Y1480" s="99"/>
      <c r="Z1480" s="99"/>
      <c r="AA1480" s="100" t="s">
        <v>3643</v>
      </c>
      <c r="AB1480" s="100" t="s">
        <v>528</v>
      </c>
      <c r="AC1480" s="99">
        <v>1</v>
      </c>
      <c r="AD1480" s="101"/>
      <c r="AE1480" s="101"/>
      <c r="AF1480" s="101"/>
      <c r="AG1480" s="101"/>
      <c r="AH1480" s="99"/>
      <c r="AI1480" s="105"/>
    </row>
    <row r="1481" spans="1:35">
      <c r="A1481" s="98"/>
      <c r="B1481" s="99"/>
      <c r="C1481" s="99"/>
      <c r="D1481" s="99"/>
      <c r="E1481" s="99"/>
      <c r="F1481" s="100"/>
      <c r="G1481" s="100"/>
      <c r="H1481" s="99"/>
      <c r="I1481" s="247"/>
      <c r="J1481" s="101"/>
      <c r="K1481" s="101"/>
      <c r="L1481" s="101"/>
      <c r="M1481" s="101"/>
      <c r="N1481" s="101"/>
      <c r="O1481" s="101"/>
      <c r="P1481" s="101"/>
      <c r="Q1481" s="101"/>
      <c r="R1481" s="101"/>
      <c r="S1481" s="101"/>
      <c r="T1481" s="101"/>
      <c r="U1481" s="99"/>
      <c r="V1481" s="99"/>
      <c r="W1481" s="99"/>
      <c r="X1481" s="99"/>
      <c r="Y1481" s="99"/>
      <c r="Z1481" s="99"/>
      <c r="AA1481" s="100" t="s">
        <v>1961</v>
      </c>
      <c r="AB1481" s="100" t="s">
        <v>528</v>
      </c>
      <c r="AC1481" s="99">
        <v>1</v>
      </c>
      <c r="AD1481" s="101"/>
      <c r="AE1481" s="101"/>
      <c r="AF1481" s="101"/>
      <c r="AG1481" s="101"/>
      <c r="AH1481" s="99"/>
      <c r="AI1481" s="105"/>
    </row>
    <row r="1482" spans="1:35">
      <c r="A1482" s="98"/>
      <c r="B1482" s="99"/>
      <c r="C1482" s="263" t="s">
        <v>3230</v>
      </c>
      <c r="D1482" s="264" t="s">
        <v>79</v>
      </c>
      <c r="E1482" s="264" t="s">
        <v>80</v>
      </c>
      <c r="F1482" s="100" t="s">
        <v>1995</v>
      </c>
      <c r="G1482" s="100" t="s">
        <v>3736</v>
      </c>
      <c r="H1482" s="100" t="s">
        <v>136</v>
      </c>
      <c r="I1482" s="247">
        <v>28768</v>
      </c>
      <c r="J1482" s="101"/>
      <c r="K1482" s="101">
        <v>1</v>
      </c>
      <c r="L1482" s="101">
        <v>1</v>
      </c>
      <c r="M1482" s="101"/>
      <c r="N1482" s="101"/>
      <c r="O1482" s="101"/>
      <c r="P1482" s="101"/>
      <c r="Q1482" s="101"/>
      <c r="R1482" s="101"/>
      <c r="S1482" s="101"/>
      <c r="T1482" s="101"/>
      <c r="U1482" s="99"/>
      <c r="V1482" s="100" t="s">
        <v>218</v>
      </c>
      <c r="W1482" s="100" t="s">
        <v>279</v>
      </c>
      <c r="X1482" s="100" t="s">
        <v>227</v>
      </c>
      <c r="Y1482" s="99"/>
      <c r="Z1482" s="99"/>
      <c r="AA1482" s="100" t="s">
        <v>3643</v>
      </c>
      <c r="AB1482" s="100" t="s">
        <v>528</v>
      </c>
      <c r="AC1482" s="99">
        <v>1</v>
      </c>
      <c r="AD1482" s="101"/>
      <c r="AE1482" s="101"/>
      <c r="AF1482" s="101"/>
      <c r="AG1482" s="101"/>
      <c r="AH1482" s="99"/>
      <c r="AI1482" s="105"/>
    </row>
    <row r="1483" spans="1:35">
      <c r="A1483" s="98"/>
      <c r="B1483" s="99"/>
      <c r="C1483" s="99"/>
      <c r="D1483" s="99"/>
      <c r="E1483" s="99"/>
      <c r="F1483" s="100"/>
      <c r="G1483" s="100"/>
      <c r="H1483" s="99"/>
      <c r="I1483" s="247"/>
      <c r="J1483" s="101"/>
      <c r="K1483" s="101"/>
      <c r="L1483" s="101"/>
      <c r="M1483" s="101"/>
      <c r="N1483" s="101"/>
      <c r="O1483" s="101"/>
      <c r="P1483" s="101"/>
      <c r="Q1483" s="101"/>
      <c r="R1483" s="101"/>
      <c r="S1483" s="101"/>
      <c r="T1483" s="101"/>
      <c r="U1483" s="99"/>
      <c r="V1483" s="99"/>
      <c r="W1483" s="99"/>
      <c r="X1483" s="99"/>
      <c r="Y1483" s="99"/>
      <c r="Z1483" s="99"/>
      <c r="AA1483" s="100" t="s">
        <v>1961</v>
      </c>
      <c r="AB1483" s="100" t="s">
        <v>528</v>
      </c>
      <c r="AC1483" s="99">
        <v>1</v>
      </c>
      <c r="AD1483" s="101"/>
      <c r="AE1483" s="101"/>
      <c r="AF1483" s="101"/>
      <c r="AG1483" s="101"/>
      <c r="AH1483" s="99"/>
      <c r="AI1483" s="105"/>
    </row>
    <row r="1484" spans="1:35">
      <c r="A1484" s="98"/>
      <c r="B1484" s="99"/>
      <c r="C1484" s="263" t="s">
        <v>3230</v>
      </c>
      <c r="D1484" s="264" t="s">
        <v>79</v>
      </c>
      <c r="E1484" s="264" t="s">
        <v>80</v>
      </c>
      <c r="F1484" s="100" t="s">
        <v>3737</v>
      </c>
      <c r="G1484" s="100" t="s">
        <v>3738</v>
      </c>
      <c r="H1484" s="100" t="s">
        <v>286</v>
      </c>
      <c r="I1484" s="247">
        <v>34350</v>
      </c>
      <c r="J1484" s="101">
        <v>1</v>
      </c>
      <c r="K1484" s="101"/>
      <c r="L1484" s="101">
        <v>1</v>
      </c>
      <c r="M1484" s="101"/>
      <c r="N1484" s="101"/>
      <c r="O1484" s="101"/>
      <c r="P1484" s="101"/>
      <c r="Q1484" s="101"/>
      <c r="R1484" s="101"/>
      <c r="S1484" s="101"/>
      <c r="T1484" s="101"/>
      <c r="U1484" s="99"/>
      <c r="V1484" s="100" t="s">
        <v>218</v>
      </c>
      <c r="W1484" s="100" t="s">
        <v>279</v>
      </c>
      <c r="X1484" s="100" t="s">
        <v>227</v>
      </c>
      <c r="Y1484" s="99"/>
      <c r="Z1484" s="99"/>
      <c r="AA1484" s="100" t="s">
        <v>3643</v>
      </c>
      <c r="AB1484" s="100" t="s">
        <v>528</v>
      </c>
      <c r="AC1484" s="99">
        <v>1</v>
      </c>
      <c r="AD1484" s="101"/>
      <c r="AE1484" s="101"/>
      <c r="AF1484" s="101"/>
      <c r="AG1484" s="101"/>
      <c r="AH1484" s="99"/>
      <c r="AI1484" s="105"/>
    </row>
    <row r="1485" spans="1:35">
      <c r="A1485" s="98"/>
      <c r="B1485" s="99"/>
      <c r="C1485" s="99"/>
      <c r="D1485" s="99"/>
      <c r="E1485" s="99"/>
      <c r="F1485" s="100"/>
      <c r="G1485" s="100"/>
      <c r="H1485" s="99"/>
      <c r="I1485" s="247"/>
      <c r="J1485" s="101"/>
      <c r="K1485" s="101"/>
      <c r="L1485" s="101"/>
      <c r="M1485" s="101"/>
      <c r="N1485" s="101"/>
      <c r="O1485" s="101"/>
      <c r="P1485" s="101"/>
      <c r="Q1485" s="101"/>
      <c r="R1485" s="101"/>
      <c r="S1485" s="101"/>
      <c r="T1485" s="101"/>
      <c r="U1485" s="99"/>
      <c r="V1485" s="99"/>
      <c r="W1485" s="99"/>
      <c r="X1485" s="99"/>
      <c r="Y1485" s="99"/>
      <c r="Z1485" s="99"/>
      <c r="AA1485" s="100" t="s">
        <v>1961</v>
      </c>
      <c r="AB1485" s="100" t="s">
        <v>528</v>
      </c>
      <c r="AC1485" s="99">
        <v>1</v>
      </c>
      <c r="AD1485" s="101"/>
      <c r="AE1485" s="101"/>
      <c r="AF1485" s="101"/>
      <c r="AG1485" s="101"/>
      <c r="AH1485" s="99"/>
      <c r="AI1485" s="105"/>
    </row>
    <row r="1486" spans="1:35">
      <c r="A1486" s="98"/>
      <c r="B1486" s="99"/>
      <c r="C1486" s="263" t="s">
        <v>3230</v>
      </c>
      <c r="D1486" s="264" t="s">
        <v>79</v>
      </c>
      <c r="E1486" s="264" t="s">
        <v>80</v>
      </c>
      <c r="F1486" s="100" t="s">
        <v>3739</v>
      </c>
      <c r="G1486" s="100" t="s">
        <v>3740</v>
      </c>
      <c r="H1486" s="100" t="s">
        <v>421</v>
      </c>
      <c r="I1486" s="247">
        <v>34995</v>
      </c>
      <c r="J1486" s="101">
        <v>1</v>
      </c>
      <c r="K1486" s="101"/>
      <c r="L1486" s="101">
        <v>1</v>
      </c>
      <c r="M1486" s="101"/>
      <c r="N1486" s="101"/>
      <c r="O1486" s="101"/>
      <c r="P1486" s="101"/>
      <c r="Q1486" s="101"/>
      <c r="R1486" s="101"/>
      <c r="S1486" s="101"/>
      <c r="T1486" s="101"/>
      <c r="U1486" s="99"/>
      <c r="V1486" s="100" t="s">
        <v>218</v>
      </c>
      <c r="W1486" s="100" t="s">
        <v>279</v>
      </c>
      <c r="X1486" s="100" t="s">
        <v>227</v>
      </c>
      <c r="Y1486" s="99"/>
      <c r="Z1486" s="99"/>
      <c r="AA1486" s="100" t="s">
        <v>3643</v>
      </c>
      <c r="AB1486" s="100" t="s">
        <v>528</v>
      </c>
      <c r="AC1486" s="99">
        <v>1</v>
      </c>
      <c r="AD1486" s="101"/>
      <c r="AE1486" s="101"/>
      <c r="AF1486" s="101"/>
      <c r="AG1486" s="101"/>
      <c r="AH1486" s="99"/>
      <c r="AI1486" s="105"/>
    </row>
    <row r="1487" spans="1:35">
      <c r="A1487" s="98"/>
      <c r="B1487" s="99"/>
      <c r="C1487" s="99"/>
      <c r="D1487" s="99"/>
      <c r="E1487" s="99"/>
      <c r="F1487" s="100"/>
      <c r="G1487" s="100"/>
      <c r="H1487" s="99"/>
      <c r="I1487" s="247"/>
      <c r="J1487" s="101"/>
      <c r="K1487" s="101"/>
      <c r="L1487" s="101"/>
      <c r="M1487" s="101"/>
      <c r="N1487" s="101"/>
      <c r="O1487" s="101"/>
      <c r="P1487" s="101"/>
      <c r="Q1487" s="101"/>
      <c r="R1487" s="101"/>
      <c r="S1487" s="101"/>
      <c r="T1487" s="101"/>
      <c r="U1487" s="99"/>
      <c r="V1487" s="99"/>
      <c r="W1487" s="99"/>
      <c r="X1487" s="99"/>
      <c r="Y1487" s="99"/>
      <c r="Z1487" s="99"/>
      <c r="AA1487" s="100" t="s">
        <v>1961</v>
      </c>
      <c r="AB1487" s="100" t="s">
        <v>528</v>
      </c>
      <c r="AC1487" s="99">
        <v>1</v>
      </c>
      <c r="AD1487" s="101"/>
      <c r="AE1487" s="101"/>
      <c r="AF1487" s="101"/>
      <c r="AG1487" s="101"/>
      <c r="AH1487" s="99"/>
      <c r="AI1487" s="105"/>
    </row>
    <row r="1488" spans="1:35">
      <c r="A1488" s="98"/>
      <c r="B1488" s="99"/>
      <c r="C1488" s="263" t="s">
        <v>3230</v>
      </c>
      <c r="D1488" s="264" t="s">
        <v>79</v>
      </c>
      <c r="E1488" s="264" t="s">
        <v>80</v>
      </c>
      <c r="F1488" s="100" t="s">
        <v>3741</v>
      </c>
      <c r="G1488" s="100" t="s">
        <v>698</v>
      </c>
      <c r="H1488" s="99"/>
      <c r="I1488" s="247">
        <v>30010</v>
      </c>
      <c r="J1488" s="101">
        <v>1</v>
      </c>
      <c r="K1488" s="101"/>
      <c r="L1488" s="101">
        <v>1</v>
      </c>
      <c r="M1488" s="101"/>
      <c r="N1488" s="101"/>
      <c r="O1488" s="101"/>
      <c r="P1488" s="101"/>
      <c r="Q1488" s="101"/>
      <c r="R1488" s="101"/>
      <c r="S1488" s="101"/>
      <c r="T1488" s="101"/>
      <c r="U1488" s="99"/>
      <c r="V1488" s="100" t="s">
        <v>218</v>
      </c>
      <c r="W1488" s="100" t="s">
        <v>279</v>
      </c>
      <c r="X1488" s="100" t="s">
        <v>227</v>
      </c>
      <c r="Y1488" s="99"/>
      <c r="Z1488" s="99"/>
      <c r="AA1488" s="100" t="s">
        <v>3643</v>
      </c>
      <c r="AB1488" s="100" t="s">
        <v>528</v>
      </c>
      <c r="AC1488" s="99">
        <v>1</v>
      </c>
      <c r="AD1488" s="101"/>
      <c r="AE1488" s="101"/>
      <c r="AF1488" s="101"/>
      <c r="AG1488" s="101"/>
      <c r="AH1488" s="99"/>
      <c r="AI1488" s="105"/>
    </row>
    <row r="1489" spans="1:35">
      <c r="A1489" s="98"/>
      <c r="B1489" s="99"/>
      <c r="C1489" s="99"/>
      <c r="D1489" s="99"/>
      <c r="E1489" s="99"/>
      <c r="F1489" s="100"/>
      <c r="G1489" s="100"/>
      <c r="H1489" s="99"/>
      <c r="I1489" s="247"/>
      <c r="J1489" s="101"/>
      <c r="K1489" s="101"/>
      <c r="L1489" s="101"/>
      <c r="M1489" s="101"/>
      <c r="N1489" s="101"/>
      <c r="O1489" s="101"/>
      <c r="P1489" s="101"/>
      <c r="Q1489" s="101"/>
      <c r="R1489" s="101"/>
      <c r="S1489" s="101"/>
      <c r="T1489" s="101"/>
      <c r="U1489" s="99"/>
      <c r="V1489" s="99"/>
      <c r="W1489" s="99"/>
      <c r="X1489" s="99"/>
      <c r="Y1489" s="99"/>
      <c r="Z1489" s="99"/>
      <c r="AA1489" s="100" t="s">
        <v>1961</v>
      </c>
      <c r="AB1489" s="100" t="s">
        <v>528</v>
      </c>
      <c r="AC1489" s="99">
        <v>1</v>
      </c>
      <c r="AD1489" s="101"/>
      <c r="AE1489" s="101"/>
      <c r="AF1489" s="101"/>
      <c r="AG1489" s="101"/>
      <c r="AH1489" s="99"/>
      <c r="AI1489" s="105"/>
    </row>
    <row r="1490" spans="1:35">
      <c r="A1490" s="98"/>
      <c r="B1490" s="99"/>
      <c r="C1490" s="263" t="s">
        <v>3230</v>
      </c>
      <c r="D1490" s="264" t="s">
        <v>79</v>
      </c>
      <c r="E1490" s="264" t="s">
        <v>80</v>
      </c>
      <c r="F1490" s="100" t="s">
        <v>131</v>
      </c>
      <c r="G1490" s="100" t="s">
        <v>3742</v>
      </c>
      <c r="H1490" s="100" t="s">
        <v>113</v>
      </c>
      <c r="I1490" s="247">
        <v>22509</v>
      </c>
      <c r="J1490" s="101"/>
      <c r="K1490" s="101">
        <v>1</v>
      </c>
      <c r="L1490" s="101">
        <v>1</v>
      </c>
      <c r="M1490" s="101"/>
      <c r="N1490" s="101"/>
      <c r="O1490" s="101"/>
      <c r="P1490" s="101"/>
      <c r="Q1490" s="101"/>
      <c r="R1490" s="101"/>
      <c r="S1490" s="101"/>
      <c r="T1490" s="101"/>
      <c r="U1490" s="99"/>
      <c r="V1490" s="100" t="s">
        <v>218</v>
      </c>
      <c r="W1490" s="100" t="s">
        <v>279</v>
      </c>
      <c r="X1490" s="100" t="s">
        <v>227</v>
      </c>
      <c r="Y1490" s="99"/>
      <c r="Z1490" s="99"/>
      <c r="AA1490" s="100" t="s">
        <v>3643</v>
      </c>
      <c r="AB1490" s="100" t="s">
        <v>528</v>
      </c>
      <c r="AC1490" s="99">
        <v>1</v>
      </c>
      <c r="AD1490" s="101"/>
      <c r="AE1490" s="101"/>
      <c r="AF1490" s="101"/>
      <c r="AG1490" s="101"/>
      <c r="AH1490" s="99"/>
      <c r="AI1490" s="105"/>
    </row>
    <row r="1491" spans="1:35">
      <c r="A1491" s="98"/>
      <c r="B1491" s="99"/>
      <c r="C1491" s="99"/>
      <c r="D1491" s="99"/>
      <c r="E1491" s="99"/>
      <c r="F1491" s="100"/>
      <c r="G1491" s="100"/>
      <c r="H1491" s="99"/>
      <c r="I1491" s="247"/>
      <c r="J1491" s="101"/>
      <c r="K1491" s="101"/>
      <c r="L1491" s="101"/>
      <c r="M1491" s="101"/>
      <c r="N1491" s="101"/>
      <c r="O1491" s="101"/>
      <c r="P1491" s="101"/>
      <c r="Q1491" s="101"/>
      <c r="R1491" s="101"/>
      <c r="S1491" s="101"/>
      <c r="T1491" s="101"/>
      <c r="U1491" s="99"/>
      <c r="V1491" s="99"/>
      <c r="W1491" s="99"/>
      <c r="X1491" s="99"/>
      <c r="Y1491" s="99"/>
      <c r="Z1491" s="99"/>
      <c r="AA1491" s="100" t="s">
        <v>1961</v>
      </c>
      <c r="AB1491" s="100" t="s">
        <v>528</v>
      </c>
      <c r="AC1491" s="99">
        <v>1</v>
      </c>
      <c r="AD1491" s="101"/>
      <c r="AE1491" s="101"/>
      <c r="AF1491" s="101"/>
      <c r="AG1491" s="101"/>
      <c r="AH1491" s="99"/>
      <c r="AI1491" s="105"/>
    </row>
    <row r="1492" spans="1:35">
      <c r="A1492" s="98"/>
      <c r="B1492" s="99"/>
      <c r="C1492" s="263" t="s">
        <v>3230</v>
      </c>
      <c r="D1492" s="264" t="s">
        <v>79</v>
      </c>
      <c r="E1492" s="264" t="s">
        <v>80</v>
      </c>
      <c r="F1492" s="100" t="s">
        <v>3743</v>
      </c>
      <c r="G1492" s="100" t="s">
        <v>3744</v>
      </c>
      <c r="H1492" s="99"/>
      <c r="I1492" s="247">
        <v>24687</v>
      </c>
      <c r="J1492" s="101">
        <v>1</v>
      </c>
      <c r="K1492" s="101"/>
      <c r="L1492" s="101">
        <v>1</v>
      </c>
      <c r="M1492" s="101"/>
      <c r="N1492" s="101"/>
      <c r="O1492" s="101"/>
      <c r="P1492" s="101"/>
      <c r="Q1492" s="101"/>
      <c r="R1492" s="101"/>
      <c r="S1492" s="101"/>
      <c r="T1492" s="101"/>
      <c r="U1492" s="99"/>
      <c r="V1492" s="100" t="s">
        <v>218</v>
      </c>
      <c r="W1492" s="100" t="s">
        <v>279</v>
      </c>
      <c r="X1492" s="100" t="s">
        <v>227</v>
      </c>
      <c r="Y1492" s="99"/>
      <c r="Z1492" s="99"/>
      <c r="AA1492" s="100" t="s">
        <v>3643</v>
      </c>
      <c r="AB1492" s="100" t="s">
        <v>528</v>
      </c>
      <c r="AC1492" s="99">
        <v>1</v>
      </c>
      <c r="AD1492" s="101"/>
      <c r="AE1492" s="101"/>
      <c r="AF1492" s="101"/>
      <c r="AG1492" s="101"/>
      <c r="AH1492" s="99"/>
      <c r="AI1492" s="105"/>
    </row>
    <row r="1493" spans="1:35">
      <c r="A1493" s="98"/>
      <c r="B1493" s="99"/>
      <c r="C1493" s="99"/>
      <c r="D1493" s="99"/>
      <c r="E1493" s="99"/>
      <c r="F1493" s="100"/>
      <c r="G1493" s="100"/>
      <c r="H1493" s="99"/>
      <c r="I1493" s="247"/>
      <c r="J1493" s="101"/>
      <c r="K1493" s="101"/>
      <c r="L1493" s="101"/>
      <c r="M1493" s="101"/>
      <c r="N1493" s="101"/>
      <c r="O1493" s="101"/>
      <c r="P1493" s="101"/>
      <c r="Q1493" s="101"/>
      <c r="R1493" s="101"/>
      <c r="S1493" s="101"/>
      <c r="T1493" s="101"/>
      <c r="U1493" s="99"/>
      <c r="V1493" s="99"/>
      <c r="W1493" s="99"/>
      <c r="X1493" s="99"/>
      <c r="Y1493" s="99"/>
      <c r="Z1493" s="99"/>
      <c r="AA1493" s="100" t="s">
        <v>1961</v>
      </c>
      <c r="AB1493" s="100" t="s">
        <v>528</v>
      </c>
      <c r="AC1493" s="99">
        <v>1</v>
      </c>
      <c r="AD1493" s="101"/>
      <c r="AE1493" s="101"/>
      <c r="AF1493" s="101"/>
      <c r="AG1493" s="101"/>
      <c r="AH1493" s="99"/>
      <c r="AI1493" s="105"/>
    </row>
    <row r="1494" spans="1:35">
      <c r="A1494" s="98"/>
      <c r="B1494" s="99"/>
      <c r="C1494" s="263" t="s">
        <v>3230</v>
      </c>
      <c r="D1494" s="264" t="s">
        <v>79</v>
      </c>
      <c r="E1494" s="264" t="s">
        <v>80</v>
      </c>
      <c r="F1494" s="100" t="s">
        <v>3745</v>
      </c>
      <c r="G1494" s="100" t="s">
        <v>3746</v>
      </c>
      <c r="H1494" s="100" t="s">
        <v>160</v>
      </c>
      <c r="I1494" s="247">
        <v>29339</v>
      </c>
      <c r="J1494" s="101"/>
      <c r="K1494" s="101">
        <v>1</v>
      </c>
      <c r="L1494" s="101">
        <v>1</v>
      </c>
      <c r="M1494" s="101"/>
      <c r="N1494" s="101"/>
      <c r="O1494" s="101"/>
      <c r="P1494" s="101"/>
      <c r="Q1494" s="101"/>
      <c r="R1494" s="101"/>
      <c r="S1494" s="101"/>
      <c r="T1494" s="101"/>
      <c r="U1494" s="99"/>
      <c r="V1494" s="100" t="s">
        <v>218</v>
      </c>
      <c r="W1494" s="100" t="s">
        <v>279</v>
      </c>
      <c r="X1494" s="100" t="s">
        <v>227</v>
      </c>
      <c r="Y1494" s="99"/>
      <c r="Z1494" s="99"/>
      <c r="AA1494" s="100" t="s">
        <v>3643</v>
      </c>
      <c r="AB1494" s="100" t="s">
        <v>528</v>
      </c>
      <c r="AC1494" s="99">
        <v>1</v>
      </c>
      <c r="AD1494" s="101"/>
      <c r="AE1494" s="101"/>
      <c r="AF1494" s="101"/>
      <c r="AG1494" s="101"/>
      <c r="AH1494" s="99"/>
      <c r="AI1494" s="105"/>
    </row>
    <row r="1495" spans="1:35">
      <c r="A1495" s="98"/>
      <c r="B1495" s="99"/>
      <c r="C1495" s="99"/>
      <c r="D1495" s="99"/>
      <c r="E1495" s="99"/>
      <c r="F1495" s="100"/>
      <c r="G1495" s="100"/>
      <c r="H1495" s="99"/>
      <c r="I1495" s="247"/>
      <c r="J1495" s="101"/>
      <c r="K1495" s="101"/>
      <c r="L1495" s="101"/>
      <c r="M1495" s="101"/>
      <c r="N1495" s="101"/>
      <c r="O1495" s="101"/>
      <c r="P1495" s="101"/>
      <c r="Q1495" s="101"/>
      <c r="R1495" s="101"/>
      <c r="S1495" s="101"/>
      <c r="T1495" s="101"/>
      <c r="U1495" s="99"/>
      <c r="V1495" s="99"/>
      <c r="W1495" s="99"/>
      <c r="X1495" s="99"/>
      <c r="Y1495" s="99"/>
      <c r="Z1495" s="99"/>
      <c r="AA1495" s="100" t="s">
        <v>1961</v>
      </c>
      <c r="AB1495" s="100" t="s">
        <v>528</v>
      </c>
      <c r="AC1495" s="99">
        <v>1</v>
      </c>
      <c r="AD1495" s="101"/>
      <c r="AE1495" s="101"/>
      <c r="AF1495" s="101"/>
      <c r="AG1495" s="101"/>
      <c r="AH1495" s="99"/>
      <c r="AI1495" s="105"/>
    </row>
    <row r="1496" spans="1:35">
      <c r="A1496" s="98"/>
      <c r="B1496" s="99"/>
      <c r="C1496" s="263" t="s">
        <v>3230</v>
      </c>
      <c r="D1496" s="264" t="s">
        <v>79</v>
      </c>
      <c r="E1496" s="264" t="s">
        <v>80</v>
      </c>
      <c r="F1496" s="100" t="s">
        <v>974</v>
      </c>
      <c r="G1496" s="100" t="s">
        <v>412</v>
      </c>
      <c r="H1496" s="100" t="s">
        <v>126</v>
      </c>
      <c r="I1496" s="247">
        <v>29466</v>
      </c>
      <c r="J1496" s="101"/>
      <c r="K1496" s="101">
        <v>1</v>
      </c>
      <c r="L1496" s="101">
        <v>1</v>
      </c>
      <c r="M1496" s="101"/>
      <c r="N1496" s="101"/>
      <c r="O1496" s="101"/>
      <c r="P1496" s="101"/>
      <c r="Q1496" s="101"/>
      <c r="R1496" s="101"/>
      <c r="S1496" s="101"/>
      <c r="T1496" s="101"/>
      <c r="U1496" s="99"/>
      <c r="V1496" s="100" t="s">
        <v>218</v>
      </c>
      <c r="W1496" s="100" t="s">
        <v>279</v>
      </c>
      <c r="X1496" s="100" t="s">
        <v>227</v>
      </c>
      <c r="Y1496" s="99"/>
      <c r="Z1496" s="99"/>
      <c r="AA1496" s="100" t="s">
        <v>3643</v>
      </c>
      <c r="AB1496" s="100" t="s">
        <v>528</v>
      </c>
      <c r="AC1496" s="99">
        <v>1</v>
      </c>
      <c r="AD1496" s="101"/>
      <c r="AE1496" s="101"/>
      <c r="AF1496" s="101"/>
      <c r="AG1496" s="101"/>
      <c r="AH1496" s="99"/>
      <c r="AI1496" s="105"/>
    </row>
    <row r="1497" spans="1:35">
      <c r="A1497" s="98"/>
      <c r="B1497" s="99"/>
      <c r="C1497" s="99"/>
      <c r="D1497" s="99"/>
      <c r="E1497" s="99"/>
      <c r="F1497" s="100"/>
      <c r="G1497" s="100"/>
      <c r="H1497" s="99"/>
      <c r="I1497" s="247"/>
      <c r="J1497" s="101"/>
      <c r="K1497" s="101"/>
      <c r="L1497" s="101"/>
      <c r="M1497" s="101"/>
      <c r="N1497" s="101"/>
      <c r="O1497" s="101"/>
      <c r="P1497" s="101"/>
      <c r="Q1497" s="101"/>
      <c r="R1497" s="101"/>
      <c r="S1497" s="101"/>
      <c r="T1497" s="101"/>
      <c r="U1497" s="99"/>
      <c r="V1497" s="99"/>
      <c r="W1497" s="99"/>
      <c r="X1497" s="99"/>
      <c r="Y1497" s="99"/>
      <c r="Z1497" s="99"/>
      <c r="AA1497" s="100" t="s">
        <v>1961</v>
      </c>
      <c r="AB1497" s="100" t="s">
        <v>528</v>
      </c>
      <c r="AC1497" s="99">
        <v>1</v>
      </c>
      <c r="AD1497" s="101"/>
      <c r="AE1497" s="101"/>
      <c r="AF1497" s="101"/>
      <c r="AG1497" s="101"/>
      <c r="AH1497" s="99"/>
      <c r="AI1497" s="105"/>
    </row>
    <row r="1498" spans="1:35">
      <c r="A1498" s="98"/>
      <c r="B1498" s="99"/>
      <c r="C1498" s="263" t="s">
        <v>3230</v>
      </c>
      <c r="D1498" s="264" t="s">
        <v>79</v>
      </c>
      <c r="E1498" s="264" t="s">
        <v>80</v>
      </c>
      <c r="F1498" s="100" t="s">
        <v>3747</v>
      </c>
      <c r="G1498" s="100" t="s">
        <v>190</v>
      </c>
      <c r="H1498" s="99"/>
      <c r="I1498" s="247">
        <v>27590</v>
      </c>
      <c r="J1498" s="101"/>
      <c r="K1498" s="101">
        <v>1</v>
      </c>
      <c r="L1498" s="101">
        <v>1</v>
      </c>
      <c r="M1498" s="101"/>
      <c r="N1498" s="101"/>
      <c r="O1498" s="101"/>
      <c r="P1498" s="101"/>
      <c r="Q1498" s="101"/>
      <c r="R1498" s="101"/>
      <c r="S1498" s="101"/>
      <c r="T1498" s="101"/>
      <c r="U1498" s="99"/>
      <c r="V1498" s="100" t="s">
        <v>218</v>
      </c>
      <c r="W1498" s="100" t="s">
        <v>279</v>
      </c>
      <c r="X1498" s="100" t="s">
        <v>227</v>
      </c>
      <c r="Y1498" s="99"/>
      <c r="Z1498" s="99"/>
      <c r="AA1498" s="100" t="s">
        <v>3643</v>
      </c>
      <c r="AB1498" s="100" t="s">
        <v>528</v>
      </c>
      <c r="AC1498" s="99">
        <v>1</v>
      </c>
      <c r="AD1498" s="101"/>
      <c r="AE1498" s="101"/>
      <c r="AF1498" s="101"/>
      <c r="AG1498" s="101"/>
      <c r="AH1498" s="99"/>
      <c r="AI1498" s="105"/>
    </row>
    <row r="1499" spans="1:35">
      <c r="A1499" s="98"/>
      <c r="B1499" s="99"/>
      <c r="C1499" s="99"/>
      <c r="D1499" s="99"/>
      <c r="E1499" s="99"/>
      <c r="F1499" s="100"/>
      <c r="G1499" s="100"/>
      <c r="H1499" s="99"/>
      <c r="I1499" s="247"/>
      <c r="J1499" s="101"/>
      <c r="K1499" s="101"/>
      <c r="L1499" s="101"/>
      <c r="M1499" s="101"/>
      <c r="N1499" s="101"/>
      <c r="O1499" s="101"/>
      <c r="P1499" s="101"/>
      <c r="Q1499" s="101"/>
      <c r="R1499" s="101"/>
      <c r="S1499" s="101"/>
      <c r="T1499" s="101"/>
      <c r="U1499" s="99"/>
      <c r="V1499" s="99"/>
      <c r="W1499" s="99"/>
      <c r="X1499" s="99"/>
      <c r="Y1499" s="99"/>
      <c r="Z1499" s="99"/>
      <c r="AA1499" s="100" t="s">
        <v>1961</v>
      </c>
      <c r="AB1499" s="100" t="s">
        <v>528</v>
      </c>
      <c r="AC1499" s="99">
        <v>1</v>
      </c>
      <c r="AD1499" s="101"/>
      <c r="AE1499" s="101"/>
      <c r="AF1499" s="101"/>
      <c r="AG1499" s="101"/>
      <c r="AH1499" s="99"/>
      <c r="AI1499" s="105"/>
    </row>
    <row r="1500" spans="1:35">
      <c r="A1500" s="98"/>
      <c r="B1500" s="99"/>
      <c r="C1500" s="263" t="s">
        <v>3230</v>
      </c>
      <c r="D1500" s="264" t="s">
        <v>79</v>
      </c>
      <c r="E1500" s="264" t="s">
        <v>80</v>
      </c>
      <c r="F1500" s="100" t="s">
        <v>1336</v>
      </c>
      <c r="G1500" s="100" t="s">
        <v>2021</v>
      </c>
      <c r="H1500" s="100" t="s">
        <v>136</v>
      </c>
      <c r="I1500" s="247">
        <v>29029</v>
      </c>
      <c r="J1500" s="101">
        <v>1</v>
      </c>
      <c r="K1500" s="101"/>
      <c r="L1500" s="101">
        <v>1</v>
      </c>
      <c r="M1500" s="101"/>
      <c r="N1500" s="101"/>
      <c r="O1500" s="101"/>
      <c r="P1500" s="101"/>
      <c r="Q1500" s="101"/>
      <c r="R1500" s="101"/>
      <c r="S1500" s="101"/>
      <c r="T1500" s="101"/>
      <c r="U1500" s="99"/>
      <c r="V1500" s="100" t="s">
        <v>218</v>
      </c>
      <c r="W1500" s="100" t="s">
        <v>279</v>
      </c>
      <c r="X1500" s="100" t="s">
        <v>227</v>
      </c>
      <c r="Y1500" s="99"/>
      <c r="Z1500" s="99"/>
      <c r="AA1500" s="100" t="s">
        <v>3643</v>
      </c>
      <c r="AB1500" s="100" t="s">
        <v>528</v>
      </c>
      <c r="AC1500" s="99">
        <v>1</v>
      </c>
      <c r="AD1500" s="101"/>
      <c r="AE1500" s="101"/>
      <c r="AF1500" s="101"/>
      <c r="AG1500" s="101"/>
      <c r="AH1500" s="99"/>
      <c r="AI1500" s="105"/>
    </row>
    <row r="1501" spans="1:35">
      <c r="A1501" s="98"/>
      <c r="B1501" s="99"/>
      <c r="C1501" s="99"/>
      <c r="D1501" s="99"/>
      <c r="E1501" s="99"/>
      <c r="F1501" s="100"/>
      <c r="G1501" s="100"/>
      <c r="H1501" s="99"/>
      <c r="I1501" s="247"/>
      <c r="J1501" s="101"/>
      <c r="K1501" s="101"/>
      <c r="L1501" s="101"/>
      <c r="M1501" s="101"/>
      <c r="N1501" s="101"/>
      <c r="O1501" s="101"/>
      <c r="P1501" s="101"/>
      <c r="Q1501" s="101"/>
      <c r="R1501" s="101"/>
      <c r="S1501" s="101"/>
      <c r="T1501" s="101"/>
      <c r="U1501" s="99"/>
      <c r="V1501" s="99"/>
      <c r="W1501" s="99"/>
      <c r="X1501" s="99"/>
      <c r="Y1501" s="99"/>
      <c r="Z1501" s="99"/>
      <c r="AA1501" s="100" t="s">
        <v>1961</v>
      </c>
      <c r="AB1501" s="100" t="s">
        <v>528</v>
      </c>
      <c r="AC1501" s="99">
        <v>1</v>
      </c>
      <c r="AD1501" s="101"/>
      <c r="AE1501" s="101"/>
      <c r="AF1501" s="101"/>
      <c r="AG1501" s="101"/>
      <c r="AH1501" s="99"/>
      <c r="AI1501" s="105"/>
    </row>
    <row r="1502" spans="1:35">
      <c r="A1502" s="98"/>
      <c r="B1502" s="99"/>
      <c r="C1502" s="263" t="s">
        <v>3230</v>
      </c>
      <c r="D1502" s="264" t="s">
        <v>79</v>
      </c>
      <c r="E1502" s="264" t="s">
        <v>80</v>
      </c>
      <c r="F1502" s="100" t="s">
        <v>3748</v>
      </c>
      <c r="G1502" s="100" t="s">
        <v>1569</v>
      </c>
      <c r="H1502" s="100" t="s">
        <v>136</v>
      </c>
      <c r="I1502" s="247">
        <v>31726</v>
      </c>
      <c r="J1502" s="101">
        <v>1</v>
      </c>
      <c r="K1502" s="101"/>
      <c r="L1502" s="101">
        <v>1</v>
      </c>
      <c r="M1502" s="101"/>
      <c r="N1502" s="101"/>
      <c r="O1502" s="101"/>
      <c r="P1502" s="101"/>
      <c r="Q1502" s="101"/>
      <c r="R1502" s="101"/>
      <c r="S1502" s="101"/>
      <c r="T1502" s="101"/>
      <c r="U1502" s="99"/>
      <c r="V1502" s="100" t="s">
        <v>218</v>
      </c>
      <c r="W1502" s="100" t="s">
        <v>279</v>
      </c>
      <c r="X1502" s="100" t="s">
        <v>227</v>
      </c>
      <c r="Y1502" s="99"/>
      <c r="Z1502" s="99"/>
      <c r="AA1502" s="100" t="s">
        <v>3643</v>
      </c>
      <c r="AB1502" s="100" t="s">
        <v>528</v>
      </c>
      <c r="AC1502" s="99">
        <v>1</v>
      </c>
      <c r="AD1502" s="101"/>
      <c r="AE1502" s="101"/>
      <c r="AF1502" s="101"/>
      <c r="AG1502" s="101"/>
      <c r="AH1502" s="99"/>
      <c r="AI1502" s="105"/>
    </row>
    <row r="1503" spans="1:35">
      <c r="A1503" s="98"/>
      <c r="B1503" s="99"/>
      <c r="C1503" s="99"/>
      <c r="D1503" s="99"/>
      <c r="E1503" s="99"/>
      <c r="F1503" s="100"/>
      <c r="G1503" s="100"/>
      <c r="H1503" s="99"/>
      <c r="I1503" s="247"/>
      <c r="J1503" s="101"/>
      <c r="K1503" s="101"/>
      <c r="L1503" s="101"/>
      <c r="M1503" s="101"/>
      <c r="N1503" s="101"/>
      <c r="O1503" s="101"/>
      <c r="P1503" s="101"/>
      <c r="Q1503" s="101"/>
      <c r="R1503" s="101"/>
      <c r="S1503" s="101"/>
      <c r="T1503" s="101"/>
      <c r="U1503" s="99"/>
      <c r="V1503" s="99"/>
      <c r="W1503" s="99"/>
      <c r="X1503" s="99"/>
      <c r="Y1503" s="99"/>
      <c r="Z1503" s="99"/>
      <c r="AA1503" s="100" t="s">
        <v>1961</v>
      </c>
      <c r="AB1503" s="100" t="s">
        <v>528</v>
      </c>
      <c r="AC1503" s="99">
        <v>1</v>
      </c>
      <c r="AD1503" s="101"/>
      <c r="AE1503" s="101"/>
      <c r="AF1503" s="101"/>
      <c r="AG1503" s="101"/>
      <c r="AH1503" s="99"/>
      <c r="AI1503" s="105"/>
    </row>
    <row r="1504" spans="1:35">
      <c r="A1504" s="98"/>
      <c r="B1504" s="99"/>
      <c r="C1504" s="263" t="s">
        <v>3230</v>
      </c>
      <c r="D1504" s="264" t="s">
        <v>79</v>
      </c>
      <c r="E1504" s="264" t="s">
        <v>80</v>
      </c>
      <c r="F1504" s="100" t="s">
        <v>3749</v>
      </c>
      <c r="G1504" s="100" t="s">
        <v>116</v>
      </c>
      <c r="H1504" s="100" t="s">
        <v>117</v>
      </c>
      <c r="I1504" s="247">
        <v>34352</v>
      </c>
      <c r="J1504" s="101">
        <v>1</v>
      </c>
      <c r="K1504" s="101"/>
      <c r="L1504" s="101">
        <v>1</v>
      </c>
      <c r="M1504" s="101"/>
      <c r="N1504" s="101"/>
      <c r="O1504" s="101"/>
      <c r="P1504" s="101"/>
      <c r="Q1504" s="101"/>
      <c r="R1504" s="101"/>
      <c r="S1504" s="101"/>
      <c r="T1504" s="101"/>
      <c r="U1504" s="99"/>
      <c r="V1504" s="100" t="s">
        <v>218</v>
      </c>
      <c r="W1504" s="100" t="s">
        <v>279</v>
      </c>
      <c r="X1504" s="100" t="s">
        <v>227</v>
      </c>
      <c r="Y1504" s="99"/>
      <c r="Z1504" s="99"/>
      <c r="AA1504" s="100" t="s">
        <v>3643</v>
      </c>
      <c r="AB1504" s="100" t="s">
        <v>528</v>
      </c>
      <c r="AC1504" s="99">
        <v>1</v>
      </c>
      <c r="AD1504" s="101"/>
      <c r="AE1504" s="101"/>
      <c r="AF1504" s="101"/>
      <c r="AG1504" s="101"/>
      <c r="AH1504" s="99"/>
      <c r="AI1504" s="105"/>
    </row>
    <row r="1505" spans="1:35">
      <c r="A1505" s="98"/>
      <c r="B1505" s="99"/>
      <c r="C1505" s="99"/>
      <c r="D1505" s="99"/>
      <c r="E1505" s="99"/>
      <c r="F1505" s="100"/>
      <c r="G1505" s="100"/>
      <c r="H1505" s="99"/>
      <c r="I1505" s="247"/>
      <c r="J1505" s="101"/>
      <c r="K1505" s="101"/>
      <c r="L1505" s="101"/>
      <c r="M1505" s="101"/>
      <c r="N1505" s="101"/>
      <c r="O1505" s="101"/>
      <c r="P1505" s="101"/>
      <c r="Q1505" s="101"/>
      <c r="R1505" s="101"/>
      <c r="S1505" s="101"/>
      <c r="T1505" s="101"/>
      <c r="U1505" s="99"/>
      <c r="V1505" s="99"/>
      <c r="W1505" s="99"/>
      <c r="X1505" s="99"/>
      <c r="Y1505" s="99"/>
      <c r="Z1505" s="99"/>
      <c r="AA1505" s="100" t="s">
        <v>1961</v>
      </c>
      <c r="AB1505" s="100" t="s">
        <v>528</v>
      </c>
      <c r="AC1505" s="99">
        <v>1</v>
      </c>
      <c r="AD1505" s="101"/>
      <c r="AE1505" s="101"/>
      <c r="AF1505" s="101"/>
      <c r="AG1505" s="101"/>
      <c r="AH1505" s="99"/>
      <c r="AI1505" s="105"/>
    </row>
    <row r="1506" spans="1:35">
      <c r="A1506" s="98"/>
      <c r="B1506" s="99"/>
      <c r="C1506" s="263" t="s">
        <v>3230</v>
      </c>
      <c r="D1506" s="264" t="s">
        <v>79</v>
      </c>
      <c r="E1506" s="264" t="s">
        <v>80</v>
      </c>
      <c r="F1506" s="100" t="s">
        <v>3338</v>
      </c>
      <c r="G1506" s="100" t="s">
        <v>1597</v>
      </c>
      <c r="H1506" s="100" t="s">
        <v>160</v>
      </c>
      <c r="I1506" s="247">
        <v>29955</v>
      </c>
      <c r="J1506" s="101">
        <v>1</v>
      </c>
      <c r="K1506" s="101"/>
      <c r="L1506" s="101">
        <v>1</v>
      </c>
      <c r="M1506" s="101"/>
      <c r="N1506" s="101"/>
      <c r="O1506" s="101"/>
      <c r="P1506" s="101"/>
      <c r="Q1506" s="101"/>
      <c r="R1506" s="101"/>
      <c r="S1506" s="101"/>
      <c r="T1506" s="101"/>
      <c r="U1506" s="99"/>
      <c r="V1506" s="100" t="s">
        <v>218</v>
      </c>
      <c r="W1506" s="100" t="s">
        <v>279</v>
      </c>
      <c r="X1506" s="100" t="s">
        <v>227</v>
      </c>
      <c r="Y1506" s="99"/>
      <c r="Z1506" s="99"/>
      <c r="AA1506" s="100" t="s">
        <v>3643</v>
      </c>
      <c r="AB1506" s="100" t="s">
        <v>528</v>
      </c>
      <c r="AC1506" s="99">
        <v>1</v>
      </c>
      <c r="AD1506" s="101"/>
      <c r="AE1506" s="101"/>
      <c r="AF1506" s="101"/>
      <c r="AG1506" s="101"/>
      <c r="AH1506" s="99"/>
      <c r="AI1506" s="105"/>
    </row>
    <row r="1507" spans="1:35">
      <c r="A1507" s="98"/>
      <c r="B1507" s="99"/>
      <c r="C1507" s="99"/>
      <c r="D1507" s="99"/>
      <c r="E1507" s="99"/>
      <c r="F1507" s="100"/>
      <c r="G1507" s="100"/>
      <c r="H1507" s="99"/>
      <c r="I1507" s="247"/>
      <c r="J1507" s="101"/>
      <c r="K1507" s="101"/>
      <c r="L1507" s="101"/>
      <c r="M1507" s="101"/>
      <c r="N1507" s="101"/>
      <c r="O1507" s="101"/>
      <c r="P1507" s="101"/>
      <c r="Q1507" s="101"/>
      <c r="R1507" s="101"/>
      <c r="S1507" s="101"/>
      <c r="T1507" s="101"/>
      <c r="U1507" s="99"/>
      <c r="V1507" s="100" t="s">
        <v>218</v>
      </c>
      <c r="W1507" s="100" t="s">
        <v>279</v>
      </c>
      <c r="X1507" s="100" t="s">
        <v>227</v>
      </c>
      <c r="Y1507" s="99"/>
      <c r="Z1507" s="99"/>
      <c r="AA1507" s="100" t="s">
        <v>1961</v>
      </c>
      <c r="AB1507" s="100" t="s">
        <v>528</v>
      </c>
      <c r="AC1507" s="99">
        <v>1</v>
      </c>
      <c r="AD1507" s="101"/>
      <c r="AE1507" s="101"/>
      <c r="AF1507" s="101"/>
      <c r="AG1507" s="101"/>
      <c r="AH1507" s="99"/>
      <c r="AI1507" s="105"/>
    </row>
    <row r="1508" spans="1:35">
      <c r="A1508" s="98"/>
      <c r="B1508" s="99"/>
      <c r="C1508" s="263" t="s">
        <v>3230</v>
      </c>
      <c r="D1508" s="264" t="s">
        <v>79</v>
      </c>
      <c r="E1508" s="264" t="s">
        <v>80</v>
      </c>
      <c r="F1508" s="100" t="s">
        <v>3750</v>
      </c>
      <c r="G1508" s="100" t="s">
        <v>309</v>
      </c>
      <c r="H1508" s="100" t="s">
        <v>588</v>
      </c>
      <c r="I1508" s="247">
        <v>31564</v>
      </c>
      <c r="J1508" s="101">
        <v>1</v>
      </c>
      <c r="K1508" s="101"/>
      <c r="L1508" s="101">
        <v>1</v>
      </c>
      <c r="M1508" s="101"/>
      <c r="N1508" s="101"/>
      <c r="O1508" s="101"/>
      <c r="P1508" s="101"/>
      <c r="Q1508" s="101"/>
      <c r="R1508" s="101"/>
      <c r="S1508" s="101"/>
      <c r="T1508" s="101"/>
      <c r="U1508" s="99"/>
      <c r="V1508" s="100" t="s">
        <v>218</v>
      </c>
      <c r="W1508" s="100" t="s">
        <v>279</v>
      </c>
      <c r="X1508" s="100" t="s">
        <v>227</v>
      </c>
      <c r="Y1508" s="99"/>
      <c r="Z1508" s="99"/>
      <c r="AA1508" s="100" t="s">
        <v>1961</v>
      </c>
      <c r="AB1508" s="100" t="s">
        <v>528</v>
      </c>
      <c r="AC1508" s="99">
        <v>1</v>
      </c>
      <c r="AD1508" s="101"/>
      <c r="AE1508" s="101"/>
      <c r="AF1508" s="101"/>
      <c r="AG1508" s="101"/>
      <c r="AH1508" s="99"/>
      <c r="AI1508" s="105"/>
    </row>
    <row r="1509" spans="1:35">
      <c r="A1509" s="98"/>
      <c r="B1509" s="99"/>
      <c r="C1509" s="263" t="s">
        <v>3230</v>
      </c>
      <c r="D1509" s="264" t="s">
        <v>79</v>
      </c>
      <c r="E1509" s="264" t="s">
        <v>80</v>
      </c>
      <c r="F1509" s="100" t="s">
        <v>3751</v>
      </c>
      <c r="G1509" s="100" t="s">
        <v>1174</v>
      </c>
      <c r="H1509" s="100" t="s">
        <v>202</v>
      </c>
      <c r="I1509" s="247">
        <v>24862</v>
      </c>
      <c r="J1509" s="101">
        <v>1</v>
      </c>
      <c r="K1509" s="101"/>
      <c r="L1509" s="101">
        <v>1</v>
      </c>
      <c r="M1509" s="101"/>
      <c r="N1509" s="101"/>
      <c r="O1509" s="101"/>
      <c r="P1509" s="101"/>
      <c r="Q1509" s="101"/>
      <c r="R1509" s="101"/>
      <c r="S1509" s="101"/>
      <c r="T1509" s="101"/>
      <c r="U1509" s="99"/>
      <c r="V1509" s="100" t="s">
        <v>218</v>
      </c>
      <c r="W1509" s="100" t="s">
        <v>279</v>
      </c>
      <c r="X1509" s="100" t="s">
        <v>227</v>
      </c>
      <c r="Y1509" s="99"/>
      <c r="Z1509" s="99"/>
      <c r="AA1509" s="100" t="s">
        <v>1961</v>
      </c>
      <c r="AB1509" s="100" t="s">
        <v>528</v>
      </c>
      <c r="AC1509" s="99">
        <v>1</v>
      </c>
      <c r="AD1509" s="101"/>
      <c r="AE1509" s="101"/>
      <c r="AF1509" s="101"/>
      <c r="AG1509" s="101"/>
      <c r="AH1509" s="99"/>
      <c r="AI1509" s="105"/>
    </row>
    <row r="1510" spans="1:35">
      <c r="A1510" s="98"/>
      <c r="B1510" s="99"/>
      <c r="C1510" s="263" t="s">
        <v>3230</v>
      </c>
      <c r="D1510" s="264" t="s">
        <v>79</v>
      </c>
      <c r="E1510" s="264" t="s">
        <v>80</v>
      </c>
      <c r="F1510" s="100" t="s">
        <v>1322</v>
      </c>
      <c r="G1510" s="100" t="s">
        <v>745</v>
      </c>
      <c r="H1510" s="100" t="s">
        <v>283</v>
      </c>
      <c r="I1510" s="247">
        <v>35521</v>
      </c>
      <c r="J1510" s="101">
        <v>1</v>
      </c>
      <c r="K1510" s="101"/>
      <c r="L1510" s="101">
        <v>1</v>
      </c>
      <c r="M1510" s="101"/>
      <c r="N1510" s="101"/>
      <c r="O1510" s="101"/>
      <c r="P1510" s="101"/>
      <c r="Q1510" s="101"/>
      <c r="R1510" s="101"/>
      <c r="S1510" s="101"/>
      <c r="T1510" s="101"/>
      <c r="U1510" s="99"/>
      <c r="V1510" s="100" t="s">
        <v>218</v>
      </c>
      <c r="W1510" s="100" t="s">
        <v>279</v>
      </c>
      <c r="X1510" s="100" t="s">
        <v>227</v>
      </c>
      <c r="Y1510" s="99"/>
      <c r="Z1510" s="99"/>
      <c r="AA1510" s="100" t="s">
        <v>1961</v>
      </c>
      <c r="AB1510" s="100" t="s">
        <v>528</v>
      </c>
      <c r="AC1510" s="99">
        <v>1</v>
      </c>
      <c r="AD1510" s="101"/>
      <c r="AE1510" s="101"/>
      <c r="AF1510" s="101"/>
      <c r="AG1510" s="101"/>
      <c r="AH1510" s="99"/>
      <c r="AI1510" s="105"/>
    </row>
    <row r="1511" spans="1:35">
      <c r="A1511" s="98"/>
      <c r="B1511" s="99"/>
      <c r="C1511" s="263" t="s">
        <v>3230</v>
      </c>
      <c r="D1511" s="264" t="s">
        <v>79</v>
      </c>
      <c r="E1511" s="264" t="s">
        <v>80</v>
      </c>
      <c r="F1511" s="100" t="s">
        <v>3752</v>
      </c>
      <c r="G1511" s="100" t="s">
        <v>3753</v>
      </c>
      <c r="H1511" s="100" t="s">
        <v>126</v>
      </c>
      <c r="I1511" s="247">
        <v>35226</v>
      </c>
      <c r="J1511" s="101">
        <v>1</v>
      </c>
      <c r="K1511" s="101"/>
      <c r="L1511" s="101">
        <v>1</v>
      </c>
      <c r="M1511" s="101"/>
      <c r="N1511" s="101"/>
      <c r="O1511" s="101"/>
      <c r="P1511" s="101"/>
      <c r="Q1511" s="101"/>
      <c r="R1511" s="101"/>
      <c r="S1511" s="101"/>
      <c r="T1511" s="101"/>
      <c r="U1511" s="99"/>
      <c r="V1511" s="100" t="s">
        <v>218</v>
      </c>
      <c r="W1511" s="100" t="s">
        <v>279</v>
      </c>
      <c r="X1511" s="100" t="s">
        <v>227</v>
      </c>
      <c r="Y1511" s="99"/>
      <c r="Z1511" s="99"/>
      <c r="AA1511" s="100" t="s">
        <v>1961</v>
      </c>
      <c r="AB1511" s="100" t="s">
        <v>528</v>
      </c>
      <c r="AC1511" s="99">
        <v>1</v>
      </c>
      <c r="AD1511" s="101"/>
      <c r="AE1511" s="101"/>
      <c r="AF1511" s="101"/>
      <c r="AG1511" s="101"/>
      <c r="AH1511" s="99"/>
      <c r="AI1511" s="105"/>
    </row>
    <row r="1512" spans="1:35">
      <c r="A1512" s="98"/>
      <c r="B1512" s="99"/>
      <c r="C1512" s="263" t="s">
        <v>3230</v>
      </c>
      <c r="D1512" s="264" t="s">
        <v>79</v>
      </c>
      <c r="E1512" s="264" t="s">
        <v>80</v>
      </c>
      <c r="F1512" s="100" t="s">
        <v>3754</v>
      </c>
      <c r="G1512" s="100" t="s">
        <v>1324</v>
      </c>
      <c r="H1512" s="100" t="s">
        <v>115</v>
      </c>
      <c r="I1512" s="247">
        <v>27355</v>
      </c>
      <c r="J1512" s="101">
        <v>1</v>
      </c>
      <c r="K1512" s="101"/>
      <c r="L1512" s="101">
        <v>1</v>
      </c>
      <c r="M1512" s="101"/>
      <c r="N1512" s="101"/>
      <c r="O1512" s="101"/>
      <c r="P1512" s="101"/>
      <c r="Q1512" s="101"/>
      <c r="R1512" s="101"/>
      <c r="S1512" s="101"/>
      <c r="T1512" s="101"/>
      <c r="U1512" s="99"/>
      <c r="V1512" s="100" t="s">
        <v>218</v>
      </c>
      <c r="W1512" s="100" t="s">
        <v>279</v>
      </c>
      <c r="X1512" s="100" t="s">
        <v>227</v>
      </c>
      <c r="Y1512" s="99"/>
      <c r="Z1512" s="99"/>
      <c r="AA1512" s="100" t="s">
        <v>1961</v>
      </c>
      <c r="AB1512" s="100" t="s">
        <v>528</v>
      </c>
      <c r="AC1512" s="99">
        <v>1</v>
      </c>
      <c r="AD1512" s="101"/>
      <c r="AE1512" s="101"/>
      <c r="AF1512" s="101"/>
      <c r="AG1512" s="101"/>
      <c r="AH1512" s="99"/>
      <c r="AI1512" s="105"/>
    </row>
    <row r="1513" spans="1:35">
      <c r="A1513" s="98"/>
      <c r="B1513" s="99"/>
      <c r="C1513" s="263" t="s">
        <v>3230</v>
      </c>
      <c r="D1513" s="264" t="s">
        <v>79</v>
      </c>
      <c r="E1513" s="264" t="s">
        <v>80</v>
      </c>
      <c r="F1513" s="100" t="s">
        <v>3316</v>
      </c>
      <c r="G1513" s="100" t="s">
        <v>3755</v>
      </c>
      <c r="H1513" s="100" t="s">
        <v>136</v>
      </c>
      <c r="I1513" s="247">
        <v>28579</v>
      </c>
      <c r="J1513" s="101">
        <v>1</v>
      </c>
      <c r="K1513" s="101"/>
      <c r="L1513" s="101">
        <v>1</v>
      </c>
      <c r="M1513" s="101"/>
      <c r="N1513" s="101"/>
      <c r="O1513" s="101"/>
      <c r="P1513" s="101"/>
      <c r="Q1513" s="101"/>
      <c r="R1513" s="101"/>
      <c r="S1513" s="101"/>
      <c r="T1513" s="101"/>
      <c r="U1513" s="99"/>
      <c r="V1513" s="100" t="s">
        <v>218</v>
      </c>
      <c r="W1513" s="100" t="s">
        <v>279</v>
      </c>
      <c r="X1513" s="100" t="s">
        <v>227</v>
      </c>
      <c r="Y1513" s="99"/>
      <c r="Z1513" s="99"/>
      <c r="AA1513" s="100" t="s">
        <v>1961</v>
      </c>
      <c r="AB1513" s="100" t="s">
        <v>528</v>
      </c>
      <c r="AC1513" s="99">
        <v>1</v>
      </c>
      <c r="AD1513" s="101"/>
      <c r="AE1513" s="101"/>
      <c r="AF1513" s="101"/>
      <c r="AG1513" s="101"/>
      <c r="AH1513" s="99"/>
      <c r="AI1513" s="105"/>
    </row>
    <row r="1514" spans="1:35">
      <c r="A1514" s="98"/>
      <c r="B1514" s="99"/>
      <c r="C1514" s="263" t="s">
        <v>3230</v>
      </c>
      <c r="D1514" s="264" t="s">
        <v>79</v>
      </c>
      <c r="E1514" s="264" t="s">
        <v>80</v>
      </c>
      <c r="F1514" s="100" t="s">
        <v>170</v>
      </c>
      <c r="G1514" s="100" t="s">
        <v>470</v>
      </c>
      <c r="H1514" s="100" t="s">
        <v>126</v>
      </c>
      <c r="I1514" s="247">
        <v>28317</v>
      </c>
      <c r="J1514" s="101">
        <v>1</v>
      </c>
      <c r="K1514" s="101"/>
      <c r="L1514" s="101">
        <v>1</v>
      </c>
      <c r="M1514" s="101"/>
      <c r="N1514" s="101"/>
      <c r="O1514" s="101"/>
      <c r="P1514" s="101"/>
      <c r="Q1514" s="101"/>
      <c r="R1514" s="101"/>
      <c r="S1514" s="101"/>
      <c r="T1514" s="101"/>
      <c r="U1514" s="99"/>
      <c r="V1514" s="100" t="s">
        <v>218</v>
      </c>
      <c r="W1514" s="100" t="s">
        <v>279</v>
      </c>
      <c r="X1514" s="100" t="s">
        <v>227</v>
      </c>
      <c r="Y1514" s="99"/>
      <c r="Z1514" s="99"/>
      <c r="AA1514" s="100" t="s">
        <v>1961</v>
      </c>
      <c r="AB1514" s="100" t="s">
        <v>528</v>
      </c>
      <c r="AC1514" s="99">
        <v>1</v>
      </c>
      <c r="AD1514" s="101"/>
      <c r="AE1514" s="101"/>
      <c r="AF1514" s="101"/>
      <c r="AG1514" s="101"/>
      <c r="AH1514" s="99"/>
      <c r="AI1514" s="105"/>
    </row>
    <row r="1515" spans="1:35">
      <c r="A1515" s="98"/>
      <c r="B1515" s="99"/>
      <c r="C1515" s="263" t="s">
        <v>3230</v>
      </c>
      <c r="D1515" s="264" t="s">
        <v>79</v>
      </c>
      <c r="E1515" s="264" t="s">
        <v>80</v>
      </c>
      <c r="F1515" s="100" t="s">
        <v>3756</v>
      </c>
      <c r="G1515" s="100" t="s">
        <v>1004</v>
      </c>
      <c r="H1515" s="100" t="s">
        <v>136</v>
      </c>
      <c r="I1515" s="247">
        <v>34371</v>
      </c>
      <c r="J1515" s="101">
        <v>1</v>
      </c>
      <c r="K1515" s="101"/>
      <c r="L1515" s="101">
        <v>1</v>
      </c>
      <c r="M1515" s="101"/>
      <c r="N1515" s="101"/>
      <c r="O1515" s="101"/>
      <c r="P1515" s="101"/>
      <c r="Q1515" s="101"/>
      <c r="R1515" s="101"/>
      <c r="S1515" s="101"/>
      <c r="T1515" s="101"/>
      <c r="U1515" s="99"/>
      <c r="V1515" s="100" t="s">
        <v>218</v>
      </c>
      <c r="W1515" s="100" t="s">
        <v>279</v>
      </c>
      <c r="X1515" s="100" t="s">
        <v>227</v>
      </c>
      <c r="Y1515" s="99"/>
      <c r="Z1515" s="99"/>
      <c r="AA1515" s="100" t="s">
        <v>1961</v>
      </c>
      <c r="AB1515" s="100" t="s">
        <v>528</v>
      </c>
      <c r="AC1515" s="99">
        <v>1</v>
      </c>
      <c r="AD1515" s="101"/>
      <c r="AE1515" s="101"/>
      <c r="AF1515" s="101"/>
      <c r="AG1515" s="101"/>
      <c r="AH1515" s="99"/>
      <c r="AI1515" s="105"/>
    </row>
    <row r="1516" spans="1:35">
      <c r="A1516" s="98"/>
      <c r="B1516" s="99"/>
      <c r="C1516" s="263" t="s">
        <v>3230</v>
      </c>
      <c r="D1516" s="264" t="s">
        <v>79</v>
      </c>
      <c r="E1516" s="264" t="s">
        <v>80</v>
      </c>
      <c r="F1516" s="100" t="s">
        <v>513</v>
      </c>
      <c r="G1516" s="100" t="s">
        <v>751</v>
      </c>
      <c r="H1516" s="100" t="s">
        <v>126</v>
      </c>
      <c r="I1516" s="247">
        <v>31524</v>
      </c>
      <c r="J1516" s="101">
        <v>1</v>
      </c>
      <c r="K1516" s="101"/>
      <c r="L1516" s="101">
        <v>1</v>
      </c>
      <c r="M1516" s="101"/>
      <c r="N1516" s="101"/>
      <c r="O1516" s="101"/>
      <c r="P1516" s="101"/>
      <c r="Q1516" s="101"/>
      <c r="R1516" s="101"/>
      <c r="S1516" s="101"/>
      <c r="T1516" s="101"/>
      <c r="U1516" s="99"/>
      <c r="V1516" s="100" t="s">
        <v>218</v>
      </c>
      <c r="W1516" s="100" t="s">
        <v>279</v>
      </c>
      <c r="X1516" s="100" t="s">
        <v>227</v>
      </c>
      <c r="Y1516" s="99"/>
      <c r="Z1516" s="99"/>
      <c r="AA1516" s="100" t="s">
        <v>1961</v>
      </c>
      <c r="AB1516" s="100" t="s">
        <v>528</v>
      </c>
      <c r="AC1516" s="99">
        <v>1</v>
      </c>
      <c r="AD1516" s="101"/>
      <c r="AE1516" s="101"/>
      <c r="AF1516" s="101"/>
      <c r="AG1516" s="101"/>
      <c r="AH1516" s="99"/>
      <c r="AI1516" s="105"/>
    </row>
    <row r="1517" spans="1:35">
      <c r="A1517" s="98"/>
      <c r="B1517" s="99"/>
      <c r="C1517" s="263" t="s">
        <v>3230</v>
      </c>
      <c r="D1517" s="264" t="s">
        <v>79</v>
      </c>
      <c r="E1517" s="264" t="s">
        <v>80</v>
      </c>
      <c r="F1517" s="100" t="s">
        <v>170</v>
      </c>
      <c r="G1517" s="100" t="s">
        <v>1726</v>
      </c>
      <c r="H1517" s="100" t="s">
        <v>126</v>
      </c>
      <c r="I1517" s="247">
        <v>29460</v>
      </c>
      <c r="J1517" s="101">
        <v>1</v>
      </c>
      <c r="K1517" s="101"/>
      <c r="L1517" s="101">
        <v>1</v>
      </c>
      <c r="M1517" s="101"/>
      <c r="N1517" s="101"/>
      <c r="O1517" s="101"/>
      <c r="P1517" s="101"/>
      <c r="Q1517" s="101"/>
      <c r="R1517" s="101"/>
      <c r="S1517" s="101"/>
      <c r="T1517" s="101"/>
      <c r="U1517" s="99"/>
      <c r="V1517" s="100" t="s">
        <v>218</v>
      </c>
      <c r="W1517" s="100" t="s">
        <v>279</v>
      </c>
      <c r="X1517" s="100" t="s">
        <v>227</v>
      </c>
      <c r="Y1517" s="99"/>
      <c r="Z1517" s="99"/>
      <c r="AA1517" s="100" t="s">
        <v>1961</v>
      </c>
      <c r="AB1517" s="100" t="s">
        <v>528</v>
      </c>
      <c r="AC1517" s="99">
        <v>1</v>
      </c>
      <c r="AD1517" s="101"/>
      <c r="AE1517" s="101"/>
      <c r="AF1517" s="101"/>
      <c r="AG1517" s="101"/>
      <c r="AH1517" s="99"/>
      <c r="AI1517" s="105"/>
    </row>
    <row r="1518" spans="1:35">
      <c r="A1518" s="98"/>
      <c r="B1518" s="99"/>
      <c r="C1518" s="263" t="s">
        <v>3230</v>
      </c>
      <c r="D1518" s="264" t="s">
        <v>79</v>
      </c>
      <c r="E1518" s="264" t="s">
        <v>80</v>
      </c>
      <c r="F1518" s="100" t="s">
        <v>3338</v>
      </c>
      <c r="G1518" s="100" t="s">
        <v>3504</v>
      </c>
      <c r="H1518" s="100" t="s">
        <v>421</v>
      </c>
      <c r="I1518" s="247">
        <v>34953</v>
      </c>
      <c r="J1518" s="101">
        <v>1</v>
      </c>
      <c r="K1518" s="101"/>
      <c r="L1518" s="101">
        <v>1</v>
      </c>
      <c r="M1518" s="101"/>
      <c r="N1518" s="101"/>
      <c r="O1518" s="101"/>
      <c r="P1518" s="101"/>
      <c r="Q1518" s="101"/>
      <c r="R1518" s="101"/>
      <c r="S1518" s="101"/>
      <c r="T1518" s="101"/>
      <c r="U1518" s="99"/>
      <c r="V1518" s="100" t="s">
        <v>218</v>
      </c>
      <c r="W1518" s="100" t="s">
        <v>279</v>
      </c>
      <c r="X1518" s="100" t="s">
        <v>227</v>
      </c>
      <c r="Y1518" s="99"/>
      <c r="Z1518" s="99"/>
      <c r="AA1518" s="100" t="s">
        <v>1961</v>
      </c>
      <c r="AB1518" s="100" t="s">
        <v>528</v>
      </c>
      <c r="AC1518" s="99">
        <v>1</v>
      </c>
      <c r="AD1518" s="101"/>
      <c r="AE1518" s="101"/>
      <c r="AF1518" s="101"/>
      <c r="AG1518" s="101"/>
      <c r="AH1518" s="99"/>
      <c r="AI1518" s="105"/>
    </row>
    <row r="1519" spans="1:35">
      <c r="A1519" s="98"/>
      <c r="B1519" s="99"/>
      <c r="C1519" s="263" t="s">
        <v>3230</v>
      </c>
      <c r="D1519" s="264" t="s">
        <v>79</v>
      </c>
      <c r="E1519" s="264" t="s">
        <v>80</v>
      </c>
      <c r="F1519" s="100" t="s">
        <v>1309</v>
      </c>
      <c r="G1519" s="100" t="s">
        <v>121</v>
      </c>
      <c r="H1519" s="100" t="s">
        <v>421</v>
      </c>
      <c r="I1519" s="247">
        <v>30620</v>
      </c>
      <c r="J1519" s="101">
        <v>1</v>
      </c>
      <c r="K1519" s="101"/>
      <c r="L1519" s="101">
        <v>1</v>
      </c>
      <c r="M1519" s="101"/>
      <c r="N1519" s="101"/>
      <c r="O1519" s="101"/>
      <c r="P1519" s="101"/>
      <c r="Q1519" s="101"/>
      <c r="R1519" s="101"/>
      <c r="S1519" s="101"/>
      <c r="T1519" s="101"/>
      <c r="U1519" s="99"/>
      <c r="V1519" s="100" t="s">
        <v>218</v>
      </c>
      <c r="W1519" s="100" t="s">
        <v>279</v>
      </c>
      <c r="X1519" s="100" t="s">
        <v>227</v>
      </c>
      <c r="Y1519" s="99"/>
      <c r="Z1519" s="99"/>
      <c r="AA1519" s="100" t="s">
        <v>1961</v>
      </c>
      <c r="AB1519" s="100" t="s">
        <v>528</v>
      </c>
      <c r="AC1519" s="99">
        <v>1</v>
      </c>
      <c r="AD1519" s="101"/>
      <c r="AE1519" s="101"/>
      <c r="AF1519" s="101"/>
      <c r="AG1519" s="101"/>
      <c r="AH1519" s="99"/>
      <c r="AI1519" s="105"/>
    </row>
    <row r="1520" spans="1:35">
      <c r="A1520" s="98"/>
      <c r="B1520" s="99"/>
      <c r="C1520" s="263" t="s">
        <v>3230</v>
      </c>
      <c r="D1520" s="264" t="s">
        <v>79</v>
      </c>
      <c r="E1520" s="264" t="s">
        <v>80</v>
      </c>
      <c r="F1520" s="100" t="s">
        <v>3338</v>
      </c>
      <c r="G1520" s="100" t="s">
        <v>728</v>
      </c>
      <c r="H1520" s="100" t="s">
        <v>421</v>
      </c>
      <c r="I1520" s="247">
        <v>22670</v>
      </c>
      <c r="J1520" s="101">
        <v>1</v>
      </c>
      <c r="K1520" s="101"/>
      <c r="L1520" s="101">
        <v>1</v>
      </c>
      <c r="M1520" s="101"/>
      <c r="N1520" s="101"/>
      <c r="O1520" s="101"/>
      <c r="P1520" s="101"/>
      <c r="Q1520" s="101"/>
      <c r="R1520" s="101"/>
      <c r="S1520" s="101"/>
      <c r="T1520" s="101"/>
      <c r="U1520" s="99"/>
      <c r="V1520" s="100" t="s">
        <v>218</v>
      </c>
      <c r="W1520" s="100" t="s">
        <v>279</v>
      </c>
      <c r="X1520" s="100" t="s">
        <v>227</v>
      </c>
      <c r="Y1520" s="99"/>
      <c r="Z1520" s="99"/>
      <c r="AA1520" s="100" t="s">
        <v>1961</v>
      </c>
      <c r="AB1520" s="100" t="s">
        <v>528</v>
      </c>
      <c r="AC1520" s="99">
        <v>1</v>
      </c>
      <c r="AD1520" s="101"/>
      <c r="AE1520" s="101"/>
      <c r="AF1520" s="101"/>
      <c r="AG1520" s="101"/>
      <c r="AH1520" s="99"/>
      <c r="AI1520" s="105"/>
    </row>
    <row r="1521" spans="1:35">
      <c r="A1521" s="98"/>
      <c r="B1521" s="99"/>
      <c r="C1521" s="263" t="s">
        <v>3230</v>
      </c>
      <c r="D1521" s="264" t="s">
        <v>79</v>
      </c>
      <c r="E1521" s="264" t="s">
        <v>80</v>
      </c>
      <c r="F1521" s="100" t="s">
        <v>3335</v>
      </c>
      <c r="G1521" s="100" t="s">
        <v>1448</v>
      </c>
      <c r="H1521" s="100" t="s">
        <v>120</v>
      </c>
      <c r="I1521" s="247">
        <v>34109</v>
      </c>
      <c r="J1521" s="101"/>
      <c r="K1521" s="101">
        <v>1</v>
      </c>
      <c r="L1521" s="101">
        <v>1</v>
      </c>
      <c r="M1521" s="101"/>
      <c r="N1521" s="101"/>
      <c r="O1521" s="101"/>
      <c r="P1521" s="101"/>
      <c r="Q1521" s="101"/>
      <c r="R1521" s="101"/>
      <c r="S1521" s="101"/>
      <c r="T1521" s="101"/>
      <c r="U1521" s="99"/>
      <c r="V1521" s="100" t="s">
        <v>218</v>
      </c>
      <c r="W1521" s="100" t="s">
        <v>279</v>
      </c>
      <c r="X1521" s="100" t="s">
        <v>227</v>
      </c>
      <c r="Y1521" s="99"/>
      <c r="Z1521" s="99"/>
      <c r="AA1521" s="100" t="s">
        <v>1961</v>
      </c>
      <c r="AB1521" s="100" t="s">
        <v>528</v>
      </c>
      <c r="AC1521" s="99">
        <v>1</v>
      </c>
      <c r="AD1521" s="101"/>
      <c r="AE1521" s="101"/>
      <c r="AF1521" s="101"/>
      <c r="AG1521" s="101"/>
      <c r="AH1521" s="99"/>
      <c r="AI1521" s="105"/>
    </row>
    <row r="1522" spans="1:35">
      <c r="A1522" s="98"/>
      <c r="B1522" s="99"/>
      <c r="C1522" s="263" t="s">
        <v>3230</v>
      </c>
      <c r="D1522" s="264" t="s">
        <v>79</v>
      </c>
      <c r="E1522" s="264" t="s">
        <v>80</v>
      </c>
      <c r="F1522" s="100" t="s">
        <v>3754</v>
      </c>
      <c r="G1522" s="100" t="s">
        <v>1134</v>
      </c>
      <c r="H1522" s="100" t="s">
        <v>3719</v>
      </c>
      <c r="I1522" s="247">
        <v>31928</v>
      </c>
      <c r="J1522" s="101">
        <v>1</v>
      </c>
      <c r="K1522" s="101"/>
      <c r="L1522" s="101">
        <v>1</v>
      </c>
      <c r="M1522" s="101"/>
      <c r="N1522" s="101"/>
      <c r="O1522" s="101"/>
      <c r="P1522" s="101"/>
      <c r="Q1522" s="101"/>
      <c r="R1522" s="101"/>
      <c r="S1522" s="101"/>
      <c r="T1522" s="101"/>
      <c r="U1522" s="99"/>
      <c r="V1522" s="100" t="s">
        <v>218</v>
      </c>
      <c r="W1522" s="100" t="s">
        <v>279</v>
      </c>
      <c r="X1522" s="100" t="s">
        <v>227</v>
      </c>
      <c r="Y1522" s="99"/>
      <c r="Z1522" s="99"/>
      <c r="AA1522" s="100" t="s">
        <v>1961</v>
      </c>
      <c r="AB1522" s="100" t="s">
        <v>528</v>
      </c>
      <c r="AC1522" s="99">
        <v>1</v>
      </c>
      <c r="AD1522" s="101"/>
      <c r="AE1522" s="101"/>
      <c r="AF1522" s="101"/>
      <c r="AG1522" s="101"/>
      <c r="AH1522" s="99"/>
      <c r="AI1522" s="105"/>
    </row>
    <row r="1523" spans="1:35">
      <c r="A1523" s="98"/>
      <c r="B1523" s="99"/>
      <c r="C1523" s="263" t="s">
        <v>3230</v>
      </c>
      <c r="D1523" s="264" t="s">
        <v>79</v>
      </c>
      <c r="E1523" s="264" t="s">
        <v>80</v>
      </c>
      <c r="F1523" s="100" t="s">
        <v>1340</v>
      </c>
      <c r="G1523" s="100" t="s">
        <v>3757</v>
      </c>
      <c r="H1523" s="100" t="s">
        <v>283</v>
      </c>
      <c r="I1523" s="247">
        <v>30582</v>
      </c>
      <c r="J1523" s="101"/>
      <c r="K1523" s="101">
        <v>1</v>
      </c>
      <c r="L1523" s="101">
        <v>1</v>
      </c>
      <c r="M1523" s="101"/>
      <c r="N1523" s="101"/>
      <c r="O1523" s="101"/>
      <c r="P1523" s="101"/>
      <c r="Q1523" s="101"/>
      <c r="R1523" s="101"/>
      <c r="S1523" s="101"/>
      <c r="T1523" s="101"/>
      <c r="U1523" s="99"/>
      <c r="V1523" s="100" t="s">
        <v>218</v>
      </c>
      <c r="W1523" s="100" t="s">
        <v>279</v>
      </c>
      <c r="X1523" s="100" t="s">
        <v>227</v>
      </c>
      <c r="Y1523" s="99"/>
      <c r="Z1523" s="99"/>
      <c r="AA1523" s="100" t="s">
        <v>1961</v>
      </c>
      <c r="AB1523" s="100" t="s">
        <v>528</v>
      </c>
      <c r="AC1523" s="99">
        <v>1</v>
      </c>
      <c r="AD1523" s="101"/>
      <c r="AE1523" s="101"/>
      <c r="AF1523" s="101"/>
      <c r="AG1523" s="101"/>
      <c r="AH1523" s="99"/>
      <c r="AI1523" s="105"/>
    </row>
    <row r="1524" spans="1:35">
      <c r="A1524" s="98"/>
      <c r="B1524" s="99"/>
      <c r="C1524" s="263" t="s">
        <v>3230</v>
      </c>
      <c r="D1524" s="264" t="s">
        <v>79</v>
      </c>
      <c r="E1524" s="264" t="s">
        <v>80</v>
      </c>
      <c r="F1524" s="100" t="s">
        <v>1340</v>
      </c>
      <c r="G1524" s="100" t="s">
        <v>309</v>
      </c>
      <c r="H1524" s="100" t="s">
        <v>117</v>
      </c>
      <c r="I1524" s="247">
        <v>35928</v>
      </c>
      <c r="J1524" s="101">
        <v>1</v>
      </c>
      <c r="K1524" s="101"/>
      <c r="L1524" s="101">
        <v>1</v>
      </c>
      <c r="M1524" s="101"/>
      <c r="N1524" s="101"/>
      <c r="O1524" s="101"/>
      <c r="P1524" s="101"/>
      <c r="Q1524" s="101"/>
      <c r="R1524" s="101"/>
      <c r="S1524" s="101"/>
      <c r="T1524" s="101"/>
      <c r="U1524" s="99"/>
      <c r="V1524" s="100" t="s">
        <v>218</v>
      </c>
      <c r="W1524" s="100" t="s">
        <v>279</v>
      </c>
      <c r="X1524" s="100" t="s">
        <v>227</v>
      </c>
      <c r="Y1524" s="99"/>
      <c r="Z1524" s="99"/>
      <c r="AA1524" s="100" t="s">
        <v>1961</v>
      </c>
      <c r="AB1524" s="100" t="s">
        <v>528</v>
      </c>
      <c r="AC1524" s="99">
        <v>1</v>
      </c>
      <c r="AD1524" s="101"/>
      <c r="AE1524" s="101"/>
      <c r="AF1524" s="101"/>
      <c r="AG1524" s="101"/>
      <c r="AH1524" s="99"/>
      <c r="AI1524" s="105"/>
    </row>
    <row r="1525" spans="1:35">
      <c r="A1525" s="98"/>
      <c r="B1525" s="99"/>
      <c r="C1525" s="263" t="s">
        <v>3230</v>
      </c>
      <c r="D1525" s="264" t="s">
        <v>79</v>
      </c>
      <c r="E1525" s="264" t="s">
        <v>80</v>
      </c>
      <c r="F1525" s="100" t="s">
        <v>3758</v>
      </c>
      <c r="G1525" s="100" t="s">
        <v>817</v>
      </c>
      <c r="H1525" s="100" t="s">
        <v>742</v>
      </c>
      <c r="I1525" s="247">
        <v>31192</v>
      </c>
      <c r="J1525" s="101">
        <v>1</v>
      </c>
      <c r="K1525" s="101"/>
      <c r="L1525" s="101">
        <v>1</v>
      </c>
      <c r="M1525" s="101"/>
      <c r="N1525" s="101"/>
      <c r="O1525" s="101"/>
      <c r="P1525" s="101"/>
      <c r="Q1525" s="101"/>
      <c r="R1525" s="101"/>
      <c r="S1525" s="101"/>
      <c r="T1525" s="101"/>
      <c r="U1525" s="99"/>
      <c r="V1525" s="100" t="s">
        <v>218</v>
      </c>
      <c r="W1525" s="100" t="s">
        <v>279</v>
      </c>
      <c r="X1525" s="100" t="s">
        <v>227</v>
      </c>
      <c r="Y1525" s="99"/>
      <c r="Z1525" s="99"/>
      <c r="AA1525" s="100" t="s">
        <v>1961</v>
      </c>
      <c r="AB1525" s="100" t="s">
        <v>528</v>
      </c>
      <c r="AC1525" s="99">
        <v>1</v>
      </c>
      <c r="AD1525" s="101"/>
      <c r="AE1525" s="101"/>
      <c r="AF1525" s="101"/>
      <c r="AG1525" s="101"/>
      <c r="AH1525" s="99"/>
      <c r="AI1525" s="105"/>
    </row>
    <row r="1526" spans="1:35">
      <c r="A1526" s="98"/>
      <c r="B1526" s="99"/>
      <c r="C1526" s="263" t="s">
        <v>3230</v>
      </c>
      <c r="D1526" s="264" t="s">
        <v>79</v>
      </c>
      <c r="E1526" s="264" t="s">
        <v>80</v>
      </c>
      <c r="F1526" s="100" t="s">
        <v>3759</v>
      </c>
      <c r="G1526" s="100" t="s">
        <v>3760</v>
      </c>
      <c r="H1526" s="100" t="s">
        <v>283</v>
      </c>
      <c r="I1526" s="247">
        <v>29924</v>
      </c>
      <c r="J1526" s="101">
        <v>1</v>
      </c>
      <c r="K1526" s="101"/>
      <c r="L1526" s="101">
        <v>1</v>
      </c>
      <c r="M1526" s="101"/>
      <c r="N1526" s="101"/>
      <c r="O1526" s="101"/>
      <c r="P1526" s="101"/>
      <c r="Q1526" s="101"/>
      <c r="R1526" s="101"/>
      <c r="S1526" s="101"/>
      <c r="T1526" s="101"/>
      <c r="U1526" s="99"/>
      <c r="V1526" s="100" t="s">
        <v>218</v>
      </c>
      <c r="W1526" s="100" t="s">
        <v>279</v>
      </c>
      <c r="X1526" s="100" t="s">
        <v>227</v>
      </c>
      <c r="Y1526" s="99"/>
      <c r="Z1526" s="99"/>
      <c r="AA1526" s="100" t="s">
        <v>1961</v>
      </c>
      <c r="AB1526" s="100" t="s">
        <v>528</v>
      </c>
      <c r="AC1526" s="99">
        <v>1</v>
      </c>
      <c r="AD1526" s="101"/>
      <c r="AE1526" s="101"/>
      <c r="AF1526" s="101"/>
      <c r="AG1526" s="101"/>
      <c r="AH1526" s="99"/>
      <c r="AI1526" s="105"/>
    </row>
    <row r="1527" spans="1:35">
      <c r="A1527" s="98"/>
      <c r="B1527" s="99"/>
      <c r="C1527" s="263" t="s">
        <v>3230</v>
      </c>
      <c r="D1527" s="264" t="s">
        <v>79</v>
      </c>
      <c r="E1527" s="264" t="s">
        <v>80</v>
      </c>
      <c r="F1527" s="100" t="s">
        <v>3702</v>
      </c>
      <c r="G1527" s="100" t="s">
        <v>3761</v>
      </c>
      <c r="H1527" s="100" t="s">
        <v>117</v>
      </c>
      <c r="I1527" s="247">
        <v>30535</v>
      </c>
      <c r="J1527" s="101">
        <v>1</v>
      </c>
      <c r="K1527" s="101"/>
      <c r="L1527" s="101">
        <v>1</v>
      </c>
      <c r="M1527" s="101"/>
      <c r="N1527" s="101"/>
      <c r="O1527" s="101"/>
      <c r="P1527" s="101"/>
      <c r="Q1527" s="101"/>
      <c r="R1527" s="101"/>
      <c r="S1527" s="101"/>
      <c r="T1527" s="101"/>
      <c r="U1527" s="99"/>
      <c r="V1527" s="100" t="s">
        <v>218</v>
      </c>
      <c r="W1527" s="100" t="s">
        <v>279</v>
      </c>
      <c r="X1527" s="100" t="s">
        <v>227</v>
      </c>
      <c r="Y1527" s="99"/>
      <c r="Z1527" s="99"/>
      <c r="AA1527" s="100" t="s">
        <v>1961</v>
      </c>
      <c r="AB1527" s="100" t="s">
        <v>528</v>
      </c>
      <c r="AC1527" s="99">
        <v>1</v>
      </c>
      <c r="AD1527" s="101"/>
      <c r="AE1527" s="101"/>
      <c r="AF1527" s="101"/>
      <c r="AG1527" s="101"/>
      <c r="AH1527" s="99"/>
      <c r="AI1527" s="105"/>
    </row>
    <row r="1528" spans="1:35">
      <c r="A1528" s="98"/>
      <c r="B1528" s="99"/>
      <c r="C1528" s="263" t="s">
        <v>3230</v>
      </c>
      <c r="D1528" s="264" t="s">
        <v>79</v>
      </c>
      <c r="E1528" s="264" t="s">
        <v>80</v>
      </c>
      <c r="F1528" s="100" t="s">
        <v>649</v>
      </c>
      <c r="G1528" s="100" t="s">
        <v>3410</v>
      </c>
      <c r="H1528" s="100" t="s">
        <v>202</v>
      </c>
      <c r="I1528" s="247">
        <v>32833</v>
      </c>
      <c r="J1528" s="101">
        <v>1</v>
      </c>
      <c r="K1528" s="101"/>
      <c r="L1528" s="101">
        <v>1</v>
      </c>
      <c r="M1528" s="101"/>
      <c r="N1528" s="101"/>
      <c r="O1528" s="101"/>
      <c r="P1528" s="101"/>
      <c r="Q1528" s="101"/>
      <c r="R1528" s="101"/>
      <c r="S1528" s="101"/>
      <c r="T1528" s="101"/>
      <c r="U1528" s="99"/>
      <c r="V1528" s="100" t="s">
        <v>218</v>
      </c>
      <c r="W1528" s="100" t="s">
        <v>279</v>
      </c>
      <c r="X1528" s="100" t="s">
        <v>227</v>
      </c>
      <c r="Y1528" s="99"/>
      <c r="Z1528" s="99"/>
      <c r="AA1528" s="100" t="s">
        <v>1961</v>
      </c>
      <c r="AB1528" s="100" t="s">
        <v>528</v>
      </c>
      <c r="AC1528" s="99">
        <v>1</v>
      </c>
      <c r="AD1528" s="101"/>
      <c r="AE1528" s="101"/>
      <c r="AF1528" s="101"/>
      <c r="AG1528" s="101"/>
      <c r="AH1528" s="99"/>
      <c r="AI1528" s="105"/>
    </row>
    <row r="1529" spans="1:35">
      <c r="A1529" s="98"/>
      <c r="B1529" s="99"/>
      <c r="C1529" s="263" t="s">
        <v>3230</v>
      </c>
      <c r="D1529" s="264" t="s">
        <v>79</v>
      </c>
      <c r="E1529" s="264" t="s">
        <v>80</v>
      </c>
      <c r="F1529" s="100" t="s">
        <v>2543</v>
      </c>
      <c r="G1529" s="100" t="s">
        <v>345</v>
      </c>
      <c r="H1529" s="100" t="s">
        <v>742</v>
      </c>
      <c r="I1529" s="247">
        <v>27804</v>
      </c>
      <c r="J1529" s="101">
        <v>1</v>
      </c>
      <c r="K1529" s="101"/>
      <c r="L1529" s="101">
        <v>1</v>
      </c>
      <c r="M1529" s="101"/>
      <c r="N1529" s="101"/>
      <c r="O1529" s="101"/>
      <c r="P1529" s="101"/>
      <c r="Q1529" s="101"/>
      <c r="R1529" s="101"/>
      <c r="S1529" s="101"/>
      <c r="T1529" s="101"/>
      <c r="U1529" s="99"/>
      <c r="V1529" s="100" t="s">
        <v>218</v>
      </c>
      <c r="W1529" s="100" t="s">
        <v>279</v>
      </c>
      <c r="X1529" s="100" t="s">
        <v>227</v>
      </c>
      <c r="Y1529" s="99"/>
      <c r="Z1529" s="99"/>
      <c r="AA1529" s="100" t="s">
        <v>1961</v>
      </c>
      <c r="AB1529" s="100" t="s">
        <v>528</v>
      </c>
      <c r="AC1529" s="99">
        <v>1</v>
      </c>
      <c r="AD1529" s="101"/>
      <c r="AE1529" s="101"/>
      <c r="AF1529" s="101"/>
      <c r="AG1529" s="101"/>
      <c r="AH1529" s="99"/>
      <c r="AI1529" s="105"/>
    </row>
    <row r="1530" spans="1:35">
      <c r="A1530" s="98"/>
      <c r="B1530" s="99"/>
      <c r="C1530" s="263" t="s">
        <v>3230</v>
      </c>
      <c r="D1530" s="264" t="s">
        <v>79</v>
      </c>
      <c r="E1530" s="264" t="s">
        <v>80</v>
      </c>
      <c r="F1530" s="100" t="s">
        <v>2543</v>
      </c>
      <c r="G1530" s="100" t="s">
        <v>1160</v>
      </c>
      <c r="H1530" s="100" t="s">
        <v>742</v>
      </c>
      <c r="I1530" s="247">
        <v>28546</v>
      </c>
      <c r="J1530" s="101">
        <v>1</v>
      </c>
      <c r="K1530" s="101"/>
      <c r="L1530" s="101">
        <v>1</v>
      </c>
      <c r="M1530" s="101"/>
      <c r="N1530" s="101"/>
      <c r="O1530" s="101"/>
      <c r="P1530" s="101"/>
      <c r="Q1530" s="101"/>
      <c r="R1530" s="101"/>
      <c r="S1530" s="101"/>
      <c r="T1530" s="101"/>
      <c r="U1530" s="99"/>
      <c r="V1530" s="100" t="s">
        <v>218</v>
      </c>
      <c r="W1530" s="100" t="s">
        <v>279</v>
      </c>
      <c r="X1530" s="100" t="s">
        <v>227</v>
      </c>
      <c r="Y1530" s="99"/>
      <c r="Z1530" s="99"/>
      <c r="AA1530" s="100" t="s">
        <v>1961</v>
      </c>
      <c r="AB1530" s="100" t="s">
        <v>528</v>
      </c>
      <c r="AC1530" s="99">
        <v>1</v>
      </c>
      <c r="AD1530" s="101"/>
      <c r="AE1530" s="101"/>
      <c r="AF1530" s="101"/>
      <c r="AG1530" s="101"/>
      <c r="AH1530" s="99"/>
      <c r="AI1530" s="105"/>
    </row>
    <row r="1531" spans="1:35">
      <c r="A1531" s="98"/>
      <c r="B1531" s="99"/>
      <c r="C1531" s="263" t="s">
        <v>3230</v>
      </c>
      <c r="D1531" s="264" t="s">
        <v>79</v>
      </c>
      <c r="E1531" s="264" t="s">
        <v>80</v>
      </c>
      <c r="F1531" s="100" t="s">
        <v>3762</v>
      </c>
      <c r="G1531" s="100" t="s">
        <v>2255</v>
      </c>
      <c r="H1531" s="100" t="s">
        <v>160</v>
      </c>
      <c r="I1531" s="247">
        <v>35624</v>
      </c>
      <c r="J1531" s="101">
        <v>1</v>
      </c>
      <c r="K1531" s="101"/>
      <c r="L1531" s="101">
        <v>1</v>
      </c>
      <c r="M1531" s="101"/>
      <c r="N1531" s="101"/>
      <c r="O1531" s="101"/>
      <c r="P1531" s="101"/>
      <c r="Q1531" s="101"/>
      <c r="R1531" s="101"/>
      <c r="S1531" s="101"/>
      <c r="T1531" s="101"/>
      <c r="U1531" s="99"/>
      <c r="V1531" s="100" t="s">
        <v>218</v>
      </c>
      <c r="W1531" s="100" t="s">
        <v>279</v>
      </c>
      <c r="X1531" s="100" t="s">
        <v>227</v>
      </c>
      <c r="Y1531" s="99"/>
      <c r="Z1531" s="99"/>
      <c r="AA1531" s="100" t="s">
        <v>1961</v>
      </c>
      <c r="AB1531" s="100" t="s">
        <v>528</v>
      </c>
      <c r="AC1531" s="99">
        <v>1</v>
      </c>
      <c r="AD1531" s="101"/>
      <c r="AE1531" s="101"/>
      <c r="AF1531" s="101"/>
      <c r="AG1531" s="101"/>
      <c r="AH1531" s="99"/>
      <c r="AI1531" s="105"/>
    </row>
    <row r="1532" spans="1:35">
      <c r="A1532" s="98"/>
      <c r="B1532" s="99"/>
      <c r="C1532" s="263" t="s">
        <v>3230</v>
      </c>
      <c r="D1532" s="264" t="s">
        <v>79</v>
      </c>
      <c r="E1532" s="264" t="s">
        <v>80</v>
      </c>
      <c r="F1532" s="100" t="s">
        <v>2543</v>
      </c>
      <c r="G1532" s="100" t="s">
        <v>3763</v>
      </c>
      <c r="H1532" s="100" t="s">
        <v>742</v>
      </c>
      <c r="I1532" s="247">
        <v>29519</v>
      </c>
      <c r="J1532" s="101">
        <v>1</v>
      </c>
      <c r="K1532" s="101"/>
      <c r="L1532" s="101">
        <v>1</v>
      </c>
      <c r="M1532" s="101"/>
      <c r="N1532" s="101"/>
      <c r="O1532" s="101"/>
      <c r="P1532" s="101"/>
      <c r="Q1532" s="101"/>
      <c r="R1532" s="101"/>
      <c r="S1532" s="101"/>
      <c r="T1532" s="101"/>
      <c r="U1532" s="99"/>
      <c r="V1532" s="100" t="s">
        <v>218</v>
      </c>
      <c r="W1532" s="100" t="s">
        <v>279</v>
      </c>
      <c r="X1532" s="100" t="s">
        <v>227</v>
      </c>
      <c r="Y1532" s="99"/>
      <c r="Z1532" s="99"/>
      <c r="AA1532" s="100" t="s">
        <v>1961</v>
      </c>
      <c r="AB1532" s="100" t="s">
        <v>528</v>
      </c>
      <c r="AC1532" s="99">
        <v>1</v>
      </c>
      <c r="AD1532" s="101"/>
      <c r="AE1532" s="101"/>
      <c r="AF1532" s="101"/>
      <c r="AG1532" s="101"/>
      <c r="AH1532" s="99"/>
      <c r="AI1532" s="105"/>
    </row>
    <row r="1533" spans="1:35">
      <c r="A1533" s="98"/>
      <c r="B1533" s="99"/>
      <c r="C1533" s="263" t="s">
        <v>3230</v>
      </c>
      <c r="D1533" s="264" t="s">
        <v>79</v>
      </c>
      <c r="E1533" s="264" t="s">
        <v>80</v>
      </c>
      <c r="F1533" s="100" t="s">
        <v>3764</v>
      </c>
      <c r="G1533" s="100" t="s">
        <v>3765</v>
      </c>
      <c r="H1533" s="100" t="s">
        <v>283</v>
      </c>
      <c r="I1533" s="247">
        <v>28085</v>
      </c>
      <c r="J1533" s="101">
        <v>1</v>
      </c>
      <c r="K1533" s="101"/>
      <c r="L1533" s="101">
        <v>1</v>
      </c>
      <c r="M1533" s="101"/>
      <c r="N1533" s="101"/>
      <c r="O1533" s="101"/>
      <c r="P1533" s="101"/>
      <c r="Q1533" s="101"/>
      <c r="R1533" s="101"/>
      <c r="S1533" s="101"/>
      <c r="T1533" s="101"/>
      <c r="U1533" s="99"/>
      <c r="V1533" s="100" t="s">
        <v>218</v>
      </c>
      <c r="W1533" s="100" t="s">
        <v>279</v>
      </c>
      <c r="X1533" s="100" t="s">
        <v>227</v>
      </c>
      <c r="Y1533" s="99"/>
      <c r="Z1533" s="99"/>
      <c r="AA1533" s="100" t="s">
        <v>1961</v>
      </c>
      <c r="AB1533" s="100" t="s">
        <v>528</v>
      </c>
      <c r="AC1533" s="99">
        <v>1</v>
      </c>
      <c r="AD1533" s="101"/>
      <c r="AE1533" s="101"/>
      <c r="AF1533" s="101"/>
      <c r="AG1533" s="101"/>
      <c r="AH1533" s="99"/>
      <c r="AI1533" s="105"/>
    </row>
    <row r="1534" spans="1:35">
      <c r="A1534" s="98"/>
      <c r="B1534" s="99"/>
      <c r="C1534" s="263" t="s">
        <v>3230</v>
      </c>
      <c r="D1534" s="264" t="s">
        <v>79</v>
      </c>
      <c r="E1534" s="264" t="s">
        <v>80</v>
      </c>
      <c r="F1534" s="100" t="s">
        <v>3764</v>
      </c>
      <c r="G1534" s="100" t="s">
        <v>1018</v>
      </c>
      <c r="H1534" s="100" t="s">
        <v>283</v>
      </c>
      <c r="I1534" s="247">
        <v>37066</v>
      </c>
      <c r="J1534" s="101">
        <v>1</v>
      </c>
      <c r="K1534" s="101"/>
      <c r="L1534" s="101">
        <v>1</v>
      </c>
      <c r="M1534" s="101"/>
      <c r="N1534" s="101"/>
      <c r="O1534" s="101"/>
      <c r="P1534" s="101"/>
      <c r="Q1534" s="101"/>
      <c r="R1534" s="101"/>
      <c r="S1534" s="101"/>
      <c r="T1534" s="101"/>
      <c r="U1534" s="99"/>
      <c r="V1534" s="100" t="s">
        <v>218</v>
      </c>
      <c r="W1534" s="100" t="s">
        <v>279</v>
      </c>
      <c r="X1534" s="100" t="s">
        <v>227</v>
      </c>
      <c r="Y1534" s="99"/>
      <c r="Z1534" s="99"/>
      <c r="AA1534" s="100" t="s">
        <v>1961</v>
      </c>
      <c r="AB1534" s="100" t="s">
        <v>528</v>
      </c>
      <c r="AC1534" s="99">
        <v>1</v>
      </c>
      <c r="AD1534" s="101"/>
      <c r="AE1534" s="101"/>
      <c r="AF1534" s="101"/>
      <c r="AG1534" s="101"/>
      <c r="AH1534" s="99"/>
      <c r="AI1534" s="105"/>
    </row>
    <row r="1535" spans="1:35">
      <c r="A1535" s="98"/>
      <c r="B1535" s="99"/>
      <c r="C1535" s="263" t="s">
        <v>3230</v>
      </c>
      <c r="D1535" s="264" t="s">
        <v>79</v>
      </c>
      <c r="E1535" s="264" t="s">
        <v>80</v>
      </c>
      <c r="F1535" s="100" t="s">
        <v>3749</v>
      </c>
      <c r="G1535" s="100" t="s">
        <v>3766</v>
      </c>
      <c r="H1535" s="100" t="s">
        <v>136</v>
      </c>
      <c r="I1535" s="247">
        <v>32260</v>
      </c>
      <c r="J1535" s="101">
        <v>1</v>
      </c>
      <c r="K1535" s="101"/>
      <c r="L1535" s="101">
        <v>1</v>
      </c>
      <c r="M1535" s="101"/>
      <c r="N1535" s="101"/>
      <c r="O1535" s="101"/>
      <c r="P1535" s="101"/>
      <c r="Q1535" s="101"/>
      <c r="R1535" s="101"/>
      <c r="S1535" s="101"/>
      <c r="T1535" s="101"/>
      <c r="U1535" s="99"/>
      <c r="V1535" s="100" t="s">
        <v>218</v>
      </c>
      <c r="W1535" s="100" t="s">
        <v>279</v>
      </c>
      <c r="X1535" s="100" t="s">
        <v>227</v>
      </c>
      <c r="Y1535" s="99"/>
      <c r="Z1535" s="99"/>
      <c r="AA1535" s="100" t="s">
        <v>1961</v>
      </c>
      <c r="AB1535" s="100" t="s">
        <v>528</v>
      </c>
      <c r="AC1535" s="99">
        <v>1</v>
      </c>
      <c r="AD1535" s="101"/>
      <c r="AE1535" s="101"/>
      <c r="AF1535" s="101"/>
      <c r="AG1535" s="101"/>
      <c r="AH1535" s="99"/>
      <c r="AI1535" s="105"/>
    </row>
    <row r="1536" spans="1:35">
      <c r="A1536" s="98"/>
      <c r="B1536" s="99"/>
      <c r="C1536" s="263" t="s">
        <v>3230</v>
      </c>
      <c r="D1536" s="264" t="s">
        <v>79</v>
      </c>
      <c r="E1536" s="264" t="s">
        <v>80</v>
      </c>
      <c r="F1536" s="100" t="s">
        <v>466</v>
      </c>
      <c r="G1536" s="100" t="s">
        <v>1208</v>
      </c>
      <c r="H1536" s="100" t="s">
        <v>136</v>
      </c>
      <c r="I1536" s="247">
        <v>28492</v>
      </c>
      <c r="J1536" s="101">
        <v>1</v>
      </c>
      <c r="K1536" s="101"/>
      <c r="L1536" s="101">
        <v>1</v>
      </c>
      <c r="M1536" s="101"/>
      <c r="N1536" s="101"/>
      <c r="O1536" s="101"/>
      <c r="P1536" s="101"/>
      <c r="Q1536" s="101"/>
      <c r="R1536" s="101"/>
      <c r="S1536" s="101"/>
      <c r="T1536" s="101"/>
      <c r="U1536" s="99"/>
      <c r="V1536" s="100" t="s">
        <v>218</v>
      </c>
      <c r="W1536" s="100" t="s">
        <v>279</v>
      </c>
      <c r="X1536" s="100" t="s">
        <v>227</v>
      </c>
      <c r="Y1536" s="99"/>
      <c r="Z1536" s="99"/>
      <c r="AA1536" s="100" t="s">
        <v>1961</v>
      </c>
      <c r="AB1536" s="100" t="s">
        <v>528</v>
      </c>
      <c r="AC1536" s="99">
        <v>1</v>
      </c>
      <c r="AD1536" s="101"/>
      <c r="AE1536" s="101"/>
      <c r="AF1536" s="101"/>
      <c r="AG1536" s="101"/>
      <c r="AH1536" s="99"/>
      <c r="AI1536" s="105"/>
    </row>
    <row r="1537" spans="1:35">
      <c r="A1537" s="98"/>
      <c r="B1537" s="99"/>
      <c r="C1537" s="263" t="s">
        <v>3230</v>
      </c>
      <c r="D1537" s="264" t="s">
        <v>79</v>
      </c>
      <c r="E1537" s="264" t="s">
        <v>80</v>
      </c>
      <c r="F1537" s="100" t="s">
        <v>974</v>
      </c>
      <c r="G1537" s="100" t="s">
        <v>922</v>
      </c>
      <c r="H1537" s="100" t="s">
        <v>113</v>
      </c>
      <c r="I1537" s="247">
        <v>29414</v>
      </c>
      <c r="J1537" s="101">
        <v>1</v>
      </c>
      <c r="K1537" s="101"/>
      <c r="L1537" s="101">
        <v>1</v>
      </c>
      <c r="M1537" s="101"/>
      <c r="N1537" s="101"/>
      <c r="O1537" s="101"/>
      <c r="P1537" s="101"/>
      <c r="Q1537" s="101"/>
      <c r="R1537" s="101"/>
      <c r="S1537" s="101"/>
      <c r="T1537" s="101"/>
      <c r="U1537" s="99"/>
      <c r="V1537" s="100" t="s">
        <v>218</v>
      </c>
      <c r="W1537" s="100" t="s">
        <v>279</v>
      </c>
      <c r="X1537" s="100" t="s">
        <v>227</v>
      </c>
      <c r="Y1537" s="99"/>
      <c r="Z1537" s="99"/>
      <c r="AA1537" s="100" t="s">
        <v>1961</v>
      </c>
      <c r="AB1537" s="100" t="s">
        <v>528</v>
      </c>
      <c r="AC1537" s="99">
        <v>1</v>
      </c>
      <c r="AD1537" s="101"/>
      <c r="AE1537" s="101"/>
      <c r="AF1537" s="101"/>
      <c r="AG1537" s="101"/>
      <c r="AH1537" s="99"/>
      <c r="AI1537" s="105"/>
    </row>
    <row r="1538" spans="1:35">
      <c r="A1538" s="98"/>
      <c r="B1538" s="99"/>
      <c r="C1538" s="263" t="s">
        <v>3230</v>
      </c>
      <c r="D1538" s="264" t="s">
        <v>79</v>
      </c>
      <c r="E1538" s="264" t="s">
        <v>80</v>
      </c>
      <c r="F1538" s="100" t="s">
        <v>3946</v>
      </c>
      <c r="G1538" s="100" t="s">
        <v>3947</v>
      </c>
      <c r="H1538" s="100" t="s">
        <v>117</v>
      </c>
      <c r="I1538" s="247">
        <v>25287</v>
      </c>
      <c r="J1538" s="101">
        <v>1</v>
      </c>
      <c r="K1538" s="101"/>
      <c r="L1538" s="101">
        <v>1</v>
      </c>
      <c r="M1538" s="101"/>
      <c r="N1538" s="101">
        <v>1</v>
      </c>
      <c r="O1538" s="101"/>
      <c r="P1538" s="101"/>
      <c r="Q1538" s="101"/>
      <c r="R1538" s="101"/>
      <c r="S1538" s="101"/>
      <c r="T1538" s="101"/>
      <c r="U1538" s="100" t="s">
        <v>1439</v>
      </c>
      <c r="V1538" s="100" t="s">
        <v>949</v>
      </c>
      <c r="W1538" s="100" t="s">
        <v>298</v>
      </c>
      <c r="X1538" s="100" t="s">
        <v>227</v>
      </c>
      <c r="Y1538" s="99"/>
      <c r="Z1538" s="99"/>
      <c r="AA1538" s="100" t="s">
        <v>3198</v>
      </c>
      <c r="AB1538" s="100" t="s">
        <v>528</v>
      </c>
      <c r="AC1538" s="99">
        <v>1</v>
      </c>
      <c r="AD1538" s="101"/>
      <c r="AE1538" s="101"/>
      <c r="AF1538" s="101"/>
      <c r="AG1538" s="101"/>
      <c r="AH1538" s="99"/>
      <c r="AI1538" s="105"/>
    </row>
    <row r="1539" spans="1:35">
      <c r="A1539" s="98"/>
      <c r="B1539" s="99"/>
      <c r="C1539" s="100"/>
      <c r="D1539" s="100"/>
      <c r="E1539" s="99"/>
      <c r="F1539" s="100"/>
      <c r="G1539" s="100"/>
      <c r="H1539" s="100"/>
      <c r="I1539" s="247"/>
      <c r="J1539" s="101"/>
      <c r="K1539" s="101"/>
      <c r="L1539" s="101"/>
      <c r="M1539" s="101"/>
      <c r="N1539" s="101"/>
      <c r="O1539" s="101"/>
      <c r="P1539" s="101"/>
      <c r="Q1539" s="101"/>
      <c r="R1539" s="101"/>
      <c r="S1539" s="101"/>
      <c r="T1539" s="101"/>
      <c r="U1539" s="100"/>
      <c r="V1539" s="99"/>
      <c r="W1539" s="99"/>
      <c r="X1539" s="99"/>
      <c r="Y1539" s="99"/>
      <c r="Z1539" s="99"/>
      <c r="AA1539" s="100" t="s">
        <v>1961</v>
      </c>
      <c r="AB1539" s="100" t="s">
        <v>526</v>
      </c>
      <c r="AC1539" s="266">
        <v>0.25</v>
      </c>
      <c r="AD1539" s="101"/>
      <c r="AE1539" s="101"/>
      <c r="AF1539" s="101"/>
      <c r="AG1539" s="101"/>
      <c r="AH1539" s="99"/>
      <c r="AI1539" s="105"/>
    </row>
    <row r="1540" spans="1:35">
      <c r="A1540" s="98"/>
      <c r="B1540" s="99"/>
      <c r="C1540" s="100"/>
      <c r="D1540" s="100"/>
      <c r="E1540" s="99"/>
      <c r="F1540" s="100"/>
      <c r="G1540" s="100"/>
      <c r="H1540" s="100"/>
      <c r="I1540" s="247"/>
      <c r="J1540" s="101"/>
      <c r="K1540" s="101"/>
      <c r="L1540" s="101"/>
      <c r="M1540" s="101"/>
      <c r="N1540" s="101"/>
      <c r="O1540" s="101"/>
      <c r="P1540" s="101"/>
      <c r="Q1540" s="101"/>
      <c r="R1540" s="101"/>
      <c r="S1540" s="101"/>
      <c r="T1540" s="101"/>
      <c r="U1540" s="100"/>
      <c r="V1540" s="99"/>
      <c r="W1540" s="99"/>
      <c r="X1540" s="99"/>
      <c r="Y1540" s="99"/>
      <c r="Z1540" s="99"/>
      <c r="AA1540" s="100" t="s">
        <v>1792</v>
      </c>
      <c r="AB1540" s="99" t="s">
        <v>526</v>
      </c>
      <c r="AC1540" s="99">
        <v>20</v>
      </c>
      <c r="AD1540" s="101"/>
      <c r="AE1540" s="101"/>
      <c r="AF1540" s="101"/>
      <c r="AG1540" s="101"/>
      <c r="AH1540" s="99"/>
      <c r="AI1540" s="105"/>
    </row>
    <row r="1541" spans="1:35">
      <c r="A1541" s="98"/>
      <c r="B1541" s="99"/>
      <c r="C1541" s="263" t="s">
        <v>3230</v>
      </c>
      <c r="D1541" s="264" t="s">
        <v>79</v>
      </c>
      <c r="E1541" s="264" t="s">
        <v>80</v>
      </c>
      <c r="F1541" s="100" t="s">
        <v>3948</v>
      </c>
      <c r="G1541" s="100" t="s">
        <v>891</v>
      </c>
      <c r="H1541" s="100" t="s">
        <v>126</v>
      </c>
      <c r="I1541" s="247">
        <v>30324</v>
      </c>
      <c r="J1541" s="101">
        <v>1</v>
      </c>
      <c r="K1541" s="101"/>
      <c r="L1541" s="101">
        <v>1</v>
      </c>
      <c r="M1541" s="101"/>
      <c r="N1541" s="101">
        <v>1</v>
      </c>
      <c r="O1541" s="101"/>
      <c r="P1541" s="101"/>
      <c r="Q1541" s="101"/>
      <c r="R1541" s="101"/>
      <c r="S1541" s="101"/>
      <c r="T1541" s="101"/>
      <c r="U1541" s="100" t="s">
        <v>1439</v>
      </c>
      <c r="V1541" s="100" t="s">
        <v>949</v>
      </c>
      <c r="W1541" s="100" t="s">
        <v>298</v>
      </c>
      <c r="X1541" s="100" t="s">
        <v>227</v>
      </c>
      <c r="Y1541" s="99"/>
      <c r="Z1541" s="99"/>
      <c r="AA1541" s="100" t="s">
        <v>3198</v>
      </c>
      <c r="AB1541" s="100" t="s">
        <v>528</v>
      </c>
      <c r="AC1541" s="99">
        <v>1</v>
      </c>
      <c r="AD1541" s="101"/>
      <c r="AE1541" s="101"/>
      <c r="AF1541" s="101"/>
      <c r="AG1541" s="101"/>
      <c r="AH1541" s="99"/>
      <c r="AI1541" s="105"/>
    </row>
    <row r="1542" spans="1:35">
      <c r="A1542" s="98"/>
      <c r="B1542" s="99"/>
      <c r="C1542" s="100"/>
      <c r="D1542" s="100"/>
      <c r="E1542" s="99"/>
      <c r="F1542" s="100"/>
      <c r="G1542" s="100"/>
      <c r="H1542" s="100"/>
      <c r="I1542" s="247"/>
      <c r="J1542" s="101"/>
      <c r="K1542" s="101"/>
      <c r="L1542" s="101"/>
      <c r="M1542" s="101"/>
      <c r="N1542" s="101"/>
      <c r="O1542" s="101"/>
      <c r="P1542" s="101"/>
      <c r="Q1542" s="101"/>
      <c r="R1542" s="101"/>
      <c r="S1542" s="101"/>
      <c r="T1542" s="101"/>
      <c r="U1542" s="100"/>
      <c r="V1542" s="100"/>
      <c r="W1542" s="100"/>
      <c r="X1542" s="100"/>
      <c r="Y1542" s="99"/>
      <c r="Z1542" s="99"/>
      <c r="AA1542" s="100" t="s">
        <v>1961</v>
      </c>
      <c r="AB1542" s="100" t="s">
        <v>526</v>
      </c>
      <c r="AC1542" s="266">
        <v>0.25</v>
      </c>
      <c r="AD1542" s="101"/>
      <c r="AE1542" s="101"/>
      <c r="AF1542" s="101"/>
      <c r="AG1542" s="101"/>
      <c r="AH1542" s="99"/>
      <c r="AI1542" s="105"/>
    </row>
    <row r="1543" spans="1:35">
      <c r="A1543" s="98"/>
      <c r="B1543" s="99"/>
      <c r="C1543" s="100"/>
      <c r="D1543" s="100"/>
      <c r="E1543" s="99"/>
      <c r="F1543" s="100"/>
      <c r="G1543" s="100"/>
      <c r="H1543" s="100"/>
      <c r="I1543" s="247"/>
      <c r="J1543" s="101"/>
      <c r="K1543" s="101"/>
      <c r="L1543" s="101"/>
      <c r="M1543" s="101"/>
      <c r="N1543" s="101"/>
      <c r="O1543" s="101"/>
      <c r="P1543" s="101"/>
      <c r="Q1543" s="101"/>
      <c r="R1543" s="101"/>
      <c r="S1543" s="101"/>
      <c r="T1543" s="101"/>
      <c r="U1543" s="100"/>
      <c r="V1543" s="100"/>
      <c r="W1543" s="100"/>
      <c r="X1543" s="100"/>
      <c r="Y1543" s="99"/>
      <c r="Z1543" s="99"/>
      <c r="AA1543" s="100" t="s">
        <v>1792</v>
      </c>
      <c r="AB1543" s="99" t="s">
        <v>526</v>
      </c>
      <c r="AC1543" s="99">
        <v>20</v>
      </c>
      <c r="AD1543" s="101"/>
      <c r="AE1543" s="101"/>
      <c r="AF1543" s="101"/>
      <c r="AG1543" s="101"/>
      <c r="AH1543" s="99"/>
      <c r="AI1543" s="105"/>
    </row>
    <row r="1544" spans="1:35">
      <c r="A1544" s="98"/>
      <c r="B1544" s="99"/>
      <c r="C1544" s="263" t="s">
        <v>3230</v>
      </c>
      <c r="D1544" s="264" t="s">
        <v>79</v>
      </c>
      <c r="E1544" s="264" t="s">
        <v>80</v>
      </c>
      <c r="F1544" s="100" t="s">
        <v>3208</v>
      </c>
      <c r="G1544" s="100" t="s">
        <v>3967</v>
      </c>
      <c r="H1544" s="100" t="s">
        <v>126</v>
      </c>
      <c r="I1544" s="247">
        <v>32445</v>
      </c>
      <c r="J1544" s="101">
        <v>1</v>
      </c>
      <c r="K1544" s="101"/>
      <c r="L1544" s="101">
        <v>1</v>
      </c>
      <c r="M1544" s="101"/>
      <c r="N1544" s="101">
        <v>1</v>
      </c>
      <c r="O1544" s="101"/>
      <c r="P1544" s="101"/>
      <c r="Q1544" s="101"/>
      <c r="R1544" s="101"/>
      <c r="S1544" s="101"/>
      <c r="T1544" s="101"/>
      <c r="U1544" s="100" t="s">
        <v>1439</v>
      </c>
      <c r="V1544" s="100" t="s">
        <v>949</v>
      </c>
      <c r="W1544" s="100" t="s">
        <v>298</v>
      </c>
      <c r="X1544" s="100" t="s">
        <v>227</v>
      </c>
      <c r="Y1544" s="99"/>
      <c r="Z1544" s="99"/>
      <c r="AA1544" s="100" t="s">
        <v>3198</v>
      </c>
      <c r="AB1544" s="100" t="s">
        <v>528</v>
      </c>
      <c r="AC1544" s="99">
        <v>1</v>
      </c>
      <c r="AD1544" s="101"/>
      <c r="AE1544" s="101"/>
      <c r="AF1544" s="101"/>
      <c r="AG1544" s="101"/>
      <c r="AH1544" s="99"/>
      <c r="AI1544" s="105"/>
    </row>
    <row r="1545" spans="1:35">
      <c r="A1545" s="98"/>
      <c r="B1545" s="99"/>
      <c r="C1545" s="100"/>
      <c r="D1545" s="100"/>
      <c r="E1545" s="99"/>
      <c r="F1545" s="100"/>
      <c r="G1545" s="100"/>
      <c r="H1545" s="100"/>
      <c r="I1545" s="247"/>
      <c r="J1545" s="101"/>
      <c r="K1545" s="101"/>
      <c r="L1545" s="101"/>
      <c r="M1545" s="101"/>
      <c r="N1545" s="101"/>
      <c r="O1545" s="101"/>
      <c r="P1545" s="101"/>
      <c r="Q1545" s="101"/>
      <c r="R1545" s="101"/>
      <c r="S1545" s="101"/>
      <c r="T1545" s="101"/>
      <c r="U1545" s="100"/>
      <c r="V1545" s="100"/>
      <c r="W1545" s="100"/>
      <c r="X1545" s="100"/>
      <c r="Y1545" s="99"/>
      <c r="Z1545" s="99"/>
      <c r="AA1545" s="100" t="s">
        <v>1961</v>
      </c>
      <c r="AB1545" s="100" t="s">
        <v>526</v>
      </c>
      <c r="AC1545" s="266">
        <v>0.25</v>
      </c>
      <c r="AD1545" s="101"/>
      <c r="AE1545" s="101"/>
      <c r="AF1545" s="101"/>
      <c r="AG1545" s="101"/>
      <c r="AH1545" s="99"/>
      <c r="AI1545" s="105"/>
    </row>
    <row r="1546" spans="1:35">
      <c r="A1546" s="98"/>
      <c r="B1546" s="99"/>
      <c r="C1546" s="100"/>
      <c r="D1546" s="100"/>
      <c r="E1546" s="99"/>
      <c r="F1546" s="100"/>
      <c r="G1546" s="100"/>
      <c r="H1546" s="100"/>
      <c r="I1546" s="247"/>
      <c r="J1546" s="101"/>
      <c r="K1546" s="101"/>
      <c r="L1546" s="101"/>
      <c r="M1546" s="101"/>
      <c r="N1546" s="101"/>
      <c r="O1546" s="101"/>
      <c r="P1546" s="101"/>
      <c r="Q1546" s="101"/>
      <c r="R1546" s="101"/>
      <c r="S1546" s="101"/>
      <c r="T1546" s="101"/>
      <c r="U1546" s="100"/>
      <c r="V1546" s="100"/>
      <c r="W1546" s="100"/>
      <c r="X1546" s="100"/>
      <c r="Y1546" s="99"/>
      <c r="Z1546" s="99"/>
      <c r="AA1546" s="100" t="s">
        <v>1792</v>
      </c>
      <c r="AB1546" s="99" t="s">
        <v>526</v>
      </c>
      <c r="AC1546" s="99">
        <v>20</v>
      </c>
      <c r="AD1546" s="101"/>
      <c r="AE1546" s="101"/>
      <c r="AF1546" s="101"/>
      <c r="AG1546" s="101"/>
      <c r="AH1546" s="99"/>
      <c r="AI1546" s="105"/>
    </row>
    <row r="1547" spans="1:35">
      <c r="A1547" s="98"/>
      <c r="B1547" s="99"/>
      <c r="C1547" s="263" t="s">
        <v>3230</v>
      </c>
      <c r="D1547" s="264" t="s">
        <v>79</v>
      </c>
      <c r="E1547" s="264" t="s">
        <v>80</v>
      </c>
      <c r="F1547" s="100" t="s">
        <v>3208</v>
      </c>
      <c r="G1547" s="100" t="s">
        <v>3949</v>
      </c>
      <c r="H1547" s="100" t="s">
        <v>160</v>
      </c>
      <c r="I1547" s="247">
        <v>25347</v>
      </c>
      <c r="J1547" s="101">
        <v>1</v>
      </c>
      <c r="K1547" s="101"/>
      <c r="L1547" s="101">
        <v>1</v>
      </c>
      <c r="M1547" s="101"/>
      <c r="N1547" s="101">
        <v>1</v>
      </c>
      <c r="O1547" s="101"/>
      <c r="P1547" s="101"/>
      <c r="Q1547" s="101"/>
      <c r="R1547" s="101"/>
      <c r="S1547" s="101"/>
      <c r="T1547" s="101"/>
      <c r="U1547" s="100" t="s">
        <v>1439</v>
      </c>
      <c r="V1547" s="100" t="s">
        <v>949</v>
      </c>
      <c r="W1547" s="100" t="s">
        <v>298</v>
      </c>
      <c r="X1547" s="100" t="s">
        <v>227</v>
      </c>
      <c r="Y1547" s="99"/>
      <c r="Z1547" s="99"/>
      <c r="AA1547" s="100" t="s">
        <v>3198</v>
      </c>
      <c r="AB1547" s="100" t="s">
        <v>528</v>
      </c>
      <c r="AC1547" s="99">
        <v>1</v>
      </c>
      <c r="AD1547" s="101"/>
      <c r="AE1547" s="101"/>
      <c r="AF1547" s="101"/>
      <c r="AG1547" s="101"/>
      <c r="AH1547" s="99"/>
      <c r="AI1547" s="105"/>
    </row>
    <row r="1548" spans="1:35">
      <c r="A1548" s="98"/>
      <c r="B1548" s="99"/>
      <c r="C1548" s="100"/>
      <c r="D1548" s="100"/>
      <c r="E1548" s="99"/>
      <c r="F1548" s="100"/>
      <c r="G1548" s="100"/>
      <c r="H1548" s="100"/>
      <c r="I1548" s="217"/>
      <c r="J1548" s="101"/>
      <c r="K1548" s="101"/>
      <c r="L1548" s="101"/>
      <c r="M1548" s="101"/>
      <c r="N1548" s="101"/>
      <c r="O1548" s="101"/>
      <c r="P1548" s="101"/>
      <c r="Q1548" s="101"/>
      <c r="R1548" s="101"/>
      <c r="S1548" s="101"/>
      <c r="T1548" s="101"/>
      <c r="U1548" s="100"/>
      <c r="V1548" s="100"/>
      <c r="W1548" s="100"/>
      <c r="X1548" s="99"/>
      <c r="Y1548" s="99"/>
      <c r="Z1548" s="99"/>
      <c r="AA1548" s="100" t="s">
        <v>1961</v>
      </c>
      <c r="AB1548" s="100" t="s">
        <v>526</v>
      </c>
      <c r="AC1548" s="266">
        <v>0.25</v>
      </c>
      <c r="AD1548" s="101"/>
      <c r="AE1548" s="101"/>
      <c r="AF1548" s="101"/>
      <c r="AG1548" s="101"/>
      <c r="AH1548" s="99"/>
      <c r="AI1548" s="105"/>
    </row>
    <row r="1549" spans="1:35">
      <c r="A1549" s="98"/>
      <c r="B1549" s="99"/>
      <c r="C1549" s="100"/>
      <c r="D1549" s="100"/>
      <c r="E1549" s="99"/>
      <c r="F1549" s="100"/>
      <c r="G1549" s="100"/>
      <c r="H1549" s="100"/>
      <c r="I1549" s="217"/>
      <c r="J1549" s="101"/>
      <c r="K1549" s="101"/>
      <c r="L1549" s="101"/>
      <c r="M1549" s="101"/>
      <c r="N1549" s="101"/>
      <c r="O1549" s="101"/>
      <c r="P1549" s="101"/>
      <c r="Q1549" s="101"/>
      <c r="R1549" s="101"/>
      <c r="S1549" s="101"/>
      <c r="T1549" s="101"/>
      <c r="U1549" s="100"/>
      <c r="V1549" s="100"/>
      <c r="W1549" s="100"/>
      <c r="X1549" s="99"/>
      <c r="Y1549" s="99"/>
      <c r="Z1549" s="99"/>
      <c r="AA1549" s="100" t="s">
        <v>1792</v>
      </c>
      <c r="AB1549" s="99" t="s">
        <v>526</v>
      </c>
      <c r="AC1549" s="99">
        <v>20</v>
      </c>
      <c r="AD1549" s="101"/>
      <c r="AE1549" s="101"/>
      <c r="AF1549" s="101"/>
      <c r="AG1549" s="101"/>
      <c r="AH1549" s="99"/>
      <c r="AI1549" s="105"/>
    </row>
    <row r="1550" spans="1:35">
      <c r="A1550" s="98"/>
      <c r="B1550" s="99"/>
      <c r="C1550" s="263" t="s">
        <v>3230</v>
      </c>
      <c r="D1550" s="264" t="s">
        <v>79</v>
      </c>
      <c r="E1550" s="264" t="s">
        <v>80</v>
      </c>
      <c r="F1550" s="100" t="s">
        <v>3950</v>
      </c>
      <c r="G1550" s="100" t="s">
        <v>3951</v>
      </c>
      <c r="H1550" s="100" t="s">
        <v>1957</v>
      </c>
      <c r="I1550" s="96">
        <v>23602</v>
      </c>
      <c r="J1550" s="101">
        <v>1</v>
      </c>
      <c r="K1550" s="101"/>
      <c r="L1550" s="101">
        <v>1</v>
      </c>
      <c r="M1550" s="101"/>
      <c r="N1550" s="101">
        <v>1</v>
      </c>
      <c r="O1550" s="101"/>
      <c r="P1550" s="101"/>
      <c r="Q1550" s="101"/>
      <c r="R1550" s="101"/>
      <c r="S1550" s="101"/>
      <c r="T1550" s="101"/>
      <c r="U1550" s="100" t="s">
        <v>1446</v>
      </c>
      <c r="V1550" s="100" t="s">
        <v>949</v>
      </c>
      <c r="W1550" s="100" t="s">
        <v>298</v>
      </c>
      <c r="X1550" s="100" t="s">
        <v>227</v>
      </c>
      <c r="Y1550" s="99"/>
      <c r="Z1550" s="99"/>
      <c r="AA1550" s="100" t="s">
        <v>3198</v>
      </c>
      <c r="AB1550" s="100" t="s">
        <v>528</v>
      </c>
      <c r="AC1550" s="99">
        <v>1</v>
      </c>
      <c r="AD1550" s="101"/>
      <c r="AE1550" s="101"/>
      <c r="AF1550" s="101"/>
      <c r="AG1550" s="101"/>
      <c r="AH1550" s="99"/>
      <c r="AI1550" s="105"/>
    </row>
    <row r="1551" spans="1:35">
      <c r="A1551" s="98"/>
      <c r="B1551" s="99"/>
      <c r="C1551" s="100"/>
      <c r="D1551" s="100"/>
      <c r="E1551" s="99"/>
      <c r="F1551" s="100"/>
      <c r="G1551" s="100"/>
      <c r="H1551" s="100"/>
      <c r="I1551" s="96"/>
      <c r="J1551" s="101"/>
      <c r="K1551" s="101"/>
      <c r="L1551" s="101"/>
      <c r="M1551" s="101"/>
      <c r="N1551" s="101"/>
      <c r="O1551" s="101"/>
      <c r="P1551" s="101"/>
      <c r="Q1551" s="101"/>
      <c r="R1551" s="101"/>
      <c r="S1551" s="101"/>
      <c r="T1551" s="101"/>
      <c r="U1551" s="100"/>
      <c r="V1551" s="100"/>
      <c r="W1551" s="100"/>
      <c r="X1551" s="99"/>
      <c r="Y1551" s="99"/>
      <c r="Z1551" s="99"/>
      <c r="AA1551" s="100" t="s">
        <v>1961</v>
      </c>
      <c r="AB1551" s="100" t="s">
        <v>526</v>
      </c>
      <c r="AC1551" s="266">
        <v>0.25</v>
      </c>
      <c r="AD1551" s="101"/>
      <c r="AE1551" s="101"/>
      <c r="AF1551" s="101"/>
      <c r="AG1551" s="101"/>
      <c r="AH1551" s="99"/>
      <c r="AI1551" s="105"/>
    </row>
    <row r="1552" spans="1:35">
      <c r="A1552" s="98"/>
      <c r="B1552" s="99"/>
      <c r="C1552" s="100"/>
      <c r="D1552" s="100"/>
      <c r="E1552" s="99"/>
      <c r="F1552" s="100"/>
      <c r="G1552" s="100"/>
      <c r="H1552" s="100"/>
      <c r="I1552" s="247"/>
      <c r="J1552" s="101"/>
      <c r="K1552" s="101"/>
      <c r="L1552" s="101"/>
      <c r="M1552" s="101"/>
      <c r="N1552" s="101"/>
      <c r="O1552" s="101"/>
      <c r="P1552" s="101"/>
      <c r="Q1552" s="101"/>
      <c r="R1552" s="101"/>
      <c r="S1552" s="101"/>
      <c r="T1552" s="101"/>
      <c r="U1552" s="100"/>
      <c r="V1552" s="99"/>
      <c r="W1552" s="100"/>
      <c r="X1552" s="99"/>
      <c r="Y1552" s="99"/>
      <c r="Z1552" s="99"/>
      <c r="AA1552" s="100" t="s">
        <v>3968</v>
      </c>
      <c r="AB1552" s="100" t="s">
        <v>526</v>
      </c>
      <c r="AC1552" s="267">
        <v>2.5</v>
      </c>
      <c r="AD1552" s="101"/>
      <c r="AE1552" s="101"/>
      <c r="AF1552" s="101"/>
      <c r="AG1552" s="101"/>
      <c r="AH1552" s="99"/>
      <c r="AI1552" s="105"/>
    </row>
    <row r="1553" spans="1:35">
      <c r="A1553" s="98"/>
      <c r="B1553" s="99"/>
      <c r="C1553" s="100"/>
      <c r="D1553" s="100"/>
      <c r="E1553" s="99"/>
      <c r="F1553" s="100"/>
      <c r="G1553" s="100"/>
      <c r="H1553" s="100"/>
      <c r="I1553" s="96"/>
      <c r="J1553" s="101"/>
      <c r="K1553" s="101"/>
      <c r="L1553" s="101"/>
      <c r="M1553" s="101"/>
      <c r="N1553" s="101"/>
      <c r="O1553" s="101"/>
      <c r="P1553" s="101"/>
      <c r="Q1553" s="101"/>
      <c r="R1553" s="101"/>
      <c r="S1553" s="101"/>
      <c r="T1553" s="101"/>
      <c r="U1553" s="100"/>
      <c r="V1553" s="100"/>
      <c r="W1553" s="100"/>
      <c r="X1553" s="99"/>
      <c r="Y1553" s="99"/>
      <c r="Z1553" s="99"/>
      <c r="AA1553" s="100" t="s">
        <v>1792</v>
      </c>
      <c r="AB1553" s="99" t="s">
        <v>526</v>
      </c>
      <c r="AC1553" s="99">
        <v>20</v>
      </c>
      <c r="AD1553" s="101"/>
      <c r="AE1553" s="101"/>
      <c r="AF1553" s="101"/>
      <c r="AG1553" s="101"/>
      <c r="AH1553" s="99"/>
      <c r="AI1553" s="105"/>
    </row>
    <row r="1554" spans="1:35">
      <c r="A1554" s="98"/>
      <c r="B1554" s="99"/>
      <c r="C1554" s="263" t="s">
        <v>3230</v>
      </c>
      <c r="D1554" s="264" t="s">
        <v>79</v>
      </c>
      <c r="E1554" s="264" t="s">
        <v>80</v>
      </c>
      <c r="F1554" s="100" t="s">
        <v>3952</v>
      </c>
      <c r="G1554" s="100" t="s">
        <v>198</v>
      </c>
      <c r="H1554" s="100" t="s">
        <v>286</v>
      </c>
      <c r="I1554" s="247">
        <v>26229</v>
      </c>
      <c r="J1554" s="101">
        <v>1</v>
      </c>
      <c r="K1554" s="101"/>
      <c r="L1554" s="101">
        <v>1</v>
      </c>
      <c r="M1554" s="101"/>
      <c r="N1554" s="101">
        <v>1</v>
      </c>
      <c r="O1554" s="101"/>
      <c r="P1554" s="101"/>
      <c r="Q1554" s="101"/>
      <c r="R1554" s="101"/>
      <c r="S1554" s="101"/>
      <c r="T1554" s="101"/>
      <c r="U1554" s="100" t="s">
        <v>1446</v>
      </c>
      <c r="V1554" s="100" t="s">
        <v>949</v>
      </c>
      <c r="W1554" s="100" t="s">
        <v>298</v>
      </c>
      <c r="X1554" s="100" t="s">
        <v>227</v>
      </c>
      <c r="Y1554" s="99"/>
      <c r="Z1554" s="99"/>
      <c r="AA1554" s="100" t="s">
        <v>3198</v>
      </c>
      <c r="AB1554" s="100" t="s">
        <v>528</v>
      </c>
      <c r="AC1554" s="99">
        <v>1</v>
      </c>
      <c r="AD1554" s="101"/>
      <c r="AE1554" s="101"/>
      <c r="AF1554" s="101"/>
      <c r="AG1554" s="101"/>
      <c r="AH1554" s="99"/>
      <c r="AI1554" s="105"/>
    </row>
    <row r="1555" spans="1:35">
      <c r="A1555" s="98"/>
      <c r="B1555" s="99"/>
      <c r="C1555" s="100"/>
      <c r="D1555" s="100"/>
      <c r="E1555" s="99"/>
      <c r="F1555" s="100"/>
      <c r="G1555" s="100"/>
      <c r="H1555" s="100"/>
      <c r="I1555" s="247"/>
      <c r="J1555" s="101"/>
      <c r="K1555" s="101"/>
      <c r="L1555" s="101"/>
      <c r="M1555" s="101"/>
      <c r="N1555" s="101"/>
      <c r="O1555" s="101"/>
      <c r="P1555" s="101"/>
      <c r="Q1555" s="101"/>
      <c r="R1555" s="101"/>
      <c r="S1555" s="101"/>
      <c r="T1555" s="101"/>
      <c r="U1555" s="100"/>
      <c r="V1555" s="100"/>
      <c r="W1555" s="100"/>
      <c r="X1555" s="99"/>
      <c r="Y1555" s="99"/>
      <c r="Z1555" s="99"/>
      <c r="AA1555" s="100" t="s">
        <v>1961</v>
      </c>
      <c r="AB1555" s="100" t="s">
        <v>526</v>
      </c>
      <c r="AC1555" s="266">
        <v>0.25</v>
      </c>
      <c r="AD1555" s="101"/>
      <c r="AE1555" s="101"/>
      <c r="AF1555" s="101"/>
      <c r="AG1555" s="101"/>
      <c r="AH1555" s="99"/>
      <c r="AI1555" s="105"/>
    </row>
    <row r="1556" spans="1:35">
      <c r="A1556" s="98"/>
      <c r="B1556" s="99"/>
      <c r="C1556" s="100"/>
      <c r="D1556" s="100"/>
      <c r="E1556" s="99"/>
      <c r="F1556" s="100"/>
      <c r="G1556" s="100"/>
      <c r="H1556" s="100"/>
      <c r="I1556" s="247"/>
      <c r="J1556" s="101"/>
      <c r="K1556" s="101"/>
      <c r="L1556" s="101"/>
      <c r="M1556" s="101"/>
      <c r="N1556" s="101"/>
      <c r="O1556" s="101"/>
      <c r="P1556" s="101"/>
      <c r="Q1556" s="101"/>
      <c r="R1556" s="101"/>
      <c r="S1556" s="101"/>
      <c r="T1556" s="101"/>
      <c r="U1556" s="100"/>
      <c r="V1556" s="100"/>
      <c r="W1556" s="100"/>
      <c r="X1556" s="99"/>
      <c r="Y1556" s="99"/>
      <c r="Z1556" s="99"/>
      <c r="AA1556" s="100" t="s">
        <v>1792</v>
      </c>
      <c r="AB1556" s="99" t="s">
        <v>526</v>
      </c>
      <c r="AC1556" s="99">
        <v>20</v>
      </c>
      <c r="AD1556" s="101"/>
      <c r="AE1556" s="101"/>
      <c r="AF1556" s="101"/>
      <c r="AG1556" s="101"/>
      <c r="AH1556" s="99"/>
      <c r="AI1556" s="105"/>
    </row>
    <row r="1557" spans="1:35">
      <c r="A1557" s="98"/>
      <c r="B1557" s="99"/>
      <c r="C1557" s="263" t="s">
        <v>3230</v>
      </c>
      <c r="D1557" s="264" t="s">
        <v>79</v>
      </c>
      <c r="E1557" s="264" t="s">
        <v>80</v>
      </c>
      <c r="F1557" s="100" t="s">
        <v>3953</v>
      </c>
      <c r="G1557" s="100" t="s">
        <v>3954</v>
      </c>
      <c r="H1557" s="100" t="s">
        <v>113</v>
      </c>
      <c r="I1557" s="247">
        <v>21286</v>
      </c>
      <c r="J1557" s="101">
        <v>1</v>
      </c>
      <c r="K1557" s="101"/>
      <c r="L1557" s="101">
        <v>1</v>
      </c>
      <c r="M1557" s="101"/>
      <c r="N1557" s="101">
        <v>1</v>
      </c>
      <c r="O1557" s="101"/>
      <c r="P1557" s="101"/>
      <c r="Q1557" s="101"/>
      <c r="R1557" s="101"/>
      <c r="S1557" s="101"/>
      <c r="T1557" s="101"/>
      <c r="U1557" s="100" t="s">
        <v>1446</v>
      </c>
      <c r="V1557" s="100" t="s">
        <v>949</v>
      </c>
      <c r="W1557" s="100" t="s">
        <v>298</v>
      </c>
      <c r="X1557" s="100" t="s">
        <v>227</v>
      </c>
      <c r="Y1557" s="99"/>
      <c r="Z1557" s="99"/>
      <c r="AA1557" s="100" t="s">
        <v>3198</v>
      </c>
      <c r="AB1557" s="100" t="s">
        <v>528</v>
      </c>
      <c r="AC1557" s="99">
        <v>1</v>
      </c>
      <c r="AD1557" s="101"/>
      <c r="AE1557" s="101"/>
      <c r="AF1557" s="101"/>
      <c r="AG1557" s="101"/>
      <c r="AH1557" s="99"/>
      <c r="AI1557" s="105"/>
    </row>
    <row r="1558" spans="1:35">
      <c r="A1558" s="98"/>
      <c r="B1558" s="99"/>
      <c r="C1558" s="100"/>
      <c r="D1558" s="100"/>
      <c r="E1558" s="99"/>
      <c r="F1558" s="100"/>
      <c r="G1558" s="100"/>
      <c r="H1558" s="100"/>
      <c r="I1558" s="247"/>
      <c r="J1558" s="101"/>
      <c r="K1558" s="101"/>
      <c r="L1558" s="101"/>
      <c r="M1558" s="101"/>
      <c r="N1558" s="101"/>
      <c r="O1558" s="101"/>
      <c r="P1558" s="101"/>
      <c r="Q1558" s="101"/>
      <c r="R1558" s="101"/>
      <c r="S1558" s="101"/>
      <c r="T1558" s="101"/>
      <c r="U1558" s="100"/>
      <c r="V1558" s="100"/>
      <c r="W1558" s="100"/>
      <c r="X1558" s="99"/>
      <c r="Y1558" s="99"/>
      <c r="Z1558" s="99"/>
      <c r="AA1558" s="100" t="s">
        <v>1961</v>
      </c>
      <c r="AB1558" s="100" t="s">
        <v>526</v>
      </c>
      <c r="AC1558" s="266">
        <v>0.25</v>
      </c>
      <c r="AD1558" s="101"/>
      <c r="AE1558" s="101"/>
      <c r="AF1558" s="101"/>
      <c r="AG1558" s="101"/>
      <c r="AH1558" s="99"/>
      <c r="AI1558" s="105"/>
    </row>
    <row r="1559" spans="1:35">
      <c r="A1559" s="98"/>
      <c r="B1559" s="99"/>
      <c r="C1559" s="100"/>
      <c r="D1559" s="100"/>
      <c r="E1559" s="99"/>
      <c r="F1559" s="100"/>
      <c r="G1559" s="100"/>
      <c r="H1559" s="100"/>
      <c r="I1559" s="247"/>
      <c r="J1559" s="101"/>
      <c r="K1559" s="101"/>
      <c r="L1559" s="101"/>
      <c r="M1559" s="101"/>
      <c r="N1559" s="101"/>
      <c r="O1559" s="101"/>
      <c r="P1559" s="101"/>
      <c r="Q1559" s="101"/>
      <c r="R1559" s="101"/>
      <c r="S1559" s="101"/>
      <c r="T1559" s="101"/>
      <c r="U1559" s="100"/>
      <c r="V1559" s="100"/>
      <c r="W1559" s="100"/>
      <c r="X1559" s="99"/>
      <c r="Y1559" s="99"/>
      <c r="Z1559" s="99"/>
      <c r="AA1559" s="100" t="s">
        <v>1792</v>
      </c>
      <c r="AB1559" s="99" t="s">
        <v>526</v>
      </c>
      <c r="AC1559" s="99">
        <v>20</v>
      </c>
      <c r="AD1559" s="101"/>
      <c r="AE1559" s="101"/>
      <c r="AF1559" s="101"/>
      <c r="AG1559" s="101"/>
      <c r="AH1559" s="99"/>
      <c r="AI1559" s="105"/>
    </row>
    <row r="1560" spans="1:35">
      <c r="A1560" s="98"/>
      <c r="B1560" s="99"/>
      <c r="C1560" s="263" t="s">
        <v>3230</v>
      </c>
      <c r="D1560" s="264" t="s">
        <v>79</v>
      </c>
      <c r="E1560" s="264" t="s">
        <v>80</v>
      </c>
      <c r="F1560" s="100" t="s">
        <v>3955</v>
      </c>
      <c r="G1560" s="100" t="s">
        <v>698</v>
      </c>
      <c r="H1560" s="100" t="s">
        <v>126</v>
      </c>
      <c r="I1560" s="247">
        <v>20673</v>
      </c>
      <c r="J1560" s="101">
        <v>1</v>
      </c>
      <c r="K1560" s="101"/>
      <c r="L1560" s="101">
        <v>1</v>
      </c>
      <c r="M1560" s="101"/>
      <c r="N1560" s="101">
        <v>1</v>
      </c>
      <c r="O1560" s="101"/>
      <c r="P1560" s="101"/>
      <c r="Q1560" s="101"/>
      <c r="R1560" s="101"/>
      <c r="S1560" s="101"/>
      <c r="T1560" s="101"/>
      <c r="U1560" s="100" t="s">
        <v>1446</v>
      </c>
      <c r="V1560" s="100" t="s">
        <v>949</v>
      </c>
      <c r="W1560" s="100" t="s">
        <v>298</v>
      </c>
      <c r="X1560" s="100" t="s">
        <v>227</v>
      </c>
      <c r="Y1560" s="99"/>
      <c r="Z1560" s="99"/>
      <c r="AA1560" s="100" t="s">
        <v>3198</v>
      </c>
      <c r="AB1560" s="100" t="s">
        <v>528</v>
      </c>
      <c r="AC1560" s="99">
        <v>1</v>
      </c>
      <c r="AD1560" s="101"/>
      <c r="AE1560" s="101"/>
      <c r="AF1560" s="101"/>
      <c r="AG1560" s="101"/>
      <c r="AH1560" s="99"/>
      <c r="AI1560" s="105"/>
    </row>
    <row r="1561" spans="1:35">
      <c r="A1561" s="98"/>
      <c r="B1561" s="99"/>
      <c r="C1561" s="100"/>
      <c r="D1561" s="100"/>
      <c r="E1561" s="99"/>
      <c r="F1561" s="100"/>
      <c r="G1561" s="100"/>
      <c r="H1561" s="100"/>
      <c r="I1561" s="247"/>
      <c r="J1561" s="101"/>
      <c r="K1561" s="101"/>
      <c r="L1561" s="101"/>
      <c r="M1561" s="101"/>
      <c r="N1561" s="101"/>
      <c r="O1561" s="101"/>
      <c r="P1561" s="101"/>
      <c r="Q1561" s="101"/>
      <c r="R1561" s="101"/>
      <c r="S1561" s="101"/>
      <c r="T1561" s="101"/>
      <c r="U1561" s="100"/>
      <c r="V1561" s="100"/>
      <c r="W1561" s="100"/>
      <c r="X1561" s="99"/>
      <c r="Y1561" s="99"/>
      <c r="Z1561" s="99"/>
      <c r="AA1561" s="100" t="s">
        <v>1961</v>
      </c>
      <c r="AB1561" s="100" t="s">
        <v>526</v>
      </c>
      <c r="AC1561" s="266">
        <v>0.25</v>
      </c>
      <c r="AD1561" s="101"/>
      <c r="AE1561" s="101"/>
      <c r="AF1561" s="101"/>
      <c r="AG1561" s="101"/>
      <c r="AH1561" s="99"/>
      <c r="AI1561" s="105"/>
    </row>
    <row r="1562" spans="1:35">
      <c r="A1562" s="98"/>
      <c r="B1562" s="99"/>
      <c r="C1562" s="100"/>
      <c r="D1562" s="100"/>
      <c r="E1562" s="99"/>
      <c r="F1562" s="100"/>
      <c r="G1562" s="100"/>
      <c r="H1562" s="100"/>
      <c r="I1562" s="247"/>
      <c r="J1562" s="101"/>
      <c r="K1562" s="101"/>
      <c r="L1562" s="101"/>
      <c r="M1562" s="101"/>
      <c r="N1562" s="101"/>
      <c r="O1562" s="101"/>
      <c r="P1562" s="101"/>
      <c r="Q1562" s="101"/>
      <c r="R1562" s="101"/>
      <c r="S1562" s="101"/>
      <c r="T1562" s="101"/>
      <c r="U1562" s="100"/>
      <c r="V1562" s="100"/>
      <c r="W1562" s="100"/>
      <c r="X1562" s="99"/>
      <c r="Y1562" s="99"/>
      <c r="Z1562" s="99"/>
      <c r="AA1562" s="100" t="s">
        <v>1792</v>
      </c>
      <c r="AB1562" s="99" t="s">
        <v>526</v>
      </c>
      <c r="AC1562" s="99">
        <v>20</v>
      </c>
      <c r="AD1562" s="101"/>
      <c r="AE1562" s="101"/>
      <c r="AF1562" s="101"/>
      <c r="AG1562" s="101"/>
      <c r="AH1562" s="99"/>
      <c r="AI1562" s="105"/>
    </row>
    <row r="1563" spans="1:35">
      <c r="A1563" s="98"/>
      <c r="B1563" s="99"/>
      <c r="C1563" s="263" t="s">
        <v>3230</v>
      </c>
      <c r="D1563" s="264" t="s">
        <v>79</v>
      </c>
      <c r="E1563" s="264" t="s">
        <v>80</v>
      </c>
      <c r="F1563" s="100" t="s">
        <v>2337</v>
      </c>
      <c r="G1563" s="100" t="s">
        <v>1651</v>
      </c>
      <c r="H1563" s="100" t="s">
        <v>120</v>
      </c>
      <c r="I1563" s="247">
        <v>21329</v>
      </c>
      <c r="J1563" s="101">
        <v>1</v>
      </c>
      <c r="K1563" s="101"/>
      <c r="L1563" s="101">
        <v>1</v>
      </c>
      <c r="M1563" s="101"/>
      <c r="N1563" s="101">
        <v>1</v>
      </c>
      <c r="O1563" s="101"/>
      <c r="P1563" s="101"/>
      <c r="Q1563" s="101"/>
      <c r="R1563" s="101"/>
      <c r="S1563" s="101"/>
      <c r="T1563" s="101"/>
      <c r="U1563" s="100" t="s">
        <v>1446</v>
      </c>
      <c r="V1563" s="100" t="s">
        <v>949</v>
      </c>
      <c r="W1563" s="100" t="s">
        <v>298</v>
      </c>
      <c r="X1563" s="100" t="s">
        <v>227</v>
      </c>
      <c r="Y1563" s="99"/>
      <c r="Z1563" s="99"/>
      <c r="AA1563" s="100" t="s">
        <v>3198</v>
      </c>
      <c r="AB1563" s="100" t="s">
        <v>528</v>
      </c>
      <c r="AC1563" s="99">
        <v>1</v>
      </c>
      <c r="AD1563" s="101"/>
      <c r="AE1563" s="101"/>
      <c r="AF1563" s="101"/>
      <c r="AG1563" s="101"/>
      <c r="AH1563" s="99"/>
      <c r="AI1563" s="105"/>
    </row>
    <row r="1564" spans="1:35">
      <c r="A1564" s="98"/>
      <c r="B1564" s="99"/>
      <c r="C1564" s="100"/>
      <c r="D1564" s="100"/>
      <c r="E1564" s="99"/>
      <c r="F1564" s="100"/>
      <c r="G1564" s="100"/>
      <c r="H1564" s="100"/>
      <c r="I1564" s="247"/>
      <c r="J1564" s="101"/>
      <c r="K1564" s="101"/>
      <c r="L1564" s="101"/>
      <c r="M1564" s="101"/>
      <c r="N1564" s="101"/>
      <c r="O1564" s="101"/>
      <c r="P1564" s="101"/>
      <c r="Q1564" s="101"/>
      <c r="R1564" s="101"/>
      <c r="S1564" s="101"/>
      <c r="T1564" s="101"/>
      <c r="U1564" s="100"/>
      <c r="V1564" s="100"/>
      <c r="W1564" s="100"/>
      <c r="X1564" s="99"/>
      <c r="Y1564" s="99"/>
      <c r="Z1564" s="99"/>
      <c r="AA1564" s="100" t="s">
        <v>1961</v>
      </c>
      <c r="AB1564" s="100" t="s">
        <v>526</v>
      </c>
      <c r="AC1564" s="266">
        <v>0.25</v>
      </c>
      <c r="AD1564" s="101"/>
      <c r="AE1564" s="101"/>
      <c r="AF1564" s="101"/>
      <c r="AG1564" s="101"/>
      <c r="AH1564" s="99"/>
      <c r="AI1564" s="105"/>
    </row>
    <row r="1565" spans="1:35">
      <c r="A1565" s="98"/>
      <c r="B1565" s="99"/>
      <c r="C1565" s="100"/>
      <c r="D1565" s="100"/>
      <c r="E1565" s="99"/>
      <c r="F1565" s="100"/>
      <c r="G1565" s="100"/>
      <c r="H1565" s="100"/>
      <c r="I1565" s="247"/>
      <c r="J1565" s="101"/>
      <c r="K1565" s="101"/>
      <c r="L1565" s="101"/>
      <c r="M1565" s="101"/>
      <c r="N1565" s="101"/>
      <c r="O1565" s="101"/>
      <c r="P1565" s="101"/>
      <c r="Q1565" s="101"/>
      <c r="R1565" s="101"/>
      <c r="S1565" s="101"/>
      <c r="T1565" s="101"/>
      <c r="U1565" s="100"/>
      <c r="V1565" s="99"/>
      <c r="W1565" s="99"/>
      <c r="X1565" s="99"/>
      <c r="Y1565" s="99"/>
      <c r="Z1565" s="99"/>
      <c r="AA1565" s="100" t="s">
        <v>3968</v>
      </c>
      <c r="AB1565" s="100" t="s">
        <v>526</v>
      </c>
      <c r="AC1565" s="267">
        <v>2.5</v>
      </c>
      <c r="AD1565" s="101"/>
      <c r="AE1565" s="101"/>
      <c r="AF1565" s="101"/>
      <c r="AG1565" s="101"/>
      <c r="AH1565" s="99"/>
      <c r="AI1565" s="105"/>
    </row>
    <row r="1566" spans="1:35">
      <c r="A1566" s="98"/>
      <c r="B1566" s="99"/>
      <c r="C1566" s="100"/>
      <c r="D1566" s="100"/>
      <c r="E1566" s="99"/>
      <c r="F1566" s="100"/>
      <c r="G1566" s="100"/>
      <c r="H1566" s="100"/>
      <c r="I1566" s="247"/>
      <c r="J1566" s="101"/>
      <c r="K1566" s="101"/>
      <c r="L1566" s="101"/>
      <c r="M1566" s="101"/>
      <c r="N1566" s="101"/>
      <c r="O1566" s="101"/>
      <c r="P1566" s="101"/>
      <c r="Q1566" s="101"/>
      <c r="R1566" s="101"/>
      <c r="S1566" s="101"/>
      <c r="T1566" s="101"/>
      <c r="U1566" s="100"/>
      <c r="V1566" s="100"/>
      <c r="W1566" s="100"/>
      <c r="X1566" s="99"/>
      <c r="Y1566" s="99"/>
      <c r="Z1566" s="99"/>
      <c r="AA1566" s="100" t="s">
        <v>1792</v>
      </c>
      <c r="AB1566" s="99" t="s">
        <v>526</v>
      </c>
      <c r="AC1566" s="99">
        <v>20</v>
      </c>
      <c r="AD1566" s="101"/>
      <c r="AE1566" s="101"/>
      <c r="AF1566" s="101"/>
      <c r="AG1566" s="101"/>
      <c r="AH1566" s="99"/>
      <c r="AI1566" s="105"/>
    </row>
    <row r="1567" spans="1:35">
      <c r="A1567" s="98"/>
      <c r="B1567" s="99"/>
      <c r="C1567" s="263" t="s">
        <v>3230</v>
      </c>
      <c r="D1567" s="264" t="s">
        <v>79</v>
      </c>
      <c r="E1567" s="264" t="s">
        <v>80</v>
      </c>
      <c r="F1567" s="100" t="s">
        <v>3956</v>
      </c>
      <c r="G1567" s="100" t="s">
        <v>3957</v>
      </c>
      <c r="H1567" s="100" t="s">
        <v>588</v>
      </c>
      <c r="I1567" s="247">
        <v>27416</v>
      </c>
      <c r="J1567" s="101">
        <v>1</v>
      </c>
      <c r="K1567" s="101"/>
      <c r="L1567" s="101">
        <v>1</v>
      </c>
      <c r="M1567" s="101"/>
      <c r="N1567" s="101">
        <v>1</v>
      </c>
      <c r="O1567" s="101"/>
      <c r="P1567" s="101"/>
      <c r="Q1567" s="101"/>
      <c r="R1567" s="101"/>
      <c r="S1567" s="101"/>
      <c r="T1567" s="101"/>
      <c r="U1567" s="100" t="s">
        <v>1446</v>
      </c>
      <c r="V1567" s="100" t="s">
        <v>949</v>
      </c>
      <c r="W1567" s="100" t="s">
        <v>298</v>
      </c>
      <c r="X1567" s="100" t="s">
        <v>227</v>
      </c>
      <c r="Y1567" s="99"/>
      <c r="Z1567" s="99"/>
      <c r="AA1567" s="100" t="s">
        <v>3198</v>
      </c>
      <c r="AB1567" s="100" t="s">
        <v>528</v>
      </c>
      <c r="AC1567" s="99">
        <v>1</v>
      </c>
      <c r="AD1567" s="101"/>
      <c r="AE1567" s="101"/>
      <c r="AF1567" s="101"/>
      <c r="AG1567" s="101"/>
      <c r="AH1567" s="99"/>
      <c r="AI1567" s="105"/>
    </row>
    <row r="1568" spans="1:35">
      <c r="A1568" s="98"/>
      <c r="B1568" s="99"/>
      <c r="C1568" s="100"/>
      <c r="D1568" s="100"/>
      <c r="E1568" s="99"/>
      <c r="F1568" s="100"/>
      <c r="G1568" s="100"/>
      <c r="H1568" s="100"/>
      <c r="I1568" s="247"/>
      <c r="J1568" s="101"/>
      <c r="K1568" s="101"/>
      <c r="L1568" s="101"/>
      <c r="M1568" s="101"/>
      <c r="N1568" s="101"/>
      <c r="O1568" s="101"/>
      <c r="P1568" s="101"/>
      <c r="Q1568" s="101"/>
      <c r="R1568" s="101"/>
      <c r="S1568" s="101"/>
      <c r="T1568" s="101"/>
      <c r="U1568" s="100"/>
      <c r="V1568" s="100"/>
      <c r="W1568" s="100"/>
      <c r="X1568" s="99"/>
      <c r="Y1568" s="99"/>
      <c r="Z1568" s="99"/>
      <c r="AA1568" s="100" t="s">
        <v>1961</v>
      </c>
      <c r="AB1568" s="100" t="s">
        <v>526</v>
      </c>
      <c r="AC1568" s="266">
        <v>0.25</v>
      </c>
      <c r="AD1568" s="101"/>
      <c r="AE1568" s="101"/>
      <c r="AF1568" s="101"/>
      <c r="AG1568" s="101"/>
      <c r="AH1568" s="99"/>
      <c r="AI1568" s="105"/>
    </row>
    <row r="1569" spans="1:35">
      <c r="A1569" s="98"/>
      <c r="B1569" s="99"/>
      <c r="C1569" s="100"/>
      <c r="D1569" s="100"/>
      <c r="E1569" s="99"/>
      <c r="F1569" s="100"/>
      <c r="G1569" s="100"/>
      <c r="H1569" s="100"/>
      <c r="I1569" s="247"/>
      <c r="J1569" s="101"/>
      <c r="K1569" s="101"/>
      <c r="L1569" s="101"/>
      <c r="M1569" s="101"/>
      <c r="N1569" s="101"/>
      <c r="O1569" s="101"/>
      <c r="P1569" s="101"/>
      <c r="Q1569" s="101"/>
      <c r="R1569" s="101"/>
      <c r="S1569" s="101"/>
      <c r="T1569" s="101"/>
      <c r="U1569" s="100"/>
      <c r="V1569" s="100"/>
      <c r="W1569" s="100"/>
      <c r="X1569" s="99"/>
      <c r="Y1569" s="99"/>
      <c r="Z1569" s="99"/>
      <c r="AA1569" s="100" t="s">
        <v>1792</v>
      </c>
      <c r="AB1569" s="99" t="s">
        <v>526</v>
      </c>
      <c r="AC1569" s="99">
        <v>20</v>
      </c>
      <c r="AD1569" s="101"/>
      <c r="AE1569" s="101"/>
      <c r="AF1569" s="101"/>
      <c r="AG1569" s="101"/>
      <c r="AH1569" s="99"/>
      <c r="AI1569" s="105"/>
    </row>
    <row r="1570" spans="1:35">
      <c r="A1570" s="98"/>
      <c r="B1570" s="99"/>
      <c r="C1570" s="263" t="s">
        <v>3230</v>
      </c>
      <c r="D1570" s="264" t="s">
        <v>79</v>
      </c>
      <c r="E1570" s="264" t="s">
        <v>80</v>
      </c>
      <c r="F1570" s="100" t="s">
        <v>3958</v>
      </c>
      <c r="G1570" s="100" t="s">
        <v>994</v>
      </c>
      <c r="H1570" s="100" t="s">
        <v>115</v>
      </c>
      <c r="I1570" s="247">
        <v>29633</v>
      </c>
      <c r="J1570" s="101">
        <v>1</v>
      </c>
      <c r="K1570" s="101"/>
      <c r="L1570" s="101">
        <v>1</v>
      </c>
      <c r="M1570" s="101"/>
      <c r="N1570" s="101">
        <v>1</v>
      </c>
      <c r="O1570" s="101"/>
      <c r="P1570" s="101"/>
      <c r="Q1570" s="101"/>
      <c r="R1570" s="101"/>
      <c r="S1570" s="101"/>
      <c r="T1570" s="101"/>
      <c r="U1570" s="100" t="s">
        <v>1446</v>
      </c>
      <c r="V1570" s="100" t="s">
        <v>949</v>
      </c>
      <c r="W1570" s="100" t="s">
        <v>298</v>
      </c>
      <c r="X1570" s="100" t="s">
        <v>227</v>
      </c>
      <c r="Y1570" s="99"/>
      <c r="Z1570" s="99"/>
      <c r="AA1570" s="100" t="s">
        <v>3198</v>
      </c>
      <c r="AB1570" s="100" t="s">
        <v>528</v>
      </c>
      <c r="AC1570" s="99">
        <v>1</v>
      </c>
      <c r="AD1570" s="101"/>
      <c r="AE1570" s="101"/>
      <c r="AF1570" s="101"/>
      <c r="AG1570" s="101"/>
      <c r="AH1570" s="99"/>
      <c r="AI1570" s="105"/>
    </row>
    <row r="1571" spans="1:35">
      <c r="A1571" s="98"/>
      <c r="B1571" s="99"/>
      <c r="C1571" s="100"/>
      <c r="D1571" s="100"/>
      <c r="E1571" s="99"/>
      <c r="F1571" s="100"/>
      <c r="G1571" s="100"/>
      <c r="H1571" s="100"/>
      <c r="I1571" s="247"/>
      <c r="J1571" s="101"/>
      <c r="K1571" s="101"/>
      <c r="L1571" s="101"/>
      <c r="M1571" s="101"/>
      <c r="N1571" s="101"/>
      <c r="O1571" s="101"/>
      <c r="P1571" s="101"/>
      <c r="Q1571" s="101"/>
      <c r="R1571" s="101"/>
      <c r="S1571" s="101"/>
      <c r="T1571" s="101"/>
      <c r="U1571" s="100"/>
      <c r="V1571" s="100"/>
      <c r="W1571" s="100"/>
      <c r="X1571" s="99"/>
      <c r="Y1571" s="99"/>
      <c r="Z1571" s="99"/>
      <c r="AA1571" s="100" t="s">
        <v>1961</v>
      </c>
      <c r="AB1571" s="100" t="s">
        <v>526</v>
      </c>
      <c r="AC1571" s="266">
        <v>0.25</v>
      </c>
      <c r="AD1571" s="101"/>
      <c r="AE1571" s="101"/>
      <c r="AF1571" s="101"/>
      <c r="AG1571" s="101"/>
      <c r="AH1571" s="99"/>
      <c r="AI1571" s="105"/>
    </row>
    <row r="1572" spans="1:35">
      <c r="A1572" s="98"/>
      <c r="B1572" s="99"/>
      <c r="C1572" s="100"/>
      <c r="D1572" s="100"/>
      <c r="E1572" s="99"/>
      <c r="F1572" s="100"/>
      <c r="G1572" s="100"/>
      <c r="H1572" s="100"/>
      <c r="I1572" s="247"/>
      <c r="J1572" s="101"/>
      <c r="K1572" s="101"/>
      <c r="L1572" s="101"/>
      <c r="M1572" s="101"/>
      <c r="N1572" s="101"/>
      <c r="O1572" s="101"/>
      <c r="P1572" s="101"/>
      <c r="Q1572" s="101"/>
      <c r="R1572" s="101"/>
      <c r="S1572" s="101"/>
      <c r="T1572" s="101"/>
      <c r="U1572" s="100"/>
      <c r="V1572" s="100"/>
      <c r="W1572" s="100"/>
      <c r="X1572" s="99"/>
      <c r="Y1572" s="99"/>
      <c r="Z1572" s="99"/>
      <c r="AA1572" s="100" t="s">
        <v>1792</v>
      </c>
      <c r="AB1572" s="99" t="s">
        <v>526</v>
      </c>
      <c r="AC1572" s="99">
        <v>20</v>
      </c>
      <c r="AD1572" s="101"/>
      <c r="AE1572" s="101"/>
      <c r="AF1572" s="101"/>
      <c r="AG1572" s="101"/>
      <c r="AH1572" s="99"/>
      <c r="AI1572" s="105"/>
    </row>
    <row r="1573" spans="1:35">
      <c r="A1573" s="98"/>
      <c r="B1573" s="99"/>
      <c r="C1573" s="263" t="s">
        <v>3230</v>
      </c>
      <c r="D1573" s="264" t="s">
        <v>79</v>
      </c>
      <c r="E1573" s="264" t="s">
        <v>80</v>
      </c>
      <c r="F1573" s="100" t="s">
        <v>3959</v>
      </c>
      <c r="G1573" s="100" t="s">
        <v>3960</v>
      </c>
      <c r="H1573" s="100" t="s">
        <v>136</v>
      </c>
      <c r="I1573" s="247">
        <v>19442</v>
      </c>
      <c r="J1573" s="101">
        <v>1</v>
      </c>
      <c r="K1573" s="101"/>
      <c r="L1573" s="101">
        <v>1</v>
      </c>
      <c r="M1573" s="101"/>
      <c r="N1573" s="101">
        <v>1</v>
      </c>
      <c r="O1573" s="101"/>
      <c r="P1573" s="101"/>
      <c r="Q1573" s="101"/>
      <c r="R1573" s="101"/>
      <c r="S1573" s="101"/>
      <c r="T1573" s="101"/>
      <c r="U1573" s="100" t="s">
        <v>1446</v>
      </c>
      <c r="V1573" s="100" t="s">
        <v>949</v>
      </c>
      <c r="W1573" s="100" t="s">
        <v>298</v>
      </c>
      <c r="X1573" s="100" t="s">
        <v>227</v>
      </c>
      <c r="Y1573" s="99"/>
      <c r="Z1573" s="99"/>
      <c r="AA1573" s="100" t="s">
        <v>3198</v>
      </c>
      <c r="AB1573" s="100" t="s">
        <v>528</v>
      </c>
      <c r="AC1573" s="99">
        <v>1</v>
      </c>
      <c r="AD1573" s="101"/>
      <c r="AE1573" s="101"/>
      <c r="AF1573" s="101"/>
      <c r="AG1573" s="101"/>
      <c r="AH1573" s="99"/>
      <c r="AI1573" s="105"/>
    </row>
    <row r="1574" spans="1:35">
      <c r="A1574" s="98"/>
      <c r="B1574" s="99"/>
      <c r="C1574" s="100"/>
      <c r="D1574" s="100"/>
      <c r="E1574" s="99"/>
      <c r="F1574" s="100"/>
      <c r="G1574" s="100"/>
      <c r="H1574" s="100"/>
      <c r="I1574" s="247"/>
      <c r="J1574" s="101"/>
      <c r="K1574" s="101"/>
      <c r="L1574" s="101"/>
      <c r="M1574" s="101"/>
      <c r="N1574" s="101"/>
      <c r="O1574" s="101"/>
      <c r="P1574" s="101"/>
      <c r="Q1574" s="101"/>
      <c r="R1574" s="101"/>
      <c r="S1574" s="101"/>
      <c r="T1574" s="101"/>
      <c r="U1574" s="100"/>
      <c r="V1574" s="100"/>
      <c r="W1574" s="100"/>
      <c r="X1574" s="99"/>
      <c r="Y1574" s="99"/>
      <c r="Z1574" s="99"/>
      <c r="AA1574" s="100" t="s">
        <v>1961</v>
      </c>
      <c r="AB1574" s="100" t="s">
        <v>526</v>
      </c>
      <c r="AC1574" s="266">
        <v>0.25</v>
      </c>
      <c r="AD1574" s="101"/>
      <c r="AE1574" s="101"/>
      <c r="AF1574" s="101"/>
      <c r="AG1574" s="101"/>
      <c r="AH1574" s="99"/>
      <c r="AI1574" s="105"/>
    </row>
    <row r="1575" spans="1:35">
      <c r="A1575" s="98"/>
      <c r="B1575" s="99"/>
      <c r="C1575" s="100"/>
      <c r="D1575" s="100"/>
      <c r="E1575" s="99"/>
      <c r="F1575" s="100"/>
      <c r="G1575" s="100"/>
      <c r="H1575" s="100"/>
      <c r="I1575" s="247"/>
      <c r="J1575" s="101"/>
      <c r="K1575" s="101"/>
      <c r="L1575" s="101"/>
      <c r="M1575" s="101"/>
      <c r="N1575" s="101"/>
      <c r="O1575" s="101"/>
      <c r="P1575" s="101"/>
      <c r="Q1575" s="101"/>
      <c r="R1575" s="101"/>
      <c r="S1575" s="101"/>
      <c r="T1575" s="101"/>
      <c r="U1575" s="100"/>
      <c r="V1575" s="100"/>
      <c r="W1575" s="100"/>
      <c r="X1575" s="99"/>
      <c r="Y1575" s="99"/>
      <c r="Z1575" s="99"/>
      <c r="AA1575" s="100" t="s">
        <v>1792</v>
      </c>
      <c r="AB1575" s="99" t="s">
        <v>526</v>
      </c>
      <c r="AC1575" s="99">
        <v>20</v>
      </c>
      <c r="AD1575" s="101"/>
      <c r="AE1575" s="101"/>
      <c r="AF1575" s="101"/>
      <c r="AG1575" s="101"/>
      <c r="AH1575" s="99"/>
      <c r="AI1575" s="105"/>
    </row>
    <row r="1576" spans="1:35">
      <c r="A1576" s="98"/>
      <c r="B1576" s="99"/>
      <c r="C1576" s="263" t="s">
        <v>3230</v>
      </c>
      <c r="D1576" s="264" t="s">
        <v>79</v>
      </c>
      <c r="E1576" s="264" t="s">
        <v>80</v>
      </c>
      <c r="F1576" s="100" t="s">
        <v>3961</v>
      </c>
      <c r="G1576" s="100" t="s">
        <v>3962</v>
      </c>
      <c r="H1576" s="100" t="s">
        <v>421</v>
      </c>
      <c r="I1576" s="247">
        <v>32008</v>
      </c>
      <c r="J1576" s="101">
        <v>1</v>
      </c>
      <c r="K1576" s="101"/>
      <c r="L1576" s="101">
        <v>1</v>
      </c>
      <c r="M1576" s="101"/>
      <c r="N1576" s="101">
        <v>1</v>
      </c>
      <c r="O1576" s="101"/>
      <c r="P1576" s="101"/>
      <c r="Q1576" s="101"/>
      <c r="R1576" s="101"/>
      <c r="S1576" s="101"/>
      <c r="T1576" s="101"/>
      <c r="U1576" s="100" t="s">
        <v>1446</v>
      </c>
      <c r="V1576" s="100" t="s">
        <v>949</v>
      </c>
      <c r="W1576" s="100" t="s">
        <v>298</v>
      </c>
      <c r="X1576" s="100" t="s">
        <v>227</v>
      </c>
      <c r="Y1576" s="99"/>
      <c r="Z1576" s="99"/>
      <c r="AA1576" s="100" t="s">
        <v>3198</v>
      </c>
      <c r="AB1576" s="100" t="s">
        <v>528</v>
      </c>
      <c r="AC1576" s="99">
        <v>1</v>
      </c>
      <c r="AD1576" s="101"/>
      <c r="AE1576" s="101"/>
      <c r="AF1576" s="101"/>
      <c r="AG1576" s="101"/>
      <c r="AH1576" s="99"/>
      <c r="AI1576" s="105"/>
    </row>
    <row r="1577" spans="1:35">
      <c r="A1577" s="98"/>
      <c r="B1577" s="99"/>
      <c r="C1577" s="100"/>
      <c r="D1577" s="100"/>
      <c r="E1577" s="99"/>
      <c r="F1577" s="100"/>
      <c r="G1577" s="100"/>
      <c r="H1577" s="100"/>
      <c r="I1577" s="247"/>
      <c r="J1577" s="101"/>
      <c r="K1577" s="101"/>
      <c r="L1577" s="101"/>
      <c r="M1577" s="101"/>
      <c r="N1577" s="101"/>
      <c r="O1577" s="101"/>
      <c r="P1577" s="101"/>
      <c r="Q1577" s="101"/>
      <c r="R1577" s="101"/>
      <c r="S1577" s="101"/>
      <c r="T1577" s="101"/>
      <c r="U1577" s="100"/>
      <c r="V1577" s="100"/>
      <c r="W1577" s="100"/>
      <c r="X1577" s="99"/>
      <c r="Y1577" s="99"/>
      <c r="Z1577" s="99"/>
      <c r="AA1577" s="100" t="s">
        <v>1961</v>
      </c>
      <c r="AB1577" s="100" t="s">
        <v>526</v>
      </c>
      <c r="AC1577" s="266">
        <v>0.25</v>
      </c>
      <c r="AD1577" s="101"/>
      <c r="AE1577" s="101"/>
      <c r="AF1577" s="101"/>
      <c r="AG1577" s="101"/>
      <c r="AH1577" s="99"/>
      <c r="AI1577" s="105"/>
    </row>
    <row r="1578" spans="1:35">
      <c r="A1578" s="98"/>
      <c r="B1578" s="99"/>
      <c r="C1578" s="100"/>
      <c r="D1578" s="100"/>
      <c r="E1578" s="99"/>
      <c r="F1578" s="100"/>
      <c r="G1578" s="100"/>
      <c r="H1578" s="100"/>
      <c r="I1578" s="247"/>
      <c r="J1578" s="101"/>
      <c r="K1578" s="101"/>
      <c r="L1578" s="101"/>
      <c r="M1578" s="101"/>
      <c r="N1578" s="101"/>
      <c r="O1578" s="101"/>
      <c r="P1578" s="101"/>
      <c r="Q1578" s="101"/>
      <c r="R1578" s="101"/>
      <c r="S1578" s="101"/>
      <c r="T1578" s="101"/>
      <c r="U1578" s="100"/>
      <c r="V1578" s="100"/>
      <c r="W1578" s="100"/>
      <c r="X1578" s="99"/>
      <c r="Y1578" s="99"/>
      <c r="Z1578" s="99"/>
      <c r="AA1578" s="100" t="s">
        <v>1792</v>
      </c>
      <c r="AB1578" s="99" t="s">
        <v>526</v>
      </c>
      <c r="AC1578" s="99">
        <v>20</v>
      </c>
      <c r="AD1578" s="101"/>
      <c r="AE1578" s="101"/>
      <c r="AF1578" s="101"/>
      <c r="AG1578" s="101"/>
      <c r="AH1578" s="99"/>
      <c r="AI1578" s="105"/>
    </row>
    <row r="1579" spans="1:35">
      <c r="A1579" s="98"/>
      <c r="B1579" s="99"/>
      <c r="C1579" s="263" t="s">
        <v>3230</v>
      </c>
      <c r="D1579" s="264" t="s">
        <v>79</v>
      </c>
      <c r="E1579" s="264" t="s">
        <v>80</v>
      </c>
      <c r="F1579" s="100" t="s">
        <v>3963</v>
      </c>
      <c r="G1579" s="100" t="s">
        <v>3964</v>
      </c>
      <c r="H1579" s="100" t="s">
        <v>1957</v>
      </c>
      <c r="I1579" s="247">
        <v>23802</v>
      </c>
      <c r="J1579" s="101">
        <v>1</v>
      </c>
      <c r="K1579" s="101"/>
      <c r="L1579" s="101">
        <v>1</v>
      </c>
      <c r="M1579" s="101"/>
      <c r="N1579" s="101">
        <v>1</v>
      </c>
      <c r="O1579" s="101"/>
      <c r="P1579" s="101"/>
      <c r="Q1579" s="101"/>
      <c r="R1579" s="101"/>
      <c r="S1579" s="101"/>
      <c r="T1579" s="101"/>
      <c r="U1579" s="100" t="s">
        <v>1446</v>
      </c>
      <c r="V1579" s="100" t="s">
        <v>949</v>
      </c>
      <c r="W1579" s="100" t="s">
        <v>298</v>
      </c>
      <c r="X1579" s="100" t="s">
        <v>227</v>
      </c>
      <c r="Y1579" s="99"/>
      <c r="Z1579" s="99"/>
      <c r="AA1579" s="100" t="s">
        <v>3198</v>
      </c>
      <c r="AB1579" s="100" t="s">
        <v>528</v>
      </c>
      <c r="AC1579" s="99">
        <v>1</v>
      </c>
      <c r="AD1579" s="101"/>
      <c r="AE1579" s="101"/>
      <c r="AF1579" s="101"/>
      <c r="AG1579" s="101"/>
      <c r="AH1579" s="99"/>
      <c r="AI1579" s="105"/>
    </row>
    <row r="1580" spans="1:35">
      <c r="A1580" s="98"/>
      <c r="B1580" s="99"/>
      <c r="C1580" s="100"/>
      <c r="D1580" s="100"/>
      <c r="E1580" s="99"/>
      <c r="F1580" s="100"/>
      <c r="G1580" s="100"/>
      <c r="H1580" s="100"/>
      <c r="I1580" s="247"/>
      <c r="J1580" s="101"/>
      <c r="K1580" s="101"/>
      <c r="L1580" s="101"/>
      <c r="M1580" s="101"/>
      <c r="N1580" s="101"/>
      <c r="O1580" s="101"/>
      <c r="P1580" s="101"/>
      <c r="Q1580" s="101"/>
      <c r="R1580" s="101"/>
      <c r="S1580" s="101"/>
      <c r="T1580" s="101"/>
      <c r="U1580" s="100"/>
      <c r="V1580" s="100"/>
      <c r="W1580" s="100"/>
      <c r="X1580" s="99"/>
      <c r="Y1580" s="99"/>
      <c r="Z1580" s="99"/>
      <c r="AA1580" s="100" t="s">
        <v>1961</v>
      </c>
      <c r="AB1580" s="100" t="s">
        <v>526</v>
      </c>
      <c r="AC1580" s="266">
        <v>0.25</v>
      </c>
      <c r="AD1580" s="101"/>
      <c r="AE1580" s="101"/>
      <c r="AF1580" s="101"/>
      <c r="AG1580" s="101"/>
      <c r="AH1580" s="99"/>
      <c r="AI1580" s="105"/>
    </row>
    <row r="1581" spans="1:35">
      <c r="A1581" s="98"/>
      <c r="B1581" s="99"/>
      <c r="C1581" s="100"/>
      <c r="D1581" s="100"/>
      <c r="E1581" s="99"/>
      <c r="F1581" s="100"/>
      <c r="G1581" s="100"/>
      <c r="H1581" s="100"/>
      <c r="I1581" s="247"/>
      <c r="J1581" s="101"/>
      <c r="K1581" s="101"/>
      <c r="L1581" s="101"/>
      <c r="M1581" s="101"/>
      <c r="N1581" s="101"/>
      <c r="O1581" s="101"/>
      <c r="P1581" s="101"/>
      <c r="Q1581" s="101"/>
      <c r="R1581" s="101"/>
      <c r="S1581" s="101"/>
      <c r="T1581" s="101"/>
      <c r="U1581" s="100"/>
      <c r="V1581" s="100"/>
      <c r="W1581" s="100"/>
      <c r="X1581" s="99"/>
      <c r="Y1581" s="99"/>
      <c r="Z1581" s="99"/>
      <c r="AA1581" s="100" t="s">
        <v>1792</v>
      </c>
      <c r="AB1581" s="99" t="s">
        <v>526</v>
      </c>
      <c r="AC1581" s="99">
        <v>20</v>
      </c>
      <c r="AD1581" s="101"/>
      <c r="AE1581" s="101"/>
      <c r="AF1581" s="101"/>
      <c r="AG1581" s="101"/>
      <c r="AH1581" s="99"/>
      <c r="AI1581" s="105"/>
    </row>
    <row r="1582" spans="1:35">
      <c r="A1582" s="98"/>
      <c r="B1582" s="99"/>
      <c r="C1582" s="263" t="s">
        <v>3230</v>
      </c>
      <c r="D1582" s="264" t="s">
        <v>79</v>
      </c>
      <c r="E1582" s="264" t="s">
        <v>80</v>
      </c>
      <c r="F1582" s="100" t="s">
        <v>3965</v>
      </c>
      <c r="G1582" s="100" t="s">
        <v>3966</v>
      </c>
      <c r="H1582" s="100" t="s">
        <v>133</v>
      </c>
      <c r="I1582" s="247">
        <v>26870</v>
      </c>
      <c r="J1582" s="101">
        <v>1</v>
      </c>
      <c r="K1582" s="101"/>
      <c r="L1582" s="101">
        <v>1</v>
      </c>
      <c r="M1582" s="101"/>
      <c r="N1582" s="101">
        <v>1</v>
      </c>
      <c r="O1582" s="101"/>
      <c r="P1582" s="101"/>
      <c r="Q1582" s="101"/>
      <c r="R1582" s="101"/>
      <c r="S1582" s="101"/>
      <c r="T1582" s="101"/>
      <c r="U1582" s="100" t="s">
        <v>1446</v>
      </c>
      <c r="V1582" s="100" t="s">
        <v>949</v>
      </c>
      <c r="W1582" s="99" t="s">
        <v>298</v>
      </c>
      <c r="X1582" s="100" t="s">
        <v>227</v>
      </c>
      <c r="Y1582" s="99"/>
      <c r="Z1582" s="99"/>
      <c r="AA1582" s="100" t="s">
        <v>3198</v>
      </c>
      <c r="AB1582" s="100" t="s">
        <v>528</v>
      </c>
      <c r="AC1582" s="99">
        <v>1</v>
      </c>
      <c r="AD1582" s="101"/>
      <c r="AE1582" s="101"/>
      <c r="AF1582" s="101"/>
      <c r="AG1582" s="101"/>
      <c r="AH1582" s="99"/>
      <c r="AI1582" s="105"/>
    </row>
    <row r="1583" spans="1:35">
      <c r="A1583" s="98"/>
      <c r="B1583" s="99"/>
      <c r="C1583" s="100"/>
      <c r="D1583" s="100"/>
      <c r="E1583" s="99"/>
      <c r="F1583" s="100"/>
      <c r="G1583" s="100"/>
      <c r="H1583" s="99"/>
      <c r="I1583" s="247"/>
      <c r="J1583" s="101"/>
      <c r="K1583" s="101"/>
      <c r="L1583" s="101"/>
      <c r="M1583" s="101"/>
      <c r="N1583" s="101"/>
      <c r="O1583" s="101"/>
      <c r="P1583" s="101"/>
      <c r="Q1583" s="101"/>
      <c r="R1583" s="101"/>
      <c r="S1583" s="101"/>
      <c r="T1583" s="101"/>
      <c r="U1583" s="100"/>
      <c r="V1583" s="100"/>
      <c r="W1583" s="100"/>
      <c r="X1583" s="100"/>
      <c r="Y1583" s="99"/>
      <c r="Z1583" s="99"/>
      <c r="AA1583" s="100" t="s">
        <v>1961</v>
      </c>
      <c r="AB1583" s="100" t="s">
        <v>526</v>
      </c>
      <c r="AC1583" s="266">
        <v>0.25</v>
      </c>
      <c r="AD1583" s="101"/>
      <c r="AE1583" s="101"/>
      <c r="AF1583" s="101"/>
      <c r="AG1583" s="101"/>
      <c r="AH1583" s="99"/>
      <c r="AI1583" s="105"/>
    </row>
    <row r="1584" spans="1:35">
      <c r="A1584" s="98"/>
      <c r="B1584" s="99"/>
      <c r="C1584" s="100"/>
      <c r="D1584" s="100"/>
      <c r="E1584" s="99"/>
      <c r="F1584" s="100"/>
      <c r="G1584" s="100"/>
      <c r="H1584" s="99"/>
      <c r="I1584" s="247"/>
      <c r="J1584" s="101"/>
      <c r="K1584" s="101"/>
      <c r="L1584" s="101"/>
      <c r="M1584" s="101"/>
      <c r="N1584" s="101"/>
      <c r="O1584" s="101"/>
      <c r="P1584" s="101"/>
      <c r="Q1584" s="101"/>
      <c r="R1584" s="101"/>
      <c r="S1584" s="101"/>
      <c r="T1584" s="101"/>
      <c r="U1584" s="100"/>
      <c r="V1584" s="100"/>
      <c r="W1584" s="99"/>
      <c r="X1584" s="99"/>
      <c r="Y1584" s="99"/>
      <c r="Z1584" s="99"/>
      <c r="AA1584" s="100" t="s">
        <v>3968</v>
      </c>
      <c r="AB1584" s="100" t="s">
        <v>526</v>
      </c>
      <c r="AC1584" s="267">
        <v>2.5</v>
      </c>
      <c r="AD1584" s="101"/>
      <c r="AE1584" s="101"/>
      <c r="AF1584" s="101"/>
      <c r="AG1584" s="101"/>
      <c r="AH1584" s="99"/>
      <c r="AI1584" s="105"/>
    </row>
    <row r="1585" spans="1:35">
      <c r="A1585" s="98"/>
      <c r="B1585" s="99"/>
      <c r="C1585" s="99"/>
      <c r="D1585" s="99"/>
      <c r="E1585" s="99"/>
      <c r="F1585" s="100"/>
      <c r="G1585" s="100"/>
      <c r="H1585" s="99"/>
      <c r="I1585" s="247"/>
      <c r="J1585" s="101"/>
      <c r="K1585" s="101"/>
      <c r="L1585" s="101"/>
      <c r="M1585" s="101"/>
      <c r="N1585" s="101"/>
      <c r="O1585" s="101"/>
      <c r="P1585" s="101"/>
      <c r="Q1585" s="101"/>
      <c r="R1585" s="101"/>
      <c r="S1585" s="101"/>
      <c r="T1585" s="101"/>
      <c r="U1585" s="100" t="s">
        <v>1446</v>
      </c>
      <c r="V1585" s="100" t="s">
        <v>949</v>
      </c>
      <c r="W1585" s="99" t="s">
        <v>298</v>
      </c>
      <c r="X1585" s="100" t="s">
        <v>227</v>
      </c>
      <c r="Y1585" s="99"/>
      <c r="Z1585" s="99"/>
      <c r="AA1585" s="100" t="s">
        <v>1792</v>
      </c>
      <c r="AB1585" s="99" t="s">
        <v>526</v>
      </c>
      <c r="AC1585" s="99">
        <v>20</v>
      </c>
      <c r="AD1585" s="101"/>
      <c r="AE1585" s="101"/>
      <c r="AF1585" s="101"/>
      <c r="AG1585" s="101"/>
      <c r="AH1585" s="99"/>
      <c r="AI1585" s="105"/>
    </row>
    <row r="1586" spans="1:35">
      <c r="A1586" s="98"/>
      <c r="B1586" s="99"/>
      <c r="C1586" s="263" t="s">
        <v>3230</v>
      </c>
      <c r="D1586" s="264" t="s">
        <v>79</v>
      </c>
      <c r="E1586" s="264" t="s">
        <v>80</v>
      </c>
      <c r="F1586" s="100" t="s">
        <v>3965</v>
      </c>
      <c r="G1586" s="100" t="s">
        <v>3969</v>
      </c>
      <c r="H1586" s="100" t="s">
        <v>421</v>
      </c>
      <c r="I1586" s="247">
        <v>33932</v>
      </c>
      <c r="J1586" s="101">
        <v>1</v>
      </c>
      <c r="K1586" s="101"/>
      <c r="L1586" s="101">
        <v>1</v>
      </c>
      <c r="M1586" s="101"/>
      <c r="N1586" s="101">
        <v>1</v>
      </c>
      <c r="O1586" s="101"/>
      <c r="P1586" s="101"/>
      <c r="Q1586" s="101"/>
      <c r="R1586" s="101"/>
      <c r="S1586" s="101"/>
      <c r="T1586" s="101"/>
      <c r="U1586" s="99"/>
      <c r="V1586" s="100"/>
      <c r="W1586" s="99"/>
      <c r="X1586" s="99"/>
      <c r="Y1586" s="99"/>
      <c r="Z1586" s="99"/>
      <c r="AA1586" s="100" t="s">
        <v>3198</v>
      </c>
      <c r="AB1586" s="100" t="s">
        <v>528</v>
      </c>
      <c r="AC1586" s="99">
        <v>1</v>
      </c>
      <c r="AD1586" s="101"/>
      <c r="AE1586" s="101"/>
      <c r="AF1586" s="101"/>
      <c r="AG1586" s="101"/>
      <c r="AH1586" s="99"/>
      <c r="AI1586" s="105"/>
    </row>
    <row r="1587" spans="1:35">
      <c r="A1587" s="98"/>
      <c r="B1587" s="99"/>
      <c r="C1587" s="99"/>
      <c r="D1587" s="99"/>
      <c r="E1587" s="99"/>
      <c r="F1587" s="100"/>
      <c r="G1587" s="100"/>
      <c r="H1587" s="99"/>
      <c r="I1587" s="247"/>
      <c r="J1587" s="101"/>
      <c r="K1587" s="101"/>
      <c r="L1587" s="101"/>
      <c r="M1587" s="101"/>
      <c r="N1587" s="101"/>
      <c r="O1587" s="101"/>
      <c r="P1587" s="101"/>
      <c r="Q1587" s="101"/>
      <c r="R1587" s="101"/>
      <c r="S1587" s="101"/>
      <c r="T1587" s="101"/>
      <c r="U1587" s="99"/>
      <c r="V1587" s="100"/>
      <c r="W1587" s="100"/>
      <c r="X1587" s="100"/>
      <c r="Y1587" s="99"/>
      <c r="Z1587" s="99"/>
      <c r="AA1587" s="100" t="s">
        <v>1961</v>
      </c>
      <c r="AB1587" s="100" t="s">
        <v>526</v>
      </c>
      <c r="AC1587" s="266">
        <v>0.25</v>
      </c>
      <c r="AD1587" s="101"/>
      <c r="AE1587" s="101"/>
      <c r="AF1587" s="101"/>
      <c r="AG1587" s="101"/>
      <c r="AH1587" s="99"/>
      <c r="AI1587" s="105"/>
    </row>
    <row r="1588" spans="1:35">
      <c r="A1588" s="98"/>
      <c r="B1588" s="99"/>
      <c r="C1588" s="99"/>
      <c r="D1588" s="99"/>
      <c r="E1588" s="99"/>
      <c r="F1588" s="100"/>
      <c r="G1588" s="100"/>
      <c r="H1588" s="99"/>
      <c r="I1588" s="247"/>
      <c r="J1588" s="101"/>
      <c r="K1588" s="101"/>
      <c r="L1588" s="101"/>
      <c r="M1588" s="101"/>
      <c r="N1588" s="101"/>
      <c r="O1588" s="101"/>
      <c r="P1588" s="101"/>
      <c r="Q1588" s="101"/>
      <c r="R1588" s="101"/>
      <c r="S1588" s="101"/>
      <c r="T1588" s="101"/>
      <c r="U1588" s="100" t="s">
        <v>1446</v>
      </c>
      <c r="V1588" s="100" t="s">
        <v>949</v>
      </c>
      <c r="W1588" s="99" t="s">
        <v>298</v>
      </c>
      <c r="X1588" s="100" t="s">
        <v>227</v>
      </c>
      <c r="Y1588" s="99"/>
      <c r="Z1588" s="99"/>
      <c r="AA1588" s="100" t="s">
        <v>1792</v>
      </c>
      <c r="AB1588" s="99" t="s">
        <v>526</v>
      </c>
      <c r="AC1588" s="99">
        <v>20</v>
      </c>
      <c r="AD1588" s="101"/>
      <c r="AE1588" s="101"/>
      <c r="AF1588" s="101"/>
      <c r="AG1588" s="101"/>
      <c r="AH1588" s="99"/>
      <c r="AI1588" s="105"/>
    </row>
    <row r="1589" spans="1:35">
      <c r="A1589" s="98"/>
      <c r="B1589" s="99"/>
      <c r="C1589" s="263" t="s">
        <v>3230</v>
      </c>
      <c r="D1589" s="264" t="s">
        <v>79</v>
      </c>
      <c r="E1589" s="264" t="s">
        <v>80</v>
      </c>
      <c r="F1589" s="100" t="s">
        <v>3965</v>
      </c>
      <c r="G1589" s="100" t="s">
        <v>3970</v>
      </c>
      <c r="H1589" s="100" t="s">
        <v>133</v>
      </c>
      <c r="I1589" s="247">
        <v>25113</v>
      </c>
      <c r="J1589" s="101">
        <v>1</v>
      </c>
      <c r="K1589" s="101"/>
      <c r="L1589" s="101">
        <v>1</v>
      </c>
      <c r="M1589" s="101"/>
      <c r="N1589" s="101">
        <v>1</v>
      </c>
      <c r="O1589" s="101"/>
      <c r="P1589" s="101"/>
      <c r="Q1589" s="101"/>
      <c r="R1589" s="101"/>
      <c r="S1589" s="101"/>
      <c r="T1589" s="101"/>
      <c r="U1589" s="99"/>
      <c r="V1589" s="100"/>
      <c r="W1589" s="99"/>
      <c r="X1589" s="99"/>
      <c r="Y1589" s="99"/>
      <c r="Z1589" s="99"/>
      <c r="AA1589" s="100" t="s">
        <v>3198</v>
      </c>
      <c r="AB1589" s="100" t="s">
        <v>528</v>
      </c>
      <c r="AC1589" s="99">
        <v>1</v>
      </c>
      <c r="AD1589" s="101"/>
      <c r="AE1589" s="101"/>
      <c r="AF1589" s="101"/>
      <c r="AG1589" s="101"/>
      <c r="AH1589" s="99"/>
      <c r="AI1589" s="105"/>
    </row>
    <row r="1590" spans="1:35">
      <c r="A1590" s="98"/>
      <c r="B1590" s="99"/>
      <c r="C1590" s="99"/>
      <c r="D1590" s="99"/>
      <c r="E1590" s="99"/>
      <c r="F1590" s="100"/>
      <c r="G1590" s="100"/>
      <c r="H1590" s="99"/>
      <c r="I1590" s="247"/>
      <c r="J1590" s="101"/>
      <c r="K1590" s="101"/>
      <c r="L1590" s="101"/>
      <c r="M1590" s="101"/>
      <c r="N1590" s="101"/>
      <c r="O1590" s="101"/>
      <c r="P1590" s="101"/>
      <c r="Q1590" s="101"/>
      <c r="R1590" s="101"/>
      <c r="S1590" s="101"/>
      <c r="T1590" s="101"/>
      <c r="U1590" s="99"/>
      <c r="V1590" s="100"/>
      <c r="W1590" s="99"/>
      <c r="X1590" s="99"/>
      <c r="Y1590" s="99"/>
      <c r="Z1590" s="99"/>
      <c r="AA1590" s="100" t="s">
        <v>1961</v>
      </c>
      <c r="AB1590" s="100" t="s">
        <v>526</v>
      </c>
      <c r="AC1590" s="266">
        <v>0.25</v>
      </c>
      <c r="AD1590" s="101"/>
      <c r="AE1590" s="101"/>
      <c r="AF1590" s="101"/>
      <c r="AG1590" s="101"/>
      <c r="AH1590" s="99"/>
      <c r="AI1590" s="105"/>
    </row>
    <row r="1591" spans="1:35">
      <c r="A1591" s="98"/>
      <c r="B1591" s="99"/>
      <c r="C1591" s="99"/>
      <c r="D1591" s="99"/>
      <c r="E1591" s="99"/>
      <c r="F1591" s="100"/>
      <c r="G1591" s="100"/>
      <c r="H1591" s="99"/>
      <c r="I1591" s="247"/>
      <c r="J1591" s="101"/>
      <c r="K1591" s="101"/>
      <c r="L1591" s="101"/>
      <c r="M1591" s="101"/>
      <c r="N1591" s="101"/>
      <c r="O1591" s="101"/>
      <c r="P1591" s="101"/>
      <c r="Q1591" s="101"/>
      <c r="R1591" s="101"/>
      <c r="S1591" s="101"/>
      <c r="T1591" s="101"/>
      <c r="U1591" s="100" t="s">
        <v>1446</v>
      </c>
      <c r="V1591" s="100" t="s">
        <v>949</v>
      </c>
      <c r="W1591" s="100" t="s">
        <v>298</v>
      </c>
      <c r="X1591" s="100" t="s">
        <v>227</v>
      </c>
      <c r="Y1591" s="99"/>
      <c r="Z1591" s="99"/>
      <c r="AA1591" s="100" t="s">
        <v>3968</v>
      </c>
      <c r="AB1591" s="100" t="s">
        <v>526</v>
      </c>
      <c r="AC1591" s="267">
        <v>2.5</v>
      </c>
      <c r="AD1591" s="101"/>
      <c r="AE1591" s="101"/>
      <c r="AF1591" s="101"/>
      <c r="AG1591" s="101"/>
      <c r="AH1591" s="99"/>
      <c r="AI1591" s="105"/>
    </row>
    <row r="1592" spans="1:35">
      <c r="A1592" s="98"/>
      <c r="B1592" s="99"/>
      <c r="C1592" s="99"/>
      <c r="D1592" s="99"/>
      <c r="E1592" s="99"/>
      <c r="F1592" s="100"/>
      <c r="G1592" s="100"/>
      <c r="H1592" s="99"/>
      <c r="I1592" s="247"/>
      <c r="J1592" s="101"/>
      <c r="K1592" s="101"/>
      <c r="L1592" s="101"/>
      <c r="M1592" s="101"/>
      <c r="N1592" s="101"/>
      <c r="O1592" s="101"/>
      <c r="P1592" s="101"/>
      <c r="Q1592" s="101"/>
      <c r="R1592" s="101"/>
      <c r="S1592" s="101"/>
      <c r="T1592" s="101"/>
      <c r="U1592" s="99"/>
      <c r="V1592" s="100"/>
      <c r="W1592" s="99"/>
      <c r="X1592" s="99"/>
      <c r="Y1592" s="99"/>
      <c r="Z1592" s="99"/>
      <c r="AA1592" s="100" t="s">
        <v>1792</v>
      </c>
      <c r="AB1592" s="99" t="s">
        <v>526</v>
      </c>
      <c r="AC1592" s="99">
        <v>20</v>
      </c>
      <c r="AD1592" s="101"/>
      <c r="AE1592" s="101"/>
      <c r="AF1592" s="101"/>
      <c r="AG1592" s="101"/>
      <c r="AH1592" s="99"/>
      <c r="AI1592" s="105"/>
    </row>
    <row r="1593" spans="1:35">
      <c r="A1593" s="98"/>
      <c r="B1593" s="99"/>
      <c r="C1593" s="263" t="s">
        <v>3230</v>
      </c>
      <c r="D1593" s="264" t="s">
        <v>79</v>
      </c>
      <c r="E1593" s="264" t="s">
        <v>80</v>
      </c>
      <c r="F1593" s="100" t="s">
        <v>3971</v>
      </c>
      <c r="G1593" s="100" t="s">
        <v>745</v>
      </c>
      <c r="H1593" s="100" t="s">
        <v>588</v>
      </c>
      <c r="I1593" s="251" t="s">
        <v>3987</v>
      </c>
      <c r="J1593" s="101">
        <v>1</v>
      </c>
      <c r="K1593" s="101"/>
      <c r="L1593" s="101">
        <v>1</v>
      </c>
      <c r="M1593" s="101"/>
      <c r="N1593" s="101"/>
      <c r="O1593" s="101"/>
      <c r="P1593" s="101"/>
      <c r="Q1593" s="101"/>
      <c r="R1593" s="101"/>
      <c r="S1593" s="101"/>
      <c r="T1593" s="101"/>
      <c r="U1593" s="99"/>
      <c r="V1593" s="100"/>
      <c r="W1593" s="99"/>
      <c r="X1593" s="99"/>
      <c r="Y1593" s="99"/>
      <c r="Z1593" s="99"/>
      <c r="AA1593" s="100" t="s">
        <v>3198</v>
      </c>
      <c r="AB1593" s="100" t="s">
        <v>528</v>
      </c>
      <c r="AC1593" s="99">
        <v>1</v>
      </c>
      <c r="AD1593" s="101"/>
      <c r="AE1593" s="101"/>
      <c r="AF1593" s="101"/>
      <c r="AG1593" s="101"/>
      <c r="AH1593" s="99"/>
      <c r="AI1593" s="105"/>
    </row>
    <row r="1594" spans="1:35">
      <c r="A1594" s="98"/>
      <c r="B1594" s="99"/>
      <c r="C1594" s="99"/>
      <c r="D1594" s="99"/>
      <c r="E1594" s="99"/>
      <c r="F1594" s="100"/>
      <c r="G1594" s="100"/>
      <c r="H1594" s="99"/>
      <c r="I1594" s="247"/>
      <c r="J1594" s="101"/>
      <c r="K1594" s="101"/>
      <c r="L1594" s="101"/>
      <c r="M1594" s="101"/>
      <c r="N1594" s="101"/>
      <c r="O1594" s="101"/>
      <c r="P1594" s="101"/>
      <c r="Q1594" s="101"/>
      <c r="R1594" s="101"/>
      <c r="S1594" s="101"/>
      <c r="T1594" s="101"/>
      <c r="U1594" s="100" t="s">
        <v>1446</v>
      </c>
      <c r="V1594" s="100" t="s">
        <v>949</v>
      </c>
      <c r="W1594" s="99" t="s">
        <v>298</v>
      </c>
      <c r="X1594" s="100" t="s">
        <v>227</v>
      </c>
      <c r="Y1594" s="99"/>
      <c r="Z1594" s="99"/>
      <c r="AA1594" s="100" t="s">
        <v>1961</v>
      </c>
      <c r="AB1594" s="100" t="s">
        <v>526</v>
      </c>
      <c r="AC1594" s="266">
        <v>0.25</v>
      </c>
      <c r="AD1594" s="101"/>
      <c r="AE1594" s="101"/>
      <c r="AF1594" s="101"/>
      <c r="AG1594" s="101"/>
      <c r="AH1594" s="99"/>
      <c r="AI1594" s="105"/>
    </row>
    <row r="1595" spans="1:35">
      <c r="A1595" s="98"/>
      <c r="B1595" s="99"/>
      <c r="C1595" s="99"/>
      <c r="D1595" s="99"/>
      <c r="E1595" s="99"/>
      <c r="F1595" s="100"/>
      <c r="G1595" s="100"/>
      <c r="H1595" s="99"/>
      <c r="I1595" s="247"/>
      <c r="J1595" s="101"/>
      <c r="K1595" s="101"/>
      <c r="L1595" s="101"/>
      <c r="M1595" s="101"/>
      <c r="N1595" s="101"/>
      <c r="O1595" s="101"/>
      <c r="P1595" s="101"/>
      <c r="Q1595" s="101"/>
      <c r="R1595" s="101"/>
      <c r="S1595" s="101"/>
      <c r="T1595" s="101"/>
      <c r="U1595" s="99"/>
      <c r="V1595" s="100"/>
      <c r="W1595" s="99"/>
      <c r="X1595" s="99"/>
      <c r="Y1595" s="99"/>
      <c r="Z1595" s="99"/>
      <c r="AA1595" s="100" t="s">
        <v>1792</v>
      </c>
      <c r="AB1595" s="99" t="s">
        <v>526</v>
      </c>
      <c r="AC1595" s="99">
        <v>20</v>
      </c>
      <c r="AD1595" s="101"/>
      <c r="AE1595" s="101"/>
      <c r="AF1595" s="101"/>
      <c r="AG1595" s="101"/>
      <c r="AH1595" s="99"/>
      <c r="AI1595" s="105"/>
    </row>
    <row r="1596" spans="1:35">
      <c r="A1596" s="98"/>
      <c r="B1596" s="99"/>
      <c r="C1596" s="263" t="s">
        <v>3230</v>
      </c>
      <c r="D1596" s="264" t="s">
        <v>79</v>
      </c>
      <c r="E1596" s="264" t="s">
        <v>80</v>
      </c>
      <c r="F1596" s="100" t="s">
        <v>3972</v>
      </c>
      <c r="G1596" s="100" t="s">
        <v>3973</v>
      </c>
      <c r="H1596" s="100" t="s">
        <v>421</v>
      </c>
      <c r="I1596" s="247">
        <v>32716</v>
      </c>
      <c r="J1596" s="101">
        <v>1</v>
      </c>
      <c r="K1596" s="101"/>
      <c r="L1596" s="101">
        <v>1</v>
      </c>
      <c r="M1596" s="101"/>
      <c r="N1596" s="101">
        <v>1</v>
      </c>
      <c r="O1596" s="101"/>
      <c r="P1596" s="101"/>
      <c r="Q1596" s="101"/>
      <c r="R1596" s="101"/>
      <c r="S1596" s="101"/>
      <c r="T1596" s="101"/>
      <c r="U1596" s="99"/>
      <c r="V1596" s="100"/>
      <c r="W1596" s="99"/>
      <c r="X1596" s="99"/>
      <c r="Y1596" s="99"/>
      <c r="Z1596" s="99"/>
      <c r="AA1596" s="100" t="s">
        <v>3198</v>
      </c>
      <c r="AB1596" s="100" t="s">
        <v>528</v>
      </c>
      <c r="AC1596" s="99">
        <v>1</v>
      </c>
      <c r="AD1596" s="101"/>
      <c r="AE1596" s="101"/>
      <c r="AF1596" s="101"/>
      <c r="AG1596" s="101"/>
      <c r="AH1596" s="99"/>
      <c r="AI1596" s="105"/>
    </row>
    <row r="1597" spans="1:35">
      <c r="A1597" s="98"/>
      <c r="B1597" s="99"/>
      <c r="C1597" s="99"/>
      <c r="D1597" s="99"/>
      <c r="E1597" s="99"/>
      <c r="F1597" s="100"/>
      <c r="G1597" s="100"/>
      <c r="H1597" s="99"/>
      <c r="I1597" s="247"/>
      <c r="J1597" s="101"/>
      <c r="K1597" s="101"/>
      <c r="L1597" s="101"/>
      <c r="M1597" s="101"/>
      <c r="N1597" s="101"/>
      <c r="O1597" s="101"/>
      <c r="P1597" s="101"/>
      <c r="Q1597" s="101"/>
      <c r="R1597" s="101"/>
      <c r="S1597" s="101"/>
      <c r="T1597" s="101"/>
      <c r="U1597" s="100" t="s">
        <v>1446</v>
      </c>
      <c r="V1597" s="100" t="s">
        <v>949</v>
      </c>
      <c r="W1597" s="99" t="s">
        <v>298</v>
      </c>
      <c r="X1597" s="100" t="s">
        <v>227</v>
      </c>
      <c r="Y1597" s="99"/>
      <c r="Z1597" s="99"/>
      <c r="AA1597" s="100" t="s">
        <v>1961</v>
      </c>
      <c r="AB1597" s="100" t="s">
        <v>526</v>
      </c>
      <c r="AC1597" s="266">
        <v>0.25</v>
      </c>
      <c r="AD1597" s="101"/>
      <c r="AE1597" s="101"/>
      <c r="AF1597" s="101"/>
      <c r="AG1597" s="101"/>
      <c r="AH1597" s="99"/>
      <c r="AI1597" s="105"/>
    </row>
    <row r="1598" spans="1:35">
      <c r="A1598" s="98"/>
      <c r="B1598" s="99"/>
      <c r="C1598" s="99"/>
      <c r="D1598" s="99"/>
      <c r="E1598" s="99"/>
      <c r="F1598" s="100"/>
      <c r="G1598" s="100"/>
      <c r="H1598" s="99"/>
      <c r="I1598" s="247"/>
      <c r="J1598" s="101"/>
      <c r="K1598" s="101"/>
      <c r="L1598" s="101"/>
      <c r="M1598" s="101"/>
      <c r="N1598" s="101"/>
      <c r="O1598" s="101"/>
      <c r="P1598" s="101"/>
      <c r="Q1598" s="101"/>
      <c r="R1598" s="101"/>
      <c r="S1598" s="101"/>
      <c r="T1598" s="101"/>
      <c r="U1598" s="99"/>
      <c r="V1598" s="100"/>
      <c r="W1598" s="99"/>
      <c r="X1598" s="99"/>
      <c r="Y1598" s="99"/>
      <c r="Z1598" s="99"/>
      <c r="AA1598" s="100" t="s">
        <v>1792</v>
      </c>
      <c r="AB1598" s="99" t="s">
        <v>526</v>
      </c>
      <c r="AC1598" s="99">
        <v>20</v>
      </c>
      <c r="AD1598" s="101"/>
      <c r="AE1598" s="101"/>
      <c r="AF1598" s="101"/>
      <c r="AG1598" s="101"/>
      <c r="AH1598" s="99"/>
      <c r="AI1598" s="105"/>
    </row>
    <row r="1599" spans="1:35">
      <c r="A1599" s="98"/>
      <c r="B1599" s="99"/>
      <c r="C1599" s="263" t="s">
        <v>3230</v>
      </c>
      <c r="D1599" s="264" t="s">
        <v>79</v>
      </c>
      <c r="E1599" s="264" t="s">
        <v>80</v>
      </c>
      <c r="F1599" s="100" t="s">
        <v>3974</v>
      </c>
      <c r="G1599" s="100" t="s">
        <v>998</v>
      </c>
      <c r="H1599" s="99"/>
      <c r="I1599" s="247">
        <v>31001</v>
      </c>
      <c r="J1599" s="101">
        <v>1</v>
      </c>
      <c r="K1599" s="101"/>
      <c r="L1599" s="101">
        <v>1</v>
      </c>
      <c r="M1599" s="101"/>
      <c r="N1599" s="101">
        <v>1</v>
      </c>
      <c r="O1599" s="101"/>
      <c r="P1599" s="101"/>
      <c r="Q1599" s="101"/>
      <c r="R1599" s="101"/>
      <c r="S1599" s="101"/>
      <c r="T1599" s="101"/>
      <c r="U1599" s="99"/>
      <c r="V1599" s="100"/>
      <c r="W1599" s="99"/>
      <c r="X1599" s="99"/>
      <c r="Y1599" s="99"/>
      <c r="Z1599" s="99"/>
      <c r="AA1599" s="100" t="s">
        <v>3198</v>
      </c>
      <c r="AB1599" s="100" t="s">
        <v>528</v>
      </c>
      <c r="AC1599" s="99">
        <v>1</v>
      </c>
      <c r="AD1599" s="101"/>
      <c r="AE1599" s="101"/>
      <c r="AF1599" s="101"/>
      <c r="AG1599" s="101"/>
      <c r="AH1599" s="99"/>
      <c r="AI1599" s="105"/>
    </row>
    <row r="1600" spans="1:35">
      <c r="A1600" s="98"/>
      <c r="B1600" s="99"/>
      <c r="C1600" s="99"/>
      <c r="D1600" s="99"/>
      <c r="E1600" s="99"/>
      <c r="F1600" s="100"/>
      <c r="G1600" s="100"/>
      <c r="H1600" s="99"/>
      <c r="I1600" s="247"/>
      <c r="J1600" s="101"/>
      <c r="K1600" s="101"/>
      <c r="L1600" s="101"/>
      <c r="M1600" s="101"/>
      <c r="N1600" s="101"/>
      <c r="O1600" s="101"/>
      <c r="P1600" s="101"/>
      <c r="Q1600" s="101"/>
      <c r="R1600" s="101"/>
      <c r="S1600" s="101"/>
      <c r="T1600" s="101"/>
      <c r="U1600" s="100" t="s">
        <v>1446</v>
      </c>
      <c r="V1600" s="100" t="s">
        <v>949</v>
      </c>
      <c r="W1600" s="99" t="s">
        <v>298</v>
      </c>
      <c r="X1600" s="100" t="s">
        <v>227</v>
      </c>
      <c r="Y1600" s="99"/>
      <c r="Z1600" s="99"/>
      <c r="AA1600" s="100" t="s">
        <v>1961</v>
      </c>
      <c r="AB1600" s="100" t="s">
        <v>526</v>
      </c>
      <c r="AC1600" s="266">
        <v>0.25</v>
      </c>
      <c r="AD1600" s="101"/>
      <c r="AE1600" s="101"/>
      <c r="AF1600" s="101"/>
      <c r="AG1600" s="101"/>
      <c r="AH1600" s="99"/>
      <c r="AI1600" s="105"/>
    </row>
    <row r="1601" spans="1:35">
      <c r="A1601" s="98"/>
      <c r="B1601" s="99"/>
      <c r="C1601" s="99"/>
      <c r="D1601" s="99"/>
      <c r="E1601" s="99"/>
      <c r="F1601" s="100"/>
      <c r="G1601" s="100"/>
      <c r="H1601" s="99"/>
      <c r="I1601" s="247"/>
      <c r="J1601" s="101"/>
      <c r="K1601" s="101"/>
      <c r="L1601" s="101"/>
      <c r="M1601" s="101"/>
      <c r="N1601" s="101"/>
      <c r="O1601" s="101"/>
      <c r="P1601" s="101"/>
      <c r="Q1601" s="101"/>
      <c r="R1601" s="101"/>
      <c r="S1601" s="101"/>
      <c r="T1601" s="101"/>
      <c r="U1601" s="99"/>
      <c r="V1601" s="100"/>
      <c r="W1601" s="99"/>
      <c r="X1601" s="99"/>
      <c r="Y1601" s="99"/>
      <c r="Z1601" s="99"/>
      <c r="AA1601" s="100" t="s">
        <v>1792</v>
      </c>
      <c r="AB1601" s="99" t="s">
        <v>526</v>
      </c>
      <c r="AC1601" s="99">
        <v>20</v>
      </c>
      <c r="AD1601" s="101"/>
      <c r="AE1601" s="101"/>
      <c r="AF1601" s="101"/>
      <c r="AG1601" s="101"/>
      <c r="AH1601" s="99"/>
      <c r="AI1601" s="105"/>
    </row>
    <row r="1602" spans="1:35">
      <c r="A1602" s="98"/>
      <c r="B1602" s="99"/>
      <c r="C1602" s="263" t="s">
        <v>3230</v>
      </c>
      <c r="D1602" s="264" t="s">
        <v>79</v>
      </c>
      <c r="E1602" s="264" t="s">
        <v>80</v>
      </c>
      <c r="F1602" s="100" t="s">
        <v>1123</v>
      </c>
      <c r="G1602" s="100" t="s">
        <v>3975</v>
      </c>
      <c r="H1602" s="99"/>
      <c r="I1602" s="247">
        <v>27108</v>
      </c>
      <c r="J1602" s="101">
        <v>1</v>
      </c>
      <c r="K1602" s="101"/>
      <c r="L1602" s="101">
        <v>1</v>
      </c>
      <c r="M1602" s="101"/>
      <c r="N1602" s="101">
        <v>1</v>
      </c>
      <c r="O1602" s="101"/>
      <c r="P1602" s="101"/>
      <c r="Q1602" s="101"/>
      <c r="R1602" s="101"/>
      <c r="S1602" s="101"/>
      <c r="T1602" s="101"/>
      <c r="U1602" s="99"/>
      <c r="V1602" s="100"/>
      <c r="W1602" s="99"/>
      <c r="X1602" s="99"/>
      <c r="Y1602" s="99"/>
      <c r="Z1602" s="99"/>
      <c r="AA1602" s="100" t="s">
        <v>3198</v>
      </c>
      <c r="AB1602" s="100" t="s">
        <v>528</v>
      </c>
      <c r="AC1602" s="99">
        <v>1</v>
      </c>
      <c r="AD1602" s="101"/>
      <c r="AE1602" s="101"/>
      <c r="AF1602" s="101"/>
      <c r="AG1602" s="101"/>
      <c r="AH1602" s="99"/>
      <c r="AI1602" s="105"/>
    </row>
    <row r="1603" spans="1:35">
      <c r="A1603" s="98"/>
      <c r="B1603" s="99"/>
      <c r="C1603" s="99"/>
      <c r="D1603" s="99"/>
      <c r="E1603" s="99"/>
      <c r="F1603" s="100"/>
      <c r="G1603" s="100"/>
      <c r="H1603" s="99"/>
      <c r="I1603" s="247"/>
      <c r="J1603" s="101"/>
      <c r="K1603" s="101"/>
      <c r="L1603" s="101"/>
      <c r="M1603" s="101"/>
      <c r="N1603" s="101"/>
      <c r="O1603" s="101"/>
      <c r="P1603" s="101"/>
      <c r="Q1603" s="101"/>
      <c r="R1603" s="101"/>
      <c r="S1603" s="101"/>
      <c r="T1603" s="101"/>
      <c r="U1603" s="100" t="s">
        <v>1446</v>
      </c>
      <c r="V1603" s="100" t="s">
        <v>949</v>
      </c>
      <c r="W1603" s="100" t="s">
        <v>298</v>
      </c>
      <c r="X1603" s="100" t="s">
        <v>227</v>
      </c>
      <c r="Y1603" s="99"/>
      <c r="Z1603" s="99"/>
      <c r="AA1603" s="100" t="s">
        <v>1961</v>
      </c>
      <c r="AB1603" s="100" t="s">
        <v>526</v>
      </c>
      <c r="AC1603" s="266">
        <v>0.25</v>
      </c>
      <c r="AD1603" s="101"/>
      <c r="AE1603" s="101"/>
      <c r="AF1603" s="101"/>
      <c r="AG1603" s="101"/>
      <c r="AH1603" s="99"/>
      <c r="AI1603" s="105"/>
    </row>
    <row r="1604" spans="1:35">
      <c r="A1604" s="98"/>
      <c r="B1604" s="99"/>
      <c r="C1604" s="99"/>
      <c r="D1604" s="99"/>
      <c r="E1604" s="99"/>
      <c r="F1604" s="100"/>
      <c r="G1604" s="100"/>
      <c r="H1604" s="99"/>
      <c r="I1604" s="247"/>
      <c r="J1604" s="101"/>
      <c r="K1604" s="101"/>
      <c r="L1604" s="101"/>
      <c r="M1604" s="101"/>
      <c r="N1604" s="101"/>
      <c r="O1604" s="101"/>
      <c r="P1604" s="101"/>
      <c r="Q1604" s="101"/>
      <c r="R1604" s="101"/>
      <c r="S1604" s="101"/>
      <c r="T1604" s="101"/>
      <c r="U1604" s="99"/>
      <c r="V1604" s="100"/>
      <c r="W1604" s="100"/>
      <c r="X1604" s="100"/>
      <c r="Y1604" s="99"/>
      <c r="Z1604" s="99"/>
      <c r="AA1604" s="100" t="s">
        <v>3968</v>
      </c>
      <c r="AB1604" s="100" t="s">
        <v>526</v>
      </c>
      <c r="AC1604" s="267">
        <v>2.5</v>
      </c>
      <c r="AD1604" s="101"/>
      <c r="AE1604" s="101"/>
      <c r="AF1604" s="101"/>
      <c r="AG1604" s="101"/>
      <c r="AH1604" s="99"/>
      <c r="AI1604" s="105"/>
    </row>
    <row r="1605" spans="1:35">
      <c r="A1605" s="98"/>
      <c r="B1605" s="99"/>
      <c r="C1605" s="99"/>
      <c r="D1605" s="99"/>
      <c r="E1605" s="99"/>
      <c r="F1605" s="100"/>
      <c r="G1605" s="100"/>
      <c r="H1605" s="99"/>
      <c r="I1605" s="247"/>
      <c r="J1605" s="101"/>
      <c r="K1605" s="101"/>
      <c r="L1605" s="101"/>
      <c r="M1605" s="101"/>
      <c r="N1605" s="101"/>
      <c r="O1605" s="101"/>
      <c r="P1605" s="101"/>
      <c r="Q1605" s="101"/>
      <c r="R1605" s="101"/>
      <c r="S1605" s="101"/>
      <c r="T1605" s="101"/>
      <c r="U1605" s="99"/>
      <c r="V1605" s="100"/>
      <c r="W1605" s="99"/>
      <c r="X1605" s="99"/>
      <c r="Y1605" s="99"/>
      <c r="Z1605" s="99"/>
      <c r="AA1605" s="100" t="s">
        <v>1792</v>
      </c>
      <c r="AB1605" s="99" t="s">
        <v>526</v>
      </c>
      <c r="AC1605" s="99">
        <v>20</v>
      </c>
      <c r="AD1605" s="101"/>
      <c r="AE1605" s="101"/>
      <c r="AF1605" s="101"/>
      <c r="AG1605" s="101"/>
      <c r="AH1605" s="99"/>
      <c r="AI1605" s="105"/>
    </row>
    <row r="1606" spans="1:35">
      <c r="A1606" s="98"/>
      <c r="B1606" s="99"/>
      <c r="C1606" s="263" t="s">
        <v>3230</v>
      </c>
      <c r="D1606" s="264" t="s">
        <v>79</v>
      </c>
      <c r="E1606" s="264" t="s">
        <v>80</v>
      </c>
      <c r="F1606" s="100" t="s">
        <v>3976</v>
      </c>
      <c r="G1606" s="100" t="s">
        <v>3977</v>
      </c>
      <c r="H1606" s="100" t="s">
        <v>588</v>
      </c>
      <c r="I1606" s="247">
        <v>14359</v>
      </c>
      <c r="J1606" s="101">
        <v>1</v>
      </c>
      <c r="K1606" s="101"/>
      <c r="L1606" s="101">
        <v>1</v>
      </c>
      <c r="M1606" s="101"/>
      <c r="N1606" s="101">
        <v>1</v>
      </c>
      <c r="O1606" s="101"/>
      <c r="P1606" s="101"/>
      <c r="Q1606" s="101"/>
      <c r="R1606" s="101"/>
      <c r="S1606" s="101"/>
      <c r="T1606" s="101"/>
      <c r="U1606" s="100" t="s">
        <v>1446</v>
      </c>
      <c r="V1606" s="100" t="s">
        <v>949</v>
      </c>
      <c r="W1606" s="100" t="s">
        <v>298</v>
      </c>
      <c r="X1606" s="100" t="s">
        <v>227</v>
      </c>
      <c r="Y1606" s="99"/>
      <c r="Z1606" s="99"/>
      <c r="AA1606" s="100" t="s">
        <v>3198</v>
      </c>
      <c r="AB1606" s="100" t="s">
        <v>528</v>
      </c>
      <c r="AC1606" s="99">
        <v>1</v>
      </c>
      <c r="AD1606" s="101"/>
      <c r="AE1606" s="101"/>
      <c r="AF1606" s="101"/>
      <c r="AG1606" s="101"/>
      <c r="AH1606" s="99"/>
      <c r="AI1606" s="105"/>
    </row>
    <row r="1607" spans="1:35">
      <c r="A1607" s="98"/>
      <c r="B1607" s="99"/>
      <c r="C1607" s="99"/>
      <c r="D1607" s="99"/>
      <c r="E1607" s="99"/>
      <c r="F1607" s="100"/>
      <c r="G1607" s="100"/>
      <c r="H1607" s="99"/>
      <c r="I1607" s="247"/>
      <c r="J1607" s="101"/>
      <c r="K1607" s="101"/>
      <c r="L1607" s="101"/>
      <c r="M1607" s="101"/>
      <c r="N1607" s="101"/>
      <c r="O1607" s="101"/>
      <c r="P1607" s="101"/>
      <c r="Q1607" s="101"/>
      <c r="R1607" s="101"/>
      <c r="S1607" s="101"/>
      <c r="T1607" s="101"/>
      <c r="U1607" s="99"/>
      <c r="V1607" s="100"/>
      <c r="W1607" s="99"/>
      <c r="X1607" s="99"/>
      <c r="Y1607" s="99"/>
      <c r="Z1607" s="99"/>
      <c r="AA1607" s="100" t="s">
        <v>1961</v>
      </c>
      <c r="AB1607" s="100" t="s">
        <v>526</v>
      </c>
      <c r="AC1607" s="266">
        <v>0.25</v>
      </c>
      <c r="AD1607" s="101"/>
      <c r="AE1607" s="101"/>
      <c r="AF1607" s="101"/>
      <c r="AG1607" s="101"/>
      <c r="AH1607" s="99"/>
      <c r="AI1607" s="105"/>
    </row>
    <row r="1608" spans="1:35">
      <c r="A1608" s="98"/>
      <c r="B1608" s="99"/>
      <c r="C1608" s="99"/>
      <c r="D1608" s="99"/>
      <c r="E1608" s="99"/>
      <c r="F1608" s="100"/>
      <c r="G1608" s="100"/>
      <c r="H1608" s="99"/>
      <c r="I1608" s="247"/>
      <c r="J1608" s="101"/>
      <c r="K1608" s="101"/>
      <c r="L1608" s="101"/>
      <c r="M1608" s="101"/>
      <c r="N1608" s="101"/>
      <c r="O1608" s="101"/>
      <c r="P1608" s="101"/>
      <c r="Q1608" s="101"/>
      <c r="R1608" s="101"/>
      <c r="S1608" s="101"/>
      <c r="T1608" s="101"/>
      <c r="U1608" s="99"/>
      <c r="V1608" s="100"/>
      <c r="W1608" s="100"/>
      <c r="X1608" s="100"/>
      <c r="Y1608" s="99"/>
      <c r="Z1608" s="99"/>
      <c r="AA1608" s="100" t="s">
        <v>1792</v>
      </c>
      <c r="AB1608" s="99" t="s">
        <v>526</v>
      </c>
      <c r="AC1608" s="99">
        <v>20</v>
      </c>
      <c r="AD1608" s="101"/>
      <c r="AE1608" s="101"/>
      <c r="AF1608" s="101"/>
      <c r="AG1608" s="101"/>
      <c r="AH1608" s="99"/>
      <c r="AI1608" s="105"/>
    </row>
    <row r="1609" spans="1:35">
      <c r="A1609" s="98"/>
      <c r="B1609" s="99"/>
      <c r="C1609" s="263" t="s">
        <v>3230</v>
      </c>
      <c r="D1609" s="264" t="s">
        <v>79</v>
      </c>
      <c r="E1609" s="264" t="s">
        <v>80</v>
      </c>
      <c r="F1609" s="100" t="s">
        <v>3974</v>
      </c>
      <c r="G1609" s="100" t="s">
        <v>1464</v>
      </c>
      <c r="H1609" s="100" t="s">
        <v>160</v>
      </c>
      <c r="I1609" s="247">
        <v>27172</v>
      </c>
      <c r="J1609" s="101">
        <v>1</v>
      </c>
      <c r="K1609" s="101"/>
      <c r="L1609" s="101">
        <v>1</v>
      </c>
      <c r="M1609" s="101"/>
      <c r="N1609" s="101">
        <v>1</v>
      </c>
      <c r="O1609" s="101"/>
      <c r="P1609" s="101"/>
      <c r="Q1609" s="101"/>
      <c r="R1609" s="101"/>
      <c r="S1609" s="101"/>
      <c r="T1609" s="101"/>
      <c r="U1609" s="100" t="s">
        <v>1446</v>
      </c>
      <c r="V1609" s="100" t="s">
        <v>949</v>
      </c>
      <c r="W1609" s="99" t="s">
        <v>298</v>
      </c>
      <c r="X1609" s="100" t="s">
        <v>227</v>
      </c>
      <c r="Y1609" s="99"/>
      <c r="Z1609" s="99"/>
      <c r="AA1609" s="100" t="s">
        <v>3198</v>
      </c>
      <c r="AB1609" s="100" t="s">
        <v>528</v>
      </c>
      <c r="AC1609" s="99">
        <v>1</v>
      </c>
      <c r="AD1609" s="101"/>
      <c r="AE1609" s="101"/>
      <c r="AF1609" s="101"/>
      <c r="AG1609" s="101"/>
      <c r="AH1609" s="99"/>
      <c r="AI1609" s="105"/>
    </row>
    <row r="1610" spans="1:35">
      <c r="A1610" s="98"/>
      <c r="B1610" s="99"/>
      <c r="C1610" s="99"/>
      <c r="D1610" s="99"/>
      <c r="E1610" s="99"/>
      <c r="F1610" s="100"/>
      <c r="G1610" s="100"/>
      <c r="H1610" s="99"/>
      <c r="I1610" s="247"/>
      <c r="J1610" s="101"/>
      <c r="K1610" s="101"/>
      <c r="L1610" s="101"/>
      <c r="M1610" s="101"/>
      <c r="N1610" s="101"/>
      <c r="O1610" s="101"/>
      <c r="P1610" s="101"/>
      <c r="Q1610" s="101"/>
      <c r="R1610" s="101"/>
      <c r="S1610" s="101"/>
      <c r="T1610" s="101"/>
      <c r="U1610" s="99"/>
      <c r="V1610" s="100"/>
      <c r="W1610" s="99"/>
      <c r="X1610" s="99"/>
      <c r="Y1610" s="99"/>
      <c r="Z1610" s="99"/>
      <c r="AA1610" s="100" t="s">
        <v>1961</v>
      </c>
      <c r="AB1610" s="100" t="s">
        <v>526</v>
      </c>
      <c r="AC1610" s="266">
        <v>0.25</v>
      </c>
      <c r="AD1610" s="101"/>
      <c r="AE1610" s="101"/>
      <c r="AF1610" s="101"/>
      <c r="AG1610" s="101"/>
      <c r="AH1610" s="99"/>
      <c r="AI1610" s="105"/>
    </row>
    <row r="1611" spans="1:35">
      <c r="A1611" s="98"/>
      <c r="B1611" s="99"/>
      <c r="C1611" s="99"/>
      <c r="D1611" s="99"/>
      <c r="E1611" s="99"/>
      <c r="F1611" s="100"/>
      <c r="G1611" s="100"/>
      <c r="H1611" s="99"/>
      <c r="I1611" s="247"/>
      <c r="J1611" s="101"/>
      <c r="K1611" s="101"/>
      <c r="L1611" s="101"/>
      <c r="M1611" s="101"/>
      <c r="N1611" s="101"/>
      <c r="O1611" s="101"/>
      <c r="P1611" s="101"/>
      <c r="Q1611" s="101"/>
      <c r="R1611" s="101"/>
      <c r="S1611" s="101"/>
      <c r="T1611" s="101"/>
      <c r="U1611" s="99"/>
      <c r="V1611" s="100"/>
      <c r="W1611" s="99"/>
      <c r="X1611" s="99"/>
      <c r="Y1611" s="99"/>
      <c r="Z1611" s="99"/>
      <c r="AA1611" s="100" t="s">
        <v>1792</v>
      </c>
      <c r="AB1611" s="99" t="s">
        <v>526</v>
      </c>
      <c r="AC1611" s="99">
        <v>20</v>
      </c>
      <c r="AD1611" s="101"/>
      <c r="AE1611" s="101"/>
      <c r="AF1611" s="101"/>
      <c r="AG1611" s="101"/>
      <c r="AH1611" s="99"/>
      <c r="AI1611" s="105"/>
    </row>
    <row r="1612" spans="1:35">
      <c r="A1612" s="98"/>
      <c r="B1612" s="99"/>
      <c r="C1612" s="263" t="s">
        <v>3230</v>
      </c>
      <c r="D1612" s="264" t="s">
        <v>79</v>
      </c>
      <c r="E1612" s="264" t="s">
        <v>80</v>
      </c>
      <c r="F1612" s="100" t="s">
        <v>3978</v>
      </c>
      <c r="G1612" s="100" t="s">
        <v>1381</v>
      </c>
      <c r="H1612" s="100" t="s">
        <v>117</v>
      </c>
      <c r="I1612" s="247">
        <v>17696</v>
      </c>
      <c r="J1612" s="101">
        <v>1</v>
      </c>
      <c r="K1612" s="101"/>
      <c r="L1612" s="101">
        <v>1</v>
      </c>
      <c r="M1612" s="101"/>
      <c r="N1612" s="101">
        <v>1</v>
      </c>
      <c r="O1612" s="101"/>
      <c r="P1612" s="101"/>
      <c r="Q1612" s="101"/>
      <c r="R1612" s="101"/>
      <c r="S1612" s="101"/>
      <c r="T1612" s="101"/>
      <c r="U1612" s="100" t="s">
        <v>1446</v>
      </c>
      <c r="V1612" s="100" t="s">
        <v>949</v>
      </c>
      <c r="W1612" s="99" t="s">
        <v>298</v>
      </c>
      <c r="X1612" s="100" t="s">
        <v>227</v>
      </c>
      <c r="Y1612" s="99"/>
      <c r="Z1612" s="99"/>
      <c r="AA1612" s="100" t="s">
        <v>3198</v>
      </c>
      <c r="AB1612" s="100" t="s">
        <v>528</v>
      </c>
      <c r="AC1612" s="99">
        <v>1</v>
      </c>
      <c r="AD1612" s="101"/>
      <c r="AE1612" s="101"/>
      <c r="AF1612" s="101"/>
      <c r="AG1612" s="101"/>
      <c r="AH1612" s="99"/>
      <c r="AI1612" s="105"/>
    </row>
    <row r="1613" spans="1:35">
      <c r="A1613" s="98"/>
      <c r="B1613" s="99"/>
      <c r="C1613" s="99"/>
      <c r="D1613" s="99"/>
      <c r="E1613" s="99"/>
      <c r="F1613" s="100"/>
      <c r="G1613" s="100"/>
      <c r="H1613" s="99"/>
      <c r="I1613" s="247"/>
      <c r="J1613" s="101"/>
      <c r="K1613" s="101"/>
      <c r="L1613" s="101"/>
      <c r="M1613" s="101"/>
      <c r="N1613" s="101"/>
      <c r="O1613" s="101"/>
      <c r="P1613" s="101"/>
      <c r="Q1613" s="101"/>
      <c r="R1613" s="101"/>
      <c r="S1613" s="101"/>
      <c r="T1613" s="101"/>
      <c r="U1613" s="99"/>
      <c r="V1613" s="100"/>
      <c r="W1613" s="100"/>
      <c r="X1613" s="100"/>
      <c r="Y1613" s="99"/>
      <c r="Z1613" s="99"/>
      <c r="AA1613" s="100" t="s">
        <v>1961</v>
      </c>
      <c r="AB1613" s="100" t="s">
        <v>526</v>
      </c>
      <c r="AC1613" s="266">
        <v>0.25</v>
      </c>
      <c r="AD1613" s="101"/>
      <c r="AE1613" s="101"/>
      <c r="AF1613" s="101"/>
      <c r="AG1613" s="101"/>
      <c r="AH1613" s="99"/>
      <c r="AI1613" s="105"/>
    </row>
    <row r="1614" spans="1:35">
      <c r="A1614" s="98"/>
      <c r="B1614" s="99"/>
      <c r="C1614" s="99"/>
      <c r="D1614" s="99"/>
      <c r="E1614" s="99"/>
      <c r="F1614" s="100"/>
      <c r="G1614" s="100"/>
      <c r="H1614" s="99"/>
      <c r="I1614" s="247"/>
      <c r="J1614" s="101"/>
      <c r="K1614" s="101"/>
      <c r="L1614" s="101"/>
      <c r="M1614" s="101"/>
      <c r="N1614" s="101"/>
      <c r="O1614" s="101"/>
      <c r="P1614" s="101"/>
      <c r="Q1614" s="101"/>
      <c r="R1614" s="101"/>
      <c r="S1614" s="101"/>
      <c r="T1614" s="101"/>
      <c r="U1614" s="99"/>
      <c r="V1614" s="100"/>
      <c r="W1614" s="99"/>
      <c r="X1614" s="99"/>
      <c r="Y1614" s="99"/>
      <c r="Z1614" s="99"/>
      <c r="AA1614" s="100" t="s">
        <v>1792</v>
      </c>
      <c r="AB1614" s="99" t="s">
        <v>526</v>
      </c>
      <c r="AC1614" s="99">
        <v>20</v>
      </c>
      <c r="AD1614" s="101"/>
      <c r="AE1614" s="101"/>
      <c r="AF1614" s="101"/>
      <c r="AG1614" s="101"/>
      <c r="AH1614" s="99"/>
      <c r="AI1614" s="105"/>
    </row>
    <row r="1615" spans="1:35">
      <c r="A1615" s="98"/>
      <c r="B1615" s="99"/>
      <c r="C1615" s="263" t="s">
        <v>3230</v>
      </c>
      <c r="D1615" s="264" t="s">
        <v>79</v>
      </c>
      <c r="E1615" s="264" t="s">
        <v>80</v>
      </c>
      <c r="F1615" s="100" t="s">
        <v>3979</v>
      </c>
      <c r="G1615" s="100" t="s">
        <v>3980</v>
      </c>
      <c r="H1615" s="100" t="s">
        <v>117</v>
      </c>
      <c r="I1615" s="247">
        <v>19177</v>
      </c>
      <c r="J1615" s="101">
        <v>1</v>
      </c>
      <c r="K1615" s="101"/>
      <c r="L1615" s="101">
        <v>1</v>
      </c>
      <c r="M1615" s="101"/>
      <c r="N1615" s="101">
        <v>1</v>
      </c>
      <c r="O1615" s="101"/>
      <c r="P1615" s="101"/>
      <c r="Q1615" s="101"/>
      <c r="R1615" s="101"/>
      <c r="S1615" s="101"/>
      <c r="T1615" s="101"/>
      <c r="U1615" s="100" t="s">
        <v>1446</v>
      </c>
      <c r="V1615" s="100" t="s">
        <v>949</v>
      </c>
      <c r="W1615" s="100" t="s">
        <v>298</v>
      </c>
      <c r="X1615" s="100" t="s">
        <v>227</v>
      </c>
      <c r="Y1615" s="99"/>
      <c r="Z1615" s="99"/>
      <c r="AA1615" s="100" t="s">
        <v>3198</v>
      </c>
      <c r="AB1615" s="100" t="s">
        <v>528</v>
      </c>
      <c r="AC1615" s="99">
        <v>1</v>
      </c>
      <c r="AD1615" s="101"/>
      <c r="AE1615" s="101"/>
      <c r="AF1615" s="101"/>
      <c r="AG1615" s="101"/>
      <c r="AH1615" s="99"/>
      <c r="AI1615" s="105"/>
    </row>
    <row r="1616" spans="1:35">
      <c r="A1616" s="98"/>
      <c r="B1616" s="99"/>
      <c r="C1616" s="99"/>
      <c r="D1616" s="99"/>
      <c r="E1616" s="99"/>
      <c r="F1616" s="100"/>
      <c r="G1616" s="100"/>
      <c r="H1616" s="99"/>
      <c r="I1616" s="247"/>
      <c r="J1616" s="101"/>
      <c r="K1616" s="101"/>
      <c r="L1616" s="101"/>
      <c r="M1616" s="101"/>
      <c r="N1616" s="101"/>
      <c r="O1616" s="101"/>
      <c r="P1616" s="101"/>
      <c r="Q1616" s="101"/>
      <c r="R1616" s="101"/>
      <c r="S1616" s="101"/>
      <c r="T1616" s="101"/>
      <c r="U1616" s="99"/>
      <c r="V1616" s="100"/>
      <c r="W1616" s="99"/>
      <c r="X1616" s="99"/>
      <c r="Y1616" s="99"/>
      <c r="Z1616" s="99"/>
      <c r="AA1616" s="100" t="s">
        <v>1961</v>
      </c>
      <c r="AB1616" s="100" t="s">
        <v>526</v>
      </c>
      <c r="AC1616" s="266">
        <v>0.25</v>
      </c>
      <c r="AD1616" s="101"/>
      <c r="AE1616" s="101"/>
      <c r="AF1616" s="101"/>
      <c r="AG1616" s="101"/>
      <c r="AH1616" s="99"/>
      <c r="AI1616" s="105"/>
    </row>
    <row r="1617" spans="1:35">
      <c r="A1617" s="98"/>
      <c r="B1617" s="99"/>
      <c r="C1617" s="99"/>
      <c r="D1617" s="99"/>
      <c r="E1617" s="99"/>
      <c r="F1617" s="100"/>
      <c r="G1617" s="100"/>
      <c r="H1617" s="99"/>
      <c r="I1617" s="247"/>
      <c r="J1617" s="101"/>
      <c r="K1617" s="101"/>
      <c r="L1617" s="101"/>
      <c r="M1617" s="101"/>
      <c r="N1617" s="101"/>
      <c r="O1617" s="101"/>
      <c r="P1617" s="101"/>
      <c r="Q1617" s="101"/>
      <c r="R1617" s="101"/>
      <c r="S1617" s="101"/>
      <c r="T1617" s="101"/>
      <c r="U1617" s="99"/>
      <c r="V1617" s="100"/>
      <c r="W1617" s="100"/>
      <c r="X1617" s="100"/>
      <c r="Y1617" s="99"/>
      <c r="Z1617" s="99"/>
      <c r="AA1617" s="100" t="s">
        <v>1792</v>
      </c>
      <c r="AB1617" s="99" t="s">
        <v>526</v>
      </c>
      <c r="AC1617" s="99">
        <v>20</v>
      </c>
      <c r="AD1617" s="101"/>
      <c r="AE1617" s="101"/>
      <c r="AF1617" s="101"/>
      <c r="AG1617" s="101"/>
      <c r="AH1617" s="99"/>
      <c r="AI1617" s="105"/>
    </row>
    <row r="1618" spans="1:35">
      <c r="A1618" s="98"/>
      <c r="B1618" s="99"/>
      <c r="C1618" s="263" t="s">
        <v>3230</v>
      </c>
      <c r="D1618" s="264" t="s">
        <v>79</v>
      </c>
      <c r="E1618" s="264" t="s">
        <v>80</v>
      </c>
      <c r="F1618" s="100" t="s">
        <v>3981</v>
      </c>
      <c r="G1618" s="100" t="s">
        <v>181</v>
      </c>
      <c r="H1618" s="100" t="s">
        <v>120</v>
      </c>
      <c r="I1618" s="247">
        <v>29579</v>
      </c>
      <c r="J1618" s="101">
        <v>1</v>
      </c>
      <c r="K1618" s="101"/>
      <c r="L1618" s="101">
        <v>1</v>
      </c>
      <c r="M1618" s="101"/>
      <c r="N1618" s="101">
        <v>1</v>
      </c>
      <c r="O1618" s="101"/>
      <c r="P1618" s="101"/>
      <c r="Q1618" s="101"/>
      <c r="R1618" s="101"/>
      <c r="S1618" s="101"/>
      <c r="T1618" s="101"/>
      <c r="U1618" s="100" t="s">
        <v>1446</v>
      </c>
      <c r="V1618" s="100" t="s">
        <v>949</v>
      </c>
      <c r="W1618" s="99" t="s">
        <v>298</v>
      </c>
      <c r="X1618" s="100" t="s">
        <v>227</v>
      </c>
      <c r="Y1618" s="99"/>
      <c r="Z1618" s="99"/>
      <c r="AA1618" s="100" t="s">
        <v>3198</v>
      </c>
      <c r="AB1618" s="100" t="s">
        <v>528</v>
      </c>
      <c r="AC1618" s="99">
        <v>1</v>
      </c>
      <c r="AD1618" s="101"/>
      <c r="AE1618" s="101"/>
      <c r="AF1618" s="101"/>
      <c r="AG1618" s="101"/>
      <c r="AH1618" s="99"/>
      <c r="AI1618" s="105"/>
    </row>
    <row r="1619" spans="1:35">
      <c r="A1619" s="98"/>
      <c r="B1619" s="99"/>
      <c r="C1619" s="99"/>
      <c r="D1619" s="99"/>
      <c r="E1619" s="99"/>
      <c r="F1619" s="100"/>
      <c r="G1619" s="100"/>
      <c r="H1619" s="99"/>
      <c r="I1619" s="247"/>
      <c r="J1619" s="101"/>
      <c r="K1619" s="101"/>
      <c r="L1619" s="101"/>
      <c r="M1619" s="101"/>
      <c r="N1619" s="101"/>
      <c r="O1619" s="101"/>
      <c r="P1619" s="101"/>
      <c r="Q1619" s="101"/>
      <c r="R1619" s="101"/>
      <c r="S1619" s="101"/>
      <c r="T1619" s="101"/>
      <c r="U1619" s="99"/>
      <c r="V1619" s="100"/>
      <c r="W1619" s="99"/>
      <c r="X1619" s="99"/>
      <c r="Y1619" s="99"/>
      <c r="Z1619" s="99"/>
      <c r="AA1619" s="100" t="s">
        <v>1961</v>
      </c>
      <c r="AB1619" s="100" t="s">
        <v>526</v>
      </c>
      <c r="AC1619" s="266">
        <v>0.25</v>
      </c>
      <c r="AD1619" s="101"/>
      <c r="AE1619" s="101"/>
      <c r="AF1619" s="101"/>
      <c r="AG1619" s="101"/>
      <c r="AH1619" s="99"/>
      <c r="AI1619" s="105"/>
    </row>
    <row r="1620" spans="1:35">
      <c r="A1620" s="98"/>
      <c r="B1620" s="99"/>
      <c r="C1620" s="99"/>
      <c r="D1620" s="99"/>
      <c r="E1620" s="99"/>
      <c r="F1620" s="100"/>
      <c r="G1620" s="100"/>
      <c r="H1620" s="99"/>
      <c r="I1620" s="247"/>
      <c r="J1620" s="101"/>
      <c r="K1620" s="101"/>
      <c r="L1620" s="101"/>
      <c r="M1620" s="101"/>
      <c r="N1620" s="101"/>
      <c r="O1620" s="101"/>
      <c r="P1620" s="101"/>
      <c r="Q1620" s="101"/>
      <c r="R1620" s="101"/>
      <c r="S1620" s="101"/>
      <c r="T1620" s="101"/>
      <c r="U1620" s="99"/>
      <c r="V1620" s="100"/>
      <c r="W1620" s="99"/>
      <c r="X1620" s="99"/>
      <c r="Y1620" s="99"/>
      <c r="Z1620" s="99"/>
      <c r="AA1620" s="100" t="s">
        <v>1792</v>
      </c>
      <c r="AB1620" s="99" t="s">
        <v>526</v>
      </c>
      <c r="AC1620" s="99">
        <v>20</v>
      </c>
      <c r="AD1620" s="101"/>
      <c r="AE1620" s="101"/>
      <c r="AF1620" s="101"/>
      <c r="AG1620" s="101"/>
      <c r="AH1620" s="99"/>
      <c r="AI1620" s="105"/>
    </row>
    <row r="1621" spans="1:35">
      <c r="A1621" s="98"/>
      <c r="B1621" s="99"/>
      <c r="C1621" s="263" t="s">
        <v>3230</v>
      </c>
      <c r="D1621" s="264" t="s">
        <v>79</v>
      </c>
      <c r="E1621" s="264" t="s">
        <v>80</v>
      </c>
      <c r="F1621" s="100" t="s">
        <v>3208</v>
      </c>
      <c r="G1621" s="100" t="s">
        <v>3982</v>
      </c>
      <c r="H1621" s="100" t="s">
        <v>160</v>
      </c>
      <c r="I1621" s="247">
        <v>29218</v>
      </c>
      <c r="J1621" s="101">
        <v>1</v>
      </c>
      <c r="K1621" s="101"/>
      <c r="L1621" s="101">
        <v>1</v>
      </c>
      <c r="M1621" s="101"/>
      <c r="N1621" s="101">
        <v>1</v>
      </c>
      <c r="O1621" s="101"/>
      <c r="P1621" s="101"/>
      <c r="Q1621" s="101"/>
      <c r="R1621" s="101"/>
      <c r="S1621" s="101"/>
      <c r="T1621" s="101"/>
      <c r="U1621" s="100" t="s">
        <v>1446</v>
      </c>
      <c r="V1621" s="100" t="s">
        <v>949</v>
      </c>
      <c r="W1621" s="99" t="s">
        <v>298</v>
      </c>
      <c r="X1621" s="100" t="s">
        <v>227</v>
      </c>
      <c r="Y1621" s="99"/>
      <c r="Z1621" s="99"/>
      <c r="AA1621" s="100" t="s">
        <v>3198</v>
      </c>
      <c r="AB1621" s="100" t="s">
        <v>528</v>
      </c>
      <c r="AC1621" s="99">
        <v>1</v>
      </c>
      <c r="AD1621" s="101"/>
      <c r="AE1621" s="101"/>
      <c r="AF1621" s="101"/>
      <c r="AG1621" s="101"/>
      <c r="AH1621" s="99"/>
      <c r="AI1621" s="105"/>
    </row>
    <row r="1622" spans="1:35">
      <c r="A1622" s="98"/>
      <c r="B1622" s="99"/>
      <c r="C1622" s="99"/>
      <c r="D1622" s="99"/>
      <c r="E1622" s="99"/>
      <c r="F1622" s="100"/>
      <c r="G1622" s="100"/>
      <c r="H1622" s="99"/>
      <c r="I1622" s="247"/>
      <c r="J1622" s="101"/>
      <c r="K1622" s="101"/>
      <c r="L1622" s="101"/>
      <c r="M1622" s="101"/>
      <c r="N1622" s="101"/>
      <c r="O1622" s="101"/>
      <c r="P1622" s="101"/>
      <c r="Q1622" s="101"/>
      <c r="R1622" s="101"/>
      <c r="S1622" s="101"/>
      <c r="T1622" s="101"/>
      <c r="U1622" s="99"/>
      <c r="V1622" s="100"/>
      <c r="W1622" s="100"/>
      <c r="X1622" s="100"/>
      <c r="Y1622" s="99"/>
      <c r="Z1622" s="99"/>
      <c r="AA1622" s="100" t="s">
        <v>1961</v>
      </c>
      <c r="AB1622" s="100" t="s">
        <v>526</v>
      </c>
      <c r="AC1622" s="266">
        <v>0.25</v>
      </c>
      <c r="AD1622" s="101"/>
      <c r="AE1622" s="101"/>
      <c r="AF1622" s="101"/>
      <c r="AG1622" s="101"/>
      <c r="AH1622" s="99"/>
      <c r="AI1622" s="105"/>
    </row>
    <row r="1623" spans="1:35">
      <c r="A1623" s="98"/>
      <c r="B1623" s="99"/>
      <c r="C1623" s="99"/>
      <c r="D1623" s="99"/>
      <c r="E1623" s="99"/>
      <c r="F1623" s="100"/>
      <c r="G1623" s="100"/>
      <c r="H1623" s="99"/>
      <c r="I1623" s="247"/>
      <c r="J1623" s="101"/>
      <c r="K1623" s="101"/>
      <c r="L1623" s="101"/>
      <c r="M1623" s="101"/>
      <c r="N1623" s="101"/>
      <c r="O1623" s="101"/>
      <c r="P1623" s="101"/>
      <c r="Q1623" s="101"/>
      <c r="R1623" s="101"/>
      <c r="S1623" s="101"/>
      <c r="T1623" s="101"/>
      <c r="U1623" s="99"/>
      <c r="V1623" s="100"/>
      <c r="W1623" s="99"/>
      <c r="X1623" s="99"/>
      <c r="Y1623" s="99"/>
      <c r="Z1623" s="99"/>
      <c r="AA1623" s="100" t="s">
        <v>3968</v>
      </c>
      <c r="AB1623" s="100" t="s">
        <v>526</v>
      </c>
      <c r="AC1623" s="267">
        <v>2.5</v>
      </c>
      <c r="AD1623" s="101"/>
      <c r="AE1623" s="101"/>
      <c r="AF1623" s="101"/>
      <c r="AG1623" s="101"/>
      <c r="AH1623" s="99"/>
      <c r="AI1623" s="105"/>
    </row>
    <row r="1624" spans="1:35">
      <c r="A1624" s="98"/>
      <c r="B1624" s="99"/>
      <c r="C1624" s="99"/>
      <c r="D1624" s="99"/>
      <c r="E1624" s="99"/>
      <c r="F1624" s="100"/>
      <c r="G1624" s="100"/>
      <c r="H1624" s="99"/>
      <c r="I1624" s="247"/>
      <c r="J1624" s="101"/>
      <c r="K1624" s="101"/>
      <c r="L1624" s="101"/>
      <c r="M1624" s="101"/>
      <c r="N1624" s="101"/>
      <c r="O1624" s="101"/>
      <c r="P1624" s="101"/>
      <c r="Q1624" s="101"/>
      <c r="R1624" s="101"/>
      <c r="S1624" s="101"/>
      <c r="T1624" s="101"/>
      <c r="U1624" s="100" t="s">
        <v>1446</v>
      </c>
      <c r="V1624" s="100" t="s">
        <v>949</v>
      </c>
      <c r="W1624" s="99" t="s">
        <v>298</v>
      </c>
      <c r="X1624" s="100" t="s">
        <v>227</v>
      </c>
      <c r="Y1624" s="99"/>
      <c r="Z1624" s="99"/>
      <c r="AA1624" s="100" t="s">
        <v>1792</v>
      </c>
      <c r="AB1624" s="99" t="s">
        <v>526</v>
      </c>
      <c r="AC1624" s="99">
        <v>20</v>
      </c>
      <c r="AD1624" s="101"/>
      <c r="AE1624" s="101"/>
      <c r="AF1624" s="101"/>
      <c r="AG1624" s="101"/>
      <c r="AH1624" s="99"/>
      <c r="AI1624" s="105"/>
    </row>
    <row r="1625" spans="1:35">
      <c r="A1625" s="98"/>
      <c r="B1625" s="99"/>
      <c r="C1625" s="263" t="s">
        <v>3230</v>
      </c>
      <c r="D1625" s="264" t="s">
        <v>79</v>
      </c>
      <c r="E1625" s="264" t="s">
        <v>80</v>
      </c>
      <c r="F1625" s="100" t="s">
        <v>3983</v>
      </c>
      <c r="G1625" s="100" t="s">
        <v>3984</v>
      </c>
      <c r="H1625" s="100" t="s">
        <v>286</v>
      </c>
      <c r="I1625" s="247">
        <v>31022</v>
      </c>
      <c r="J1625" s="101">
        <v>1</v>
      </c>
      <c r="K1625" s="101"/>
      <c r="L1625" s="101">
        <v>1</v>
      </c>
      <c r="M1625" s="101"/>
      <c r="N1625" s="101">
        <v>1</v>
      </c>
      <c r="O1625" s="101"/>
      <c r="P1625" s="101"/>
      <c r="Q1625" s="101"/>
      <c r="R1625" s="101"/>
      <c r="S1625" s="101"/>
      <c r="T1625" s="101"/>
      <c r="U1625" s="99"/>
      <c r="V1625" s="100"/>
      <c r="W1625" s="100"/>
      <c r="X1625" s="100"/>
      <c r="Y1625" s="99"/>
      <c r="Z1625" s="99"/>
      <c r="AA1625" s="100" t="s">
        <v>3198</v>
      </c>
      <c r="AB1625" s="100" t="s">
        <v>528</v>
      </c>
      <c r="AC1625" s="99">
        <v>1</v>
      </c>
      <c r="AD1625" s="101"/>
      <c r="AE1625" s="101"/>
      <c r="AF1625" s="101"/>
      <c r="AG1625" s="101"/>
      <c r="AH1625" s="99"/>
      <c r="AI1625" s="105"/>
    </row>
    <row r="1626" spans="1:35">
      <c r="A1626" s="98"/>
      <c r="B1626" s="99"/>
      <c r="C1626" s="99"/>
      <c r="D1626" s="99"/>
      <c r="E1626" s="99"/>
      <c r="F1626" s="100"/>
      <c r="G1626" s="100"/>
      <c r="H1626" s="99"/>
      <c r="I1626" s="247"/>
      <c r="J1626" s="101"/>
      <c r="K1626" s="101"/>
      <c r="L1626" s="101"/>
      <c r="M1626" s="101"/>
      <c r="N1626" s="101"/>
      <c r="O1626" s="101"/>
      <c r="P1626" s="101"/>
      <c r="Q1626" s="101"/>
      <c r="R1626" s="101"/>
      <c r="S1626" s="101"/>
      <c r="T1626" s="101"/>
      <c r="U1626" s="99"/>
      <c r="V1626" s="100"/>
      <c r="W1626" s="99"/>
      <c r="X1626" s="99"/>
      <c r="Y1626" s="99"/>
      <c r="Z1626" s="99"/>
      <c r="AA1626" s="100" t="s">
        <v>1961</v>
      </c>
      <c r="AB1626" s="100" t="s">
        <v>526</v>
      </c>
      <c r="AC1626" s="266">
        <v>0.25</v>
      </c>
      <c r="AD1626" s="101"/>
      <c r="AE1626" s="101"/>
      <c r="AF1626" s="101"/>
      <c r="AG1626" s="101"/>
      <c r="AH1626" s="99"/>
      <c r="AI1626" s="105"/>
    </row>
    <row r="1627" spans="1:35">
      <c r="A1627" s="98"/>
      <c r="B1627" s="99"/>
      <c r="C1627" s="99"/>
      <c r="D1627" s="99"/>
      <c r="E1627" s="99"/>
      <c r="F1627" s="100"/>
      <c r="G1627" s="100"/>
      <c r="H1627" s="99"/>
      <c r="I1627" s="247"/>
      <c r="J1627" s="101"/>
      <c r="K1627" s="101"/>
      <c r="L1627" s="101"/>
      <c r="M1627" s="101"/>
      <c r="N1627" s="101"/>
      <c r="O1627" s="101"/>
      <c r="P1627" s="101"/>
      <c r="Q1627" s="101"/>
      <c r="R1627" s="101"/>
      <c r="S1627" s="101"/>
      <c r="T1627" s="101"/>
      <c r="U1627" s="100" t="s">
        <v>1446</v>
      </c>
      <c r="V1627" s="100" t="s">
        <v>949</v>
      </c>
      <c r="W1627" s="99" t="s">
        <v>298</v>
      </c>
      <c r="X1627" s="100" t="s">
        <v>227</v>
      </c>
      <c r="Y1627" s="99"/>
      <c r="Z1627" s="99"/>
      <c r="AA1627" s="100" t="s">
        <v>3968</v>
      </c>
      <c r="AB1627" s="100" t="s">
        <v>526</v>
      </c>
      <c r="AC1627" s="267">
        <v>2.5</v>
      </c>
      <c r="AD1627" s="101"/>
      <c r="AE1627" s="101"/>
      <c r="AF1627" s="101"/>
      <c r="AG1627" s="101"/>
      <c r="AH1627" s="99"/>
      <c r="AI1627" s="105"/>
    </row>
    <row r="1628" spans="1:35">
      <c r="A1628" s="98"/>
      <c r="B1628" s="99"/>
      <c r="C1628" s="99"/>
      <c r="D1628" s="99"/>
      <c r="E1628" s="99"/>
      <c r="F1628" s="100"/>
      <c r="G1628" s="100"/>
      <c r="H1628" s="99"/>
      <c r="I1628" s="247"/>
      <c r="J1628" s="101"/>
      <c r="K1628" s="101"/>
      <c r="L1628" s="101"/>
      <c r="M1628" s="101"/>
      <c r="N1628" s="101"/>
      <c r="O1628" s="101"/>
      <c r="P1628" s="101"/>
      <c r="Q1628" s="101"/>
      <c r="R1628" s="101"/>
      <c r="S1628" s="101"/>
      <c r="T1628" s="101"/>
      <c r="U1628" s="99"/>
      <c r="V1628" s="100"/>
      <c r="W1628" s="100"/>
      <c r="X1628" s="100"/>
      <c r="Y1628" s="99"/>
      <c r="Z1628" s="99"/>
      <c r="AA1628" s="100" t="s">
        <v>1792</v>
      </c>
      <c r="AB1628" s="99" t="s">
        <v>526</v>
      </c>
      <c r="AC1628" s="99">
        <v>20</v>
      </c>
      <c r="AD1628" s="101"/>
      <c r="AE1628" s="101"/>
      <c r="AF1628" s="101"/>
      <c r="AG1628" s="101"/>
      <c r="AH1628" s="99"/>
      <c r="AI1628" s="105"/>
    </row>
    <row r="1629" spans="1:35">
      <c r="A1629" s="98"/>
      <c r="B1629" s="99"/>
      <c r="C1629" s="263" t="s">
        <v>3230</v>
      </c>
      <c r="D1629" s="264" t="s">
        <v>79</v>
      </c>
      <c r="E1629" s="264" t="s">
        <v>80</v>
      </c>
      <c r="F1629" s="100" t="s">
        <v>3764</v>
      </c>
      <c r="G1629" s="100" t="s">
        <v>3985</v>
      </c>
      <c r="H1629" s="100" t="s">
        <v>136</v>
      </c>
      <c r="I1629" s="247">
        <v>33063</v>
      </c>
      <c r="J1629" s="101"/>
      <c r="K1629" s="101">
        <v>1</v>
      </c>
      <c r="L1629" s="101">
        <v>1</v>
      </c>
      <c r="M1629" s="101"/>
      <c r="N1629" s="101">
        <v>1</v>
      </c>
      <c r="O1629" s="101"/>
      <c r="P1629" s="101"/>
      <c r="Q1629" s="101"/>
      <c r="R1629" s="101"/>
      <c r="S1629" s="101"/>
      <c r="T1629" s="101"/>
      <c r="U1629" s="99"/>
      <c r="V1629" s="100"/>
      <c r="W1629" s="99"/>
      <c r="X1629" s="99"/>
      <c r="Y1629" s="99"/>
      <c r="Z1629" s="99"/>
      <c r="AA1629" s="100" t="s">
        <v>3198</v>
      </c>
      <c r="AB1629" s="100" t="s">
        <v>528</v>
      </c>
      <c r="AC1629" s="99">
        <v>1</v>
      </c>
      <c r="AD1629" s="101"/>
      <c r="AE1629" s="101"/>
      <c r="AF1629" s="101"/>
      <c r="AG1629" s="101"/>
      <c r="AH1629" s="99"/>
      <c r="AI1629" s="105"/>
    </row>
    <row r="1630" spans="1:35">
      <c r="A1630" s="98"/>
      <c r="B1630" s="99"/>
      <c r="C1630" s="99"/>
      <c r="D1630" s="99"/>
      <c r="E1630" s="99"/>
      <c r="F1630" s="100"/>
      <c r="G1630" s="100"/>
      <c r="H1630" s="99"/>
      <c r="I1630" s="247"/>
      <c r="J1630" s="101"/>
      <c r="K1630" s="101"/>
      <c r="L1630" s="101"/>
      <c r="M1630" s="101"/>
      <c r="N1630" s="101"/>
      <c r="O1630" s="101"/>
      <c r="P1630" s="101"/>
      <c r="Q1630" s="101"/>
      <c r="R1630" s="101"/>
      <c r="S1630" s="101"/>
      <c r="T1630" s="101"/>
      <c r="U1630" s="100" t="s">
        <v>1446</v>
      </c>
      <c r="V1630" s="100" t="s">
        <v>949</v>
      </c>
      <c r="W1630" s="99" t="s">
        <v>298</v>
      </c>
      <c r="X1630" s="100" t="s">
        <v>227</v>
      </c>
      <c r="Y1630" s="99"/>
      <c r="Z1630" s="99"/>
      <c r="AA1630" s="100" t="s">
        <v>1961</v>
      </c>
      <c r="AB1630" s="100" t="s">
        <v>526</v>
      </c>
      <c r="AC1630" s="266">
        <v>0.25</v>
      </c>
      <c r="AD1630" s="101"/>
      <c r="AE1630" s="101"/>
      <c r="AF1630" s="101"/>
      <c r="AG1630" s="101"/>
      <c r="AH1630" s="99"/>
      <c r="AI1630" s="105"/>
    </row>
    <row r="1631" spans="1:35">
      <c r="A1631" s="98"/>
      <c r="B1631" s="99"/>
      <c r="C1631" s="99"/>
      <c r="D1631" s="99"/>
      <c r="E1631" s="99"/>
      <c r="F1631" s="100"/>
      <c r="G1631" s="100"/>
      <c r="H1631" s="99"/>
      <c r="I1631" s="247"/>
      <c r="J1631" s="101"/>
      <c r="K1631" s="101"/>
      <c r="L1631" s="101"/>
      <c r="M1631" s="101"/>
      <c r="N1631" s="101"/>
      <c r="O1631" s="101"/>
      <c r="P1631" s="101"/>
      <c r="Q1631" s="101"/>
      <c r="R1631" s="101"/>
      <c r="S1631" s="101"/>
      <c r="T1631" s="101"/>
      <c r="U1631" s="99"/>
      <c r="V1631" s="100"/>
      <c r="W1631" s="99"/>
      <c r="X1631" s="99"/>
      <c r="Y1631" s="99"/>
      <c r="Z1631" s="99"/>
      <c r="AA1631" s="100" t="s">
        <v>1792</v>
      </c>
      <c r="AB1631" s="99" t="s">
        <v>526</v>
      </c>
      <c r="AC1631" s="99">
        <v>20</v>
      </c>
      <c r="AD1631" s="101"/>
      <c r="AE1631" s="101"/>
      <c r="AF1631" s="101"/>
      <c r="AG1631" s="101"/>
      <c r="AH1631" s="99"/>
      <c r="AI1631" s="105"/>
    </row>
    <row r="1632" spans="1:35">
      <c r="A1632" s="98"/>
      <c r="B1632" s="99"/>
      <c r="C1632" s="263" t="s">
        <v>3230</v>
      </c>
      <c r="D1632" s="264" t="s">
        <v>79</v>
      </c>
      <c r="E1632" s="264" t="s">
        <v>80</v>
      </c>
      <c r="F1632" s="100" t="s">
        <v>3208</v>
      </c>
      <c r="G1632" s="100" t="s">
        <v>3986</v>
      </c>
      <c r="H1632" s="100" t="s">
        <v>126</v>
      </c>
      <c r="I1632" s="251">
        <v>29117</v>
      </c>
      <c r="J1632" s="101"/>
      <c r="K1632" s="101">
        <v>1</v>
      </c>
      <c r="L1632" s="101">
        <v>1</v>
      </c>
      <c r="M1632" s="101"/>
      <c r="N1632" s="101">
        <v>1</v>
      </c>
      <c r="O1632" s="101"/>
      <c r="P1632" s="101"/>
      <c r="Q1632" s="101"/>
      <c r="R1632" s="101"/>
      <c r="S1632" s="101"/>
      <c r="T1632" s="101"/>
      <c r="U1632" s="99"/>
      <c r="V1632" s="100"/>
      <c r="W1632" s="99"/>
      <c r="X1632" s="99"/>
      <c r="Y1632" s="99"/>
      <c r="Z1632" s="99"/>
      <c r="AA1632" s="100" t="s">
        <v>3198</v>
      </c>
      <c r="AB1632" s="100" t="s">
        <v>528</v>
      </c>
      <c r="AC1632" s="99">
        <v>1</v>
      </c>
      <c r="AD1632" s="101"/>
      <c r="AE1632" s="101"/>
      <c r="AF1632" s="101"/>
      <c r="AG1632" s="101"/>
      <c r="AH1632" s="99"/>
      <c r="AI1632" s="105"/>
    </row>
    <row r="1633" spans="1:35">
      <c r="A1633" s="98"/>
      <c r="B1633" s="99"/>
      <c r="C1633" s="99"/>
      <c r="D1633" s="99"/>
      <c r="E1633" s="99"/>
      <c r="F1633" s="100"/>
      <c r="G1633" s="100"/>
      <c r="H1633" s="99"/>
      <c r="I1633" s="247"/>
      <c r="J1633" s="101"/>
      <c r="K1633" s="101"/>
      <c r="L1633" s="101"/>
      <c r="M1633" s="101"/>
      <c r="N1633" s="101"/>
      <c r="O1633" s="101"/>
      <c r="P1633" s="101"/>
      <c r="Q1633" s="101"/>
      <c r="R1633" s="101"/>
      <c r="S1633" s="101"/>
      <c r="T1633" s="101"/>
      <c r="U1633" s="100" t="s">
        <v>1446</v>
      </c>
      <c r="V1633" s="100" t="s">
        <v>949</v>
      </c>
      <c r="W1633" s="100" t="s">
        <v>298</v>
      </c>
      <c r="X1633" s="100" t="s">
        <v>227</v>
      </c>
      <c r="Y1633" s="99"/>
      <c r="Z1633" s="99"/>
      <c r="AA1633" s="100" t="s">
        <v>1961</v>
      </c>
      <c r="AB1633" s="100" t="s">
        <v>526</v>
      </c>
      <c r="AC1633" s="266">
        <v>0.25</v>
      </c>
      <c r="AD1633" s="101"/>
      <c r="AE1633" s="101"/>
      <c r="AF1633" s="101"/>
      <c r="AG1633" s="101"/>
      <c r="AH1633" s="99"/>
      <c r="AI1633" s="105"/>
    </row>
    <row r="1634" spans="1:35">
      <c r="A1634" s="98"/>
      <c r="B1634" s="99"/>
      <c r="C1634" s="99"/>
      <c r="D1634" s="99"/>
      <c r="E1634" s="99"/>
      <c r="F1634" s="100"/>
      <c r="G1634" s="100"/>
      <c r="H1634" s="99"/>
      <c r="I1634" s="247"/>
      <c r="J1634" s="101"/>
      <c r="K1634" s="101"/>
      <c r="L1634" s="101"/>
      <c r="M1634" s="101"/>
      <c r="N1634" s="101"/>
      <c r="O1634" s="101"/>
      <c r="P1634" s="101"/>
      <c r="Q1634" s="101"/>
      <c r="R1634" s="101"/>
      <c r="S1634" s="101"/>
      <c r="T1634" s="101"/>
      <c r="U1634" s="99"/>
      <c r="V1634" s="100"/>
      <c r="W1634" s="99"/>
      <c r="X1634" s="99"/>
      <c r="Y1634" s="99"/>
      <c r="Z1634" s="99"/>
      <c r="AA1634" s="100" t="s">
        <v>1792</v>
      </c>
      <c r="AB1634" s="99" t="s">
        <v>526</v>
      </c>
      <c r="AC1634" s="99">
        <v>20</v>
      </c>
      <c r="AD1634" s="101"/>
      <c r="AE1634" s="101"/>
      <c r="AF1634" s="101"/>
      <c r="AG1634" s="101"/>
      <c r="AH1634" s="99"/>
      <c r="AI1634" s="105"/>
    </row>
    <row r="1635" spans="1:35">
      <c r="A1635" s="98"/>
      <c r="B1635" s="99"/>
      <c r="C1635" s="263" t="s">
        <v>3230</v>
      </c>
      <c r="D1635" s="264" t="s">
        <v>79</v>
      </c>
      <c r="E1635" s="264" t="s">
        <v>80</v>
      </c>
      <c r="F1635" s="100" t="s">
        <v>3988</v>
      </c>
      <c r="G1635" s="100" t="s">
        <v>1304</v>
      </c>
      <c r="H1635" s="100" t="s">
        <v>160</v>
      </c>
      <c r="I1635" s="247">
        <v>16593</v>
      </c>
      <c r="J1635" s="101">
        <v>1</v>
      </c>
      <c r="K1635" s="101"/>
      <c r="L1635" s="101">
        <v>1</v>
      </c>
      <c r="M1635" s="101"/>
      <c r="N1635" s="101">
        <v>1</v>
      </c>
      <c r="O1635" s="101"/>
      <c r="P1635" s="101"/>
      <c r="Q1635" s="101"/>
      <c r="R1635" s="101"/>
      <c r="S1635" s="101"/>
      <c r="T1635" s="101"/>
      <c r="U1635" s="99"/>
      <c r="V1635" s="100"/>
      <c r="W1635" s="99"/>
      <c r="X1635" s="99"/>
      <c r="Y1635" s="99"/>
      <c r="Z1635" s="99"/>
      <c r="AA1635" s="100" t="s">
        <v>3198</v>
      </c>
      <c r="AB1635" s="100" t="s">
        <v>528</v>
      </c>
      <c r="AC1635" s="99">
        <v>1</v>
      </c>
      <c r="AD1635" s="101"/>
      <c r="AE1635" s="101"/>
      <c r="AF1635" s="101"/>
      <c r="AG1635" s="101"/>
      <c r="AH1635" s="99"/>
      <c r="AI1635" s="105"/>
    </row>
    <row r="1636" spans="1:35">
      <c r="A1636" s="98"/>
      <c r="B1636" s="99"/>
      <c r="C1636" s="99"/>
      <c r="D1636" s="99"/>
      <c r="E1636" s="99"/>
      <c r="F1636" s="100"/>
      <c r="G1636" s="100"/>
      <c r="H1636" s="99"/>
      <c r="I1636" s="247"/>
      <c r="J1636" s="101"/>
      <c r="K1636" s="101"/>
      <c r="L1636" s="101"/>
      <c r="M1636" s="101"/>
      <c r="N1636" s="101"/>
      <c r="O1636" s="101"/>
      <c r="P1636" s="101"/>
      <c r="Q1636" s="101"/>
      <c r="R1636" s="101"/>
      <c r="S1636" s="101"/>
      <c r="T1636" s="101"/>
      <c r="U1636" s="100" t="s">
        <v>1446</v>
      </c>
      <c r="V1636" s="100" t="s">
        <v>949</v>
      </c>
      <c r="W1636" s="100" t="s">
        <v>298</v>
      </c>
      <c r="X1636" s="100" t="s">
        <v>227</v>
      </c>
      <c r="Y1636" s="99"/>
      <c r="Z1636" s="99"/>
      <c r="AA1636" s="100" t="s">
        <v>1961</v>
      </c>
      <c r="AB1636" s="100" t="s">
        <v>526</v>
      </c>
      <c r="AC1636" s="266">
        <v>0.25</v>
      </c>
      <c r="AD1636" s="101"/>
      <c r="AE1636" s="101"/>
      <c r="AF1636" s="101"/>
      <c r="AG1636" s="101"/>
      <c r="AH1636" s="99"/>
      <c r="AI1636" s="105"/>
    </row>
    <row r="1637" spans="1:35">
      <c r="A1637" s="98"/>
      <c r="B1637" s="99"/>
      <c r="C1637" s="99"/>
      <c r="D1637" s="99"/>
      <c r="E1637" s="99"/>
      <c r="F1637" s="100"/>
      <c r="G1637" s="100"/>
      <c r="H1637" s="99"/>
      <c r="I1637" s="247"/>
      <c r="J1637" s="101"/>
      <c r="K1637" s="101"/>
      <c r="L1637" s="101"/>
      <c r="M1637" s="101"/>
      <c r="N1637" s="101"/>
      <c r="O1637" s="101"/>
      <c r="P1637" s="101"/>
      <c r="Q1637" s="101"/>
      <c r="R1637" s="101"/>
      <c r="S1637" s="101"/>
      <c r="T1637" s="101"/>
      <c r="U1637" s="99"/>
      <c r="V1637" s="100"/>
      <c r="W1637" s="99"/>
      <c r="X1637" s="99"/>
      <c r="Y1637" s="99"/>
      <c r="Z1637" s="99"/>
      <c r="AA1637" s="100" t="s">
        <v>1792</v>
      </c>
      <c r="AB1637" s="99" t="s">
        <v>526</v>
      </c>
      <c r="AC1637" s="99">
        <v>20</v>
      </c>
      <c r="AD1637" s="101"/>
      <c r="AE1637" s="101"/>
      <c r="AF1637" s="101"/>
      <c r="AG1637" s="101"/>
      <c r="AH1637" s="99"/>
      <c r="AI1637" s="105"/>
    </row>
    <row r="1638" spans="1:35">
      <c r="A1638" s="98"/>
      <c r="B1638" s="99"/>
      <c r="C1638" s="263" t="s">
        <v>3230</v>
      </c>
      <c r="D1638" s="264" t="s">
        <v>79</v>
      </c>
      <c r="E1638" s="264" t="s">
        <v>80</v>
      </c>
      <c r="F1638" s="100" t="s">
        <v>3979</v>
      </c>
      <c r="G1638" s="100" t="s">
        <v>2085</v>
      </c>
      <c r="H1638" s="100" t="s">
        <v>421</v>
      </c>
      <c r="I1638" s="247">
        <v>28951</v>
      </c>
      <c r="J1638" s="101">
        <v>1</v>
      </c>
      <c r="K1638" s="101"/>
      <c r="L1638" s="101">
        <v>1</v>
      </c>
      <c r="M1638" s="101"/>
      <c r="N1638" s="101">
        <v>1</v>
      </c>
      <c r="O1638" s="101"/>
      <c r="P1638" s="101"/>
      <c r="Q1638" s="101"/>
      <c r="R1638" s="101"/>
      <c r="S1638" s="101"/>
      <c r="T1638" s="101"/>
      <c r="U1638" s="99"/>
      <c r="V1638" s="100"/>
      <c r="W1638" s="99"/>
      <c r="X1638" s="99"/>
      <c r="Y1638" s="99"/>
      <c r="Z1638" s="99"/>
      <c r="AA1638" s="100" t="s">
        <v>3198</v>
      </c>
      <c r="AB1638" s="100" t="s">
        <v>528</v>
      </c>
      <c r="AC1638" s="99">
        <v>1</v>
      </c>
      <c r="AD1638" s="101"/>
      <c r="AE1638" s="101"/>
      <c r="AF1638" s="101"/>
      <c r="AG1638" s="101"/>
      <c r="AH1638" s="99"/>
      <c r="AI1638" s="105"/>
    </row>
    <row r="1639" spans="1:35">
      <c r="A1639" s="98"/>
      <c r="B1639" s="99"/>
      <c r="C1639" s="99"/>
      <c r="D1639" s="99"/>
      <c r="E1639" s="99"/>
      <c r="F1639" s="100"/>
      <c r="G1639" s="100"/>
      <c r="H1639" s="99"/>
      <c r="I1639" s="247"/>
      <c r="J1639" s="101"/>
      <c r="K1639" s="101"/>
      <c r="L1639" s="101"/>
      <c r="M1639" s="101"/>
      <c r="N1639" s="101"/>
      <c r="O1639" s="101"/>
      <c r="P1639" s="101"/>
      <c r="Q1639" s="101"/>
      <c r="R1639" s="101"/>
      <c r="S1639" s="101"/>
      <c r="T1639" s="101"/>
      <c r="U1639" s="100" t="s">
        <v>1446</v>
      </c>
      <c r="V1639" s="100" t="s">
        <v>949</v>
      </c>
      <c r="W1639" s="100" t="s">
        <v>298</v>
      </c>
      <c r="X1639" s="100" t="s">
        <v>227</v>
      </c>
      <c r="Y1639" s="99"/>
      <c r="Z1639" s="99"/>
      <c r="AA1639" s="100" t="s">
        <v>1961</v>
      </c>
      <c r="AB1639" s="100" t="s">
        <v>526</v>
      </c>
      <c r="AC1639" s="266">
        <v>0.25</v>
      </c>
      <c r="AD1639" s="101"/>
      <c r="AE1639" s="101"/>
      <c r="AF1639" s="101"/>
      <c r="AG1639" s="101"/>
      <c r="AH1639" s="99"/>
      <c r="AI1639" s="105"/>
    </row>
    <row r="1640" spans="1:35">
      <c r="A1640" s="98"/>
      <c r="B1640" s="99"/>
      <c r="C1640" s="99"/>
      <c r="D1640" s="99"/>
      <c r="E1640" s="99"/>
      <c r="F1640" s="100"/>
      <c r="G1640" s="100"/>
      <c r="H1640" s="99"/>
      <c r="I1640" s="247"/>
      <c r="J1640" s="101"/>
      <c r="K1640" s="101"/>
      <c r="L1640" s="101"/>
      <c r="M1640" s="101"/>
      <c r="N1640" s="101"/>
      <c r="O1640" s="101"/>
      <c r="P1640" s="101"/>
      <c r="Q1640" s="101"/>
      <c r="R1640" s="101"/>
      <c r="S1640" s="101"/>
      <c r="T1640" s="101"/>
      <c r="U1640" s="99"/>
      <c r="V1640" s="100"/>
      <c r="W1640" s="99"/>
      <c r="X1640" s="99"/>
      <c r="Y1640" s="99"/>
      <c r="Z1640" s="99"/>
      <c r="AA1640" s="100" t="s">
        <v>1792</v>
      </c>
      <c r="AB1640" s="99" t="s">
        <v>526</v>
      </c>
      <c r="AC1640" s="99">
        <v>20</v>
      </c>
      <c r="AD1640" s="101"/>
      <c r="AE1640" s="101"/>
      <c r="AF1640" s="101"/>
      <c r="AG1640" s="101"/>
      <c r="AH1640" s="99"/>
      <c r="AI1640" s="105"/>
    </row>
    <row r="1641" spans="1:35">
      <c r="A1641" s="98"/>
      <c r="B1641" s="99"/>
      <c r="C1641" s="263" t="s">
        <v>3230</v>
      </c>
      <c r="D1641" s="264" t="s">
        <v>79</v>
      </c>
      <c r="E1641" s="264" t="s">
        <v>80</v>
      </c>
      <c r="F1641" s="100" t="s">
        <v>3496</v>
      </c>
      <c r="G1641" s="100" t="s">
        <v>3989</v>
      </c>
      <c r="H1641" s="100" t="s">
        <v>421</v>
      </c>
      <c r="I1641" s="247">
        <v>23821</v>
      </c>
      <c r="J1641" s="101">
        <v>1</v>
      </c>
      <c r="K1641" s="101"/>
      <c r="L1641" s="101">
        <v>1</v>
      </c>
      <c r="M1641" s="101"/>
      <c r="N1641" s="101">
        <v>1</v>
      </c>
      <c r="O1641" s="101"/>
      <c r="P1641" s="101"/>
      <c r="Q1641" s="101"/>
      <c r="R1641" s="101"/>
      <c r="S1641" s="101"/>
      <c r="T1641" s="101"/>
      <c r="U1641" s="99"/>
      <c r="V1641" s="100"/>
      <c r="W1641" s="99"/>
      <c r="X1641" s="99"/>
      <c r="Y1641" s="99"/>
      <c r="Z1641" s="99"/>
      <c r="AA1641" s="100" t="s">
        <v>3198</v>
      </c>
      <c r="AB1641" s="100" t="s">
        <v>528</v>
      </c>
      <c r="AC1641" s="99">
        <v>1</v>
      </c>
      <c r="AD1641" s="101"/>
      <c r="AE1641" s="101"/>
      <c r="AF1641" s="101"/>
      <c r="AG1641" s="101"/>
      <c r="AH1641" s="99"/>
      <c r="AI1641" s="105"/>
    </row>
    <row r="1642" spans="1:35">
      <c r="A1642" s="98"/>
      <c r="B1642" s="99"/>
      <c r="C1642" s="99"/>
      <c r="D1642" s="99"/>
      <c r="E1642" s="99"/>
      <c r="F1642" s="100"/>
      <c r="G1642" s="100"/>
      <c r="H1642" s="99"/>
      <c r="I1642" s="247"/>
      <c r="J1642" s="101"/>
      <c r="K1642" s="101"/>
      <c r="L1642" s="101"/>
      <c r="M1642" s="101"/>
      <c r="N1642" s="101"/>
      <c r="O1642" s="101"/>
      <c r="P1642" s="101"/>
      <c r="Q1642" s="101"/>
      <c r="R1642" s="101"/>
      <c r="S1642" s="101"/>
      <c r="T1642" s="101"/>
      <c r="U1642" s="100" t="s">
        <v>1446</v>
      </c>
      <c r="V1642" s="100" t="s">
        <v>949</v>
      </c>
      <c r="W1642" s="100" t="s">
        <v>298</v>
      </c>
      <c r="X1642" s="100" t="s">
        <v>227</v>
      </c>
      <c r="Y1642" s="99"/>
      <c r="Z1642" s="99"/>
      <c r="AA1642" s="100" t="s">
        <v>1961</v>
      </c>
      <c r="AB1642" s="100" t="s">
        <v>526</v>
      </c>
      <c r="AC1642" s="266">
        <v>0.25</v>
      </c>
      <c r="AD1642" s="101"/>
      <c r="AE1642" s="101"/>
      <c r="AF1642" s="101"/>
      <c r="AG1642" s="101"/>
      <c r="AH1642" s="99"/>
      <c r="AI1642" s="105"/>
    </row>
    <row r="1643" spans="1:35">
      <c r="A1643" s="98"/>
      <c r="B1643" s="99"/>
      <c r="C1643" s="99"/>
      <c r="D1643" s="99"/>
      <c r="E1643" s="99"/>
      <c r="F1643" s="100"/>
      <c r="G1643" s="100"/>
      <c r="H1643" s="99"/>
      <c r="I1643" s="247"/>
      <c r="J1643" s="101"/>
      <c r="K1643" s="101"/>
      <c r="L1643" s="101"/>
      <c r="M1643" s="101"/>
      <c r="N1643" s="101"/>
      <c r="O1643" s="101"/>
      <c r="P1643" s="101"/>
      <c r="Q1643" s="101"/>
      <c r="R1643" s="101"/>
      <c r="S1643" s="101"/>
      <c r="T1643" s="101"/>
      <c r="U1643" s="99"/>
      <c r="V1643" s="100"/>
      <c r="W1643" s="99"/>
      <c r="X1643" s="99"/>
      <c r="Y1643" s="99"/>
      <c r="Z1643" s="99"/>
      <c r="AA1643" s="100" t="s">
        <v>1792</v>
      </c>
      <c r="AB1643" s="99" t="s">
        <v>526</v>
      </c>
      <c r="AC1643" s="99">
        <v>20</v>
      </c>
      <c r="AD1643" s="101"/>
      <c r="AE1643" s="101"/>
      <c r="AF1643" s="101"/>
      <c r="AG1643" s="101"/>
      <c r="AH1643" s="99"/>
      <c r="AI1643" s="105"/>
    </row>
    <row r="1644" spans="1:35">
      <c r="A1644" s="98"/>
      <c r="B1644" s="99"/>
      <c r="C1644" s="263" t="s">
        <v>3230</v>
      </c>
      <c r="D1644" s="264" t="s">
        <v>79</v>
      </c>
      <c r="E1644" s="264" t="s">
        <v>80</v>
      </c>
      <c r="F1644" s="100" t="s">
        <v>3979</v>
      </c>
      <c r="G1644" s="100" t="s">
        <v>3990</v>
      </c>
      <c r="H1644" s="100" t="s">
        <v>286</v>
      </c>
      <c r="I1644" s="247">
        <v>28184</v>
      </c>
      <c r="J1644" s="101"/>
      <c r="K1644" s="101">
        <v>1</v>
      </c>
      <c r="L1644" s="101">
        <v>1</v>
      </c>
      <c r="M1644" s="101"/>
      <c r="N1644" s="101">
        <v>1</v>
      </c>
      <c r="O1644" s="101"/>
      <c r="P1644" s="101"/>
      <c r="Q1644" s="101"/>
      <c r="R1644" s="101"/>
      <c r="S1644" s="101"/>
      <c r="T1644" s="101"/>
      <c r="U1644" s="99"/>
      <c r="V1644" s="100"/>
      <c r="W1644" s="99"/>
      <c r="X1644" s="99"/>
      <c r="Y1644" s="99"/>
      <c r="Z1644" s="99"/>
      <c r="AA1644" s="100" t="s">
        <v>3198</v>
      </c>
      <c r="AB1644" s="100" t="s">
        <v>528</v>
      </c>
      <c r="AC1644" s="99">
        <v>1</v>
      </c>
      <c r="AD1644" s="101"/>
      <c r="AE1644" s="101"/>
      <c r="AF1644" s="101"/>
      <c r="AG1644" s="101"/>
      <c r="AH1644" s="99"/>
      <c r="AI1644" s="105"/>
    </row>
    <row r="1645" spans="1:35">
      <c r="A1645" s="98"/>
      <c r="B1645" s="99"/>
      <c r="C1645" s="99"/>
      <c r="D1645" s="99"/>
      <c r="E1645" s="99"/>
      <c r="F1645" s="100"/>
      <c r="G1645" s="100"/>
      <c r="H1645" s="99"/>
      <c r="I1645" s="247"/>
      <c r="J1645" s="101"/>
      <c r="K1645" s="101"/>
      <c r="L1645" s="101"/>
      <c r="M1645" s="101"/>
      <c r="N1645" s="101"/>
      <c r="O1645" s="101"/>
      <c r="P1645" s="101"/>
      <c r="Q1645" s="101"/>
      <c r="R1645" s="101"/>
      <c r="S1645" s="101"/>
      <c r="T1645" s="101"/>
      <c r="U1645" s="100" t="s">
        <v>1446</v>
      </c>
      <c r="V1645" s="100" t="s">
        <v>949</v>
      </c>
      <c r="W1645" s="100" t="s">
        <v>298</v>
      </c>
      <c r="X1645" s="100" t="s">
        <v>227</v>
      </c>
      <c r="Y1645" s="99"/>
      <c r="Z1645" s="99"/>
      <c r="AA1645" s="100" t="s">
        <v>1961</v>
      </c>
      <c r="AB1645" s="100" t="s">
        <v>526</v>
      </c>
      <c r="AC1645" s="266">
        <v>0.25</v>
      </c>
      <c r="AD1645" s="101"/>
      <c r="AE1645" s="101"/>
      <c r="AF1645" s="101"/>
      <c r="AG1645" s="101"/>
      <c r="AH1645" s="99"/>
      <c r="AI1645" s="105"/>
    </row>
    <row r="1646" spans="1:35">
      <c r="A1646" s="98"/>
      <c r="B1646" s="99"/>
      <c r="C1646" s="99"/>
      <c r="D1646" s="99"/>
      <c r="E1646" s="99"/>
      <c r="F1646" s="100"/>
      <c r="G1646" s="100"/>
      <c r="H1646" s="99"/>
      <c r="I1646" s="247"/>
      <c r="J1646" s="101"/>
      <c r="K1646" s="101"/>
      <c r="L1646" s="101"/>
      <c r="M1646" s="101"/>
      <c r="N1646" s="101"/>
      <c r="O1646" s="101"/>
      <c r="P1646" s="101"/>
      <c r="Q1646" s="101"/>
      <c r="R1646" s="101"/>
      <c r="S1646" s="101"/>
      <c r="T1646" s="101"/>
      <c r="U1646" s="99"/>
      <c r="V1646" s="100"/>
      <c r="W1646" s="99"/>
      <c r="X1646" s="99"/>
      <c r="Y1646" s="99"/>
      <c r="Z1646" s="99"/>
      <c r="AA1646" s="100" t="s">
        <v>1792</v>
      </c>
      <c r="AB1646" s="99" t="s">
        <v>526</v>
      </c>
      <c r="AC1646" s="99">
        <v>20</v>
      </c>
      <c r="AD1646" s="101"/>
      <c r="AE1646" s="101"/>
      <c r="AF1646" s="101"/>
      <c r="AG1646" s="101"/>
      <c r="AH1646" s="99"/>
      <c r="AI1646" s="105"/>
    </row>
    <row r="1647" spans="1:35">
      <c r="A1647" s="98"/>
      <c r="B1647" s="99"/>
      <c r="C1647" s="263" t="s">
        <v>3230</v>
      </c>
      <c r="D1647" s="264" t="s">
        <v>79</v>
      </c>
      <c r="E1647" s="264" t="s">
        <v>80</v>
      </c>
      <c r="F1647" s="100" t="s">
        <v>1359</v>
      </c>
      <c r="G1647" s="100" t="s">
        <v>3991</v>
      </c>
      <c r="H1647" s="100" t="s">
        <v>160</v>
      </c>
      <c r="I1647" s="247">
        <v>33184</v>
      </c>
      <c r="J1647" s="101">
        <v>1</v>
      </c>
      <c r="K1647" s="101"/>
      <c r="L1647" s="101">
        <v>1</v>
      </c>
      <c r="M1647" s="101"/>
      <c r="N1647" s="101">
        <v>1</v>
      </c>
      <c r="O1647" s="101"/>
      <c r="P1647" s="101"/>
      <c r="Q1647" s="101"/>
      <c r="R1647" s="101"/>
      <c r="S1647" s="101"/>
      <c r="T1647" s="101"/>
      <c r="U1647" s="99"/>
      <c r="V1647" s="100"/>
      <c r="W1647" s="99"/>
      <c r="X1647" s="99"/>
      <c r="Y1647" s="99"/>
      <c r="Z1647" s="99"/>
      <c r="AA1647" s="100" t="s">
        <v>3198</v>
      </c>
      <c r="AB1647" s="100" t="s">
        <v>528</v>
      </c>
      <c r="AC1647" s="99">
        <v>1</v>
      </c>
      <c r="AD1647" s="101"/>
      <c r="AE1647" s="101"/>
      <c r="AF1647" s="101"/>
      <c r="AG1647" s="101"/>
      <c r="AH1647" s="99"/>
      <c r="AI1647" s="105"/>
    </row>
    <row r="1648" spans="1:35">
      <c r="A1648" s="98"/>
      <c r="B1648" s="99"/>
      <c r="C1648" s="99"/>
      <c r="D1648" s="99"/>
      <c r="E1648" s="99"/>
      <c r="F1648" s="100"/>
      <c r="G1648" s="100"/>
      <c r="H1648" s="99"/>
      <c r="I1648" s="247"/>
      <c r="J1648" s="101"/>
      <c r="K1648" s="101"/>
      <c r="L1648" s="101"/>
      <c r="M1648" s="101"/>
      <c r="N1648" s="101"/>
      <c r="O1648" s="101"/>
      <c r="P1648" s="101"/>
      <c r="Q1648" s="101"/>
      <c r="R1648" s="101"/>
      <c r="S1648" s="101"/>
      <c r="T1648" s="101"/>
      <c r="U1648" s="100" t="s">
        <v>1446</v>
      </c>
      <c r="V1648" s="100" t="s">
        <v>949</v>
      </c>
      <c r="W1648" s="100" t="s">
        <v>298</v>
      </c>
      <c r="X1648" s="100" t="s">
        <v>227</v>
      </c>
      <c r="Y1648" s="99"/>
      <c r="Z1648" s="99"/>
      <c r="AA1648" s="100" t="s">
        <v>1961</v>
      </c>
      <c r="AB1648" s="100" t="s">
        <v>526</v>
      </c>
      <c r="AC1648" s="266">
        <v>0.25</v>
      </c>
      <c r="AD1648" s="101"/>
      <c r="AE1648" s="101"/>
      <c r="AF1648" s="101"/>
      <c r="AG1648" s="101"/>
      <c r="AH1648" s="99"/>
      <c r="AI1648" s="105"/>
    </row>
    <row r="1649" spans="1:35">
      <c r="A1649" s="98"/>
      <c r="B1649" s="99"/>
      <c r="C1649" s="99"/>
      <c r="D1649" s="99"/>
      <c r="E1649" s="99"/>
      <c r="F1649" s="100"/>
      <c r="G1649" s="100"/>
      <c r="H1649" s="99"/>
      <c r="I1649" s="247"/>
      <c r="J1649" s="101"/>
      <c r="K1649" s="101"/>
      <c r="L1649" s="101"/>
      <c r="M1649" s="101"/>
      <c r="N1649" s="101"/>
      <c r="O1649" s="101"/>
      <c r="P1649" s="101"/>
      <c r="Q1649" s="101"/>
      <c r="R1649" s="101"/>
      <c r="S1649" s="101"/>
      <c r="T1649" s="101"/>
      <c r="U1649" s="99"/>
      <c r="V1649" s="100"/>
      <c r="W1649" s="99"/>
      <c r="X1649" s="99"/>
      <c r="Y1649" s="99"/>
      <c r="Z1649" s="99"/>
      <c r="AA1649" s="100" t="s">
        <v>1792</v>
      </c>
      <c r="AB1649" s="99" t="s">
        <v>526</v>
      </c>
      <c r="AC1649" s="99">
        <v>20</v>
      </c>
      <c r="AD1649" s="101"/>
      <c r="AE1649" s="101"/>
      <c r="AF1649" s="101"/>
      <c r="AG1649" s="101"/>
      <c r="AH1649" s="99"/>
      <c r="AI1649" s="105"/>
    </row>
    <row r="1650" spans="1:35">
      <c r="A1650" s="98"/>
      <c r="B1650" s="99"/>
      <c r="C1650" s="263" t="s">
        <v>3230</v>
      </c>
      <c r="D1650" s="264" t="s">
        <v>79</v>
      </c>
      <c r="E1650" s="264" t="s">
        <v>80</v>
      </c>
      <c r="F1650" s="100" t="s">
        <v>3965</v>
      </c>
      <c r="G1650" s="100" t="s">
        <v>3992</v>
      </c>
      <c r="H1650" s="100" t="s">
        <v>136</v>
      </c>
      <c r="I1650" s="247">
        <v>36084</v>
      </c>
      <c r="J1650" s="101">
        <v>1</v>
      </c>
      <c r="K1650" s="101"/>
      <c r="L1650" s="101">
        <v>1</v>
      </c>
      <c r="M1650" s="101"/>
      <c r="N1650" s="101">
        <v>1</v>
      </c>
      <c r="O1650" s="101"/>
      <c r="P1650" s="101"/>
      <c r="Q1650" s="101"/>
      <c r="R1650" s="101"/>
      <c r="S1650" s="101"/>
      <c r="T1650" s="101"/>
      <c r="U1650" s="99"/>
      <c r="V1650" s="100"/>
      <c r="W1650" s="99"/>
      <c r="X1650" s="99"/>
      <c r="Y1650" s="99"/>
      <c r="Z1650" s="99"/>
      <c r="AA1650" s="100" t="s">
        <v>3198</v>
      </c>
      <c r="AB1650" s="100" t="s">
        <v>528</v>
      </c>
      <c r="AC1650" s="99">
        <v>1</v>
      </c>
      <c r="AD1650" s="101"/>
      <c r="AE1650" s="101"/>
      <c r="AF1650" s="101"/>
      <c r="AG1650" s="101"/>
      <c r="AH1650" s="99"/>
      <c r="AI1650" s="105"/>
    </row>
    <row r="1651" spans="1:35">
      <c r="A1651" s="98"/>
      <c r="B1651" s="99"/>
      <c r="C1651" s="99"/>
      <c r="D1651" s="99"/>
      <c r="E1651" s="99"/>
      <c r="F1651" s="100"/>
      <c r="G1651" s="100"/>
      <c r="H1651" s="99"/>
      <c r="I1651" s="247"/>
      <c r="J1651" s="101"/>
      <c r="K1651" s="101"/>
      <c r="L1651" s="101"/>
      <c r="M1651" s="101"/>
      <c r="N1651" s="101"/>
      <c r="O1651" s="101"/>
      <c r="P1651" s="101"/>
      <c r="Q1651" s="101"/>
      <c r="R1651" s="101"/>
      <c r="S1651" s="101"/>
      <c r="T1651" s="101"/>
      <c r="U1651" s="100" t="s">
        <v>1446</v>
      </c>
      <c r="V1651" s="100" t="s">
        <v>949</v>
      </c>
      <c r="W1651" s="100" t="s">
        <v>298</v>
      </c>
      <c r="X1651" s="100" t="s">
        <v>227</v>
      </c>
      <c r="Y1651" s="99"/>
      <c r="Z1651" s="99"/>
      <c r="AA1651" s="100" t="s">
        <v>1961</v>
      </c>
      <c r="AB1651" s="100" t="s">
        <v>526</v>
      </c>
      <c r="AC1651" s="266">
        <v>0.25</v>
      </c>
      <c r="AD1651" s="101"/>
      <c r="AE1651" s="101"/>
      <c r="AF1651" s="101"/>
      <c r="AG1651" s="101"/>
      <c r="AH1651" s="99"/>
      <c r="AI1651" s="105"/>
    </row>
    <row r="1652" spans="1:35">
      <c r="A1652" s="98"/>
      <c r="B1652" s="99"/>
      <c r="C1652" s="99"/>
      <c r="D1652" s="99"/>
      <c r="E1652" s="99"/>
      <c r="F1652" s="100"/>
      <c r="G1652" s="100"/>
      <c r="H1652" s="99"/>
      <c r="I1652" s="247"/>
      <c r="J1652" s="101"/>
      <c r="K1652" s="101"/>
      <c r="L1652" s="101"/>
      <c r="M1652" s="101"/>
      <c r="N1652" s="101"/>
      <c r="O1652" s="101"/>
      <c r="P1652" s="101"/>
      <c r="Q1652" s="101"/>
      <c r="R1652" s="101"/>
      <c r="S1652" s="101"/>
      <c r="T1652" s="101"/>
      <c r="U1652" s="99"/>
      <c r="V1652" s="100"/>
      <c r="W1652" s="99"/>
      <c r="X1652" s="99"/>
      <c r="Y1652" s="99"/>
      <c r="Z1652" s="99"/>
      <c r="AA1652" s="100" t="s">
        <v>1792</v>
      </c>
      <c r="AB1652" s="99" t="s">
        <v>526</v>
      </c>
      <c r="AC1652" s="99">
        <v>20</v>
      </c>
      <c r="AD1652" s="101"/>
      <c r="AE1652" s="101"/>
      <c r="AF1652" s="101"/>
      <c r="AG1652" s="101"/>
      <c r="AH1652" s="99"/>
      <c r="AI1652" s="105"/>
    </row>
    <row r="1653" spans="1:35">
      <c r="A1653" s="98"/>
      <c r="B1653" s="99"/>
      <c r="C1653" s="263" t="s">
        <v>3230</v>
      </c>
      <c r="D1653" s="264" t="s">
        <v>79</v>
      </c>
      <c r="E1653" s="264" t="s">
        <v>80</v>
      </c>
      <c r="F1653" s="100" t="s">
        <v>3496</v>
      </c>
      <c r="G1653" s="100" t="s">
        <v>3993</v>
      </c>
      <c r="H1653" s="100" t="s">
        <v>283</v>
      </c>
      <c r="I1653" s="247">
        <v>34236</v>
      </c>
      <c r="J1653" s="101">
        <v>1</v>
      </c>
      <c r="K1653" s="101"/>
      <c r="L1653" s="101">
        <v>1</v>
      </c>
      <c r="M1653" s="101"/>
      <c r="N1653" s="101">
        <v>1</v>
      </c>
      <c r="O1653" s="101"/>
      <c r="P1653" s="101"/>
      <c r="Q1653" s="101"/>
      <c r="R1653" s="101"/>
      <c r="S1653" s="101"/>
      <c r="T1653" s="101"/>
      <c r="U1653" s="99"/>
      <c r="V1653" s="100"/>
      <c r="W1653" s="99"/>
      <c r="X1653" s="99"/>
      <c r="Y1653" s="99"/>
      <c r="Z1653" s="99"/>
      <c r="AA1653" s="100" t="s">
        <v>3198</v>
      </c>
      <c r="AB1653" s="100" t="s">
        <v>528</v>
      </c>
      <c r="AC1653" s="99">
        <v>1</v>
      </c>
      <c r="AD1653" s="101"/>
      <c r="AE1653" s="101"/>
      <c r="AF1653" s="101"/>
      <c r="AG1653" s="101"/>
      <c r="AH1653" s="99"/>
      <c r="AI1653" s="105"/>
    </row>
    <row r="1654" spans="1:35">
      <c r="A1654" s="98"/>
      <c r="B1654" s="99"/>
      <c r="C1654" s="99"/>
      <c r="D1654" s="99"/>
      <c r="E1654" s="99"/>
      <c r="F1654" s="100"/>
      <c r="G1654" s="100"/>
      <c r="H1654" s="99"/>
      <c r="I1654" s="247"/>
      <c r="J1654" s="101"/>
      <c r="K1654" s="101"/>
      <c r="L1654" s="101"/>
      <c r="M1654" s="101"/>
      <c r="N1654" s="101"/>
      <c r="O1654" s="101"/>
      <c r="P1654" s="101"/>
      <c r="Q1654" s="101"/>
      <c r="R1654" s="101"/>
      <c r="S1654" s="101"/>
      <c r="T1654" s="101"/>
      <c r="U1654" s="100" t="s">
        <v>1446</v>
      </c>
      <c r="V1654" s="100" t="s">
        <v>949</v>
      </c>
      <c r="W1654" s="100" t="s">
        <v>298</v>
      </c>
      <c r="X1654" s="100" t="s">
        <v>227</v>
      </c>
      <c r="Y1654" s="99"/>
      <c r="Z1654" s="99"/>
      <c r="AA1654" s="100" t="s">
        <v>1961</v>
      </c>
      <c r="AB1654" s="100" t="s">
        <v>526</v>
      </c>
      <c r="AC1654" s="266">
        <v>0.25</v>
      </c>
      <c r="AD1654" s="101"/>
      <c r="AE1654" s="101"/>
      <c r="AF1654" s="101"/>
      <c r="AG1654" s="101"/>
      <c r="AH1654" s="99"/>
      <c r="AI1654" s="105"/>
    </row>
    <row r="1655" spans="1:35">
      <c r="A1655" s="98"/>
      <c r="B1655" s="99"/>
      <c r="C1655" s="99"/>
      <c r="D1655" s="99"/>
      <c r="E1655" s="99"/>
      <c r="F1655" s="100"/>
      <c r="G1655" s="100"/>
      <c r="H1655" s="99"/>
      <c r="I1655" s="247"/>
      <c r="J1655" s="101"/>
      <c r="K1655" s="101"/>
      <c r="L1655" s="101"/>
      <c r="M1655" s="101"/>
      <c r="N1655" s="101"/>
      <c r="O1655" s="101"/>
      <c r="P1655" s="101"/>
      <c r="Q1655" s="101"/>
      <c r="R1655" s="101"/>
      <c r="S1655" s="101"/>
      <c r="T1655" s="101"/>
      <c r="U1655" s="99"/>
      <c r="V1655" s="100"/>
      <c r="W1655" s="99"/>
      <c r="X1655" s="99"/>
      <c r="Y1655" s="99"/>
      <c r="Z1655" s="99"/>
      <c r="AA1655" s="100" t="s">
        <v>1792</v>
      </c>
      <c r="AB1655" s="99" t="s">
        <v>526</v>
      </c>
      <c r="AC1655" s="99">
        <v>20</v>
      </c>
      <c r="AD1655" s="101"/>
      <c r="AE1655" s="101"/>
      <c r="AF1655" s="101"/>
      <c r="AG1655" s="101"/>
      <c r="AH1655" s="99"/>
      <c r="AI1655" s="105"/>
    </row>
    <row r="1656" spans="1:35">
      <c r="A1656" s="98"/>
      <c r="B1656" s="99"/>
      <c r="C1656" s="263" t="s">
        <v>3230</v>
      </c>
      <c r="D1656" s="264" t="s">
        <v>79</v>
      </c>
      <c r="E1656" s="264" t="s">
        <v>80</v>
      </c>
      <c r="F1656" s="100" t="s">
        <v>3208</v>
      </c>
      <c r="G1656" s="100" t="s">
        <v>3994</v>
      </c>
      <c r="H1656" s="100" t="s">
        <v>136</v>
      </c>
      <c r="I1656" s="247">
        <v>36068</v>
      </c>
      <c r="J1656" s="101"/>
      <c r="K1656" s="101">
        <v>1</v>
      </c>
      <c r="L1656" s="101">
        <v>1</v>
      </c>
      <c r="M1656" s="101"/>
      <c r="N1656" s="101">
        <v>1</v>
      </c>
      <c r="O1656" s="101"/>
      <c r="P1656" s="101"/>
      <c r="Q1656" s="101"/>
      <c r="R1656" s="101"/>
      <c r="S1656" s="101"/>
      <c r="T1656" s="101"/>
      <c r="U1656" s="99"/>
      <c r="V1656" s="100"/>
      <c r="W1656" s="99"/>
      <c r="X1656" s="99"/>
      <c r="Y1656" s="99"/>
      <c r="Z1656" s="99"/>
      <c r="AA1656" s="100" t="s">
        <v>3198</v>
      </c>
      <c r="AB1656" s="100" t="s">
        <v>528</v>
      </c>
      <c r="AC1656" s="99">
        <v>1</v>
      </c>
      <c r="AD1656" s="101"/>
      <c r="AE1656" s="101"/>
      <c r="AF1656" s="101"/>
      <c r="AG1656" s="101"/>
      <c r="AH1656" s="99"/>
      <c r="AI1656" s="105"/>
    </row>
    <row r="1657" spans="1:35">
      <c r="A1657" s="98"/>
      <c r="B1657" s="99"/>
      <c r="C1657" s="99"/>
      <c r="D1657" s="99"/>
      <c r="E1657" s="99"/>
      <c r="F1657" s="100"/>
      <c r="G1657" s="100"/>
      <c r="H1657" s="99"/>
      <c r="I1657" s="247"/>
      <c r="J1657" s="101"/>
      <c r="K1657" s="101"/>
      <c r="L1657" s="101"/>
      <c r="M1657" s="101"/>
      <c r="N1657" s="101"/>
      <c r="O1657" s="101"/>
      <c r="P1657" s="101"/>
      <c r="Q1657" s="101"/>
      <c r="R1657" s="101"/>
      <c r="S1657" s="101"/>
      <c r="T1657" s="101"/>
      <c r="U1657" s="100" t="s">
        <v>1446</v>
      </c>
      <c r="V1657" s="100" t="s">
        <v>949</v>
      </c>
      <c r="W1657" s="100" t="s">
        <v>298</v>
      </c>
      <c r="X1657" s="100" t="s">
        <v>227</v>
      </c>
      <c r="Y1657" s="99"/>
      <c r="Z1657" s="99"/>
      <c r="AA1657" s="100" t="s">
        <v>1961</v>
      </c>
      <c r="AB1657" s="100" t="s">
        <v>526</v>
      </c>
      <c r="AC1657" s="266">
        <v>0.25</v>
      </c>
      <c r="AD1657" s="101"/>
      <c r="AE1657" s="101"/>
      <c r="AF1657" s="101"/>
      <c r="AG1657" s="101"/>
      <c r="AH1657" s="99"/>
      <c r="AI1657" s="105"/>
    </row>
    <row r="1658" spans="1:35">
      <c r="A1658" s="98"/>
      <c r="B1658" s="99"/>
      <c r="C1658" s="99"/>
      <c r="D1658" s="99"/>
      <c r="E1658" s="99"/>
      <c r="F1658" s="100"/>
      <c r="G1658" s="100"/>
      <c r="H1658" s="99"/>
      <c r="I1658" s="247"/>
      <c r="J1658" s="101"/>
      <c r="K1658" s="101"/>
      <c r="L1658" s="101"/>
      <c r="M1658" s="101"/>
      <c r="N1658" s="101"/>
      <c r="O1658" s="101"/>
      <c r="P1658" s="101"/>
      <c r="Q1658" s="101"/>
      <c r="R1658" s="101"/>
      <c r="S1658" s="101"/>
      <c r="T1658" s="101"/>
      <c r="U1658" s="99"/>
      <c r="V1658" s="100"/>
      <c r="W1658" s="99"/>
      <c r="X1658" s="99"/>
      <c r="Y1658" s="99"/>
      <c r="Z1658" s="99"/>
      <c r="AA1658" s="100" t="s">
        <v>1792</v>
      </c>
      <c r="AB1658" s="99" t="s">
        <v>526</v>
      </c>
      <c r="AC1658" s="99">
        <v>20</v>
      </c>
      <c r="AD1658" s="101"/>
      <c r="AE1658" s="101"/>
      <c r="AF1658" s="101"/>
      <c r="AG1658" s="101"/>
      <c r="AH1658" s="99"/>
      <c r="AI1658" s="105"/>
    </row>
    <row r="1659" spans="1:35">
      <c r="A1659" s="98"/>
      <c r="B1659" s="99"/>
      <c r="C1659" s="263" t="s">
        <v>3230</v>
      </c>
      <c r="D1659" s="264" t="s">
        <v>79</v>
      </c>
      <c r="E1659" s="264" t="s">
        <v>80</v>
      </c>
      <c r="F1659" s="100" t="s">
        <v>3965</v>
      </c>
      <c r="G1659" s="100" t="s">
        <v>3995</v>
      </c>
      <c r="H1659" s="100" t="s">
        <v>421</v>
      </c>
      <c r="I1659" s="247">
        <v>36335</v>
      </c>
      <c r="J1659" s="101">
        <v>1</v>
      </c>
      <c r="K1659" s="101"/>
      <c r="L1659" s="101">
        <v>1</v>
      </c>
      <c r="M1659" s="101"/>
      <c r="N1659" s="101">
        <v>1</v>
      </c>
      <c r="O1659" s="101"/>
      <c r="P1659" s="101"/>
      <c r="Q1659" s="101"/>
      <c r="R1659" s="101"/>
      <c r="S1659" s="101"/>
      <c r="T1659" s="101"/>
      <c r="U1659" s="99"/>
      <c r="V1659" s="100"/>
      <c r="W1659" s="99"/>
      <c r="X1659" s="99"/>
      <c r="Y1659" s="99"/>
      <c r="Z1659" s="99"/>
      <c r="AA1659" s="100" t="s">
        <v>3198</v>
      </c>
      <c r="AB1659" s="100" t="s">
        <v>528</v>
      </c>
      <c r="AC1659" s="99">
        <v>1</v>
      </c>
      <c r="AD1659" s="101"/>
      <c r="AE1659" s="101"/>
      <c r="AF1659" s="101"/>
      <c r="AG1659" s="101"/>
      <c r="AH1659" s="99"/>
      <c r="AI1659" s="105"/>
    </row>
    <row r="1660" spans="1:35">
      <c r="A1660" s="98"/>
      <c r="B1660" s="99"/>
      <c r="C1660" s="99"/>
      <c r="D1660" s="99"/>
      <c r="E1660" s="99"/>
      <c r="F1660" s="100"/>
      <c r="G1660" s="100"/>
      <c r="H1660" s="99"/>
      <c r="I1660" s="247"/>
      <c r="J1660" s="101"/>
      <c r="K1660" s="101"/>
      <c r="L1660" s="101"/>
      <c r="M1660" s="101"/>
      <c r="N1660" s="101"/>
      <c r="O1660" s="101"/>
      <c r="P1660" s="101"/>
      <c r="Q1660" s="101"/>
      <c r="R1660" s="101"/>
      <c r="S1660" s="101"/>
      <c r="T1660" s="101"/>
      <c r="U1660" s="100" t="s">
        <v>1446</v>
      </c>
      <c r="V1660" s="100" t="s">
        <v>949</v>
      </c>
      <c r="W1660" s="100" t="s">
        <v>298</v>
      </c>
      <c r="X1660" s="100" t="s">
        <v>227</v>
      </c>
      <c r="Y1660" s="99"/>
      <c r="Z1660" s="99"/>
      <c r="AA1660" s="100" t="s">
        <v>1961</v>
      </c>
      <c r="AB1660" s="100" t="s">
        <v>526</v>
      </c>
      <c r="AC1660" s="266">
        <v>0.25</v>
      </c>
      <c r="AD1660" s="101"/>
      <c r="AE1660" s="101"/>
      <c r="AF1660" s="101"/>
      <c r="AG1660" s="101"/>
      <c r="AH1660" s="99"/>
      <c r="AI1660" s="105"/>
    </row>
    <row r="1661" spans="1:35">
      <c r="A1661" s="98"/>
      <c r="B1661" s="99"/>
      <c r="C1661" s="99"/>
      <c r="D1661" s="99"/>
      <c r="E1661" s="99"/>
      <c r="F1661" s="100"/>
      <c r="G1661" s="100"/>
      <c r="H1661" s="99"/>
      <c r="I1661" s="247"/>
      <c r="J1661" s="101"/>
      <c r="K1661" s="101"/>
      <c r="L1661" s="101"/>
      <c r="M1661" s="101"/>
      <c r="N1661" s="101"/>
      <c r="O1661" s="101"/>
      <c r="P1661" s="101"/>
      <c r="Q1661" s="101"/>
      <c r="R1661" s="101"/>
      <c r="S1661" s="101"/>
      <c r="T1661" s="101"/>
      <c r="U1661" s="99"/>
      <c r="V1661" s="100"/>
      <c r="W1661" s="99"/>
      <c r="X1661" s="99"/>
      <c r="Y1661" s="99"/>
      <c r="Z1661" s="99"/>
      <c r="AA1661" s="100" t="s">
        <v>1792</v>
      </c>
      <c r="AB1661" s="99" t="s">
        <v>526</v>
      </c>
      <c r="AC1661" s="99">
        <v>20</v>
      </c>
      <c r="AD1661" s="101"/>
      <c r="AE1661" s="101"/>
      <c r="AF1661" s="101"/>
      <c r="AG1661" s="101"/>
      <c r="AH1661" s="99"/>
      <c r="AI1661" s="105"/>
    </row>
    <row r="1662" spans="1:35">
      <c r="A1662" s="98"/>
      <c r="B1662" s="99"/>
      <c r="C1662" s="263" t="s">
        <v>3230</v>
      </c>
      <c r="D1662" s="264" t="s">
        <v>79</v>
      </c>
      <c r="E1662" s="264" t="s">
        <v>80</v>
      </c>
      <c r="F1662" s="100" t="s">
        <v>3996</v>
      </c>
      <c r="G1662" s="100" t="s">
        <v>1464</v>
      </c>
      <c r="H1662" s="100" t="s">
        <v>117</v>
      </c>
      <c r="I1662" s="247">
        <v>30732</v>
      </c>
      <c r="J1662" s="101">
        <v>1</v>
      </c>
      <c r="K1662" s="101"/>
      <c r="L1662" s="101">
        <v>1</v>
      </c>
      <c r="M1662" s="101"/>
      <c r="N1662" s="101">
        <v>1</v>
      </c>
      <c r="O1662" s="101"/>
      <c r="P1662" s="101"/>
      <c r="Q1662" s="101"/>
      <c r="R1662" s="101"/>
      <c r="S1662" s="101"/>
      <c r="T1662" s="101"/>
      <c r="U1662" s="99"/>
      <c r="V1662" s="100"/>
      <c r="W1662" s="99"/>
      <c r="X1662" s="99"/>
      <c r="Y1662" s="99"/>
      <c r="Z1662" s="99"/>
      <c r="AA1662" s="100" t="s">
        <v>3198</v>
      </c>
      <c r="AB1662" s="100" t="s">
        <v>528</v>
      </c>
      <c r="AC1662" s="99">
        <v>1</v>
      </c>
      <c r="AD1662" s="101"/>
      <c r="AE1662" s="101"/>
      <c r="AF1662" s="101"/>
      <c r="AG1662" s="101"/>
      <c r="AH1662" s="99"/>
      <c r="AI1662" s="105"/>
    </row>
    <row r="1663" spans="1:35">
      <c r="A1663" s="98"/>
      <c r="B1663" s="99"/>
      <c r="C1663" s="99"/>
      <c r="D1663" s="99"/>
      <c r="E1663" s="99"/>
      <c r="F1663" s="100"/>
      <c r="G1663" s="100"/>
      <c r="H1663" s="99"/>
      <c r="I1663" s="247"/>
      <c r="J1663" s="101"/>
      <c r="K1663" s="101"/>
      <c r="L1663" s="101"/>
      <c r="M1663" s="101"/>
      <c r="N1663" s="101"/>
      <c r="O1663" s="101"/>
      <c r="P1663" s="101"/>
      <c r="Q1663" s="101"/>
      <c r="R1663" s="101"/>
      <c r="S1663" s="101"/>
      <c r="T1663" s="101"/>
      <c r="U1663" s="100" t="s">
        <v>1446</v>
      </c>
      <c r="V1663" s="100" t="s">
        <v>949</v>
      </c>
      <c r="W1663" s="100" t="s">
        <v>298</v>
      </c>
      <c r="X1663" s="100" t="s">
        <v>227</v>
      </c>
      <c r="Y1663" s="99"/>
      <c r="Z1663" s="99"/>
      <c r="AA1663" s="100" t="s">
        <v>1961</v>
      </c>
      <c r="AB1663" s="100" t="s">
        <v>526</v>
      </c>
      <c r="AC1663" s="266">
        <v>0.25</v>
      </c>
      <c r="AD1663" s="101"/>
      <c r="AE1663" s="101"/>
      <c r="AF1663" s="101"/>
      <c r="AG1663" s="101"/>
      <c r="AH1663" s="99"/>
      <c r="AI1663" s="105"/>
    </row>
    <row r="1664" spans="1:35">
      <c r="A1664" s="98"/>
      <c r="B1664" s="99"/>
      <c r="C1664" s="99"/>
      <c r="D1664" s="99"/>
      <c r="E1664" s="99"/>
      <c r="F1664" s="100"/>
      <c r="G1664" s="100"/>
      <c r="H1664" s="99"/>
      <c r="I1664" s="247"/>
      <c r="J1664" s="101"/>
      <c r="K1664" s="101"/>
      <c r="L1664" s="101"/>
      <c r="M1664" s="101"/>
      <c r="N1664" s="101"/>
      <c r="O1664" s="101"/>
      <c r="P1664" s="101"/>
      <c r="Q1664" s="101"/>
      <c r="R1664" s="101"/>
      <c r="S1664" s="101"/>
      <c r="T1664" s="101"/>
      <c r="U1664" s="99"/>
      <c r="V1664" s="100"/>
      <c r="W1664" s="99"/>
      <c r="X1664" s="99"/>
      <c r="Y1664" s="99"/>
      <c r="Z1664" s="99"/>
      <c r="AA1664" s="100" t="s">
        <v>1792</v>
      </c>
      <c r="AB1664" s="99" t="s">
        <v>526</v>
      </c>
      <c r="AC1664" s="99">
        <v>20</v>
      </c>
      <c r="AD1664" s="101"/>
      <c r="AE1664" s="101"/>
      <c r="AF1664" s="101"/>
      <c r="AG1664" s="101"/>
      <c r="AH1664" s="99"/>
      <c r="AI1664" s="105"/>
    </row>
    <row r="1665" spans="1:35">
      <c r="A1665" s="98"/>
      <c r="B1665" s="99"/>
      <c r="C1665" s="263" t="s">
        <v>3230</v>
      </c>
      <c r="D1665" s="264" t="s">
        <v>79</v>
      </c>
      <c r="E1665" s="264" t="s">
        <v>80</v>
      </c>
      <c r="F1665" s="100" t="s">
        <v>3974</v>
      </c>
      <c r="G1665" s="100" t="s">
        <v>3997</v>
      </c>
      <c r="H1665" s="100" t="s">
        <v>126</v>
      </c>
      <c r="I1665" s="247">
        <v>33099</v>
      </c>
      <c r="J1665" s="101">
        <v>1</v>
      </c>
      <c r="K1665" s="101"/>
      <c r="L1665" s="101">
        <v>1</v>
      </c>
      <c r="M1665" s="101"/>
      <c r="N1665" s="101">
        <v>1</v>
      </c>
      <c r="O1665" s="101"/>
      <c r="P1665" s="101"/>
      <c r="Q1665" s="101"/>
      <c r="R1665" s="101"/>
      <c r="S1665" s="101"/>
      <c r="T1665" s="101"/>
      <c r="U1665" s="99"/>
      <c r="V1665" s="100"/>
      <c r="W1665" s="99"/>
      <c r="X1665" s="99"/>
      <c r="Y1665" s="99"/>
      <c r="Z1665" s="99"/>
      <c r="AA1665" s="100" t="s">
        <v>3198</v>
      </c>
      <c r="AB1665" s="100" t="s">
        <v>528</v>
      </c>
      <c r="AC1665" s="99">
        <v>1</v>
      </c>
      <c r="AD1665" s="101"/>
      <c r="AE1665" s="101"/>
      <c r="AF1665" s="101"/>
      <c r="AG1665" s="101"/>
      <c r="AH1665" s="99"/>
      <c r="AI1665" s="105"/>
    </row>
    <row r="1666" spans="1:35">
      <c r="A1666" s="98"/>
      <c r="B1666" s="99"/>
      <c r="C1666" s="99"/>
      <c r="D1666" s="99"/>
      <c r="E1666" s="99"/>
      <c r="F1666" s="100"/>
      <c r="G1666" s="100"/>
      <c r="H1666" s="99"/>
      <c r="I1666" s="247"/>
      <c r="J1666" s="101"/>
      <c r="K1666" s="101"/>
      <c r="L1666" s="101"/>
      <c r="M1666" s="101"/>
      <c r="N1666" s="101"/>
      <c r="O1666" s="101"/>
      <c r="P1666" s="101"/>
      <c r="Q1666" s="101"/>
      <c r="R1666" s="101"/>
      <c r="S1666" s="101"/>
      <c r="T1666" s="101"/>
      <c r="U1666" s="100" t="s">
        <v>1446</v>
      </c>
      <c r="V1666" s="100" t="s">
        <v>949</v>
      </c>
      <c r="W1666" s="100" t="s">
        <v>298</v>
      </c>
      <c r="X1666" s="100" t="s">
        <v>227</v>
      </c>
      <c r="Y1666" s="99"/>
      <c r="Z1666" s="99"/>
      <c r="AA1666" s="100" t="s">
        <v>1961</v>
      </c>
      <c r="AB1666" s="100" t="s">
        <v>526</v>
      </c>
      <c r="AC1666" s="266">
        <v>0.25</v>
      </c>
      <c r="AD1666" s="101"/>
      <c r="AE1666" s="101"/>
      <c r="AF1666" s="101"/>
      <c r="AG1666" s="101"/>
      <c r="AH1666" s="99"/>
      <c r="AI1666" s="105"/>
    </row>
    <row r="1667" spans="1:35">
      <c r="A1667" s="98"/>
      <c r="B1667" s="99"/>
      <c r="C1667" s="99"/>
      <c r="D1667" s="99"/>
      <c r="E1667" s="99"/>
      <c r="F1667" s="100"/>
      <c r="G1667" s="100"/>
      <c r="H1667" s="99"/>
      <c r="I1667" s="247"/>
      <c r="J1667" s="101"/>
      <c r="K1667" s="101"/>
      <c r="L1667" s="101"/>
      <c r="M1667" s="101"/>
      <c r="N1667" s="101"/>
      <c r="O1667" s="101"/>
      <c r="P1667" s="101"/>
      <c r="Q1667" s="101"/>
      <c r="R1667" s="101"/>
      <c r="S1667" s="101"/>
      <c r="T1667" s="101"/>
      <c r="U1667" s="99"/>
      <c r="V1667" s="100"/>
      <c r="W1667" s="99"/>
      <c r="X1667" s="99"/>
      <c r="Y1667" s="99"/>
      <c r="Z1667" s="99"/>
      <c r="AA1667" s="100" t="s">
        <v>1792</v>
      </c>
      <c r="AB1667" s="99" t="s">
        <v>526</v>
      </c>
      <c r="AC1667" s="99">
        <v>20</v>
      </c>
      <c r="AD1667" s="101"/>
      <c r="AE1667" s="101"/>
      <c r="AF1667" s="101"/>
      <c r="AG1667" s="101"/>
      <c r="AH1667" s="99"/>
      <c r="AI1667" s="105"/>
    </row>
    <row r="1668" spans="1:35">
      <c r="A1668" s="98"/>
      <c r="B1668" s="99"/>
      <c r="C1668" s="263" t="s">
        <v>3230</v>
      </c>
      <c r="D1668" s="264" t="s">
        <v>79</v>
      </c>
      <c r="E1668" s="264" t="s">
        <v>80</v>
      </c>
      <c r="F1668" s="100" t="s">
        <v>1994</v>
      </c>
      <c r="G1668" s="100" t="s">
        <v>2758</v>
      </c>
      <c r="H1668" s="100" t="s">
        <v>160</v>
      </c>
      <c r="I1668" s="247">
        <v>31383</v>
      </c>
      <c r="J1668" s="101">
        <v>1</v>
      </c>
      <c r="K1668" s="101"/>
      <c r="L1668" s="101">
        <v>1</v>
      </c>
      <c r="M1668" s="101"/>
      <c r="N1668" s="101">
        <v>1</v>
      </c>
      <c r="O1668" s="101"/>
      <c r="P1668" s="101"/>
      <c r="Q1668" s="101"/>
      <c r="R1668" s="101"/>
      <c r="S1668" s="101"/>
      <c r="T1668" s="101"/>
      <c r="U1668" s="99"/>
      <c r="V1668" s="100"/>
      <c r="W1668" s="99"/>
      <c r="X1668" s="99"/>
      <c r="Y1668" s="99"/>
      <c r="Z1668" s="99"/>
      <c r="AA1668" s="100" t="s">
        <v>3198</v>
      </c>
      <c r="AB1668" s="100" t="s">
        <v>528</v>
      </c>
      <c r="AC1668" s="99">
        <v>1</v>
      </c>
      <c r="AD1668" s="101"/>
      <c r="AE1668" s="101"/>
      <c r="AF1668" s="101"/>
      <c r="AG1668" s="101"/>
      <c r="AH1668" s="99"/>
      <c r="AI1668" s="105"/>
    </row>
    <row r="1669" spans="1:35">
      <c r="A1669" s="98"/>
      <c r="B1669" s="99"/>
      <c r="C1669" s="99"/>
      <c r="D1669" s="99"/>
      <c r="E1669" s="99"/>
      <c r="F1669" s="100"/>
      <c r="G1669" s="100"/>
      <c r="H1669" s="99"/>
      <c r="I1669" s="247"/>
      <c r="J1669" s="101"/>
      <c r="K1669" s="101"/>
      <c r="L1669" s="101"/>
      <c r="M1669" s="101"/>
      <c r="N1669" s="101"/>
      <c r="O1669" s="101"/>
      <c r="P1669" s="101"/>
      <c r="Q1669" s="101"/>
      <c r="R1669" s="101"/>
      <c r="S1669" s="101"/>
      <c r="T1669" s="101"/>
      <c r="U1669" s="100" t="s">
        <v>1446</v>
      </c>
      <c r="V1669" s="100" t="s">
        <v>949</v>
      </c>
      <c r="W1669" s="100" t="s">
        <v>298</v>
      </c>
      <c r="X1669" s="100" t="s">
        <v>227</v>
      </c>
      <c r="Y1669" s="99"/>
      <c r="Z1669" s="99"/>
      <c r="AA1669" s="100" t="s">
        <v>1961</v>
      </c>
      <c r="AB1669" s="100" t="s">
        <v>526</v>
      </c>
      <c r="AC1669" s="266">
        <v>0.25</v>
      </c>
      <c r="AD1669" s="101"/>
      <c r="AE1669" s="101"/>
      <c r="AF1669" s="101"/>
      <c r="AG1669" s="101"/>
      <c r="AH1669" s="99"/>
      <c r="AI1669" s="105"/>
    </row>
    <row r="1670" spans="1:35">
      <c r="A1670" s="98"/>
      <c r="B1670" s="99"/>
      <c r="C1670" s="99"/>
      <c r="D1670" s="99"/>
      <c r="E1670" s="99"/>
      <c r="F1670" s="100"/>
      <c r="G1670" s="100"/>
      <c r="H1670" s="99"/>
      <c r="I1670" s="247"/>
      <c r="J1670" s="101"/>
      <c r="K1670" s="101"/>
      <c r="L1670" s="101"/>
      <c r="M1670" s="101"/>
      <c r="N1670" s="101"/>
      <c r="O1670" s="101"/>
      <c r="P1670" s="101"/>
      <c r="Q1670" s="101"/>
      <c r="R1670" s="101"/>
      <c r="S1670" s="101"/>
      <c r="T1670" s="101"/>
      <c r="U1670" s="99"/>
      <c r="V1670" s="100"/>
      <c r="W1670" s="99"/>
      <c r="X1670" s="99"/>
      <c r="Y1670" s="99"/>
      <c r="Z1670" s="99"/>
      <c r="AA1670" s="100" t="s">
        <v>1792</v>
      </c>
      <c r="AB1670" s="99" t="s">
        <v>526</v>
      </c>
      <c r="AC1670" s="99">
        <v>20</v>
      </c>
      <c r="AD1670" s="101"/>
      <c r="AE1670" s="101"/>
      <c r="AF1670" s="101"/>
      <c r="AG1670" s="101"/>
      <c r="AH1670" s="99"/>
      <c r="AI1670" s="105"/>
    </row>
    <row r="1671" spans="1:35">
      <c r="A1671" s="98"/>
      <c r="B1671" s="99"/>
      <c r="C1671" s="263" t="s">
        <v>3230</v>
      </c>
      <c r="D1671" s="264" t="s">
        <v>79</v>
      </c>
      <c r="E1671" s="264" t="s">
        <v>80</v>
      </c>
      <c r="F1671" s="100" t="s">
        <v>3998</v>
      </c>
      <c r="G1671" s="100" t="s">
        <v>3999</v>
      </c>
      <c r="H1671" s="100" t="s">
        <v>588</v>
      </c>
      <c r="I1671" s="247">
        <v>26608</v>
      </c>
      <c r="J1671" s="101">
        <v>1</v>
      </c>
      <c r="K1671" s="101"/>
      <c r="L1671" s="101">
        <v>1</v>
      </c>
      <c r="M1671" s="101"/>
      <c r="N1671" s="101">
        <v>1</v>
      </c>
      <c r="O1671" s="101"/>
      <c r="P1671" s="101"/>
      <c r="Q1671" s="101"/>
      <c r="R1671" s="101"/>
      <c r="S1671" s="101"/>
      <c r="T1671" s="101"/>
      <c r="U1671" s="99"/>
      <c r="V1671" s="100"/>
      <c r="W1671" s="99"/>
      <c r="X1671" s="99"/>
      <c r="Y1671" s="99"/>
      <c r="Z1671" s="99"/>
      <c r="AA1671" s="100" t="s">
        <v>3198</v>
      </c>
      <c r="AB1671" s="100" t="s">
        <v>528</v>
      </c>
      <c r="AC1671" s="99">
        <v>1</v>
      </c>
      <c r="AD1671" s="101"/>
      <c r="AE1671" s="101"/>
      <c r="AF1671" s="101"/>
      <c r="AG1671" s="101"/>
      <c r="AH1671" s="99"/>
      <c r="AI1671" s="105"/>
    </row>
    <row r="1672" spans="1:35">
      <c r="A1672" s="98"/>
      <c r="B1672" s="99"/>
      <c r="C1672" s="99"/>
      <c r="D1672" s="99"/>
      <c r="E1672" s="99"/>
      <c r="F1672" s="100"/>
      <c r="G1672" s="100"/>
      <c r="H1672" s="99"/>
      <c r="I1672" s="247"/>
      <c r="J1672" s="101"/>
      <c r="K1672" s="101"/>
      <c r="L1672" s="101"/>
      <c r="M1672" s="101"/>
      <c r="N1672" s="101"/>
      <c r="O1672" s="101"/>
      <c r="P1672" s="101"/>
      <c r="Q1672" s="101"/>
      <c r="R1672" s="101"/>
      <c r="S1672" s="101"/>
      <c r="T1672" s="101"/>
      <c r="U1672" s="100" t="s">
        <v>1446</v>
      </c>
      <c r="V1672" s="100" t="s">
        <v>949</v>
      </c>
      <c r="W1672" s="100" t="s">
        <v>298</v>
      </c>
      <c r="X1672" s="100" t="s">
        <v>227</v>
      </c>
      <c r="Y1672" s="99"/>
      <c r="Z1672" s="99"/>
      <c r="AA1672" s="100" t="s">
        <v>1961</v>
      </c>
      <c r="AB1672" s="100" t="s">
        <v>526</v>
      </c>
      <c r="AC1672" s="266">
        <v>0.25</v>
      </c>
      <c r="AD1672" s="101"/>
      <c r="AE1672" s="101"/>
      <c r="AF1672" s="101"/>
      <c r="AG1672" s="101"/>
      <c r="AH1672" s="99"/>
      <c r="AI1672" s="105"/>
    </row>
    <row r="1673" spans="1:35">
      <c r="A1673" s="98"/>
      <c r="B1673" s="99"/>
      <c r="C1673" s="99"/>
      <c r="D1673" s="99"/>
      <c r="E1673" s="99"/>
      <c r="F1673" s="100"/>
      <c r="G1673" s="100"/>
      <c r="H1673" s="99"/>
      <c r="I1673" s="247"/>
      <c r="J1673" s="101"/>
      <c r="K1673" s="101"/>
      <c r="L1673" s="101"/>
      <c r="M1673" s="101"/>
      <c r="N1673" s="101"/>
      <c r="O1673" s="101"/>
      <c r="P1673" s="101"/>
      <c r="Q1673" s="101"/>
      <c r="R1673" s="101"/>
      <c r="S1673" s="101"/>
      <c r="T1673" s="101"/>
      <c r="U1673" s="99"/>
      <c r="V1673" s="100"/>
      <c r="W1673" s="99"/>
      <c r="X1673" s="99"/>
      <c r="Y1673" s="99"/>
      <c r="Z1673" s="99"/>
      <c r="AA1673" s="100" t="s">
        <v>1792</v>
      </c>
      <c r="AB1673" s="99" t="s">
        <v>526</v>
      </c>
      <c r="AC1673" s="99">
        <v>20</v>
      </c>
      <c r="AD1673" s="101"/>
      <c r="AE1673" s="101"/>
      <c r="AF1673" s="101"/>
      <c r="AG1673" s="101"/>
      <c r="AH1673" s="99"/>
      <c r="AI1673" s="105"/>
    </row>
    <row r="1674" spans="1:35">
      <c r="A1674" s="98"/>
      <c r="B1674" s="99"/>
      <c r="C1674" s="263" t="s">
        <v>3230</v>
      </c>
      <c r="D1674" s="264" t="s">
        <v>79</v>
      </c>
      <c r="E1674" s="264" t="s">
        <v>80</v>
      </c>
      <c r="F1674" s="100" t="s">
        <v>4000</v>
      </c>
      <c r="G1674" s="100" t="s">
        <v>1409</v>
      </c>
      <c r="H1674" s="100" t="s">
        <v>421</v>
      </c>
      <c r="I1674" s="247">
        <v>30391</v>
      </c>
      <c r="J1674" s="101">
        <v>1</v>
      </c>
      <c r="K1674" s="101"/>
      <c r="L1674" s="101">
        <v>1</v>
      </c>
      <c r="M1674" s="101"/>
      <c r="N1674" s="101">
        <v>1</v>
      </c>
      <c r="O1674" s="101"/>
      <c r="P1674" s="101"/>
      <c r="Q1674" s="101"/>
      <c r="R1674" s="101"/>
      <c r="S1674" s="101"/>
      <c r="T1674" s="101"/>
      <c r="U1674" s="99"/>
      <c r="V1674" s="100"/>
      <c r="W1674" s="99"/>
      <c r="X1674" s="99"/>
      <c r="Y1674" s="99"/>
      <c r="Z1674" s="99"/>
      <c r="AA1674" s="100" t="s">
        <v>3198</v>
      </c>
      <c r="AB1674" s="100" t="s">
        <v>528</v>
      </c>
      <c r="AC1674" s="99">
        <v>1</v>
      </c>
      <c r="AD1674" s="101"/>
      <c r="AE1674" s="101"/>
      <c r="AF1674" s="101"/>
      <c r="AG1674" s="101"/>
      <c r="AH1674" s="99"/>
      <c r="AI1674" s="105"/>
    </row>
    <row r="1675" spans="1:35">
      <c r="A1675" s="98"/>
      <c r="B1675" s="99"/>
      <c r="C1675" s="99"/>
      <c r="D1675" s="99"/>
      <c r="E1675" s="99"/>
      <c r="F1675" s="100"/>
      <c r="G1675" s="100"/>
      <c r="H1675" s="99"/>
      <c r="I1675" s="247"/>
      <c r="J1675" s="101"/>
      <c r="K1675" s="101"/>
      <c r="L1675" s="101"/>
      <c r="M1675" s="101"/>
      <c r="N1675" s="101"/>
      <c r="O1675" s="101"/>
      <c r="P1675" s="101"/>
      <c r="Q1675" s="101"/>
      <c r="R1675" s="101"/>
      <c r="S1675" s="101"/>
      <c r="T1675" s="101"/>
      <c r="U1675" s="100" t="s">
        <v>1446</v>
      </c>
      <c r="V1675" s="100" t="s">
        <v>949</v>
      </c>
      <c r="W1675" s="100" t="s">
        <v>298</v>
      </c>
      <c r="X1675" s="100" t="s">
        <v>227</v>
      </c>
      <c r="Y1675" s="99"/>
      <c r="Z1675" s="99"/>
      <c r="AA1675" s="100" t="s">
        <v>1961</v>
      </c>
      <c r="AB1675" s="100" t="s">
        <v>526</v>
      </c>
      <c r="AC1675" s="266">
        <v>0.25</v>
      </c>
      <c r="AD1675" s="101"/>
      <c r="AE1675" s="101"/>
      <c r="AF1675" s="101"/>
      <c r="AG1675" s="101"/>
      <c r="AH1675" s="99"/>
      <c r="AI1675" s="105"/>
    </row>
    <row r="1676" spans="1:35">
      <c r="A1676" s="98"/>
      <c r="B1676" s="99"/>
      <c r="C1676" s="99"/>
      <c r="D1676" s="99"/>
      <c r="E1676" s="99"/>
      <c r="F1676" s="100"/>
      <c r="G1676" s="100"/>
      <c r="H1676" s="99"/>
      <c r="I1676" s="247"/>
      <c r="J1676" s="101"/>
      <c r="K1676" s="101"/>
      <c r="L1676" s="101"/>
      <c r="M1676" s="101"/>
      <c r="N1676" s="101"/>
      <c r="O1676" s="101"/>
      <c r="P1676" s="101"/>
      <c r="Q1676" s="101"/>
      <c r="R1676" s="101"/>
      <c r="S1676" s="101"/>
      <c r="T1676" s="101"/>
      <c r="U1676" s="99"/>
      <c r="V1676" s="100"/>
      <c r="W1676" s="99"/>
      <c r="X1676" s="99"/>
      <c r="Y1676" s="99"/>
      <c r="Z1676" s="99"/>
      <c r="AA1676" s="100" t="s">
        <v>3968</v>
      </c>
      <c r="AB1676" s="100" t="s">
        <v>526</v>
      </c>
      <c r="AC1676" s="267">
        <v>2.5</v>
      </c>
      <c r="AD1676" s="101"/>
      <c r="AE1676" s="101"/>
      <c r="AF1676" s="101"/>
      <c r="AG1676" s="101"/>
      <c r="AH1676" s="99"/>
      <c r="AI1676" s="105"/>
    </row>
    <row r="1677" spans="1:35">
      <c r="A1677" s="98"/>
      <c r="B1677" s="99"/>
      <c r="C1677" s="99"/>
      <c r="D1677" s="99"/>
      <c r="E1677" s="99"/>
      <c r="F1677" s="100"/>
      <c r="G1677" s="100"/>
      <c r="H1677" s="99"/>
      <c r="I1677" s="247"/>
      <c r="J1677" s="101"/>
      <c r="K1677" s="101"/>
      <c r="L1677" s="101"/>
      <c r="M1677" s="101"/>
      <c r="N1677" s="101"/>
      <c r="O1677" s="101"/>
      <c r="P1677" s="101"/>
      <c r="Q1677" s="101"/>
      <c r="R1677" s="101"/>
      <c r="S1677" s="101"/>
      <c r="T1677" s="101"/>
      <c r="U1677" s="99"/>
      <c r="V1677" s="100"/>
      <c r="W1677" s="99"/>
      <c r="X1677" s="99"/>
      <c r="Y1677" s="99"/>
      <c r="Z1677" s="99"/>
      <c r="AA1677" s="100" t="s">
        <v>1792</v>
      </c>
      <c r="AB1677" s="99" t="s">
        <v>526</v>
      </c>
      <c r="AC1677" s="99">
        <v>20</v>
      </c>
      <c r="AD1677" s="101"/>
      <c r="AE1677" s="101"/>
      <c r="AF1677" s="101"/>
      <c r="AG1677" s="101"/>
      <c r="AH1677" s="99"/>
      <c r="AI1677" s="105"/>
    </row>
    <row r="1678" spans="1:35">
      <c r="A1678" s="98"/>
      <c r="B1678" s="99"/>
      <c r="C1678" s="263" t="s">
        <v>3230</v>
      </c>
      <c r="D1678" s="264" t="s">
        <v>79</v>
      </c>
      <c r="E1678" s="264" t="s">
        <v>80</v>
      </c>
      <c r="F1678" s="100" t="s">
        <v>1994</v>
      </c>
      <c r="G1678" s="100" t="s">
        <v>795</v>
      </c>
      <c r="H1678" s="100" t="s">
        <v>136</v>
      </c>
      <c r="I1678" s="247">
        <v>23243</v>
      </c>
      <c r="J1678" s="101">
        <v>1</v>
      </c>
      <c r="K1678" s="101"/>
      <c r="L1678" s="101">
        <v>1</v>
      </c>
      <c r="M1678" s="101"/>
      <c r="N1678" s="101">
        <v>1</v>
      </c>
      <c r="O1678" s="101"/>
      <c r="P1678" s="101"/>
      <c r="Q1678" s="101"/>
      <c r="R1678" s="101"/>
      <c r="S1678" s="101"/>
      <c r="T1678" s="101"/>
      <c r="U1678" s="100" t="s">
        <v>1439</v>
      </c>
      <c r="V1678" s="100" t="s">
        <v>949</v>
      </c>
      <c r="W1678" s="100" t="s">
        <v>298</v>
      </c>
      <c r="X1678" s="100" t="s">
        <v>227</v>
      </c>
      <c r="Y1678" s="99"/>
      <c r="Z1678" s="99"/>
      <c r="AA1678" s="100" t="s">
        <v>3198</v>
      </c>
      <c r="AB1678" s="100" t="s">
        <v>528</v>
      </c>
      <c r="AC1678" s="99">
        <v>1</v>
      </c>
      <c r="AD1678" s="101"/>
      <c r="AE1678" s="101"/>
      <c r="AF1678" s="101"/>
      <c r="AG1678" s="101"/>
      <c r="AH1678" s="99"/>
      <c r="AI1678" s="105"/>
    </row>
    <row r="1679" spans="1:35">
      <c r="A1679" s="98"/>
      <c r="B1679" s="99"/>
      <c r="C1679" s="99"/>
      <c r="D1679" s="99"/>
      <c r="E1679" s="99"/>
      <c r="F1679" s="100"/>
      <c r="G1679" s="100"/>
      <c r="H1679" s="99"/>
      <c r="I1679" s="247"/>
      <c r="J1679" s="101"/>
      <c r="K1679" s="101"/>
      <c r="L1679" s="101"/>
      <c r="M1679" s="101"/>
      <c r="N1679" s="101"/>
      <c r="O1679" s="101"/>
      <c r="P1679" s="101"/>
      <c r="Q1679" s="101"/>
      <c r="R1679" s="101"/>
      <c r="S1679" s="101"/>
      <c r="T1679" s="101"/>
      <c r="U1679" s="99"/>
      <c r="V1679" s="100"/>
      <c r="W1679" s="99"/>
      <c r="X1679" s="99"/>
      <c r="Y1679" s="99"/>
      <c r="Z1679" s="99"/>
      <c r="AA1679" s="100" t="s">
        <v>1961</v>
      </c>
      <c r="AB1679" s="100" t="s">
        <v>526</v>
      </c>
      <c r="AC1679" s="266">
        <v>0.25</v>
      </c>
      <c r="AD1679" s="101"/>
      <c r="AE1679" s="101"/>
      <c r="AF1679" s="101"/>
      <c r="AG1679" s="101"/>
      <c r="AH1679" s="99"/>
      <c r="AI1679" s="105"/>
    </row>
    <row r="1680" spans="1:35">
      <c r="A1680" s="98"/>
      <c r="B1680" s="99"/>
      <c r="C1680" s="99"/>
      <c r="D1680" s="99"/>
      <c r="E1680" s="99"/>
      <c r="F1680" s="100"/>
      <c r="G1680" s="100"/>
      <c r="H1680" s="99"/>
      <c r="I1680" s="247"/>
      <c r="J1680" s="101"/>
      <c r="K1680" s="101"/>
      <c r="L1680" s="101"/>
      <c r="M1680" s="101"/>
      <c r="N1680" s="101"/>
      <c r="O1680" s="101"/>
      <c r="P1680" s="101"/>
      <c r="Q1680" s="101"/>
      <c r="R1680" s="101"/>
      <c r="S1680" s="101"/>
      <c r="T1680" s="101"/>
      <c r="U1680" s="99"/>
      <c r="V1680" s="100"/>
      <c r="W1680" s="99"/>
      <c r="X1680" s="99"/>
      <c r="Y1680" s="99"/>
      <c r="Z1680" s="99"/>
      <c r="AA1680" s="100" t="s">
        <v>3968</v>
      </c>
      <c r="AB1680" s="100" t="s">
        <v>526</v>
      </c>
      <c r="AC1680" s="267">
        <v>2.5</v>
      </c>
      <c r="AD1680" s="101"/>
      <c r="AE1680" s="101"/>
      <c r="AF1680" s="101"/>
      <c r="AG1680" s="101"/>
      <c r="AH1680" s="99"/>
      <c r="AI1680" s="105"/>
    </row>
    <row r="1681" spans="1:35">
      <c r="A1681" s="98"/>
      <c r="B1681" s="99"/>
      <c r="C1681" s="99"/>
      <c r="D1681" s="99"/>
      <c r="E1681" s="99"/>
      <c r="F1681" s="100"/>
      <c r="G1681" s="100"/>
      <c r="H1681" s="99"/>
      <c r="I1681" s="247"/>
      <c r="J1681" s="101"/>
      <c r="K1681" s="101"/>
      <c r="L1681" s="101"/>
      <c r="M1681" s="101"/>
      <c r="N1681" s="101"/>
      <c r="O1681" s="101"/>
      <c r="P1681" s="101"/>
      <c r="Q1681" s="101"/>
      <c r="R1681" s="101"/>
      <c r="S1681" s="101"/>
      <c r="T1681" s="101"/>
      <c r="U1681" s="100"/>
      <c r="V1681" s="100"/>
      <c r="W1681" s="100"/>
      <c r="X1681" s="100"/>
      <c r="Y1681" s="99"/>
      <c r="Z1681" s="99"/>
      <c r="AA1681" s="100" t="s">
        <v>1792</v>
      </c>
      <c r="AB1681" s="99" t="s">
        <v>526</v>
      </c>
      <c r="AC1681" s="99">
        <v>20</v>
      </c>
      <c r="AD1681" s="101"/>
      <c r="AE1681" s="101"/>
      <c r="AF1681" s="101"/>
      <c r="AG1681" s="101"/>
      <c r="AH1681" s="99"/>
      <c r="AI1681" s="105"/>
    </row>
    <row r="1682" spans="1:35">
      <c r="A1682" s="98"/>
      <c r="B1682" s="99"/>
      <c r="C1682" s="263" t="s">
        <v>3230</v>
      </c>
      <c r="D1682" s="264" t="s">
        <v>79</v>
      </c>
      <c r="E1682" s="264" t="s">
        <v>80</v>
      </c>
      <c r="F1682" s="100" t="s">
        <v>4001</v>
      </c>
      <c r="G1682" s="100" t="s">
        <v>4002</v>
      </c>
      <c r="H1682" s="99"/>
      <c r="I1682" s="247">
        <v>23498</v>
      </c>
      <c r="J1682" s="101">
        <v>1</v>
      </c>
      <c r="K1682" s="101"/>
      <c r="L1682" s="101">
        <v>1</v>
      </c>
      <c r="M1682" s="101"/>
      <c r="N1682" s="101">
        <v>1</v>
      </c>
      <c r="O1682" s="101"/>
      <c r="P1682" s="101"/>
      <c r="Q1682" s="101"/>
      <c r="R1682" s="101"/>
      <c r="S1682" s="101"/>
      <c r="T1682" s="101"/>
      <c r="U1682" s="99" t="s">
        <v>1446</v>
      </c>
      <c r="V1682" s="99" t="s">
        <v>949</v>
      </c>
      <c r="W1682" s="100" t="s">
        <v>298</v>
      </c>
      <c r="X1682" s="100" t="s">
        <v>227</v>
      </c>
      <c r="Y1682" s="99"/>
      <c r="Z1682" s="99"/>
      <c r="AA1682" s="100" t="s">
        <v>3198</v>
      </c>
      <c r="AB1682" s="100" t="s">
        <v>528</v>
      </c>
      <c r="AC1682" s="99">
        <v>1</v>
      </c>
      <c r="AD1682" s="101"/>
      <c r="AE1682" s="101"/>
      <c r="AF1682" s="101"/>
      <c r="AG1682" s="101"/>
      <c r="AH1682" s="99"/>
      <c r="AI1682" s="105"/>
    </row>
    <row r="1683" spans="1:35">
      <c r="A1683" s="98"/>
      <c r="B1683" s="99"/>
      <c r="C1683" s="99"/>
      <c r="D1683" s="99"/>
      <c r="E1683" s="99"/>
      <c r="F1683" s="100"/>
      <c r="G1683" s="100"/>
      <c r="H1683" s="99"/>
      <c r="I1683" s="247"/>
      <c r="J1683" s="101"/>
      <c r="K1683" s="101"/>
      <c r="L1683" s="101"/>
      <c r="M1683" s="101"/>
      <c r="N1683" s="101"/>
      <c r="O1683" s="101"/>
      <c r="P1683" s="101"/>
      <c r="Q1683" s="101"/>
      <c r="R1683" s="101"/>
      <c r="S1683" s="101"/>
      <c r="T1683" s="101"/>
      <c r="U1683" s="99"/>
      <c r="V1683" s="99"/>
      <c r="W1683" s="99"/>
      <c r="X1683" s="99"/>
      <c r="Y1683" s="99"/>
      <c r="Z1683" s="99"/>
      <c r="AA1683" s="100" t="s">
        <v>1961</v>
      </c>
      <c r="AB1683" s="100" t="s">
        <v>526</v>
      </c>
      <c r="AC1683" s="266">
        <v>0.25</v>
      </c>
      <c r="AD1683" s="101"/>
      <c r="AE1683" s="101"/>
      <c r="AF1683" s="101"/>
      <c r="AG1683" s="101"/>
      <c r="AH1683" s="99"/>
      <c r="AI1683" s="105"/>
    </row>
    <row r="1684" spans="1:35">
      <c r="A1684" s="98"/>
      <c r="B1684" s="99"/>
      <c r="C1684" s="99"/>
      <c r="D1684" s="99"/>
      <c r="E1684" s="99"/>
      <c r="F1684" s="100"/>
      <c r="G1684" s="100"/>
      <c r="H1684" s="99"/>
      <c r="I1684" s="247"/>
      <c r="J1684" s="101"/>
      <c r="K1684" s="101"/>
      <c r="L1684" s="101"/>
      <c r="M1684" s="101"/>
      <c r="N1684" s="101"/>
      <c r="O1684" s="101"/>
      <c r="P1684" s="101"/>
      <c r="Q1684" s="101"/>
      <c r="R1684" s="101"/>
      <c r="S1684" s="101"/>
      <c r="T1684" s="101"/>
      <c r="U1684" s="100"/>
      <c r="V1684" s="100"/>
      <c r="W1684" s="100"/>
      <c r="X1684" s="100"/>
      <c r="Y1684" s="99"/>
      <c r="Z1684" s="99"/>
      <c r="AA1684" s="100" t="s">
        <v>1792</v>
      </c>
      <c r="AB1684" s="99" t="s">
        <v>526</v>
      </c>
      <c r="AC1684" s="99">
        <v>20</v>
      </c>
      <c r="AD1684" s="101"/>
      <c r="AE1684" s="101"/>
      <c r="AF1684" s="101"/>
      <c r="AG1684" s="101"/>
      <c r="AH1684" s="99"/>
      <c r="AI1684" s="105"/>
    </row>
    <row r="1685" spans="1:35">
      <c r="A1685" s="98"/>
      <c r="B1685" s="99"/>
      <c r="C1685" s="263" t="s">
        <v>3230</v>
      </c>
      <c r="D1685" s="264" t="s">
        <v>79</v>
      </c>
      <c r="E1685" s="264" t="s">
        <v>80</v>
      </c>
      <c r="F1685" s="100" t="s">
        <v>4003</v>
      </c>
      <c r="G1685" s="100" t="s">
        <v>4004</v>
      </c>
      <c r="H1685" s="99"/>
      <c r="I1685" s="247"/>
      <c r="J1685" s="101">
        <v>1</v>
      </c>
      <c r="K1685" s="101"/>
      <c r="L1685" s="101">
        <v>1</v>
      </c>
      <c r="M1685" s="101"/>
      <c r="N1685" s="101">
        <v>1</v>
      </c>
      <c r="O1685" s="101"/>
      <c r="P1685" s="101"/>
      <c r="Q1685" s="101"/>
      <c r="R1685" s="101"/>
      <c r="S1685" s="101"/>
      <c r="T1685" s="101"/>
      <c r="U1685" s="99" t="s">
        <v>1446</v>
      </c>
      <c r="V1685" s="99" t="s">
        <v>949</v>
      </c>
      <c r="W1685" s="100" t="s">
        <v>298</v>
      </c>
      <c r="X1685" s="100" t="s">
        <v>227</v>
      </c>
      <c r="Y1685" s="99"/>
      <c r="Z1685" s="99"/>
      <c r="AA1685" s="100" t="s">
        <v>3198</v>
      </c>
      <c r="AB1685" s="100" t="s">
        <v>528</v>
      </c>
      <c r="AC1685" s="99">
        <v>1</v>
      </c>
      <c r="AD1685" s="101"/>
      <c r="AE1685" s="101"/>
      <c r="AF1685" s="101"/>
      <c r="AG1685" s="101"/>
      <c r="AH1685" s="99"/>
      <c r="AI1685" s="105"/>
    </row>
    <row r="1686" spans="1:35">
      <c r="A1686" s="98"/>
      <c r="B1686" s="99"/>
      <c r="C1686" s="99"/>
      <c r="D1686" s="99"/>
      <c r="E1686" s="99"/>
      <c r="F1686" s="100"/>
      <c r="G1686" s="100"/>
      <c r="H1686" s="99"/>
      <c r="I1686" s="247"/>
      <c r="J1686" s="101"/>
      <c r="K1686" s="101"/>
      <c r="L1686" s="101"/>
      <c r="M1686" s="101"/>
      <c r="N1686" s="101"/>
      <c r="O1686" s="101"/>
      <c r="P1686" s="101"/>
      <c r="Q1686" s="101"/>
      <c r="R1686" s="101"/>
      <c r="S1686" s="101"/>
      <c r="T1686" s="101"/>
      <c r="U1686" s="99"/>
      <c r="V1686" s="99"/>
      <c r="W1686" s="99"/>
      <c r="X1686" s="99"/>
      <c r="Y1686" s="99"/>
      <c r="Z1686" s="99"/>
      <c r="AA1686" s="100" t="s">
        <v>1961</v>
      </c>
      <c r="AB1686" s="100" t="s">
        <v>526</v>
      </c>
      <c r="AC1686" s="266">
        <v>0.25</v>
      </c>
      <c r="AD1686" s="101"/>
      <c r="AE1686" s="101"/>
      <c r="AF1686" s="101"/>
      <c r="AG1686" s="101"/>
      <c r="AH1686" s="99"/>
      <c r="AI1686" s="105"/>
    </row>
    <row r="1687" spans="1:35">
      <c r="A1687" s="98"/>
      <c r="B1687" s="99"/>
      <c r="C1687" s="99"/>
      <c r="D1687" s="99"/>
      <c r="E1687" s="99"/>
      <c r="F1687" s="100"/>
      <c r="G1687" s="100"/>
      <c r="H1687" s="99"/>
      <c r="I1687" s="247"/>
      <c r="J1687" s="101"/>
      <c r="K1687" s="101"/>
      <c r="L1687" s="101"/>
      <c r="M1687" s="101"/>
      <c r="N1687" s="101"/>
      <c r="O1687" s="101"/>
      <c r="P1687" s="101"/>
      <c r="Q1687" s="101"/>
      <c r="R1687" s="101"/>
      <c r="S1687" s="101"/>
      <c r="T1687" s="101"/>
      <c r="U1687" s="100"/>
      <c r="V1687" s="100"/>
      <c r="W1687" s="100"/>
      <c r="X1687" s="100"/>
      <c r="Y1687" s="99"/>
      <c r="Z1687" s="99"/>
      <c r="AA1687" s="100" t="s">
        <v>1792</v>
      </c>
      <c r="AB1687" s="99" t="s">
        <v>526</v>
      </c>
      <c r="AC1687" s="99">
        <v>20</v>
      </c>
      <c r="AD1687" s="101"/>
      <c r="AE1687" s="101"/>
      <c r="AF1687" s="101"/>
      <c r="AG1687" s="101"/>
      <c r="AH1687" s="99"/>
      <c r="AI1687" s="105"/>
    </row>
    <row r="1688" spans="1:35">
      <c r="A1688" s="98"/>
      <c r="B1688" s="99"/>
      <c r="C1688" s="263" t="s">
        <v>3230</v>
      </c>
      <c r="D1688" s="264" t="s">
        <v>79</v>
      </c>
      <c r="E1688" s="264" t="s">
        <v>80</v>
      </c>
      <c r="F1688" s="100" t="s">
        <v>769</v>
      </c>
      <c r="G1688" s="100" t="s">
        <v>4005</v>
      </c>
      <c r="H1688" s="99" t="s">
        <v>202</v>
      </c>
      <c r="I1688" s="247">
        <v>33013</v>
      </c>
      <c r="J1688" s="101">
        <v>1</v>
      </c>
      <c r="K1688" s="101"/>
      <c r="L1688" s="101">
        <v>1</v>
      </c>
      <c r="M1688" s="101"/>
      <c r="N1688" s="101">
        <v>1</v>
      </c>
      <c r="O1688" s="101"/>
      <c r="P1688" s="101"/>
      <c r="Q1688" s="101"/>
      <c r="R1688" s="101"/>
      <c r="S1688" s="101"/>
      <c r="T1688" s="101"/>
      <c r="U1688" s="99" t="s">
        <v>1446</v>
      </c>
      <c r="V1688" s="99" t="s">
        <v>949</v>
      </c>
      <c r="W1688" s="100" t="s">
        <v>298</v>
      </c>
      <c r="X1688" s="100" t="s">
        <v>227</v>
      </c>
      <c r="Y1688" s="99"/>
      <c r="Z1688" s="99"/>
      <c r="AA1688" s="100" t="s">
        <v>3198</v>
      </c>
      <c r="AB1688" s="100" t="s">
        <v>528</v>
      </c>
      <c r="AC1688" s="99">
        <v>1</v>
      </c>
      <c r="AD1688" s="101"/>
      <c r="AE1688" s="101"/>
      <c r="AF1688" s="101"/>
      <c r="AG1688" s="101"/>
      <c r="AH1688" s="99"/>
      <c r="AI1688" s="105"/>
    </row>
    <row r="1689" spans="1:35">
      <c r="A1689" s="98"/>
      <c r="B1689" s="99"/>
      <c r="C1689" s="99"/>
      <c r="D1689" s="99"/>
      <c r="E1689" s="99"/>
      <c r="F1689" s="100"/>
      <c r="G1689" s="100"/>
      <c r="H1689" s="99"/>
      <c r="I1689" s="247"/>
      <c r="J1689" s="101"/>
      <c r="K1689" s="101"/>
      <c r="L1689" s="101"/>
      <c r="M1689" s="101"/>
      <c r="N1689" s="101"/>
      <c r="O1689" s="101"/>
      <c r="P1689" s="101"/>
      <c r="Q1689" s="101"/>
      <c r="R1689" s="101"/>
      <c r="S1689" s="101"/>
      <c r="T1689" s="101"/>
      <c r="U1689" s="99"/>
      <c r="V1689" s="99"/>
      <c r="W1689" s="99"/>
      <c r="X1689" s="99"/>
      <c r="Y1689" s="99"/>
      <c r="Z1689" s="99"/>
      <c r="AA1689" s="100" t="s">
        <v>1961</v>
      </c>
      <c r="AB1689" s="100" t="s">
        <v>526</v>
      </c>
      <c r="AC1689" s="266">
        <v>0.25</v>
      </c>
      <c r="AD1689" s="101"/>
      <c r="AE1689" s="101"/>
      <c r="AF1689" s="101"/>
      <c r="AG1689" s="101"/>
      <c r="AH1689" s="99"/>
      <c r="AI1689" s="105"/>
    </row>
    <row r="1690" spans="1:35">
      <c r="A1690" s="98"/>
      <c r="B1690" s="99"/>
      <c r="C1690" s="99"/>
      <c r="D1690" s="99"/>
      <c r="E1690" s="99"/>
      <c r="F1690" s="100"/>
      <c r="G1690" s="100"/>
      <c r="H1690" s="99"/>
      <c r="I1690" s="247"/>
      <c r="J1690" s="101"/>
      <c r="K1690" s="101"/>
      <c r="L1690" s="101"/>
      <c r="M1690" s="101"/>
      <c r="N1690" s="101"/>
      <c r="O1690" s="101"/>
      <c r="P1690" s="101"/>
      <c r="Q1690" s="101"/>
      <c r="R1690" s="101"/>
      <c r="S1690" s="101"/>
      <c r="T1690" s="101"/>
      <c r="U1690" s="100"/>
      <c r="V1690" s="100"/>
      <c r="W1690" s="100"/>
      <c r="X1690" s="100"/>
      <c r="Y1690" s="99"/>
      <c r="Z1690" s="99"/>
      <c r="AA1690" s="100" t="s">
        <v>1792</v>
      </c>
      <c r="AB1690" s="99" t="s">
        <v>526</v>
      </c>
      <c r="AC1690" s="99">
        <v>20</v>
      </c>
      <c r="AD1690" s="101"/>
      <c r="AE1690" s="101"/>
      <c r="AF1690" s="101"/>
      <c r="AG1690" s="101"/>
      <c r="AH1690" s="99"/>
      <c r="AI1690" s="105"/>
    </row>
    <row r="1691" spans="1:35">
      <c r="A1691" s="98"/>
      <c r="B1691" s="99"/>
      <c r="C1691" s="263" t="s">
        <v>3230</v>
      </c>
      <c r="D1691" s="264" t="s">
        <v>79</v>
      </c>
      <c r="E1691" s="264" t="s">
        <v>80</v>
      </c>
      <c r="F1691" s="100" t="s">
        <v>3978</v>
      </c>
      <c r="G1691" s="100" t="s">
        <v>4006</v>
      </c>
      <c r="H1691" s="99" t="s">
        <v>286</v>
      </c>
      <c r="I1691" s="247">
        <v>26614</v>
      </c>
      <c r="J1691" s="101">
        <v>1</v>
      </c>
      <c r="K1691" s="101"/>
      <c r="L1691" s="101">
        <v>1</v>
      </c>
      <c r="M1691" s="101"/>
      <c r="N1691" s="101">
        <v>1</v>
      </c>
      <c r="O1691" s="101"/>
      <c r="P1691" s="101"/>
      <c r="Q1691" s="101"/>
      <c r="R1691" s="101"/>
      <c r="S1691" s="101"/>
      <c r="T1691" s="101"/>
      <c r="U1691" s="99" t="s">
        <v>1446</v>
      </c>
      <c r="V1691" s="99" t="s">
        <v>949</v>
      </c>
      <c r="W1691" s="100" t="s">
        <v>298</v>
      </c>
      <c r="X1691" s="100" t="s">
        <v>227</v>
      </c>
      <c r="Y1691" s="99"/>
      <c r="Z1691" s="99"/>
      <c r="AA1691" s="100" t="s">
        <v>3198</v>
      </c>
      <c r="AB1691" s="100" t="s">
        <v>528</v>
      </c>
      <c r="AC1691" s="99">
        <v>1</v>
      </c>
      <c r="AD1691" s="101"/>
      <c r="AE1691" s="101"/>
      <c r="AF1691" s="101"/>
      <c r="AG1691" s="101"/>
      <c r="AH1691" s="99"/>
      <c r="AI1691" s="105"/>
    </row>
    <row r="1692" spans="1:35">
      <c r="A1692" s="98"/>
      <c r="B1692" s="99"/>
      <c r="C1692" s="99"/>
      <c r="D1692" s="99"/>
      <c r="E1692" s="99"/>
      <c r="F1692" s="100"/>
      <c r="G1692" s="100"/>
      <c r="H1692" s="99"/>
      <c r="I1692" s="247"/>
      <c r="J1692" s="101"/>
      <c r="K1692" s="101"/>
      <c r="L1692" s="101"/>
      <c r="M1692" s="101"/>
      <c r="N1692" s="101"/>
      <c r="O1692" s="101"/>
      <c r="P1692" s="101"/>
      <c r="Q1692" s="101"/>
      <c r="R1692" s="101"/>
      <c r="S1692" s="101"/>
      <c r="T1692" s="101"/>
      <c r="U1692" s="99"/>
      <c r="V1692" s="99"/>
      <c r="W1692" s="99"/>
      <c r="X1692" s="99"/>
      <c r="Y1692" s="99"/>
      <c r="Z1692" s="99"/>
      <c r="AA1692" s="100" t="s">
        <v>1961</v>
      </c>
      <c r="AB1692" s="100" t="s">
        <v>526</v>
      </c>
      <c r="AC1692" s="266">
        <v>0.25</v>
      </c>
      <c r="AD1692" s="101"/>
      <c r="AE1692" s="101"/>
      <c r="AF1692" s="101"/>
      <c r="AG1692" s="101"/>
      <c r="AH1692" s="99"/>
      <c r="AI1692" s="105"/>
    </row>
    <row r="1693" spans="1:35">
      <c r="A1693" s="98"/>
      <c r="B1693" s="99"/>
      <c r="C1693" s="99"/>
      <c r="D1693" s="99"/>
      <c r="E1693" s="99"/>
      <c r="F1693" s="100"/>
      <c r="G1693" s="100"/>
      <c r="H1693" s="99"/>
      <c r="I1693" s="247"/>
      <c r="J1693" s="101"/>
      <c r="K1693" s="101"/>
      <c r="L1693" s="101"/>
      <c r="M1693" s="101"/>
      <c r="N1693" s="101"/>
      <c r="O1693" s="101"/>
      <c r="P1693" s="101"/>
      <c r="Q1693" s="101"/>
      <c r="R1693" s="101"/>
      <c r="S1693" s="101"/>
      <c r="T1693" s="101"/>
      <c r="U1693" s="100"/>
      <c r="V1693" s="100"/>
      <c r="W1693" s="100"/>
      <c r="X1693" s="100"/>
      <c r="Y1693" s="99"/>
      <c r="Z1693" s="99"/>
      <c r="AA1693" s="100" t="s">
        <v>1792</v>
      </c>
      <c r="AB1693" s="99" t="s">
        <v>526</v>
      </c>
      <c r="AC1693" s="99">
        <v>20</v>
      </c>
      <c r="AD1693" s="101"/>
      <c r="AE1693" s="101"/>
      <c r="AF1693" s="101"/>
      <c r="AG1693" s="101"/>
      <c r="AH1693" s="99"/>
      <c r="AI1693" s="105"/>
    </row>
    <row r="1694" spans="1:35">
      <c r="A1694" s="98"/>
      <c r="B1694" s="99"/>
      <c r="C1694" s="263" t="s">
        <v>3230</v>
      </c>
      <c r="D1694" s="264" t="s">
        <v>79</v>
      </c>
      <c r="E1694" s="264" t="s">
        <v>80</v>
      </c>
      <c r="F1694" s="100" t="s">
        <v>3978</v>
      </c>
      <c r="G1694" s="100" t="s">
        <v>3932</v>
      </c>
      <c r="H1694" s="99" t="s">
        <v>286</v>
      </c>
      <c r="I1694" s="247">
        <v>29962</v>
      </c>
      <c r="J1694" s="101">
        <v>1</v>
      </c>
      <c r="K1694" s="101"/>
      <c r="L1694" s="101">
        <v>1</v>
      </c>
      <c r="M1694" s="101"/>
      <c r="N1694" s="101">
        <v>1</v>
      </c>
      <c r="O1694" s="101"/>
      <c r="P1694" s="101"/>
      <c r="Q1694" s="101"/>
      <c r="R1694" s="101"/>
      <c r="S1694" s="101"/>
      <c r="T1694" s="101"/>
      <c r="U1694" s="99" t="s">
        <v>1446</v>
      </c>
      <c r="V1694" s="99" t="s">
        <v>949</v>
      </c>
      <c r="W1694" s="100" t="s">
        <v>298</v>
      </c>
      <c r="X1694" s="100" t="s">
        <v>227</v>
      </c>
      <c r="Y1694" s="99"/>
      <c r="Z1694" s="99"/>
      <c r="AA1694" s="100" t="s">
        <v>3198</v>
      </c>
      <c r="AB1694" s="100" t="s">
        <v>528</v>
      </c>
      <c r="AC1694" s="99">
        <v>1</v>
      </c>
      <c r="AD1694" s="101"/>
      <c r="AE1694" s="101"/>
      <c r="AF1694" s="101"/>
      <c r="AG1694" s="101"/>
      <c r="AH1694" s="99"/>
      <c r="AI1694" s="105"/>
    </row>
    <row r="1695" spans="1:35">
      <c r="A1695" s="98"/>
      <c r="B1695" s="99"/>
      <c r="C1695" s="99"/>
      <c r="D1695" s="99"/>
      <c r="E1695" s="99"/>
      <c r="F1695" s="100"/>
      <c r="G1695" s="100"/>
      <c r="H1695" s="99"/>
      <c r="I1695" s="247"/>
      <c r="J1695" s="101"/>
      <c r="K1695" s="101"/>
      <c r="L1695" s="101"/>
      <c r="M1695" s="101"/>
      <c r="N1695" s="101"/>
      <c r="O1695" s="101"/>
      <c r="P1695" s="101"/>
      <c r="Q1695" s="101"/>
      <c r="R1695" s="101"/>
      <c r="S1695" s="101"/>
      <c r="T1695" s="101"/>
      <c r="U1695" s="99"/>
      <c r="V1695" s="99"/>
      <c r="W1695" s="99"/>
      <c r="X1695" s="99"/>
      <c r="Y1695" s="99"/>
      <c r="Z1695" s="99"/>
      <c r="AA1695" s="100" t="s">
        <v>1961</v>
      </c>
      <c r="AB1695" s="100" t="s">
        <v>526</v>
      </c>
      <c r="AC1695" s="266">
        <v>0.25</v>
      </c>
      <c r="AD1695" s="101"/>
      <c r="AE1695" s="101"/>
      <c r="AF1695" s="101"/>
      <c r="AG1695" s="101"/>
      <c r="AH1695" s="99"/>
      <c r="AI1695" s="105"/>
    </row>
    <row r="1696" spans="1:35">
      <c r="A1696" s="98"/>
      <c r="B1696" s="99"/>
      <c r="C1696" s="99"/>
      <c r="D1696" s="99"/>
      <c r="E1696" s="99"/>
      <c r="F1696" s="100"/>
      <c r="G1696" s="100"/>
      <c r="H1696" s="99"/>
      <c r="I1696" s="247"/>
      <c r="J1696" s="101"/>
      <c r="K1696" s="101"/>
      <c r="L1696" s="101"/>
      <c r="M1696" s="101"/>
      <c r="N1696" s="101"/>
      <c r="O1696" s="101"/>
      <c r="P1696" s="101"/>
      <c r="Q1696" s="101"/>
      <c r="R1696" s="101"/>
      <c r="S1696" s="101"/>
      <c r="T1696" s="101"/>
      <c r="U1696" s="100"/>
      <c r="V1696" s="100"/>
      <c r="W1696" s="100"/>
      <c r="X1696" s="100"/>
      <c r="Y1696" s="99"/>
      <c r="Z1696" s="99"/>
      <c r="AA1696" s="100" t="s">
        <v>1792</v>
      </c>
      <c r="AB1696" s="99" t="s">
        <v>526</v>
      </c>
      <c r="AC1696" s="99">
        <v>20</v>
      </c>
      <c r="AD1696" s="101"/>
      <c r="AE1696" s="101"/>
      <c r="AF1696" s="101"/>
      <c r="AG1696" s="101"/>
      <c r="AH1696" s="99"/>
      <c r="AI1696" s="105"/>
    </row>
    <row r="1697" spans="1:35">
      <c r="A1697" s="98"/>
      <c r="B1697" s="99"/>
      <c r="C1697" s="263" t="s">
        <v>3230</v>
      </c>
      <c r="D1697" s="264" t="s">
        <v>79</v>
      </c>
      <c r="E1697" s="264" t="s">
        <v>80</v>
      </c>
      <c r="F1697" s="100" t="s">
        <v>3959</v>
      </c>
      <c r="G1697" s="100" t="s">
        <v>998</v>
      </c>
      <c r="H1697" s="99" t="s">
        <v>120</v>
      </c>
      <c r="I1697" s="247">
        <v>28642</v>
      </c>
      <c r="J1697" s="101">
        <v>1</v>
      </c>
      <c r="K1697" s="101"/>
      <c r="L1697" s="101">
        <v>1</v>
      </c>
      <c r="M1697" s="101"/>
      <c r="N1697" s="101">
        <v>1</v>
      </c>
      <c r="O1697" s="101"/>
      <c r="P1697" s="101"/>
      <c r="Q1697" s="101"/>
      <c r="R1697" s="101"/>
      <c r="S1697" s="101"/>
      <c r="T1697" s="101"/>
      <c r="U1697" s="99" t="s">
        <v>1446</v>
      </c>
      <c r="V1697" s="99" t="s">
        <v>949</v>
      </c>
      <c r="W1697" s="100" t="s">
        <v>298</v>
      </c>
      <c r="X1697" s="100" t="s">
        <v>227</v>
      </c>
      <c r="Y1697" s="99"/>
      <c r="Z1697" s="99"/>
      <c r="AA1697" s="100" t="s">
        <v>3198</v>
      </c>
      <c r="AB1697" s="100" t="s">
        <v>528</v>
      </c>
      <c r="AC1697" s="99">
        <v>1</v>
      </c>
      <c r="AD1697" s="101"/>
      <c r="AE1697" s="101"/>
      <c r="AF1697" s="101"/>
      <c r="AG1697" s="101"/>
      <c r="AH1697" s="99"/>
      <c r="AI1697" s="105"/>
    </row>
    <row r="1698" spans="1:35">
      <c r="A1698" s="98"/>
      <c r="B1698" s="99"/>
      <c r="C1698" s="99"/>
      <c r="D1698" s="99"/>
      <c r="E1698" s="99"/>
      <c r="F1698" s="100"/>
      <c r="G1698" s="100"/>
      <c r="H1698" s="99"/>
      <c r="I1698" s="247"/>
      <c r="J1698" s="101"/>
      <c r="K1698" s="101"/>
      <c r="L1698" s="101"/>
      <c r="M1698" s="101"/>
      <c r="N1698" s="101"/>
      <c r="O1698" s="101"/>
      <c r="P1698" s="101"/>
      <c r="Q1698" s="101"/>
      <c r="R1698" s="101"/>
      <c r="S1698" s="101"/>
      <c r="T1698" s="101"/>
      <c r="U1698" s="99"/>
      <c r="V1698" s="99"/>
      <c r="W1698" s="99"/>
      <c r="X1698" s="99"/>
      <c r="Y1698" s="99"/>
      <c r="Z1698" s="99"/>
      <c r="AA1698" s="100" t="s">
        <v>1961</v>
      </c>
      <c r="AB1698" s="100" t="s">
        <v>526</v>
      </c>
      <c r="AC1698" s="266">
        <v>0.25</v>
      </c>
      <c r="AD1698" s="101"/>
      <c r="AE1698" s="101"/>
      <c r="AF1698" s="101"/>
      <c r="AG1698" s="101"/>
      <c r="AH1698" s="99"/>
      <c r="AI1698" s="105"/>
    </row>
    <row r="1699" spans="1:35">
      <c r="A1699" s="98"/>
      <c r="B1699" s="99"/>
      <c r="C1699" s="99"/>
      <c r="D1699" s="99"/>
      <c r="E1699" s="99"/>
      <c r="F1699" s="100"/>
      <c r="G1699" s="100"/>
      <c r="H1699" s="99"/>
      <c r="I1699" s="247"/>
      <c r="J1699" s="101"/>
      <c r="K1699" s="101"/>
      <c r="L1699" s="101"/>
      <c r="M1699" s="101"/>
      <c r="N1699" s="101"/>
      <c r="O1699" s="101"/>
      <c r="P1699" s="101"/>
      <c r="Q1699" s="101"/>
      <c r="R1699" s="101"/>
      <c r="S1699" s="101"/>
      <c r="T1699" s="101"/>
      <c r="U1699" s="100"/>
      <c r="V1699" s="100"/>
      <c r="W1699" s="100"/>
      <c r="X1699" s="100"/>
      <c r="Y1699" s="99"/>
      <c r="Z1699" s="99"/>
      <c r="AA1699" s="100" t="s">
        <v>1792</v>
      </c>
      <c r="AB1699" s="99" t="s">
        <v>526</v>
      </c>
      <c r="AC1699" s="99">
        <v>20</v>
      </c>
      <c r="AD1699" s="101"/>
      <c r="AE1699" s="101"/>
      <c r="AF1699" s="101"/>
      <c r="AG1699" s="101"/>
      <c r="AH1699" s="99"/>
      <c r="AI1699" s="105"/>
    </row>
    <row r="1700" spans="1:35">
      <c r="A1700" s="98"/>
      <c r="B1700" s="99"/>
      <c r="C1700" s="263" t="s">
        <v>3230</v>
      </c>
      <c r="D1700" s="264" t="s">
        <v>79</v>
      </c>
      <c r="E1700" s="264" t="s">
        <v>80</v>
      </c>
      <c r="F1700" s="100" t="s">
        <v>3959</v>
      </c>
      <c r="G1700" s="100" t="s">
        <v>1355</v>
      </c>
      <c r="H1700" s="99"/>
      <c r="I1700" s="247">
        <v>31683</v>
      </c>
      <c r="J1700" s="101">
        <v>1</v>
      </c>
      <c r="K1700" s="101"/>
      <c r="L1700" s="101">
        <v>1</v>
      </c>
      <c r="M1700" s="101"/>
      <c r="N1700" s="101">
        <v>1</v>
      </c>
      <c r="O1700" s="101"/>
      <c r="P1700" s="101"/>
      <c r="Q1700" s="101"/>
      <c r="R1700" s="101"/>
      <c r="S1700" s="101"/>
      <c r="T1700" s="101"/>
      <c r="U1700" s="99" t="s">
        <v>1446</v>
      </c>
      <c r="V1700" s="99" t="s">
        <v>949</v>
      </c>
      <c r="W1700" s="100" t="s">
        <v>298</v>
      </c>
      <c r="X1700" s="100" t="s">
        <v>227</v>
      </c>
      <c r="Y1700" s="99"/>
      <c r="Z1700" s="99"/>
      <c r="AA1700" s="100" t="s">
        <v>3198</v>
      </c>
      <c r="AB1700" s="100" t="s">
        <v>528</v>
      </c>
      <c r="AC1700" s="99">
        <v>2</v>
      </c>
      <c r="AD1700" s="101"/>
      <c r="AE1700" s="101"/>
      <c r="AF1700" s="101"/>
      <c r="AG1700" s="101"/>
      <c r="AH1700" s="99"/>
      <c r="AI1700" s="105"/>
    </row>
    <row r="1701" spans="1:35">
      <c r="A1701" s="98"/>
      <c r="B1701" s="99"/>
      <c r="C1701" s="99"/>
      <c r="D1701" s="99"/>
      <c r="E1701" s="99"/>
      <c r="F1701" s="100"/>
      <c r="G1701" s="100"/>
      <c r="H1701" s="99"/>
      <c r="I1701" s="247"/>
      <c r="J1701" s="101"/>
      <c r="K1701" s="101"/>
      <c r="L1701" s="101"/>
      <c r="M1701" s="101"/>
      <c r="N1701" s="101"/>
      <c r="O1701" s="101"/>
      <c r="P1701" s="101"/>
      <c r="Q1701" s="101"/>
      <c r="R1701" s="101"/>
      <c r="S1701" s="101"/>
      <c r="T1701" s="101"/>
      <c r="U1701" s="99"/>
      <c r="V1701" s="99"/>
      <c r="W1701" s="99"/>
      <c r="X1701" s="99"/>
      <c r="Y1701" s="99"/>
      <c r="Z1701" s="99"/>
      <c r="AA1701" s="100" t="s">
        <v>1961</v>
      </c>
      <c r="AB1701" s="100" t="s">
        <v>526</v>
      </c>
      <c r="AC1701" s="266">
        <v>0.25</v>
      </c>
      <c r="AD1701" s="101"/>
      <c r="AE1701" s="101"/>
      <c r="AF1701" s="101"/>
      <c r="AG1701" s="101"/>
      <c r="AH1701" s="99"/>
      <c r="AI1701" s="105"/>
    </row>
    <row r="1702" spans="1:35">
      <c r="A1702" s="98"/>
      <c r="B1702" s="99"/>
      <c r="C1702" s="99"/>
      <c r="D1702" s="99"/>
      <c r="E1702" s="99"/>
      <c r="F1702" s="100"/>
      <c r="G1702" s="100"/>
      <c r="H1702" s="99"/>
      <c r="I1702" s="247"/>
      <c r="J1702" s="101"/>
      <c r="K1702" s="101"/>
      <c r="L1702" s="101"/>
      <c r="M1702" s="101"/>
      <c r="N1702" s="101"/>
      <c r="O1702" s="101"/>
      <c r="P1702" s="101"/>
      <c r="Q1702" s="101"/>
      <c r="R1702" s="101"/>
      <c r="S1702" s="101"/>
      <c r="T1702" s="101"/>
      <c r="U1702" s="100"/>
      <c r="V1702" s="100"/>
      <c r="W1702" s="100"/>
      <c r="X1702" s="100"/>
      <c r="Y1702" s="99"/>
      <c r="Z1702" s="99"/>
      <c r="AA1702" s="100" t="s">
        <v>1792</v>
      </c>
      <c r="AB1702" s="99" t="s">
        <v>526</v>
      </c>
      <c r="AC1702" s="99">
        <v>50</v>
      </c>
      <c r="AD1702" s="101"/>
      <c r="AE1702" s="101"/>
      <c r="AF1702" s="101"/>
      <c r="AG1702" s="101"/>
      <c r="AH1702" s="99"/>
      <c r="AI1702" s="105"/>
    </row>
    <row r="1703" spans="1:35">
      <c r="A1703" s="98"/>
      <c r="B1703" s="99"/>
      <c r="C1703" s="263" t="s">
        <v>3230</v>
      </c>
      <c r="D1703" s="264" t="s">
        <v>79</v>
      </c>
      <c r="E1703" s="264" t="s">
        <v>80</v>
      </c>
      <c r="F1703" s="100" t="s">
        <v>3965</v>
      </c>
      <c r="G1703" s="100" t="s">
        <v>4007</v>
      </c>
      <c r="H1703" s="99"/>
      <c r="I1703" s="247">
        <v>33618</v>
      </c>
      <c r="J1703" s="101">
        <v>1</v>
      </c>
      <c r="K1703" s="101"/>
      <c r="L1703" s="101">
        <v>1</v>
      </c>
      <c r="M1703" s="101"/>
      <c r="N1703" s="101">
        <v>1</v>
      </c>
      <c r="O1703" s="101"/>
      <c r="P1703" s="101"/>
      <c r="Q1703" s="101"/>
      <c r="R1703" s="101"/>
      <c r="S1703" s="101"/>
      <c r="T1703" s="101"/>
      <c r="U1703" s="99" t="s">
        <v>1446</v>
      </c>
      <c r="V1703" s="99" t="s">
        <v>949</v>
      </c>
      <c r="W1703" s="100" t="s">
        <v>298</v>
      </c>
      <c r="X1703" s="100" t="s">
        <v>227</v>
      </c>
      <c r="Y1703" s="99"/>
      <c r="Z1703" s="99"/>
      <c r="AA1703" s="100" t="s">
        <v>3198</v>
      </c>
      <c r="AB1703" s="100" t="s">
        <v>528</v>
      </c>
      <c r="AC1703" s="99">
        <v>1</v>
      </c>
      <c r="AD1703" s="101"/>
      <c r="AE1703" s="101"/>
      <c r="AF1703" s="101"/>
      <c r="AG1703" s="101"/>
      <c r="AH1703" s="99"/>
      <c r="AI1703" s="105"/>
    </row>
    <row r="1704" spans="1:35">
      <c r="A1704" s="98"/>
      <c r="B1704" s="99"/>
      <c r="C1704" s="99"/>
      <c r="D1704" s="99"/>
      <c r="E1704" s="99"/>
      <c r="F1704" s="100"/>
      <c r="G1704" s="100"/>
      <c r="H1704" s="99"/>
      <c r="I1704" s="247"/>
      <c r="J1704" s="101"/>
      <c r="K1704" s="101"/>
      <c r="L1704" s="101"/>
      <c r="M1704" s="101"/>
      <c r="N1704" s="101"/>
      <c r="O1704" s="101"/>
      <c r="P1704" s="101"/>
      <c r="Q1704" s="101"/>
      <c r="R1704" s="101"/>
      <c r="S1704" s="101"/>
      <c r="T1704" s="101"/>
      <c r="U1704" s="99"/>
      <c r="V1704" s="99"/>
      <c r="W1704" s="99"/>
      <c r="X1704" s="99"/>
      <c r="Y1704" s="99"/>
      <c r="Z1704" s="99"/>
      <c r="AA1704" s="100" t="s">
        <v>1961</v>
      </c>
      <c r="AB1704" s="100" t="s">
        <v>526</v>
      </c>
      <c r="AC1704" s="266">
        <v>0.25</v>
      </c>
      <c r="AD1704" s="101"/>
      <c r="AE1704" s="101"/>
      <c r="AF1704" s="101"/>
      <c r="AG1704" s="101"/>
      <c r="AH1704" s="99"/>
      <c r="AI1704" s="105"/>
    </row>
    <row r="1705" spans="1:35">
      <c r="A1705" s="98"/>
      <c r="B1705" s="99"/>
      <c r="C1705" s="99"/>
      <c r="D1705" s="99"/>
      <c r="E1705" s="99"/>
      <c r="F1705" s="100"/>
      <c r="G1705" s="100"/>
      <c r="H1705" s="99"/>
      <c r="I1705" s="247"/>
      <c r="J1705" s="101"/>
      <c r="K1705" s="101"/>
      <c r="L1705" s="101"/>
      <c r="M1705" s="101"/>
      <c r="N1705" s="101"/>
      <c r="O1705" s="101"/>
      <c r="P1705" s="101"/>
      <c r="Q1705" s="101"/>
      <c r="R1705" s="101"/>
      <c r="S1705" s="101"/>
      <c r="T1705" s="101"/>
      <c r="U1705" s="100"/>
      <c r="V1705" s="100"/>
      <c r="W1705" s="100"/>
      <c r="X1705" s="100"/>
      <c r="Y1705" s="99"/>
      <c r="Z1705" s="99"/>
      <c r="AA1705" s="100" t="s">
        <v>1792</v>
      </c>
      <c r="AB1705" s="99" t="s">
        <v>526</v>
      </c>
      <c r="AC1705" s="99">
        <v>20</v>
      </c>
      <c r="AD1705" s="101"/>
      <c r="AE1705" s="101"/>
      <c r="AF1705" s="101"/>
      <c r="AG1705" s="101"/>
      <c r="AH1705" s="99"/>
      <c r="AI1705" s="105"/>
    </row>
    <row r="1706" spans="1:35">
      <c r="A1706" s="98"/>
      <c r="B1706" s="99"/>
      <c r="C1706" s="263" t="s">
        <v>3230</v>
      </c>
      <c r="D1706" s="264" t="s">
        <v>79</v>
      </c>
      <c r="E1706" s="264" t="s">
        <v>80</v>
      </c>
      <c r="F1706" s="100" t="s">
        <v>3959</v>
      </c>
      <c r="G1706" s="100" t="s">
        <v>1327</v>
      </c>
      <c r="H1706" s="99"/>
      <c r="I1706" s="247"/>
      <c r="J1706" s="101">
        <v>1</v>
      </c>
      <c r="K1706" s="101"/>
      <c r="L1706" s="101">
        <v>1</v>
      </c>
      <c r="M1706" s="101"/>
      <c r="N1706" s="101">
        <v>1</v>
      </c>
      <c r="O1706" s="101"/>
      <c r="P1706" s="101"/>
      <c r="Q1706" s="101"/>
      <c r="R1706" s="101"/>
      <c r="S1706" s="101"/>
      <c r="T1706" s="101"/>
      <c r="U1706" s="99" t="s">
        <v>1446</v>
      </c>
      <c r="V1706" s="99" t="s">
        <v>949</v>
      </c>
      <c r="W1706" s="100" t="s">
        <v>298</v>
      </c>
      <c r="X1706" s="100" t="s">
        <v>227</v>
      </c>
      <c r="Y1706" s="99"/>
      <c r="Z1706" s="99"/>
      <c r="AA1706" s="100" t="s">
        <v>3198</v>
      </c>
      <c r="AB1706" s="100" t="s">
        <v>528</v>
      </c>
      <c r="AC1706" s="99">
        <v>1</v>
      </c>
      <c r="AD1706" s="101"/>
      <c r="AE1706" s="101"/>
      <c r="AF1706" s="101"/>
      <c r="AG1706" s="101"/>
      <c r="AH1706" s="99"/>
      <c r="AI1706" s="105"/>
    </row>
    <row r="1707" spans="1:35">
      <c r="A1707" s="98"/>
      <c r="B1707" s="99"/>
      <c r="C1707" s="99"/>
      <c r="D1707" s="99"/>
      <c r="E1707" s="99"/>
      <c r="F1707" s="100"/>
      <c r="G1707" s="100"/>
      <c r="H1707" s="99"/>
      <c r="I1707" s="247"/>
      <c r="J1707" s="101"/>
      <c r="K1707" s="101"/>
      <c r="L1707" s="101"/>
      <c r="M1707" s="101"/>
      <c r="N1707" s="101"/>
      <c r="O1707" s="101"/>
      <c r="P1707" s="101"/>
      <c r="Q1707" s="101"/>
      <c r="R1707" s="101"/>
      <c r="S1707" s="101"/>
      <c r="T1707" s="101"/>
      <c r="U1707" s="99"/>
      <c r="V1707" s="99"/>
      <c r="W1707" s="99"/>
      <c r="X1707" s="99"/>
      <c r="Y1707" s="99"/>
      <c r="Z1707" s="99"/>
      <c r="AA1707" s="100" t="s">
        <v>1961</v>
      </c>
      <c r="AB1707" s="100" t="s">
        <v>526</v>
      </c>
      <c r="AC1707" s="266">
        <v>0.25</v>
      </c>
      <c r="AD1707" s="101"/>
      <c r="AE1707" s="101"/>
      <c r="AF1707" s="101"/>
      <c r="AG1707" s="101"/>
      <c r="AH1707" s="99"/>
      <c r="AI1707" s="105"/>
    </row>
    <row r="1708" spans="1:35">
      <c r="A1708" s="98"/>
      <c r="B1708" s="99"/>
      <c r="C1708" s="99"/>
      <c r="D1708" s="99"/>
      <c r="E1708" s="99"/>
      <c r="F1708" s="100"/>
      <c r="G1708" s="100"/>
      <c r="H1708" s="99"/>
      <c r="I1708" s="247"/>
      <c r="J1708" s="101"/>
      <c r="K1708" s="101"/>
      <c r="L1708" s="101"/>
      <c r="M1708" s="101"/>
      <c r="N1708" s="101"/>
      <c r="O1708" s="101"/>
      <c r="P1708" s="101"/>
      <c r="Q1708" s="101"/>
      <c r="R1708" s="101"/>
      <c r="S1708" s="101"/>
      <c r="T1708" s="101"/>
      <c r="U1708" s="100"/>
      <c r="V1708" s="100"/>
      <c r="W1708" s="100"/>
      <c r="X1708" s="100"/>
      <c r="Y1708" s="99"/>
      <c r="Z1708" s="99"/>
      <c r="AA1708" s="100" t="s">
        <v>1792</v>
      </c>
      <c r="AB1708" s="99" t="s">
        <v>526</v>
      </c>
      <c r="AC1708" s="99">
        <v>50</v>
      </c>
      <c r="AD1708" s="101"/>
      <c r="AE1708" s="101"/>
      <c r="AF1708" s="101"/>
      <c r="AG1708" s="101"/>
      <c r="AH1708" s="99"/>
      <c r="AI1708" s="105"/>
    </row>
    <row r="1709" spans="1:35">
      <c r="A1709" s="98"/>
      <c r="B1709" s="99"/>
      <c r="C1709" s="263" t="s">
        <v>3230</v>
      </c>
      <c r="D1709" s="264" t="s">
        <v>79</v>
      </c>
      <c r="E1709" s="264" t="s">
        <v>80</v>
      </c>
      <c r="F1709" s="100" t="s">
        <v>4008</v>
      </c>
      <c r="G1709" s="100" t="s">
        <v>756</v>
      </c>
      <c r="H1709" s="99" t="s">
        <v>120</v>
      </c>
      <c r="I1709" s="247">
        <v>26304</v>
      </c>
      <c r="J1709" s="101">
        <v>1</v>
      </c>
      <c r="K1709" s="101"/>
      <c r="L1709" s="101">
        <v>1</v>
      </c>
      <c r="M1709" s="101"/>
      <c r="N1709" s="101">
        <v>1</v>
      </c>
      <c r="O1709" s="101"/>
      <c r="P1709" s="101"/>
      <c r="Q1709" s="101"/>
      <c r="R1709" s="101"/>
      <c r="S1709" s="101"/>
      <c r="T1709" s="101"/>
      <c r="U1709" s="99" t="s">
        <v>1446</v>
      </c>
      <c r="V1709" s="99" t="s">
        <v>949</v>
      </c>
      <c r="W1709" s="100" t="s">
        <v>298</v>
      </c>
      <c r="X1709" s="100" t="s">
        <v>227</v>
      </c>
      <c r="Y1709" s="99"/>
      <c r="Z1709" s="99"/>
      <c r="AA1709" s="100" t="s">
        <v>3198</v>
      </c>
      <c r="AB1709" s="100" t="s">
        <v>528</v>
      </c>
      <c r="AC1709" s="99">
        <v>1</v>
      </c>
      <c r="AD1709" s="101"/>
      <c r="AE1709" s="101"/>
      <c r="AF1709" s="101"/>
      <c r="AG1709" s="101"/>
      <c r="AH1709" s="99"/>
      <c r="AI1709" s="105"/>
    </row>
    <row r="1710" spans="1:35">
      <c r="A1710" s="98"/>
      <c r="B1710" s="99"/>
      <c r="C1710" s="99"/>
      <c r="D1710" s="99"/>
      <c r="E1710" s="99"/>
      <c r="F1710" s="100"/>
      <c r="G1710" s="100"/>
      <c r="H1710" s="99"/>
      <c r="I1710" s="247"/>
      <c r="J1710" s="101"/>
      <c r="K1710" s="101"/>
      <c r="L1710" s="101"/>
      <c r="M1710" s="101"/>
      <c r="N1710" s="101"/>
      <c r="O1710" s="101"/>
      <c r="P1710" s="101"/>
      <c r="Q1710" s="101"/>
      <c r="R1710" s="101"/>
      <c r="S1710" s="101"/>
      <c r="T1710" s="101"/>
      <c r="U1710" s="99"/>
      <c r="V1710" s="99"/>
      <c r="W1710" s="99"/>
      <c r="X1710" s="99"/>
      <c r="Y1710" s="99"/>
      <c r="Z1710" s="99"/>
      <c r="AA1710" s="100" t="s">
        <v>1961</v>
      </c>
      <c r="AB1710" s="100" t="s">
        <v>526</v>
      </c>
      <c r="AC1710" s="266">
        <v>0.25</v>
      </c>
      <c r="AD1710" s="101"/>
      <c r="AE1710" s="101"/>
      <c r="AF1710" s="101"/>
      <c r="AG1710" s="101"/>
      <c r="AH1710" s="99"/>
      <c r="AI1710" s="105"/>
    </row>
    <row r="1711" spans="1:35">
      <c r="A1711" s="98"/>
      <c r="B1711" s="99"/>
      <c r="C1711" s="99"/>
      <c r="D1711" s="99"/>
      <c r="E1711" s="99"/>
      <c r="F1711" s="100"/>
      <c r="G1711" s="100"/>
      <c r="H1711" s="99"/>
      <c r="I1711" s="247"/>
      <c r="J1711" s="101"/>
      <c r="K1711" s="101"/>
      <c r="L1711" s="101"/>
      <c r="M1711" s="101"/>
      <c r="N1711" s="101"/>
      <c r="O1711" s="101"/>
      <c r="P1711" s="101"/>
      <c r="Q1711" s="101"/>
      <c r="R1711" s="101"/>
      <c r="S1711" s="101"/>
      <c r="T1711" s="101"/>
      <c r="U1711" s="99"/>
      <c r="V1711" s="99"/>
      <c r="W1711" s="100"/>
      <c r="X1711" s="100"/>
      <c r="Y1711" s="99"/>
      <c r="Z1711" s="99"/>
      <c r="AA1711" s="100" t="s">
        <v>1792</v>
      </c>
      <c r="AB1711" s="99" t="s">
        <v>526</v>
      </c>
      <c r="AC1711" s="99">
        <v>20</v>
      </c>
      <c r="AD1711" s="101"/>
      <c r="AE1711" s="101"/>
      <c r="AF1711" s="101"/>
      <c r="AG1711" s="101"/>
      <c r="AH1711" s="99"/>
      <c r="AI1711" s="105"/>
    </row>
    <row r="1712" spans="1:35">
      <c r="A1712" s="98"/>
      <c r="B1712" s="99"/>
      <c r="C1712" s="263" t="s">
        <v>3230</v>
      </c>
      <c r="D1712" s="264" t="s">
        <v>79</v>
      </c>
      <c r="E1712" s="264" t="s">
        <v>80</v>
      </c>
      <c r="F1712" s="100" t="s">
        <v>4008</v>
      </c>
      <c r="G1712" s="100" t="s">
        <v>1695</v>
      </c>
      <c r="H1712" s="99" t="s">
        <v>120</v>
      </c>
      <c r="I1712" s="247">
        <v>27052</v>
      </c>
      <c r="J1712" s="101">
        <v>1</v>
      </c>
      <c r="K1712" s="101"/>
      <c r="L1712" s="101">
        <v>1</v>
      </c>
      <c r="M1712" s="101"/>
      <c r="N1712" s="101">
        <v>1</v>
      </c>
      <c r="O1712" s="101"/>
      <c r="P1712" s="101"/>
      <c r="Q1712" s="101"/>
      <c r="R1712" s="101"/>
      <c r="S1712" s="101"/>
      <c r="T1712" s="101"/>
      <c r="U1712" s="99" t="s">
        <v>1446</v>
      </c>
      <c r="V1712" s="99" t="s">
        <v>949</v>
      </c>
      <c r="W1712" s="100" t="s">
        <v>298</v>
      </c>
      <c r="X1712" s="100" t="s">
        <v>227</v>
      </c>
      <c r="Y1712" s="99"/>
      <c r="Z1712" s="99"/>
      <c r="AA1712" s="100" t="s">
        <v>3198</v>
      </c>
      <c r="AB1712" s="100" t="s">
        <v>528</v>
      </c>
      <c r="AC1712" s="99">
        <v>1</v>
      </c>
      <c r="AD1712" s="101"/>
      <c r="AE1712" s="101"/>
      <c r="AF1712" s="101"/>
      <c r="AG1712" s="101"/>
      <c r="AH1712" s="99"/>
      <c r="AI1712" s="105"/>
    </row>
    <row r="1713" spans="1:35">
      <c r="A1713" s="98"/>
      <c r="B1713" s="99"/>
      <c r="C1713" s="99"/>
      <c r="D1713" s="99"/>
      <c r="E1713" s="99"/>
      <c r="F1713" s="100"/>
      <c r="G1713" s="100"/>
      <c r="H1713" s="99"/>
      <c r="I1713" s="247"/>
      <c r="J1713" s="101"/>
      <c r="K1713" s="101"/>
      <c r="L1713" s="101"/>
      <c r="M1713" s="101"/>
      <c r="N1713" s="101"/>
      <c r="O1713" s="101"/>
      <c r="P1713" s="101"/>
      <c r="Q1713" s="101"/>
      <c r="R1713" s="101"/>
      <c r="S1713" s="101"/>
      <c r="T1713" s="101"/>
      <c r="U1713" s="99"/>
      <c r="V1713" s="99"/>
      <c r="W1713" s="99"/>
      <c r="X1713" s="99"/>
      <c r="Y1713" s="99"/>
      <c r="Z1713" s="99"/>
      <c r="AA1713" s="100" t="s">
        <v>1961</v>
      </c>
      <c r="AB1713" s="100" t="s">
        <v>526</v>
      </c>
      <c r="AC1713" s="266">
        <v>0.25</v>
      </c>
      <c r="AD1713" s="101"/>
      <c r="AE1713" s="101"/>
      <c r="AF1713" s="101"/>
      <c r="AG1713" s="101"/>
      <c r="AH1713" s="99"/>
      <c r="AI1713" s="105"/>
    </row>
    <row r="1714" spans="1:35">
      <c r="A1714" s="98"/>
      <c r="B1714" s="99"/>
      <c r="C1714" s="99"/>
      <c r="D1714" s="99"/>
      <c r="E1714" s="99"/>
      <c r="F1714" s="100"/>
      <c r="G1714" s="100"/>
      <c r="H1714" s="99"/>
      <c r="I1714" s="247"/>
      <c r="J1714" s="101"/>
      <c r="K1714" s="101"/>
      <c r="L1714" s="101"/>
      <c r="M1714" s="101"/>
      <c r="N1714" s="101"/>
      <c r="O1714" s="101"/>
      <c r="P1714" s="101"/>
      <c r="Q1714" s="101"/>
      <c r="R1714" s="101"/>
      <c r="S1714" s="101"/>
      <c r="T1714" s="101"/>
      <c r="U1714" s="99"/>
      <c r="V1714" s="99"/>
      <c r="W1714" s="100"/>
      <c r="X1714" s="100"/>
      <c r="Y1714" s="99"/>
      <c r="Z1714" s="99"/>
      <c r="AA1714" s="100" t="s">
        <v>1792</v>
      </c>
      <c r="AB1714" s="99" t="s">
        <v>526</v>
      </c>
      <c r="AC1714" s="99">
        <v>20</v>
      </c>
      <c r="AD1714" s="101"/>
      <c r="AE1714" s="101"/>
      <c r="AF1714" s="101"/>
      <c r="AG1714" s="101"/>
      <c r="AH1714" s="99"/>
      <c r="AI1714" s="105"/>
    </row>
    <row r="1715" spans="1:35">
      <c r="A1715" s="98"/>
      <c r="B1715" s="99"/>
      <c r="C1715" s="263" t="s">
        <v>3230</v>
      </c>
      <c r="D1715" s="264" t="s">
        <v>79</v>
      </c>
      <c r="E1715" s="264" t="s">
        <v>80</v>
      </c>
      <c r="F1715" s="100" t="s">
        <v>3950</v>
      </c>
      <c r="G1715" s="100" t="s">
        <v>4009</v>
      </c>
      <c r="H1715" s="99" t="s">
        <v>286</v>
      </c>
      <c r="I1715" s="247">
        <v>34109</v>
      </c>
      <c r="J1715" s="101">
        <v>1</v>
      </c>
      <c r="K1715" s="101"/>
      <c r="L1715" s="101">
        <v>1</v>
      </c>
      <c r="M1715" s="101"/>
      <c r="N1715" s="101">
        <v>1</v>
      </c>
      <c r="O1715" s="101"/>
      <c r="P1715" s="101"/>
      <c r="Q1715" s="101"/>
      <c r="R1715" s="101"/>
      <c r="S1715" s="101"/>
      <c r="T1715" s="101"/>
      <c r="U1715" s="99" t="s">
        <v>1446</v>
      </c>
      <c r="V1715" s="99" t="s">
        <v>949</v>
      </c>
      <c r="W1715" s="100" t="s">
        <v>298</v>
      </c>
      <c r="X1715" s="100" t="s">
        <v>227</v>
      </c>
      <c r="Y1715" s="99"/>
      <c r="Z1715" s="99"/>
      <c r="AA1715" s="100" t="s">
        <v>3198</v>
      </c>
      <c r="AB1715" s="100" t="s">
        <v>528</v>
      </c>
      <c r="AC1715" s="99">
        <v>1</v>
      </c>
      <c r="AD1715" s="101"/>
      <c r="AE1715" s="101"/>
      <c r="AF1715" s="101"/>
      <c r="AG1715" s="101"/>
      <c r="AH1715" s="99"/>
      <c r="AI1715" s="105"/>
    </row>
    <row r="1716" spans="1:35">
      <c r="A1716" s="98"/>
      <c r="B1716" s="99"/>
      <c r="C1716" s="99"/>
      <c r="D1716" s="99"/>
      <c r="E1716" s="99"/>
      <c r="F1716" s="100"/>
      <c r="G1716" s="100"/>
      <c r="H1716" s="99"/>
      <c r="I1716" s="247"/>
      <c r="J1716" s="101"/>
      <c r="K1716" s="101"/>
      <c r="L1716" s="101"/>
      <c r="M1716" s="101"/>
      <c r="N1716" s="101"/>
      <c r="O1716" s="101"/>
      <c r="P1716" s="101"/>
      <c r="Q1716" s="101"/>
      <c r="R1716" s="101"/>
      <c r="S1716" s="101"/>
      <c r="T1716" s="101"/>
      <c r="U1716" s="99"/>
      <c r="V1716" s="99"/>
      <c r="W1716" s="99"/>
      <c r="X1716" s="99"/>
      <c r="Y1716" s="99"/>
      <c r="Z1716" s="99"/>
      <c r="AA1716" s="100" t="s">
        <v>1961</v>
      </c>
      <c r="AB1716" s="100" t="s">
        <v>526</v>
      </c>
      <c r="AC1716" s="266">
        <v>0.25</v>
      </c>
      <c r="AD1716" s="101"/>
      <c r="AE1716" s="101"/>
      <c r="AF1716" s="101"/>
      <c r="AG1716" s="101"/>
      <c r="AH1716" s="99"/>
      <c r="AI1716" s="105"/>
    </row>
    <row r="1717" spans="1:35">
      <c r="A1717" s="98"/>
      <c r="B1717" s="99"/>
      <c r="C1717" s="99"/>
      <c r="D1717" s="99"/>
      <c r="E1717" s="99"/>
      <c r="F1717" s="100"/>
      <c r="G1717" s="100"/>
      <c r="H1717" s="99"/>
      <c r="I1717" s="247"/>
      <c r="J1717" s="101"/>
      <c r="K1717" s="101"/>
      <c r="L1717" s="101"/>
      <c r="M1717" s="101"/>
      <c r="N1717" s="101"/>
      <c r="O1717" s="101"/>
      <c r="P1717" s="101"/>
      <c r="Q1717" s="101"/>
      <c r="R1717" s="101"/>
      <c r="S1717" s="101"/>
      <c r="T1717" s="101"/>
      <c r="U1717" s="99"/>
      <c r="V1717" s="99"/>
      <c r="W1717" s="100"/>
      <c r="X1717" s="100"/>
      <c r="Y1717" s="99"/>
      <c r="Z1717" s="99"/>
      <c r="AA1717" s="100" t="s">
        <v>1792</v>
      </c>
      <c r="AB1717" s="99" t="s">
        <v>526</v>
      </c>
      <c r="AC1717" s="99">
        <v>20</v>
      </c>
      <c r="AD1717" s="101"/>
      <c r="AE1717" s="101"/>
      <c r="AF1717" s="101"/>
      <c r="AG1717" s="101"/>
      <c r="AH1717" s="99"/>
      <c r="AI1717" s="105"/>
    </row>
    <row r="1718" spans="1:35">
      <c r="A1718" s="98"/>
      <c r="B1718" s="99"/>
      <c r="C1718" s="263" t="s">
        <v>3230</v>
      </c>
      <c r="D1718" s="264" t="s">
        <v>79</v>
      </c>
      <c r="E1718" s="264" t="s">
        <v>80</v>
      </c>
      <c r="F1718" s="100" t="s">
        <v>3979</v>
      </c>
      <c r="G1718" s="100" t="s">
        <v>4010</v>
      </c>
      <c r="H1718" s="99" t="s">
        <v>421</v>
      </c>
      <c r="I1718" s="247">
        <v>26787</v>
      </c>
      <c r="J1718" s="101">
        <v>1</v>
      </c>
      <c r="K1718" s="101"/>
      <c r="L1718" s="101">
        <v>1</v>
      </c>
      <c r="M1718" s="101"/>
      <c r="N1718" s="101">
        <v>1</v>
      </c>
      <c r="O1718" s="101"/>
      <c r="P1718" s="101"/>
      <c r="Q1718" s="101"/>
      <c r="R1718" s="101"/>
      <c r="S1718" s="101"/>
      <c r="T1718" s="101"/>
      <c r="U1718" s="99" t="s">
        <v>1446</v>
      </c>
      <c r="V1718" s="99" t="s">
        <v>949</v>
      </c>
      <c r="W1718" s="100" t="s">
        <v>298</v>
      </c>
      <c r="X1718" s="100" t="s">
        <v>227</v>
      </c>
      <c r="Y1718" s="99"/>
      <c r="Z1718" s="99"/>
      <c r="AA1718" s="100" t="s">
        <v>3198</v>
      </c>
      <c r="AB1718" s="100" t="s">
        <v>528</v>
      </c>
      <c r="AC1718" s="99">
        <v>1</v>
      </c>
      <c r="AD1718" s="101"/>
      <c r="AE1718" s="101"/>
      <c r="AF1718" s="101"/>
      <c r="AG1718" s="101"/>
      <c r="AH1718" s="99"/>
      <c r="AI1718" s="105"/>
    </row>
    <row r="1719" spans="1:35">
      <c r="A1719" s="98"/>
      <c r="B1719" s="99"/>
      <c r="C1719" s="99"/>
      <c r="D1719" s="99"/>
      <c r="E1719" s="99"/>
      <c r="F1719" s="100"/>
      <c r="G1719" s="100"/>
      <c r="H1719" s="99"/>
      <c r="I1719" s="247"/>
      <c r="J1719" s="101"/>
      <c r="K1719" s="101"/>
      <c r="L1719" s="101"/>
      <c r="M1719" s="101"/>
      <c r="N1719" s="101"/>
      <c r="O1719" s="101"/>
      <c r="P1719" s="101"/>
      <c r="Q1719" s="101"/>
      <c r="R1719" s="101"/>
      <c r="S1719" s="101"/>
      <c r="T1719" s="101"/>
      <c r="U1719" s="99"/>
      <c r="V1719" s="99"/>
      <c r="W1719" s="99"/>
      <c r="X1719" s="99"/>
      <c r="Y1719" s="99"/>
      <c r="Z1719" s="99"/>
      <c r="AA1719" s="100" t="s">
        <v>1961</v>
      </c>
      <c r="AB1719" s="100" t="s">
        <v>526</v>
      </c>
      <c r="AC1719" s="266">
        <v>0.25</v>
      </c>
      <c r="AD1719" s="101"/>
      <c r="AE1719" s="101"/>
      <c r="AF1719" s="101"/>
      <c r="AG1719" s="101"/>
      <c r="AH1719" s="99"/>
      <c r="AI1719" s="105"/>
    </row>
    <row r="1720" spans="1:35">
      <c r="A1720" s="98"/>
      <c r="B1720" s="99"/>
      <c r="C1720" s="99"/>
      <c r="D1720" s="99"/>
      <c r="E1720" s="99"/>
      <c r="F1720" s="100"/>
      <c r="G1720" s="100"/>
      <c r="H1720" s="99"/>
      <c r="I1720" s="247"/>
      <c r="J1720" s="101"/>
      <c r="K1720" s="101"/>
      <c r="L1720" s="101"/>
      <c r="M1720" s="101"/>
      <c r="N1720" s="101"/>
      <c r="O1720" s="101"/>
      <c r="P1720" s="101"/>
      <c r="Q1720" s="101"/>
      <c r="R1720" s="101"/>
      <c r="S1720" s="101"/>
      <c r="T1720" s="101"/>
      <c r="U1720" s="99"/>
      <c r="V1720" s="99"/>
      <c r="W1720" s="100"/>
      <c r="X1720" s="100"/>
      <c r="Y1720" s="99"/>
      <c r="Z1720" s="99"/>
      <c r="AA1720" s="100" t="s">
        <v>1792</v>
      </c>
      <c r="AB1720" s="99" t="s">
        <v>526</v>
      </c>
      <c r="AC1720" s="99">
        <v>20</v>
      </c>
      <c r="AD1720" s="101"/>
      <c r="AE1720" s="101"/>
      <c r="AF1720" s="101"/>
      <c r="AG1720" s="101"/>
      <c r="AH1720" s="99"/>
      <c r="AI1720" s="105"/>
    </row>
    <row r="1721" spans="1:35">
      <c r="A1721" s="98"/>
      <c r="B1721" s="99"/>
      <c r="C1721" s="263" t="s">
        <v>3230</v>
      </c>
      <c r="D1721" s="264" t="s">
        <v>79</v>
      </c>
      <c r="E1721" s="264" t="s">
        <v>80</v>
      </c>
      <c r="F1721" s="100" t="s">
        <v>3979</v>
      </c>
      <c r="G1721" s="100" t="s">
        <v>4011</v>
      </c>
      <c r="H1721" s="99" t="s">
        <v>421</v>
      </c>
      <c r="I1721" s="247">
        <v>31378</v>
      </c>
      <c r="J1721" s="101">
        <v>1</v>
      </c>
      <c r="K1721" s="101"/>
      <c r="L1721" s="101">
        <v>1</v>
      </c>
      <c r="M1721" s="101"/>
      <c r="N1721" s="101">
        <v>1</v>
      </c>
      <c r="O1721" s="101"/>
      <c r="P1721" s="101"/>
      <c r="Q1721" s="101"/>
      <c r="R1721" s="101"/>
      <c r="S1721" s="101"/>
      <c r="T1721" s="101"/>
      <c r="U1721" s="99" t="s">
        <v>1446</v>
      </c>
      <c r="V1721" s="99" t="s">
        <v>949</v>
      </c>
      <c r="W1721" s="100" t="s">
        <v>298</v>
      </c>
      <c r="X1721" s="100" t="s">
        <v>227</v>
      </c>
      <c r="Y1721" s="99"/>
      <c r="Z1721" s="99"/>
      <c r="AA1721" s="100" t="s">
        <v>3198</v>
      </c>
      <c r="AB1721" s="100" t="s">
        <v>528</v>
      </c>
      <c r="AC1721" s="99">
        <v>1</v>
      </c>
      <c r="AD1721" s="101"/>
      <c r="AE1721" s="101"/>
      <c r="AF1721" s="101"/>
      <c r="AG1721" s="101"/>
      <c r="AH1721" s="99"/>
      <c r="AI1721" s="105"/>
    </row>
    <row r="1722" spans="1:35">
      <c r="A1722" s="98"/>
      <c r="B1722" s="99"/>
      <c r="C1722" s="99"/>
      <c r="D1722" s="99"/>
      <c r="E1722" s="99"/>
      <c r="F1722" s="100"/>
      <c r="G1722" s="100"/>
      <c r="H1722" s="99"/>
      <c r="I1722" s="247"/>
      <c r="J1722" s="101"/>
      <c r="K1722" s="101"/>
      <c r="L1722" s="101"/>
      <c r="M1722" s="101"/>
      <c r="N1722" s="101"/>
      <c r="O1722" s="101"/>
      <c r="P1722" s="101"/>
      <c r="Q1722" s="101"/>
      <c r="R1722" s="101"/>
      <c r="S1722" s="101"/>
      <c r="T1722" s="101"/>
      <c r="U1722" s="99"/>
      <c r="V1722" s="99"/>
      <c r="W1722" s="99"/>
      <c r="X1722" s="99"/>
      <c r="Y1722" s="99"/>
      <c r="Z1722" s="99"/>
      <c r="AA1722" s="100" t="s">
        <v>1961</v>
      </c>
      <c r="AB1722" s="100" t="s">
        <v>526</v>
      </c>
      <c r="AC1722" s="266">
        <v>0.25</v>
      </c>
      <c r="AD1722" s="101"/>
      <c r="AE1722" s="101"/>
      <c r="AF1722" s="101"/>
      <c r="AG1722" s="101"/>
      <c r="AH1722" s="99"/>
      <c r="AI1722" s="105"/>
    </row>
    <row r="1723" spans="1:35">
      <c r="A1723" s="98"/>
      <c r="B1723" s="99"/>
      <c r="C1723" s="99"/>
      <c r="D1723" s="99"/>
      <c r="E1723" s="99"/>
      <c r="F1723" s="100"/>
      <c r="G1723" s="100"/>
      <c r="H1723" s="99"/>
      <c r="I1723" s="247"/>
      <c r="J1723" s="101"/>
      <c r="K1723" s="101"/>
      <c r="L1723" s="101"/>
      <c r="M1723" s="101"/>
      <c r="N1723" s="101"/>
      <c r="O1723" s="101"/>
      <c r="P1723" s="101"/>
      <c r="Q1723" s="101"/>
      <c r="R1723" s="101"/>
      <c r="S1723" s="101"/>
      <c r="T1723" s="101"/>
      <c r="U1723" s="99"/>
      <c r="V1723" s="99"/>
      <c r="W1723" s="100"/>
      <c r="X1723" s="100"/>
      <c r="Y1723" s="99"/>
      <c r="Z1723" s="99"/>
      <c r="AA1723" s="100" t="s">
        <v>1792</v>
      </c>
      <c r="AB1723" s="99" t="s">
        <v>526</v>
      </c>
      <c r="AC1723" s="99">
        <v>20</v>
      </c>
      <c r="AD1723" s="101"/>
      <c r="AE1723" s="101"/>
      <c r="AF1723" s="101"/>
      <c r="AG1723" s="101"/>
      <c r="AH1723" s="99"/>
      <c r="AI1723" s="105"/>
    </row>
    <row r="1724" spans="1:35">
      <c r="A1724" s="98"/>
      <c r="B1724" s="99"/>
      <c r="C1724" s="263" t="s">
        <v>3230</v>
      </c>
      <c r="D1724" s="264" t="s">
        <v>79</v>
      </c>
      <c r="E1724" s="264" t="s">
        <v>80</v>
      </c>
      <c r="F1724" s="100" t="s">
        <v>3496</v>
      </c>
      <c r="G1724" s="100" t="s">
        <v>4012</v>
      </c>
      <c r="H1724" s="99" t="s">
        <v>283</v>
      </c>
      <c r="I1724" s="247">
        <v>35196</v>
      </c>
      <c r="J1724" s="101">
        <v>1</v>
      </c>
      <c r="K1724" s="101"/>
      <c r="L1724" s="101">
        <v>1</v>
      </c>
      <c r="M1724" s="101"/>
      <c r="N1724" s="101">
        <v>1</v>
      </c>
      <c r="O1724" s="101"/>
      <c r="P1724" s="101"/>
      <c r="Q1724" s="101"/>
      <c r="R1724" s="101"/>
      <c r="S1724" s="101"/>
      <c r="T1724" s="101"/>
      <c r="U1724" s="99" t="s">
        <v>1446</v>
      </c>
      <c r="V1724" s="99" t="s">
        <v>949</v>
      </c>
      <c r="W1724" s="100" t="s">
        <v>298</v>
      </c>
      <c r="X1724" s="100" t="s">
        <v>227</v>
      </c>
      <c r="Y1724" s="99"/>
      <c r="Z1724" s="99"/>
      <c r="AA1724" s="100" t="s">
        <v>3198</v>
      </c>
      <c r="AB1724" s="100" t="s">
        <v>528</v>
      </c>
      <c r="AC1724" s="99">
        <v>1</v>
      </c>
      <c r="AD1724" s="101"/>
      <c r="AE1724" s="101"/>
      <c r="AF1724" s="101"/>
      <c r="AG1724" s="101"/>
      <c r="AH1724" s="99"/>
      <c r="AI1724" s="105"/>
    </row>
    <row r="1725" spans="1:35">
      <c r="A1725" s="98"/>
      <c r="B1725" s="99"/>
      <c r="C1725" s="99"/>
      <c r="D1725" s="99"/>
      <c r="E1725" s="99"/>
      <c r="F1725" s="100"/>
      <c r="G1725" s="100"/>
      <c r="H1725" s="99"/>
      <c r="I1725" s="247"/>
      <c r="J1725" s="101"/>
      <c r="K1725" s="101"/>
      <c r="L1725" s="101"/>
      <c r="M1725" s="101"/>
      <c r="N1725" s="101"/>
      <c r="O1725" s="101"/>
      <c r="P1725" s="101"/>
      <c r="Q1725" s="101"/>
      <c r="R1725" s="101"/>
      <c r="S1725" s="101"/>
      <c r="T1725" s="101"/>
      <c r="U1725" s="99"/>
      <c r="V1725" s="99"/>
      <c r="W1725" s="99"/>
      <c r="X1725" s="99"/>
      <c r="Y1725" s="99"/>
      <c r="Z1725" s="99"/>
      <c r="AA1725" s="100" t="s">
        <v>1961</v>
      </c>
      <c r="AB1725" s="100" t="s">
        <v>526</v>
      </c>
      <c r="AC1725" s="266">
        <v>0.25</v>
      </c>
      <c r="AD1725" s="101"/>
      <c r="AE1725" s="101"/>
      <c r="AF1725" s="101"/>
      <c r="AG1725" s="101"/>
      <c r="AH1725" s="99"/>
      <c r="AI1725" s="105"/>
    </row>
    <row r="1726" spans="1:35">
      <c r="A1726" s="98"/>
      <c r="B1726" s="99"/>
      <c r="C1726" s="99"/>
      <c r="D1726" s="99"/>
      <c r="E1726" s="99"/>
      <c r="F1726" s="100"/>
      <c r="G1726" s="100"/>
      <c r="H1726" s="99"/>
      <c r="I1726" s="247"/>
      <c r="J1726" s="101"/>
      <c r="K1726" s="101"/>
      <c r="L1726" s="101"/>
      <c r="M1726" s="101"/>
      <c r="N1726" s="101"/>
      <c r="O1726" s="101"/>
      <c r="P1726" s="101"/>
      <c r="Q1726" s="101"/>
      <c r="R1726" s="101"/>
      <c r="S1726" s="101"/>
      <c r="T1726" s="101"/>
      <c r="U1726" s="99"/>
      <c r="V1726" s="100"/>
      <c r="W1726" s="100"/>
      <c r="X1726" s="100"/>
      <c r="Y1726" s="99"/>
      <c r="Z1726" s="99"/>
      <c r="AA1726" s="100" t="s">
        <v>1792</v>
      </c>
      <c r="AB1726" s="99" t="s">
        <v>526</v>
      </c>
      <c r="AC1726" s="99">
        <v>50</v>
      </c>
      <c r="AD1726" s="101"/>
      <c r="AE1726" s="101"/>
      <c r="AF1726" s="101"/>
      <c r="AG1726" s="101"/>
      <c r="AH1726" s="99"/>
      <c r="AI1726" s="105"/>
    </row>
    <row r="1727" spans="1:35">
      <c r="A1727" s="98"/>
      <c r="B1727" s="99"/>
      <c r="C1727" s="263" t="s">
        <v>3230</v>
      </c>
      <c r="D1727" s="264" t="s">
        <v>79</v>
      </c>
      <c r="E1727" s="264" t="s">
        <v>80</v>
      </c>
      <c r="F1727" s="100" t="s">
        <v>3961</v>
      </c>
      <c r="G1727" s="100" t="s">
        <v>4013</v>
      </c>
      <c r="H1727" s="99" t="s">
        <v>421</v>
      </c>
      <c r="I1727" s="247">
        <v>32820</v>
      </c>
      <c r="J1727" s="101">
        <v>1</v>
      </c>
      <c r="K1727" s="101"/>
      <c r="L1727" s="101">
        <v>1</v>
      </c>
      <c r="M1727" s="101"/>
      <c r="N1727" s="101">
        <v>1</v>
      </c>
      <c r="O1727" s="101"/>
      <c r="P1727" s="101"/>
      <c r="Q1727" s="101"/>
      <c r="R1727" s="101"/>
      <c r="S1727" s="101"/>
      <c r="T1727" s="101"/>
      <c r="U1727" s="99" t="s">
        <v>1446</v>
      </c>
      <c r="V1727" s="99" t="s">
        <v>949</v>
      </c>
      <c r="W1727" s="100" t="s">
        <v>298</v>
      </c>
      <c r="X1727" s="100" t="s">
        <v>227</v>
      </c>
      <c r="Y1727" s="99"/>
      <c r="Z1727" s="99"/>
      <c r="AA1727" s="100" t="s">
        <v>3198</v>
      </c>
      <c r="AB1727" s="100" t="s">
        <v>528</v>
      </c>
      <c r="AC1727" s="99">
        <v>1</v>
      </c>
      <c r="AD1727" s="101"/>
      <c r="AE1727" s="101"/>
      <c r="AF1727" s="101"/>
      <c r="AG1727" s="101"/>
      <c r="AH1727" s="99"/>
      <c r="AI1727" s="105"/>
    </row>
    <row r="1728" spans="1:35">
      <c r="A1728" s="98"/>
      <c r="B1728" s="99"/>
      <c r="C1728" s="99"/>
      <c r="D1728" s="99"/>
      <c r="E1728" s="99"/>
      <c r="F1728" s="100"/>
      <c r="G1728" s="100"/>
      <c r="H1728" s="99"/>
      <c r="I1728" s="247"/>
      <c r="J1728" s="101"/>
      <c r="K1728" s="101"/>
      <c r="L1728" s="101"/>
      <c r="M1728" s="101"/>
      <c r="N1728" s="101"/>
      <c r="O1728" s="101"/>
      <c r="P1728" s="101"/>
      <c r="Q1728" s="101"/>
      <c r="R1728" s="101"/>
      <c r="S1728" s="101"/>
      <c r="T1728" s="101"/>
      <c r="U1728" s="99"/>
      <c r="V1728" s="99"/>
      <c r="W1728" s="99"/>
      <c r="X1728" s="99"/>
      <c r="Y1728" s="99"/>
      <c r="Z1728" s="99"/>
      <c r="AA1728" s="100" t="s">
        <v>1961</v>
      </c>
      <c r="AB1728" s="100" t="s">
        <v>526</v>
      </c>
      <c r="AC1728" s="266">
        <v>0.25</v>
      </c>
      <c r="AD1728" s="101"/>
      <c r="AE1728" s="101"/>
      <c r="AF1728" s="101"/>
      <c r="AG1728" s="101"/>
      <c r="AH1728" s="99"/>
      <c r="AI1728" s="105"/>
    </row>
    <row r="1729" spans="1:35">
      <c r="A1729" s="98"/>
      <c r="B1729" s="99"/>
      <c r="C1729" s="99"/>
      <c r="D1729" s="99"/>
      <c r="E1729" s="99"/>
      <c r="F1729" s="100"/>
      <c r="G1729" s="100"/>
      <c r="H1729" s="99"/>
      <c r="I1729" s="247"/>
      <c r="J1729" s="101"/>
      <c r="K1729" s="101"/>
      <c r="L1729" s="101"/>
      <c r="M1729" s="101"/>
      <c r="N1729" s="101"/>
      <c r="O1729" s="101"/>
      <c r="P1729" s="101"/>
      <c r="Q1729" s="101"/>
      <c r="R1729" s="101"/>
      <c r="S1729" s="101"/>
      <c r="T1729" s="101"/>
      <c r="U1729" s="99"/>
      <c r="V1729" s="100"/>
      <c r="W1729" s="100"/>
      <c r="X1729" s="100"/>
      <c r="Y1729" s="99"/>
      <c r="Z1729" s="99"/>
      <c r="AA1729" s="100" t="s">
        <v>1792</v>
      </c>
      <c r="AB1729" s="99" t="s">
        <v>526</v>
      </c>
      <c r="AC1729" s="99">
        <v>100</v>
      </c>
      <c r="AD1729" s="101"/>
      <c r="AE1729" s="101"/>
      <c r="AF1729" s="101"/>
      <c r="AG1729" s="101"/>
      <c r="AH1729" s="99"/>
      <c r="AI1729" s="105"/>
    </row>
    <row r="1730" spans="1:35">
      <c r="A1730" s="98"/>
      <c r="B1730" s="99"/>
      <c r="C1730" s="263" t="s">
        <v>3230</v>
      </c>
      <c r="D1730" s="264" t="s">
        <v>79</v>
      </c>
      <c r="E1730" s="264" t="s">
        <v>80</v>
      </c>
      <c r="F1730" s="100" t="s">
        <v>4014</v>
      </c>
      <c r="G1730" s="100" t="s">
        <v>4015</v>
      </c>
      <c r="H1730" s="99" t="s">
        <v>421</v>
      </c>
      <c r="I1730" s="247">
        <v>29703</v>
      </c>
      <c r="J1730" s="101">
        <v>1</v>
      </c>
      <c r="K1730" s="101"/>
      <c r="L1730" s="101">
        <v>1</v>
      </c>
      <c r="M1730" s="101"/>
      <c r="N1730" s="101">
        <v>1</v>
      </c>
      <c r="O1730" s="101"/>
      <c r="P1730" s="101"/>
      <c r="Q1730" s="101"/>
      <c r="R1730" s="101"/>
      <c r="S1730" s="101"/>
      <c r="T1730" s="101"/>
      <c r="U1730" s="99" t="s">
        <v>1446</v>
      </c>
      <c r="V1730" s="99" t="s">
        <v>949</v>
      </c>
      <c r="W1730" s="100" t="s">
        <v>298</v>
      </c>
      <c r="X1730" s="100" t="s">
        <v>227</v>
      </c>
      <c r="Y1730" s="99"/>
      <c r="Z1730" s="99"/>
      <c r="AA1730" s="100" t="s">
        <v>3198</v>
      </c>
      <c r="AB1730" s="100" t="s">
        <v>528</v>
      </c>
      <c r="AC1730" s="99">
        <v>1</v>
      </c>
      <c r="AD1730" s="101"/>
      <c r="AE1730" s="101"/>
      <c r="AF1730" s="101"/>
      <c r="AG1730" s="101"/>
      <c r="AH1730" s="99"/>
      <c r="AI1730" s="105"/>
    </row>
    <row r="1731" spans="1:35">
      <c r="A1731" s="98"/>
      <c r="B1731" s="99"/>
      <c r="C1731" s="99"/>
      <c r="D1731" s="99"/>
      <c r="E1731" s="99"/>
      <c r="F1731" s="100"/>
      <c r="G1731" s="100"/>
      <c r="H1731" s="99"/>
      <c r="I1731" s="247"/>
      <c r="J1731" s="101"/>
      <c r="K1731" s="101"/>
      <c r="L1731" s="101"/>
      <c r="M1731" s="101"/>
      <c r="N1731" s="101"/>
      <c r="O1731" s="101"/>
      <c r="P1731" s="101"/>
      <c r="Q1731" s="101"/>
      <c r="R1731" s="101"/>
      <c r="S1731" s="101"/>
      <c r="T1731" s="101"/>
      <c r="U1731" s="99"/>
      <c r="V1731" s="99"/>
      <c r="W1731" s="99"/>
      <c r="X1731" s="99"/>
      <c r="Y1731" s="99"/>
      <c r="Z1731" s="99"/>
      <c r="AA1731" s="100" t="s">
        <v>1961</v>
      </c>
      <c r="AB1731" s="100" t="s">
        <v>526</v>
      </c>
      <c r="AC1731" s="266">
        <v>0.25</v>
      </c>
      <c r="AD1731" s="101"/>
      <c r="AE1731" s="101"/>
      <c r="AF1731" s="101"/>
      <c r="AG1731" s="101"/>
      <c r="AH1731" s="99"/>
      <c r="AI1731" s="105"/>
    </row>
    <row r="1732" spans="1:35">
      <c r="A1732" s="98"/>
      <c r="B1732" s="99"/>
      <c r="C1732" s="99"/>
      <c r="D1732" s="99"/>
      <c r="E1732" s="99"/>
      <c r="F1732" s="100"/>
      <c r="G1732" s="100"/>
      <c r="H1732" s="99"/>
      <c r="I1732" s="247"/>
      <c r="J1732" s="101"/>
      <c r="K1732" s="101"/>
      <c r="L1732" s="101"/>
      <c r="M1732" s="101"/>
      <c r="N1732" s="101"/>
      <c r="O1732" s="101"/>
      <c r="P1732" s="101"/>
      <c r="Q1732" s="101"/>
      <c r="R1732" s="101"/>
      <c r="S1732" s="101"/>
      <c r="T1732" s="101"/>
      <c r="U1732" s="99"/>
      <c r="V1732" s="100"/>
      <c r="W1732" s="100"/>
      <c r="X1732" s="100"/>
      <c r="Y1732" s="99"/>
      <c r="Z1732" s="99"/>
      <c r="AA1732" s="100" t="s">
        <v>1792</v>
      </c>
      <c r="AB1732" s="99" t="s">
        <v>526</v>
      </c>
      <c r="AC1732" s="99">
        <v>100</v>
      </c>
      <c r="AD1732" s="101"/>
      <c r="AE1732" s="101"/>
      <c r="AF1732" s="101"/>
      <c r="AG1732" s="101"/>
      <c r="AH1732" s="99"/>
      <c r="AI1732" s="105"/>
    </row>
    <row r="1733" spans="1:35">
      <c r="A1733" s="98"/>
      <c r="B1733" s="99"/>
      <c r="C1733" s="263" t="s">
        <v>3230</v>
      </c>
      <c r="D1733" s="264" t="s">
        <v>79</v>
      </c>
      <c r="E1733" s="264" t="s">
        <v>80</v>
      </c>
      <c r="F1733" s="100" t="s">
        <v>3996</v>
      </c>
      <c r="G1733" s="100" t="s">
        <v>4016</v>
      </c>
      <c r="H1733" s="99" t="s">
        <v>160</v>
      </c>
      <c r="I1733" s="247">
        <v>35494</v>
      </c>
      <c r="J1733" s="101">
        <v>1</v>
      </c>
      <c r="K1733" s="101"/>
      <c r="L1733" s="101">
        <v>1</v>
      </c>
      <c r="M1733" s="101"/>
      <c r="N1733" s="101">
        <v>1</v>
      </c>
      <c r="O1733" s="101"/>
      <c r="P1733" s="101"/>
      <c r="Q1733" s="101"/>
      <c r="R1733" s="101"/>
      <c r="S1733" s="101"/>
      <c r="T1733" s="101"/>
      <c r="U1733" s="99" t="s">
        <v>1446</v>
      </c>
      <c r="V1733" s="99" t="s">
        <v>949</v>
      </c>
      <c r="W1733" s="100" t="s">
        <v>298</v>
      </c>
      <c r="X1733" s="100" t="s">
        <v>227</v>
      </c>
      <c r="Y1733" s="99"/>
      <c r="Z1733" s="99"/>
      <c r="AA1733" s="100" t="s">
        <v>3198</v>
      </c>
      <c r="AB1733" s="100" t="s">
        <v>528</v>
      </c>
      <c r="AC1733" s="99">
        <v>1</v>
      </c>
      <c r="AD1733" s="101"/>
      <c r="AE1733" s="101"/>
      <c r="AF1733" s="101"/>
      <c r="AG1733" s="101"/>
      <c r="AH1733" s="99"/>
      <c r="AI1733" s="105"/>
    </row>
    <row r="1734" spans="1:35">
      <c r="A1734" s="98"/>
      <c r="B1734" s="99"/>
      <c r="C1734" s="99"/>
      <c r="D1734" s="99"/>
      <c r="E1734" s="99"/>
      <c r="F1734" s="100"/>
      <c r="G1734" s="100"/>
      <c r="H1734" s="99"/>
      <c r="I1734" s="247"/>
      <c r="J1734" s="101"/>
      <c r="K1734" s="101"/>
      <c r="L1734" s="101"/>
      <c r="M1734" s="101"/>
      <c r="N1734" s="101"/>
      <c r="O1734" s="101"/>
      <c r="P1734" s="101"/>
      <c r="Q1734" s="101"/>
      <c r="R1734" s="101"/>
      <c r="S1734" s="101"/>
      <c r="T1734" s="101"/>
      <c r="U1734" s="99"/>
      <c r="V1734" s="99"/>
      <c r="W1734" s="99"/>
      <c r="X1734" s="99"/>
      <c r="Y1734" s="99"/>
      <c r="Z1734" s="99"/>
      <c r="AA1734" s="100" t="s">
        <v>1961</v>
      </c>
      <c r="AB1734" s="100" t="s">
        <v>526</v>
      </c>
      <c r="AC1734" s="266">
        <v>0.25</v>
      </c>
      <c r="AD1734" s="101"/>
      <c r="AE1734" s="101"/>
      <c r="AF1734" s="101"/>
      <c r="AG1734" s="101"/>
      <c r="AH1734" s="99"/>
      <c r="AI1734" s="105"/>
    </row>
    <row r="1735" spans="1:35">
      <c r="A1735" s="98"/>
      <c r="B1735" s="99"/>
      <c r="C1735" s="99"/>
      <c r="D1735" s="99"/>
      <c r="E1735" s="99"/>
      <c r="F1735" s="100"/>
      <c r="G1735" s="100"/>
      <c r="H1735" s="99"/>
      <c r="I1735" s="247"/>
      <c r="J1735" s="101"/>
      <c r="K1735" s="101"/>
      <c r="L1735" s="101"/>
      <c r="M1735" s="101"/>
      <c r="N1735" s="101"/>
      <c r="O1735" s="101"/>
      <c r="P1735" s="101"/>
      <c r="Q1735" s="101"/>
      <c r="R1735" s="101"/>
      <c r="S1735" s="101"/>
      <c r="T1735" s="101"/>
      <c r="U1735" s="99"/>
      <c r="V1735" s="100"/>
      <c r="W1735" s="100"/>
      <c r="X1735" s="100"/>
      <c r="Y1735" s="99"/>
      <c r="Z1735" s="99"/>
      <c r="AA1735" s="100" t="s">
        <v>1792</v>
      </c>
      <c r="AB1735" s="99" t="s">
        <v>526</v>
      </c>
      <c r="AC1735" s="99">
        <v>50</v>
      </c>
      <c r="AD1735" s="101"/>
      <c r="AE1735" s="101"/>
      <c r="AF1735" s="101"/>
      <c r="AG1735" s="101"/>
      <c r="AH1735" s="99"/>
      <c r="AI1735" s="105"/>
    </row>
    <row r="1736" spans="1:35">
      <c r="A1736" s="98"/>
      <c r="B1736" s="99"/>
      <c r="C1736" s="263" t="s">
        <v>3230</v>
      </c>
      <c r="D1736" s="264" t="s">
        <v>79</v>
      </c>
      <c r="E1736" s="264" t="s">
        <v>80</v>
      </c>
      <c r="F1736" s="100" t="s">
        <v>4017</v>
      </c>
      <c r="G1736" s="100" t="s">
        <v>4018</v>
      </c>
      <c r="H1736" s="99" t="s">
        <v>120</v>
      </c>
      <c r="I1736" s="247">
        <v>22920</v>
      </c>
      <c r="J1736" s="101">
        <v>1</v>
      </c>
      <c r="K1736" s="101"/>
      <c r="L1736" s="101">
        <v>1</v>
      </c>
      <c r="M1736" s="101"/>
      <c r="N1736" s="101">
        <v>1</v>
      </c>
      <c r="O1736" s="101"/>
      <c r="P1736" s="101"/>
      <c r="Q1736" s="101"/>
      <c r="R1736" s="101"/>
      <c r="S1736" s="101"/>
      <c r="T1736" s="101"/>
      <c r="U1736" s="99" t="s">
        <v>1446</v>
      </c>
      <c r="V1736" s="99" t="s">
        <v>949</v>
      </c>
      <c r="W1736" s="100" t="s">
        <v>298</v>
      </c>
      <c r="X1736" s="100" t="s">
        <v>227</v>
      </c>
      <c r="Y1736" s="99"/>
      <c r="Z1736" s="99"/>
      <c r="AA1736" s="100" t="s">
        <v>3198</v>
      </c>
      <c r="AB1736" s="100" t="s">
        <v>528</v>
      </c>
      <c r="AC1736" s="99">
        <v>1</v>
      </c>
      <c r="AD1736" s="101"/>
      <c r="AE1736" s="101"/>
      <c r="AF1736" s="101"/>
      <c r="AG1736" s="101"/>
      <c r="AH1736" s="99"/>
      <c r="AI1736" s="105"/>
    </row>
    <row r="1737" spans="1:35">
      <c r="A1737" s="98"/>
      <c r="B1737" s="99"/>
      <c r="C1737" s="99"/>
      <c r="D1737" s="99"/>
      <c r="E1737" s="99"/>
      <c r="F1737" s="100"/>
      <c r="G1737" s="100"/>
      <c r="H1737" s="99"/>
      <c r="I1737" s="247"/>
      <c r="J1737" s="101"/>
      <c r="K1737" s="101"/>
      <c r="L1737" s="101"/>
      <c r="M1737" s="101"/>
      <c r="N1737" s="101"/>
      <c r="O1737" s="101"/>
      <c r="P1737" s="101"/>
      <c r="Q1737" s="101"/>
      <c r="R1737" s="101"/>
      <c r="S1737" s="101"/>
      <c r="T1737" s="101"/>
      <c r="U1737" s="99"/>
      <c r="V1737" s="99"/>
      <c r="W1737" s="99"/>
      <c r="X1737" s="100"/>
      <c r="Y1737" s="99"/>
      <c r="Z1737" s="99"/>
      <c r="AA1737" s="100" t="s">
        <v>1961</v>
      </c>
      <c r="AB1737" s="100" t="s">
        <v>526</v>
      </c>
      <c r="AC1737" s="266">
        <v>0.25</v>
      </c>
      <c r="AD1737" s="101"/>
      <c r="AE1737" s="101"/>
      <c r="AF1737" s="101"/>
      <c r="AG1737" s="101"/>
      <c r="AH1737" s="99"/>
      <c r="AI1737" s="105"/>
    </row>
    <row r="1738" spans="1:35">
      <c r="A1738" s="98"/>
      <c r="B1738" s="99"/>
      <c r="C1738" s="99"/>
      <c r="D1738" s="99"/>
      <c r="E1738" s="99"/>
      <c r="F1738" s="100"/>
      <c r="G1738" s="100"/>
      <c r="H1738" s="99"/>
      <c r="I1738" s="247"/>
      <c r="J1738" s="101"/>
      <c r="K1738" s="101"/>
      <c r="L1738" s="101"/>
      <c r="M1738" s="101"/>
      <c r="N1738" s="101"/>
      <c r="O1738" s="101"/>
      <c r="P1738" s="101"/>
      <c r="Q1738" s="101"/>
      <c r="R1738" s="101"/>
      <c r="S1738" s="101"/>
      <c r="T1738" s="101"/>
      <c r="U1738" s="99"/>
      <c r="V1738" s="100"/>
      <c r="W1738" s="100"/>
      <c r="X1738" s="99"/>
      <c r="Y1738" s="99"/>
      <c r="Z1738" s="99"/>
      <c r="AA1738" s="100" t="s">
        <v>1792</v>
      </c>
      <c r="AB1738" s="99" t="s">
        <v>526</v>
      </c>
      <c r="AC1738" s="99">
        <v>50</v>
      </c>
      <c r="AD1738" s="101"/>
      <c r="AE1738" s="101"/>
      <c r="AF1738" s="101"/>
      <c r="AG1738" s="101"/>
      <c r="AH1738" s="99"/>
      <c r="AI1738" s="105"/>
    </row>
    <row r="1739" spans="1:35">
      <c r="A1739" s="98"/>
      <c r="B1739" s="99"/>
      <c r="C1739" s="263" t="s">
        <v>3230</v>
      </c>
      <c r="D1739" s="264" t="s">
        <v>79</v>
      </c>
      <c r="E1739" s="264" t="s">
        <v>80</v>
      </c>
      <c r="F1739" s="100" t="s">
        <v>2337</v>
      </c>
      <c r="G1739" s="100" t="s">
        <v>2912</v>
      </c>
      <c r="H1739" s="99" t="s">
        <v>115</v>
      </c>
      <c r="I1739" s="247">
        <v>32433</v>
      </c>
      <c r="J1739" s="101"/>
      <c r="K1739" s="101">
        <v>1</v>
      </c>
      <c r="L1739" s="101">
        <v>1</v>
      </c>
      <c r="M1739" s="101"/>
      <c r="N1739" s="101">
        <v>1</v>
      </c>
      <c r="O1739" s="101"/>
      <c r="P1739" s="101"/>
      <c r="Q1739" s="101"/>
      <c r="R1739" s="101"/>
      <c r="S1739" s="101"/>
      <c r="T1739" s="101"/>
      <c r="U1739" s="99" t="s">
        <v>1446</v>
      </c>
      <c r="V1739" s="99" t="s">
        <v>949</v>
      </c>
      <c r="W1739" s="100" t="s">
        <v>298</v>
      </c>
      <c r="X1739" s="100" t="s">
        <v>227</v>
      </c>
      <c r="Y1739" s="99"/>
      <c r="Z1739" s="99"/>
      <c r="AA1739" s="100" t="s">
        <v>3198</v>
      </c>
      <c r="AB1739" s="100" t="s">
        <v>528</v>
      </c>
      <c r="AC1739" s="99">
        <v>1</v>
      </c>
      <c r="AD1739" s="101"/>
      <c r="AE1739" s="101"/>
      <c r="AF1739" s="101"/>
      <c r="AG1739" s="101"/>
      <c r="AH1739" s="99"/>
      <c r="AI1739" s="105"/>
    </row>
    <row r="1740" spans="1:35">
      <c r="A1740" s="98"/>
      <c r="B1740" s="99"/>
      <c r="C1740" s="99"/>
      <c r="D1740" s="99"/>
      <c r="E1740" s="99"/>
      <c r="F1740" s="100"/>
      <c r="G1740" s="100"/>
      <c r="H1740" s="99"/>
      <c r="I1740" s="247"/>
      <c r="J1740" s="101"/>
      <c r="K1740" s="101"/>
      <c r="L1740" s="101"/>
      <c r="M1740" s="101"/>
      <c r="N1740" s="101"/>
      <c r="O1740" s="101"/>
      <c r="P1740" s="101"/>
      <c r="Q1740" s="101"/>
      <c r="R1740" s="101"/>
      <c r="S1740" s="101"/>
      <c r="T1740" s="101"/>
      <c r="U1740" s="99"/>
      <c r="V1740" s="99"/>
      <c r="W1740" s="99"/>
      <c r="X1740" s="100"/>
      <c r="Y1740" s="99"/>
      <c r="Z1740" s="99"/>
      <c r="AA1740" s="100" t="s">
        <v>1961</v>
      </c>
      <c r="AB1740" s="100" t="s">
        <v>526</v>
      </c>
      <c r="AC1740" s="266">
        <v>0.5</v>
      </c>
      <c r="AD1740" s="101"/>
      <c r="AE1740" s="101"/>
      <c r="AF1740" s="101"/>
      <c r="AG1740" s="101"/>
      <c r="AH1740" s="99"/>
      <c r="AI1740" s="105"/>
    </row>
    <row r="1741" spans="1:35">
      <c r="A1741" s="98"/>
      <c r="B1741" s="99"/>
      <c r="C1741" s="99"/>
      <c r="D1741" s="99"/>
      <c r="E1741" s="99"/>
      <c r="F1741" s="100"/>
      <c r="G1741" s="100"/>
      <c r="H1741" s="99"/>
      <c r="I1741" s="247"/>
      <c r="J1741" s="101"/>
      <c r="K1741" s="101"/>
      <c r="L1741" s="101"/>
      <c r="M1741" s="101"/>
      <c r="N1741" s="101"/>
      <c r="O1741" s="101"/>
      <c r="P1741" s="101"/>
      <c r="Q1741" s="101"/>
      <c r="R1741" s="101"/>
      <c r="S1741" s="101"/>
      <c r="T1741" s="101"/>
      <c r="U1741" s="99"/>
      <c r="V1741" s="100"/>
      <c r="W1741" s="100"/>
      <c r="X1741" s="99"/>
      <c r="Y1741" s="99"/>
      <c r="Z1741" s="99"/>
      <c r="AA1741" s="100" t="s">
        <v>1792</v>
      </c>
      <c r="AB1741" s="99" t="s">
        <v>526</v>
      </c>
      <c r="AC1741" s="99">
        <v>50</v>
      </c>
      <c r="AD1741" s="101"/>
      <c r="AE1741" s="101"/>
      <c r="AF1741" s="101"/>
      <c r="AG1741" s="101"/>
      <c r="AH1741" s="99"/>
      <c r="AI1741" s="105"/>
    </row>
    <row r="1742" spans="1:35" ht="17.25" customHeight="1">
      <c r="A1742" s="98"/>
      <c r="B1742" s="99"/>
      <c r="C1742" s="263" t="s">
        <v>3230</v>
      </c>
      <c r="D1742" s="264" t="s">
        <v>79</v>
      </c>
      <c r="E1742" s="264" t="s">
        <v>80</v>
      </c>
      <c r="F1742" s="100" t="s">
        <v>3979</v>
      </c>
      <c r="G1742" s="100" t="s">
        <v>4019</v>
      </c>
      <c r="H1742" s="99" t="s">
        <v>117</v>
      </c>
      <c r="I1742" s="247">
        <v>17831</v>
      </c>
      <c r="J1742" s="101">
        <v>1</v>
      </c>
      <c r="K1742" s="101"/>
      <c r="L1742" s="101">
        <v>1</v>
      </c>
      <c r="M1742" s="101"/>
      <c r="N1742" s="101">
        <v>1</v>
      </c>
      <c r="O1742" s="101"/>
      <c r="P1742" s="101"/>
      <c r="Q1742" s="101"/>
      <c r="R1742" s="101"/>
      <c r="S1742" s="101"/>
      <c r="T1742" s="101"/>
      <c r="U1742" s="99" t="s">
        <v>1446</v>
      </c>
      <c r="V1742" s="99" t="s">
        <v>949</v>
      </c>
      <c r="W1742" s="100" t="s">
        <v>298</v>
      </c>
      <c r="X1742" s="100" t="s">
        <v>227</v>
      </c>
      <c r="Y1742" s="99"/>
      <c r="Z1742" s="99"/>
      <c r="AA1742" s="100" t="s">
        <v>3198</v>
      </c>
      <c r="AB1742" s="100" t="s">
        <v>528</v>
      </c>
      <c r="AC1742" s="99">
        <v>1</v>
      </c>
      <c r="AD1742" s="101"/>
      <c r="AE1742" s="101"/>
      <c r="AF1742" s="101"/>
      <c r="AG1742" s="101"/>
      <c r="AH1742" s="99"/>
      <c r="AI1742" s="105"/>
    </row>
    <row r="1743" spans="1:35">
      <c r="A1743" s="98"/>
      <c r="B1743" s="99"/>
      <c r="C1743" s="99"/>
      <c r="D1743" s="99"/>
      <c r="E1743" s="99"/>
      <c r="F1743" s="100"/>
      <c r="G1743" s="100"/>
      <c r="H1743" s="99"/>
      <c r="I1743" s="247"/>
      <c r="J1743" s="101"/>
      <c r="K1743" s="101"/>
      <c r="L1743" s="101"/>
      <c r="M1743" s="101"/>
      <c r="N1743" s="101"/>
      <c r="O1743" s="101"/>
      <c r="P1743" s="101"/>
      <c r="Q1743" s="101"/>
      <c r="R1743" s="101"/>
      <c r="S1743" s="101"/>
      <c r="T1743" s="101"/>
      <c r="U1743" s="99"/>
      <c r="V1743" s="100"/>
      <c r="W1743" s="99"/>
      <c r="X1743" s="100"/>
      <c r="Y1743" s="99"/>
      <c r="Z1743" s="99"/>
      <c r="AA1743" s="100" t="s">
        <v>1961</v>
      </c>
      <c r="AB1743" s="100" t="s">
        <v>526</v>
      </c>
      <c r="AC1743" s="266">
        <v>0.5</v>
      </c>
      <c r="AD1743" s="101"/>
      <c r="AE1743" s="101"/>
      <c r="AF1743" s="101"/>
      <c r="AG1743" s="101"/>
      <c r="AH1743" s="99"/>
      <c r="AI1743" s="105"/>
    </row>
    <row r="1744" spans="1:35">
      <c r="A1744" s="98"/>
      <c r="B1744" s="99"/>
      <c r="C1744" s="99"/>
      <c r="D1744" s="99"/>
      <c r="E1744" s="99"/>
      <c r="F1744" s="100"/>
      <c r="G1744" s="100"/>
      <c r="H1744" s="99"/>
      <c r="I1744" s="247"/>
      <c r="J1744" s="101"/>
      <c r="K1744" s="101"/>
      <c r="L1744" s="101"/>
      <c r="M1744" s="101"/>
      <c r="N1744" s="101"/>
      <c r="O1744" s="101"/>
      <c r="P1744" s="101"/>
      <c r="Q1744" s="101"/>
      <c r="R1744" s="101"/>
      <c r="S1744" s="101"/>
      <c r="T1744" s="101"/>
      <c r="U1744" s="99"/>
      <c r="V1744" s="100"/>
      <c r="W1744" s="100"/>
      <c r="X1744" s="100"/>
      <c r="Y1744" s="99"/>
      <c r="Z1744" s="99"/>
      <c r="AA1744" s="100" t="s">
        <v>3968</v>
      </c>
      <c r="AB1744" s="100" t="s">
        <v>526</v>
      </c>
      <c r="AC1744" s="99">
        <v>2.5</v>
      </c>
      <c r="AD1744" s="101"/>
      <c r="AE1744" s="101"/>
      <c r="AF1744" s="101"/>
      <c r="AG1744" s="101"/>
      <c r="AH1744" s="99"/>
      <c r="AI1744" s="105"/>
    </row>
    <row r="1745" spans="1:35">
      <c r="A1745" s="98"/>
      <c r="B1745" s="99"/>
      <c r="C1745" s="99"/>
      <c r="D1745" s="99"/>
      <c r="E1745" s="99"/>
      <c r="F1745" s="100"/>
      <c r="G1745" s="100"/>
      <c r="H1745" s="99"/>
      <c r="I1745" s="247"/>
      <c r="J1745" s="101"/>
      <c r="K1745" s="101"/>
      <c r="L1745" s="101"/>
      <c r="M1745" s="101"/>
      <c r="N1745" s="101"/>
      <c r="O1745" s="101"/>
      <c r="P1745" s="101"/>
      <c r="Q1745" s="101"/>
      <c r="R1745" s="101"/>
      <c r="S1745" s="101"/>
      <c r="T1745" s="101"/>
      <c r="U1745" s="99"/>
      <c r="V1745" s="99"/>
      <c r="W1745" s="99"/>
      <c r="X1745" s="99"/>
      <c r="Y1745" s="99"/>
      <c r="Z1745" s="99"/>
      <c r="AA1745" s="100" t="s">
        <v>1792</v>
      </c>
      <c r="AB1745" s="99" t="s">
        <v>526</v>
      </c>
      <c r="AC1745" s="99">
        <v>50</v>
      </c>
      <c r="AD1745" s="101"/>
      <c r="AE1745" s="101"/>
      <c r="AF1745" s="101"/>
      <c r="AG1745" s="101"/>
      <c r="AH1745" s="99"/>
      <c r="AI1745" s="105"/>
    </row>
    <row r="1746" spans="1:35">
      <c r="A1746" s="98"/>
      <c r="B1746" s="99"/>
      <c r="C1746" s="263" t="s">
        <v>3230</v>
      </c>
      <c r="D1746" s="264" t="s">
        <v>79</v>
      </c>
      <c r="E1746" s="264" t="s">
        <v>80</v>
      </c>
      <c r="F1746" s="100" t="s">
        <v>3972</v>
      </c>
      <c r="G1746" s="100" t="s">
        <v>4020</v>
      </c>
      <c r="H1746" s="99" t="s">
        <v>421</v>
      </c>
      <c r="I1746" s="247">
        <v>28158</v>
      </c>
      <c r="J1746" s="101">
        <v>1</v>
      </c>
      <c r="K1746" s="101"/>
      <c r="L1746" s="101">
        <v>1</v>
      </c>
      <c r="M1746" s="101"/>
      <c r="N1746" s="101">
        <v>1</v>
      </c>
      <c r="O1746" s="101"/>
      <c r="P1746" s="101"/>
      <c r="Q1746" s="101"/>
      <c r="R1746" s="101"/>
      <c r="S1746" s="101"/>
      <c r="T1746" s="101"/>
      <c r="U1746" s="99" t="s">
        <v>1446</v>
      </c>
      <c r="V1746" s="99" t="s">
        <v>949</v>
      </c>
      <c r="W1746" s="100" t="s">
        <v>298</v>
      </c>
      <c r="X1746" s="100" t="s">
        <v>227</v>
      </c>
      <c r="Y1746" s="99"/>
      <c r="Z1746" s="99"/>
      <c r="AA1746" s="100" t="s">
        <v>3198</v>
      </c>
      <c r="AB1746" s="100" t="s">
        <v>528</v>
      </c>
      <c r="AC1746" s="99">
        <v>1</v>
      </c>
      <c r="AD1746" s="101"/>
      <c r="AE1746" s="101"/>
      <c r="AF1746" s="101"/>
      <c r="AG1746" s="101"/>
      <c r="AH1746" s="99"/>
      <c r="AI1746" s="105"/>
    </row>
    <row r="1747" spans="1:35">
      <c r="A1747" s="98"/>
      <c r="B1747" s="99"/>
      <c r="C1747" s="99"/>
      <c r="D1747" s="99"/>
      <c r="E1747" s="99"/>
      <c r="F1747" s="100"/>
      <c r="G1747" s="100"/>
      <c r="H1747" s="99"/>
      <c r="I1747" s="247"/>
      <c r="J1747" s="101"/>
      <c r="K1747" s="101"/>
      <c r="L1747" s="101"/>
      <c r="M1747" s="101"/>
      <c r="N1747" s="101"/>
      <c r="O1747" s="101"/>
      <c r="P1747" s="101"/>
      <c r="Q1747" s="101"/>
      <c r="R1747" s="101"/>
      <c r="S1747" s="101"/>
      <c r="T1747" s="101"/>
      <c r="U1747" s="99"/>
      <c r="V1747" s="100"/>
      <c r="W1747" s="99"/>
      <c r="X1747" s="100"/>
      <c r="Y1747" s="99"/>
      <c r="Z1747" s="99"/>
      <c r="AA1747" s="100" t="s">
        <v>1961</v>
      </c>
      <c r="AB1747" s="100" t="s">
        <v>526</v>
      </c>
      <c r="AC1747" s="266">
        <v>0.5</v>
      </c>
      <c r="AD1747" s="101"/>
      <c r="AE1747" s="101"/>
      <c r="AF1747" s="101"/>
      <c r="AG1747" s="101"/>
      <c r="AH1747" s="99"/>
      <c r="AI1747" s="105"/>
    </row>
    <row r="1748" spans="1:35">
      <c r="A1748" s="98"/>
      <c r="B1748" s="99"/>
      <c r="C1748" s="99"/>
      <c r="D1748" s="99"/>
      <c r="E1748" s="99"/>
      <c r="F1748" s="100"/>
      <c r="G1748" s="100"/>
      <c r="H1748" s="99"/>
      <c r="I1748" s="247"/>
      <c r="J1748" s="101"/>
      <c r="K1748" s="101"/>
      <c r="L1748" s="101"/>
      <c r="M1748" s="101"/>
      <c r="N1748" s="101"/>
      <c r="O1748" s="101"/>
      <c r="P1748" s="101"/>
      <c r="Q1748" s="101"/>
      <c r="R1748" s="101"/>
      <c r="S1748" s="101"/>
      <c r="T1748" s="101"/>
      <c r="U1748" s="99"/>
      <c r="V1748" s="100"/>
      <c r="W1748" s="100"/>
      <c r="X1748" s="100"/>
      <c r="Y1748" s="99"/>
      <c r="Z1748" s="99"/>
      <c r="AA1748" s="100" t="s">
        <v>1792</v>
      </c>
      <c r="AB1748" s="99" t="s">
        <v>526</v>
      </c>
      <c r="AC1748" s="99">
        <v>50</v>
      </c>
      <c r="AD1748" s="101"/>
      <c r="AE1748" s="101"/>
      <c r="AF1748" s="101"/>
      <c r="AG1748" s="101"/>
      <c r="AH1748" s="99"/>
      <c r="AI1748" s="105"/>
    </row>
    <row r="1749" spans="1:35">
      <c r="A1749" s="98"/>
      <c r="B1749" s="99"/>
      <c r="C1749" s="263" t="s">
        <v>3230</v>
      </c>
      <c r="D1749" s="264" t="s">
        <v>79</v>
      </c>
      <c r="E1749" s="264" t="s">
        <v>80</v>
      </c>
      <c r="F1749" s="100" t="s">
        <v>3974</v>
      </c>
      <c r="G1749" s="100" t="s">
        <v>1994</v>
      </c>
      <c r="H1749" s="99" t="s">
        <v>160</v>
      </c>
      <c r="I1749" s="247">
        <v>24264</v>
      </c>
      <c r="J1749" s="101">
        <v>1</v>
      </c>
      <c r="K1749" s="101"/>
      <c r="L1749" s="101">
        <v>1</v>
      </c>
      <c r="M1749" s="101"/>
      <c r="N1749" s="101">
        <v>1</v>
      </c>
      <c r="O1749" s="101"/>
      <c r="P1749" s="101"/>
      <c r="Q1749" s="101"/>
      <c r="R1749" s="101"/>
      <c r="S1749" s="101"/>
      <c r="T1749" s="101"/>
      <c r="U1749" s="99" t="s">
        <v>1446</v>
      </c>
      <c r="V1749" s="99" t="s">
        <v>949</v>
      </c>
      <c r="W1749" s="100" t="s">
        <v>298</v>
      </c>
      <c r="X1749" s="100" t="s">
        <v>227</v>
      </c>
      <c r="Y1749" s="99"/>
      <c r="Z1749" s="99"/>
      <c r="AA1749" s="100" t="s">
        <v>3198</v>
      </c>
      <c r="AB1749" s="100" t="s">
        <v>528</v>
      </c>
      <c r="AC1749" s="99">
        <v>1</v>
      </c>
      <c r="AD1749" s="101"/>
      <c r="AE1749" s="101"/>
      <c r="AF1749" s="101"/>
      <c r="AG1749" s="101"/>
      <c r="AH1749" s="99"/>
      <c r="AI1749" s="105"/>
    </row>
    <row r="1750" spans="1:35">
      <c r="A1750" s="98"/>
      <c r="B1750" s="99"/>
      <c r="C1750" s="99"/>
      <c r="D1750" s="99"/>
      <c r="E1750" s="99"/>
      <c r="F1750" s="100"/>
      <c r="G1750" s="100"/>
      <c r="H1750" s="99"/>
      <c r="I1750" s="247"/>
      <c r="J1750" s="101"/>
      <c r="K1750" s="101"/>
      <c r="L1750" s="101"/>
      <c r="M1750" s="101"/>
      <c r="N1750" s="101"/>
      <c r="O1750" s="101"/>
      <c r="P1750" s="101"/>
      <c r="Q1750" s="101"/>
      <c r="R1750" s="101"/>
      <c r="S1750" s="101"/>
      <c r="T1750" s="101"/>
      <c r="U1750" s="99"/>
      <c r="V1750" s="100"/>
      <c r="W1750" s="99"/>
      <c r="X1750" s="99"/>
      <c r="Y1750" s="99"/>
      <c r="Z1750" s="99"/>
      <c r="AA1750" s="100" t="s">
        <v>1961</v>
      </c>
      <c r="AB1750" s="100" t="s">
        <v>526</v>
      </c>
      <c r="AC1750" s="266">
        <v>0.25</v>
      </c>
      <c r="AD1750" s="101"/>
      <c r="AE1750" s="101"/>
      <c r="AF1750" s="101"/>
      <c r="AG1750" s="101"/>
      <c r="AH1750" s="99"/>
      <c r="AI1750" s="105"/>
    </row>
    <row r="1751" spans="1:35">
      <c r="A1751" s="98"/>
      <c r="B1751" s="99"/>
      <c r="C1751" s="99"/>
      <c r="D1751" s="99"/>
      <c r="E1751" s="99"/>
      <c r="F1751" s="100"/>
      <c r="G1751" s="100"/>
      <c r="H1751" s="99"/>
      <c r="I1751" s="247"/>
      <c r="J1751" s="101"/>
      <c r="K1751" s="101"/>
      <c r="L1751" s="101"/>
      <c r="M1751" s="101"/>
      <c r="N1751" s="101"/>
      <c r="O1751" s="101"/>
      <c r="P1751" s="101"/>
      <c r="Q1751" s="101"/>
      <c r="R1751" s="101"/>
      <c r="S1751" s="101"/>
      <c r="T1751" s="101"/>
      <c r="U1751" s="99"/>
      <c r="V1751" s="100"/>
      <c r="W1751" s="100"/>
      <c r="X1751" s="100"/>
      <c r="Y1751" s="99"/>
      <c r="Z1751" s="99"/>
      <c r="AA1751" s="100" t="s">
        <v>1792</v>
      </c>
      <c r="AB1751" s="99" t="s">
        <v>526</v>
      </c>
      <c r="AC1751" s="99">
        <v>50</v>
      </c>
      <c r="AD1751" s="101"/>
      <c r="AE1751" s="101"/>
      <c r="AF1751" s="101"/>
      <c r="AG1751" s="101"/>
      <c r="AH1751" s="99"/>
      <c r="AI1751" s="105"/>
    </row>
    <row r="1752" spans="1:35">
      <c r="A1752" s="98"/>
      <c r="B1752" s="99"/>
      <c r="C1752" s="263" t="s">
        <v>3230</v>
      </c>
      <c r="D1752" s="264" t="s">
        <v>79</v>
      </c>
      <c r="E1752" s="264" t="s">
        <v>80</v>
      </c>
      <c r="F1752" s="100" t="s">
        <v>3974</v>
      </c>
      <c r="G1752" s="100" t="s">
        <v>4021</v>
      </c>
      <c r="H1752" s="99" t="s">
        <v>117</v>
      </c>
      <c r="I1752" s="247">
        <v>33023</v>
      </c>
      <c r="J1752" s="101">
        <v>1</v>
      </c>
      <c r="K1752" s="101"/>
      <c r="L1752" s="101">
        <v>1</v>
      </c>
      <c r="M1752" s="101"/>
      <c r="N1752" s="101">
        <v>1</v>
      </c>
      <c r="O1752" s="101"/>
      <c r="P1752" s="101"/>
      <c r="Q1752" s="101"/>
      <c r="R1752" s="101"/>
      <c r="S1752" s="101"/>
      <c r="T1752" s="101"/>
      <c r="U1752" s="99" t="s">
        <v>1446</v>
      </c>
      <c r="V1752" s="99" t="s">
        <v>949</v>
      </c>
      <c r="W1752" s="100" t="s">
        <v>298</v>
      </c>
      <c r="X1752" s="100" t="s">
        <v>227</v>
      </c>
      <c r="Y1752" s="99"/>
      <c r="Z1752" s="99"/>
      <c r="AA1752" s="100" t="s">
        <v>3198</v>
      </c>
      <c r="AB1752" s="100" t="s">
        <v>528</v>
      </c>
      <c r="AC1752" s="99">
        <v>1</v>
      </c>
      <c r="AD1752" s="101"/>
      <c r="AE1752" s="101"/>
      <c r="AF1752" s="101"/>
      <c r="AG1752" s="101"/>
      <c r="AH1752" s="99"/>
      <c r="AI1752" s="105"/>
    </row>
    <row r="1753" spans="1:35">
      <c r="A1753" s="98"/>
      <c r="B1753" s="99"/>
      <c r="C1753" s="99"/>
      <c r="D1753" s="99"/>
      <c r="E1753" s="99"/>
      <c r="F1753" s="100"/>
      <c r="G1753" s="100"/>
      <c r="H1753" s="99"/>
      <c r="I1753" s="247"/>
      <c r="J1753" s="101"/>
      <c r="K1753" s="101"/>
      <c r="L1753" s="101"/>
      <c r="M1753" s="101"/>
      <c r="N1753" s="101"/>
      <c r="O1753" s="101"/>
      <c r="P1753" s="101"/>
      <c r="Q1753" s="101"/>
      <c r="R1753" s="101"/>
      <c r="S1753" s="101"/>
      <c r="T1753" s="101"/>
      <c r="U1753" s="99"/>
      <c r="V1753" s="100"/>
      <c r="W1753" s="100"/>
      <c r="X1753" s="99"/>
      <c r="Y1753" s="99"/>
      <c r="Z1753" s="99"/>
      <c r="AA1753" s="100" t="s">
        <v>1961</v>
      </c>
      <c r="AB1753" s="100" t="s">
        <v>526</v>
      </c>
      <c r="AC1753" s="266">
        <v>0.25</v>
      </c>
      <c r="AD1753" s="101"/>
      <c r="AE1753" s="101"/>
      <c r="AF1753" s="101"/>
      <c r="AG1753" s="101"/>
      <c r="AH1753" s="99"/>
      <c r="AI1753" s="105"/>
    </row>
    <row r="1754" spans="1:35">
      <c r="A1754" s="98"/>
      <c r="B1754" s="99"/>
      <c r="C1754" s="99"/>
      <c r="D1754" s="99"/>
      <c r="E1754" s="99"/>
      <c r="F1754" s="100"/>
      <c r="G1754" s="100"/>
      <c r="H1754" s="99"/>
      <c r="I1754" s="247"/>
      <c r="J1754" s="101"/>
      <c r="K1754" s="101"/>
      <c r="L1754" s="101"/>
      <c r="M1754" s="101"/>
      <c r="N1754" s="101"/>
      <c r="O1754" s="101"/>
      <c r="P1754" s="101"/>
      <c r="Q1754" s="101"/>
      <c r="R1754" s="101"/>
      <c r="S1754" s="101"/>
      <c r="T1754" s="101"/>
      <c r="U1754" s="99"/>
      <c r="V1754" s="100"/>
      <c r="W1754" s="99"/>
      <c r="X1754" s="100"/>
      <c r="Y1754" s="99"/>
      <c r="Z1754" s="99"/>
      <c r="AA1754" s="100" t="s">
        <v>1792</v>
      </c>
      <c r="AB1754" s="99" t="s">
        <v>526</v>
      </c>
      <c r="AC1754" s="99">
        <v>50</v>
      </c>
      <c r="AD1754" s="101"/>
      <c r="AE1754" s="101"/>
      <c r="AF1754" s="101"/>
      <c r="AG1754" s="101"/>
      <c r="AH1754" s="99"/>
      <c r="AI1754" s="105"/>
    </row>
    <row r="1755" spans="1:35">
      <c r="A1755" s="98"/>
      <c r="B1755" s="99"/>
      <c r="C1755" s="263" t="s">
        <v>3230</v>
      </c>
      <c r="D1755" s="264" t="s">
        <v>79</v>
      </c>
      <c r="E1755" s="264" t="s">
        <v>80</v>
      </c>
      <c r="F1755" s="100" t="s">
        <v>3974</v>
      </c>
      <c r="G1755" s="100" t="s">
        <v>4022</v>
      </c>
      <c r="H1755" s="99" t="s">
        <v>117</v>
      </c>
      <c r="I1755" s="247">
        <v>32543</v>
      </c>
      <c r="J1755" s="101">
        <v>1</v>
      </c>
      <c r="K1755" s="101"/>
      <c r="L1755" s="101">
        <v>1</v>
      </c>
      <c r="M1755" s="101"/>
      <c r="N1755" s="101">
        <v>1</v>
      </c>
      <c r="O1755" s="101"/>
      <c r="P1755" s="101"/>
      <c r="Q1755" s="101"/>
      <c r="R1755" s="101"/>
      <c r="S1755" s="101"/>
      <c r="T1755" s="101"/>
      <c r="U1755" s="99" t="s">
        <v>1446</v>
      </c>
      <c r="V1755" s="99" t="s">
        <v>949</v>
      </c>
      <c r="W1755" s="100" t="s">
        <v>298</v>
      </c>
      <c r="X1755" s="100" t="s">
        <v>227</v>
      </c>
      <c r="Y1755" s="99"/>
      <c r="Z1755" s="99"/>
      <c r="AA1755" s="100" t="s">
        <v>3198</v>
      </c>
      <c r="AB1755" s="100" t="s">
        <v>528</v>
      </c>
      <c r="AC1755" s="99">
        <v>1</v>
      </c>
      <c r="AD1755" s="101"/>
      <c r="AE1755" s="101"/>
      <c r="AF1755" s="101"/>
      <c r="AG1755" s="101"/>
      <c r="AH1755" s="99"/>
      <c r="AI1755" s="105"/>
    </row>
    <row r="1756" spans="1:35">
      <c r="A1756" s="98"/>
      <c r="B1756" s="99"/>
      <c r="C1756" s="99"/>
      <c r="D1756" s="99"/>
      <c r="E1756" s="99"/>
      <c r="F1756" s="100"/>
      <c r="G1756" s="100"/>
      <c r="H1756" s="99"/>
      <c r="I1756" s="247"/>
      <c r="J1756" s="101"/>
      <c r="K1756" s="101"/>
      <c r="L1756" s="101"/>
      <c r="M1756" s="101"/>
      <c r="N1756" s="101"/>
      <c r="O1756" s="101"/>
      <c r="P1756" s="101"/>
      <c r="Q1756" s="101"/>
      <c r="R1756" s="101"/>
      <c r="S1756" s="101"/>
      <c r="T1756" s="101"/>
      <c r="U1756" s="99"/>
      <c r="V1756" s="100"/>
      <c r="W1756" s="99"/>
      <c r="X1756" s="99"/>
      <c r="Y1756" s="99"/>
      <c r="Z1756" s="99"/>
      <c r="AA1756" s="100" t="s">
        <v>1961</v>
      </c>
      <c r="AB1756" s="100" t="s">
        <v>526</v>
      </c>
      <c r="AC1756" s="266">
        <v>0.25</v>
      </c>
      <c r="AD1756" s="101"/>
      <c r="AE1756" s="101"/>
      <c r="AF1756" s="101"/>
      <c r="AG1756" s="101"/>
      <c r="AH1756" s="99"/>
      <c r="AI1756" s="105"/>
    </row>
    <row r="1757" spans="1:35">
      <c r="A1757" s="98"/>
      <c r="B1757" s="99"/>
      <c r="C1757" s="99"/>
      <c r="D1757" s="99"/>
      <c r="E1757" s="99"/>
      <c r="F1757" s="100"/>
      <c r="G1757" s="100"/>
      <c r="H1757" s="99"/>
      <c r="I1757" s="247"/>
      <c r="J1757" s="101"/>
      <c r="K1757" s="101"/>
      <c r="L1757" s="101"/>
      <c r="M1757" s="101"/>
      <c r="N1757" s="101"/>
      <c r="O1757" s="101"/>
      <c r="P1757" s="101"/>
      <c r="Q1757" s="101"/>
      <c r="R1757" s="101"/>
      <c r="S1757" s="101"/>
      <c r="T1757" s="101"/>
      <c r="U1757" s="99"/>
      <c r="V1757" s="100"/>
      <c r="W1757" s="100"/>
      <c r="X1757" s="100"/>
      <c r="Y1757" s="99"/>
      <c r="Z1757" s="99"/>
      <c r="AA1757" s="100" t="s">
        <v>1792</v>
      </c>
      <c r="AB1757" s="99" t="s">
        <v>526</v>
      </c>
      <c r="AC1757" s="99">
        <v>50</v>
      </c>
      <c r="AD1757" s="101"/>
      <c r="AE1757" s="101"/>
      <c r="AF1757" s="101"/>
      <c r="AG1757" s="101"/>
      <c r="AH1757" s="99"/>
      <c r="AI1757" s="105"/>
    </row>
    <row r="1758" spans="1:35">
      <c r="A1758" s="98"/>
      <c r="B1758" s="99"/>
      <c r="C1758" s="263" t="s">
        <v>3230</v>
      </c>
      <c r="D1758" s="264" t="s">
        <v>79</v>
      </c>
      <c r="E1758" s="264" t="s">
        <v>80</v>
      </c>
      <c r="F1758" s="100" t="s">
        <v>4023</v>
      </c>
      <c r="G1758" s="100" t="s">
        <v>4024</v>
      </c>
      <c r="H1758" s="99" t="s">
        <v>286</v>
      </c>
      <c r="I1758" s="247">
        <v>27628</v>
      </c>
      <c r="J1758" s="101">
        <v>1</v>
      </c>
      <c r="K1758" s="101"/>
      <c r="L1758" s="101">
        <v>1</v>
      </c>
      <c r="M1758" s="101"/>
      <c r="N1758" s="101">
        <v>1</v>
      </c>
      <c r="O1758" s="101"/>
      <c r="P1758" s="101"/>
      <c r="Q1758" s="101"/>
      <c r="R1758" s="101"/>
      <c r="S1758" s="101"/>
      <c r="T1758" s="101"/>
      <c r="U1758" s="99" t="s">
        <v>1446</v>
      </c>
      <c r="V1758" s="99" t="s">
        <v>949</v>
      </c>
      <c r="W1758" s="100" t="s">
        <v>298</v>
      </c>
      <c r="X1758" s="100" t="s">
        <v>227</v>
      </c>
      <c r="Y1758" s="99"/>
      <c r="Z1758" s="99"/>
      <c r="AA1758" s="100" t="s">
        <v>3198</v>
      </c>
      <c r="AB1758" s="100" t="s">
        <v>528</v>
      </c>
      <c r="AC1758" s="99">
        <v>1</v>
      </c>
      <c r="AD1758" s="101"/>
      <c r="AE1758" s="101"/>
      <c r="AF1758" s="101"/>
      <c r="AG1758" s="101"/>
      <c r="AH1758" s="99"/>
      <c r="AI1758" s="105"/>
    </row>
    <row r="1759" spans="1:35">
      <c r="A1759" s="98"/>
      <c r="B1759" s="99"/>
      <c r="C1759" s="99"/>
      <c r="D1759" s="99"/>
      <c r="E1759" s="99"/>
      <c r="F1759" s="100"/>
      <c r="G1759" s="100"/>
      <c r="H1759" s="99"/>
      <c r="I1759" s="247"/>
      <c r="J1759" s="101"/>
      <c r="K1759" s="101"/>
      <c r="L1759" s="101"/>
      <c r="M1759" s="101"/>
      <c r="N1759" s="101"/>
      <c r="O1759" s="101"/>
      <c r="P1759" s="101"/>
      <c r="Q1759" s="101"/>
      <c r="R1759" s="101"/>
      <c r="S1759" s="101"/>
      <c r="T1759" s="101"/>
      <c r="U1759" s="99"/>
      <c r="V1759" s="100"/>
      <c r="W1759" s="100"/>
      <c r="X1759" s="100"/>
      <c r="Y1759" s="99"/>
      <c r="Z1759" s="99"/>
      <c r="AA1759" s="100" t="s">
        <v>1961</v>
      </c>
      <c r="AB1759" s="100" t="s">
        <v>526</v>
      </c>
      <c r="AC1759" s="266">
        <v>0.25</v>
      </c>
      <c r="AD1759" s="101"/>
      <c r="AE1759" s="101"/>
      <c r="AF1759" s="101"/>
      <c r="AG1759" s="101"/>
      <c r="AH1759" s="99"/>
      <c r="AI1759" s="105"/>
    </row>
    <row r="1760" spans="1:35">
      <c r="A1760" s="98"/>
      <c r="B1760" s="99"/>
      <c r="C1760" s="99"/>
      <c r="D1760" s="99"/>
      <c r="E1760" s="99"/>
      <c r="F1760" s="100"/>
      <c r="G1760" s="100"/>
      <c r="H1760" s="99"/>
      <c r="I1760" s="247"/>
      <c r="J1760" s="101"/>
      <c r="K1760" s="101"/>
      <c r="L1760" s="101"/>
      <c r="M1760" s="101"/>
      <c r="N1760" s="101"/>
      <c r="O1760" s="101"/>
      <c r="P1760" s="101"/>
      <c r="Q1760" s="101"/>
      <c r="R1760" s="101"/>
      <c r="S1760" s="101"/>
      <c r="T1760" s="101"/>
      <c r="U1760" s="99"/>
      <c r="V1760" s="100"/>
      <c r="W1760" s="99"/>
      <c r="X1760" s="99"/>
      <c r="Y1760" s="99"/>
      <c r="Z1760" s="99"/>
      <c r="AA1760" s="100" t="s">
        <v>1792</v>
      </c>
      <c r="AB1760" s="99" t="s">
        <v>526</v>
      </c>
      <c r="AC1760" s="99">
        <v>50</v>
      </c>
      <c r="AD1760" s="101"/>
      <c r="AE1760" s="101"/>
      <c r="AF1760" s="101"/>
      <c r="AG1760" s="101"/>
      <c r="AH1760" s="99"/>
      <c r="AI1760" s="105"/>
    </row>
    <row r="1761" spans="1:35">
      <c r="A1761" s="98"/>
      <c r="B1761" s="99"/>
      <c r="C1761" s="263" t="s">
        <v>3230</v>
      </c>
      <c r="D1761" s="264" t="s">
        <v>79</v>
      </c>
      <c r="E1761" s="264" t="s">
        <v>80</v>
      </c>
      <c r="F1761" s="100" t="s">
        <v>4023</v>
      </c>
      <c r="G1761" s="100" t="s">
        <v>4025</v>
      </c>
      <c r="H1761" s="99" t="s">
        <v>286</v>
      </c>
      <c r="I1761" s="247">
        <v>26331</v>
      </c>
      <c r="J1761" s="101">
        <v>1</v>
      </c>
      <c r="K1761" s="101"/>
      <c r="L1761" s="101">
        <v>1</v>
      </c>
      <c r="M1761" s="101"/>
      <c r="N1761" s="101">
        <v>1</v>
      </c>
      <c r="O1761" s="101"/>
      <c r="P1761" s="101"/>
      <c r="Q1761" s="101"/>
      <c r="R1761" s="101"/>
      <c r="S1761" s="101"/>
      <c r="T1761" s="101"/>
      <c r="U1761" s="99" t="s">
        <v>1446</v>
      </c>
      <c r="V1761" s="99" t="s">
        <v>949</v>
      </c>
      <c r="W1761" s="100" t="s">
        <v>298</v>
      </c>
      <c r="X1761" s="100" t="s">
        <v>227</v>
      </c>
      <c r="Y1761" s="99"/>
      <c r="Z1761" s="99"/>
      <c r="AA1761" s="100" t="s">
        <v>3198</v>
      </c>
      <c r="AB1761" s="100" t="s">
        <v>528</v>
      </c>
      <c r="AC1761" s="99">
        <v>1</v>
      </c>
      <c r="AD1761" s="101"/>
      <c r="AE1761" s="101"/>
      <c r="AF1761" s="101"/>
      <c r="AG1761" s="101"/>
      <c r="AH1761" s="99"/>
      <c r="AI1761" s="105"/>
    </row>
    <row r="1762" spans="1:35">
      <c r="A1762" s="98"/>
      <c r="B1762" s="99"/>
      <c r="C1762" s="99"/>
      <c r="D1762" s="99"/>
      <c r="E1762" s="99"/>
      <c r="F1762" s="100"/>
      <c r="G1762" s="100"/>
      <c r="H1762" s="99"/>
      <c r="I1762" s="247"/>
      <c r="J1762" s="101"/>
      <c r="K1762" s="101"/>
      <c r="L1762" s="101"/>
      <c r="M1762" s="101"/>
      <c r="N1762" s="101"/>
      <c r="O1762" s="101"/>
      <c r="P1762" s="101"/>
      <c r="Q1762" s="101"/>
      <c r="R1762" s="101"/>
      <c r="S1762" s="101"/>
      <c r="T1762" s="101"/>
      <c r="U1762" s="99"/>
      <c r="V1762" s="100"/>
      <c r="W1762" s="100"/>
      <c r="X1762" s="100"/>
      <c r="Y1762" s="99"/>
      <c r="Z1762" s="99"/>
      <c r="AA1762" s="100" t="s">
        <v>1961</v>
      </c>
      <c r="AB1762" s="100" t="s">
        <v>526</v>
      </c>
      <c r="AC1762" s="266">
        <v>0.25</v>
      </c>
      <c r="AD1762" s="101"/>
      <c r="AE1762" s="101"/>
      <c r="AF1762" s="101"/>
      <c r="AG1762" s="101"/>
      <c r="AH1762" s="99"/>
      <c r="AI1762" s="105"/>
    </row>
    <row r="1763" spans="1:35">
      <c r="A1763" s="98"/>
      <c r="B1763" s="99"/>
      <c r="C1763" s="99"/>
      <c r="D1763" s="99"/>
      <c r="E1763" s="99"/>
      <c r="F1763" s="100"/>
      <c r="G1763" s="100"/>
      <c r="H1763" s="99"/>
      <c r="I1763" s="247"/>
      <c r="J1763" s="101"/>
      <c r="K1763" s="101"/>
      <c r="L1763" s="101"/>
      <c r="M1763" s="101"/>
      <c r="N1763" s="101"/>
      <c r="O1763" s="101"/>
      <c r="P1763" s="101"/>
      <c r="Q1763" s="101"/>
      <c r="R1763" s="101"/>
      <c r="S1763" s="101"/>
      <c r="T1763" s="101"/>
      <c r="U1763" s="99"/>
      <c r="V1763" s="100"/>
      <c r="W1763" s="99"/>
      <c r="X1763" s="99"/>
      <c r="Y1763" s="99"/>
      <c r="Z1763" s="99"/>
      <c r="AA1763" s="100" t="s">
        <v>1792</v>
      </c>
      <c r="AB1763" s="99" t="s">
        <v>526</v>
      </c>
      <c r="AC1763" s="99">
        <v>50</v>
      </c>
      <c r="AD1763" s="101"/>
      <c r="AE1763" s="101"/>
      <c r="AF1763" s="101"/>
      <c r="AG1763" s="101"/>
      <c r="AH1763" s="99"/>
      <c r="AI1763" s="105"/>
    </row>
    <row r="1764" spans="1:35">
      <c r="A1764" s="98"/>
      <c r="B1764" s="99"/>
      <c r="C1764" s="263" t="s">
        <v>3230</v>
      </c>
      <c r="D1764" s="264" t="s">
        <v>79</v>
      </c>
      <c r="E1764" s="264" t="s">
        <v>80</v>
      </c>
      <c r="F1764" s="100" t="s">
        <v>3208</v>
      </c>
      <c r="G1764" s="100" t="s">
        <v>198</v>
      </c>
      <c r="H1764" s="99" t="s">
        <v>286</v>
      </c>
      <c r="I1764" s="247">
        <v>27143</v>
      </c>
      <c r="J1764" s="101">
        <v>1</v>
      </c>
      <c r="K1764" s="101"/>
      <c r="L1764" s="101">
        <v>1</v>
      </c>
      <c r="M1764" s="101"/>
      <c r="N1764" s="101">
        <v>1</v>
      </c>
      <c r="O1764" s="101"/>
      <c r="P1764" s="101"/>
      <c r="Q1764" s="101"/>
      <c r="R1764" s="101"/>
      <c r="S1764" s="101"/>
      <c r="T1764" s="101"/>
      <c r="U1764" s="99" t="s">
        <v>1446</v>
      </c>
      <c r="V1764" s="99" t="s">
        <v>949</v>
      </c>
      <c r="W1764" s="100" t="s">
        <v>298</v>
      </c>
      <c r="X1764" s="100" t="s">
        <v>227</v>
      </c>
      <c r="Y1764" s="99"/>
      <c r="Z1764" s="99"/>
      <c r="AA1764" s="100" t="s">
        <v>3198</v>
      </c>
      <c r="AB1764" s="100" t="s">
        <v>528</v>
      </c>
      <c r="AC1764" s="99">
        <v>26</v>
      </c>
      <c r="AD1764" s="101"/>
      <c r="AE1764" s="101"/>
      <c r="AF1764" s="101"/>
      <c r="AG1764" s="101"/>
      <c r="AH1764" s="99"/>
      <c r="AI1764" s="105"/>
    </row>
    <row r="1765" spans="1:35">
      <c r="A1765" s="98"/>
      <c r="B1765" s="99"/>
      <c r="C1765" s="99"/>
      <c r="D1765" s="99"/>
      <c r="E1765" s="99"/>
      <c r="F1765" s="100"/>
      <c r="G1765" s="100"/>
      <c r="H1765" s="99"/>
      <c r="I1765" s="247"/>
      <c r="J1765" s="101"/>
      <c r="K1765" s="101"/>
      <c r="L1765" s="101"/>
      <c r="M1765" s="101"/>
      <c r="N1765" s="101"/>
      <c r="O1765" s="101"/>
      <c r="P1765" s="101"/>
      <c r="Q1765" s="101"/>
      <c r="R1765" s="101"/>
      <c r="S1765" s="101"/>
      <c r="T1765" s="101"/>
      <c r="U1765" s="99"/>
      <c r="V1765" s="100"/>
      <c r="W1765" s="100"/>
      <c r="X1765" s="100"/>
      <c r="Y1765" s="99"/>
      <c r="Z1765" s="99"/>
      <c r="AA1765" s="100" t="s">
        <v>1961</v>
      </c>
      <c r="AB1765" s="100" t="s">
        <v>526</v>
      </c>
      <c r="AC1765" s="266">
        <v>0.75</v>
      </c>
      <c r="AD1765" s="101"/>
      <c r="AE1765" s="101"/>
      <c r="AF1765" s="101"/>
      <c r="AG1765" s="101"/>
      <c r="AH1765" s="99"/>
      <c r="AI1765" s="105"/>
    </row>
    <row r="1766" spans="1:35">
      <c r="A1766" s="98"/>
      <c r="B1766" s="99"/>
      <c r="C1766" s="99"/>
      <c r="D1766" s="99"/>
      <c r="E1766" s="99"/>
      <c r="F1766" s="100"/>
      <c r="G1766" s="100"/>
      <c r="H1766" s="99"/>
      <c r="I1766" s="247"/>
      <c r="J1766" s="101"/>
      <c r="K1766" s="101"/>
      <c r="L1766" s="101"/>
      <c r="M1766" s="101"/>
      <c r="N1766" s="101"/>
      <c r="O1766" s="101"/>
      <c r="P1766" s="101"/>
      <c r="Q1766" s="101"/>
      <c r="R1766" s="101"/>
      <c r="S1766" s="101"/>
      <c r="T1766" s="101"/>
      <c r="U1766" s="99"/>
      <c r="V1766" s="100"/>
      <c r="W1766" s="99"/>
      <c r="X1766" s="99"/>
      <c r="Y1766" s="99"/>
      <c r="Z1766" s="99"/>
      <c r="AA1766" s="100" t="s">
        <v>1792</v>
      </c>
      <c r="AB1766" s="99" t="s">
        <v>526</v>
      </c>
      <c r="AC1766" s="99">
        <v>460</v>
      </c>
      <c r="AD1766" s="101"/>
      <c r="AE1766" s="101"/>
      <c r="AF1766" s="101"/>
      <c r="AG1766" s="101"/>
      <c r="AH1766" s="99"/>
      <c r="AI1766" s="105"/>
    </row>
    <row r="1767" spans="1:35">
      <c r="A1767" s="98"/>
      <c r="B1767" s="99"/>
      <c r="C1767" s="263" t="s">
        <v>3230</v>
      </c>
      <c r="D1767" s="264" t="s">
        <v>79</v>
      </c>
      <c r="E1767" s="264" t="s">
        <v>80</v>
      </c>
      <c r="F1767" s="100" t="s">
        <v>4026</v>
      </c>
      <c r="G1767" s="100" t="s">
        <v>3423</v>
      </c>
      <c r="H1767" s="100" t="s">
        <v>126</v>
      </c>
      <c r="I1767" s="247">
        <v>26841</v>
      </c>
      <c r="J1767" s="101">
        <v>1</v>
      </c>
      <c r="K1767" s="101"/>
      <c r="L1767" s="101">
        <v>1</v>
      </c>
      <c r="M1767" s="101"/>
      <c r="N1767" s="101">
        <v>1</v>
      </c>
      <c r="O1767" s="101"/>
      <c r="P1767" s="101"/>
      <c r="Q1767" s="101"/>
      <c r="R1767" s="101"/>
      <c r="S1767" s="101"/>
      <c r="T1767" s="101"/>
      <c r="U1767" s="100" t="s">
        <v>862</v>
      </c>
      <c r="V1767" s="100" t="s">
        <v>218</v>
      </c>
      <c r="W1767" s="100" t="s">
        <v>279</v>
      </c>
      <c r="X1767" s="100" t="s">
        <v>227</v>
      </c>
      <c r="Y1767" s="99"/>
      <c r="Z1767" s="99"/>
      <c r="AA1767" s="100" t="s">
        <v>3968</v>
      </c>
      <c r="AB1767" s="100" t="s">
        <v>528</v>
      </c>
      <c r="AC1767" s="101">
        <v>1</v>
      </c>
      <c r="AD1767" s="101"/>
      <c r="AE1767" s="101"/>
      <c r="AF1767" s="101"/>
      <c r="AG1767" s="101"/>
      <c r="AH1767" s="99"/>
      <c r="AI1767" s="105"/>
    </row>
    <row r="1768" spans="1:35">
      <c r="A1768" s="98"/>
      <c r="B1768" s="99"/>
      <c r="C1768" s="263" t="s">
        <v>3230</v>
      </c>
      <c r="D1768" s="264" t="s">
        <v>79</v>
      </c>
      <c r="E1768" s="264" t="s">
        <v>80</v>
      </c>
      <c r="F1768" s="100" t="s">
        <v>3767</v>
      </c>
      <c r="G1768" s="100" t="s">
        <v>2325</v>
      </c>
      <c r="H1768" s="100" t="s">
        <v>409</v>
      </c>
      <c r="I1768" s="247">
        <v>22225</v>
      </c>
      <c r="J1768" s="101">
        <v>1</v>
      </c>
      <c r="K1768" s="101"/>
      <c r="L1768" s="101">
        <v>1</v>
      </c>
      <c r="M1768" s="101"/>
      <c r="N1768" s="101">
        <v>1</v>
      </c>
      <c r="O1768" s="101"/>
      <c r="P1768" s="101"/>
      <c r="Q1768" s="101"/>
      <c r="R1768" s="101"/>
      <c r="S1768" s="101"/>
      <c r="T1768" s="101"/>
      <c r="U1768" s="100" t="s">
        <v>1354</v>
      </c>
      <c r="V1768" s="100" t="s">
        <v>218</v>
      </c>
      <c r="W1768" s="100" t="s">
        <v>279</v>
      </c>
      <c r="X1768" s="100" t="s">
        <v>227</v>
      </c>
      <c r="Y1768" s="99"/>
      <c r="Z1768" s="99"/>
      <c r="AA1768" s="100" t="s">
        <v>3968</v>
      </c>
      <c r="AB1768" s="100" t="s">
        <v>528</v>
      </c>
      <c r="AC1768" s="101">
        <v>1</v>
      </c>
      <c r="AD1768" s="101"/>
      <c r="AE1768" s="101"/>
      <c r="AF1768" s="101"/>
      <c r="AG1768" s="101"/>
      <c r="AH1768" s="99"/>
      <c r="AI1768" s="105"/>
    </row>
    <row r="1769" spans="1:35">
      <c r="A1769" s="98"/>
      <c r="B1769" s="99"/>
      <c r="C1769" s="263" t="s">
        <v>3230</v>
      </c>
      <c r="D1769" s="264" t="s">
        <v>79</v>
      </c>
      <c r="E1769" s="264" t="s">
        <v>80</v>
      </c>
      <c r="F1769" s="100" t="s">
        <v>182</v>
      </c>
      <c r="G1769" s="100" t="s">
        <v>192</v>
      </c>
      <c r="H1769" s="100" t="s">
        <v>117</v>
      </c>
      <c r="I1769" s="247">
        <v>28384</v>
      </c>
      <c r="J1769" s="101">
        <v>1</v>
      </c>
      <c r="K1769" s="101"/>
      <c r="L1769" s="101">
        <v>1</v>
      </c>
      <c r="M1769" s="101"/>
      <c r="N1769" s="101">
        <v>1</v>
      </c>
      <c r="O1769" s="101"/>
      <c r="P1769" s="101"/>
      <c r="Q1769" s="101"/>
      <c r="R1769" s="101"/>
      <c r="S1769" s="101"/>
      <c r="T1769" s="101"/>
      <c r="U1769" s="100" t="s">
        <v>221</v>
      </c>
      <c r="V1769" s="100" t="s">
        <v>218</v>
      </c>
      <c r="W1769" s="100" t="s">
        <v>279</v>
      </c>
      <c r="X1769" s="100" t="s">
        <v>227</v>
      </c>
      <c r="Y1769" s="99"/>
      <c r="Z1769" s="99"/>
      <c r="AA1769" s="100" t="s">
        <v>3968</v>
      </c>
      <c r="AB1769" s="100" t="s">
        <v>528</v>
      </c>
      <c r="AC1769" s="101">
        <v>1</v>
      </c>
      <c r="AD1769" s="101"/>
      <c r="AE1769" s="101"/>
      <c r="AF1769" s="101"/>
      <c r="AG1769" s="101"/>
      <c r="AH1769" s="99"/>
      <c r="AI1769" s="105"/>
    </row>
    <row r="1770" spans="1:35">
      <c r="A1770" s="98"/>
      <c r="B1770" s="99"/>
      <c r="C1770" s="263" t="s">
        <v>3230</v>
      </c>
      <c r="D1770" s="264" t="s">
        <v>79</v>
      </c>
      <c r="E1770" s="264" t="s">
        <v>80</v>
      </c>
      <c r="F1770" s="100" t="s">
        <v>4027</v>
      </c>
      <c r="G1770" s="100" t="s">
        <v>1013</v>
      </c>
      <c r="H1770" s="100" t="s">
        <v>113</v>
      </c>
      <c r="I1770" s="247">
        <v>24112</v>
      </c>
      <c r="J1770" s="101">
        <v>1</v>
      </c>
      <c r="K1770" s="101"/>
      <c r="L1770" s="101">
        <v>1</v>
      </c>
      <c r="M1770" s="101"/>
      <c r="N1770" s="101">
        <v>1</v>
      </c>
      <c r="O1770" s="101"/>
      <c r="P1770" s="101"/>
      <c r="Q1770" s="101"/>
      <c r="R1770" s="101"/>
      <c r="S1770" s="101"/>
      <c r="T1770" s="101"/>
      <c r="U1770" s="100" t="s">
        <v>862</v>
      </c>
      <c r="V1770" s="100" t="s">
        <v>218</v>
      </c>
      <c r="W1770" s="100" t="s">
        <v>279</v>
      </c>
      <c r="X1770" s="100" t="s">
        <v>227</v>
      </c>
      <c r="Y1770" s="99"/>
      <c r="Z1770" s="99"/>
      <c r="AA1770" s="100" t="s">
        <v>3968</v>
      </c>
      <c r="AB1770" s="100" t="s">
        <v>528</v>
      </c>
      <c r="AC1770" s="101">
        <v>1</v>
      </c>
      <c r="AD1770" s="101"/>
      <c r="AE1770" s="101"/>
      <c r="AF1770" s="101"/>
      <c r="AG1770" s="101"/>
      <c r="AH1770" s="99"/>
      <c r="AI1770" s="105"/>
    </row>
    <row r="1771" spans="1:35">
      <c r="A1771" s="98"/>
      <c r="B1771" s="99"/>
      <c r="C1771" s="263" t="s">
        <v>3230</v>
      </c>
      <c r="D1771" s="264" t="s">
        <v>79</v>
      </c>
      <c r="E1771" s="264" t="s">
        <v>80</v>
      </c>
      <c r="F1771" s="100" t="s">
        <v>2516</v>
      </c>
      <c r="G1771" s="100" t="s">
        <v>745</v>
      </c>
      <c r="H1771" s="100" t="s">
        <v>115</v>
      </c>
      <c r="I1771" s="247">
        <v>25908</v>
      </c>
      <c r="J1771" s="101">
        <v>1</v>
      </c>
      <c r="K1771" s="101"/>
      <c r="L1771" s="101">
        <v>1</v>
      </c>
      <c r="M1771" s="101"/>
      <c r="N1771" s="101">
        <v>1</v>
      </c>
      <c r="O1771" s="101"/>
      <c r="P1771" s="101"/>
      <c r="Q1771" s="101"/>
      <c r="R1771" s="101"/>
      <c r="S1771" s="101"/>
      <c r="T1771" s="101"/>
      <c r="U1771" s="100" t="s">
        <v>862</v>
      </c>
      <c r="V1771" s="100" t="s">
        <v>218</v>
      </c>
      <c r="W1771" s="100" t="s">
        <v>279</v>
      </c>
      <c r="X1771" s="100" t="s">
        <v>227</v>
      </c>
      <c r="Y1771" s="99"/>
      <c r="Z1771" s="99"/>
      <c r="AA1771" s="100" t="s">
        <v>3968</v>
      </c>
      <c r="AB1771" s="100" t="s">
        <v>528</v>
      </c>
      <c r="AC1771" s="101">
        <v>1</v>
      </c>
      <c r="AD1771" s="101"/>
      <c r="AE1771" s="101"/>
      <c r="AF1771" s="101"/>
      <c r="AG1771" s="101"/>
      <c r="AH1771" s="99"/>
      <c r="AI1771" s="105"/>
    </row>
    <row r="1772" spans="1:35">
      <c r="A1772" s="98"/>
      <c r="B1772" s="99"/>
      <c r="C1772" s="263" t="s">
        <v>3230</v>
      </c>
      <c r="D1772" s="264" t="s">
        <v>79</v>
      </c>
      <c r="E1772" s="264" t="s">
        <v>80</v>
      </c>
      <c r="F1772" s="100" t="s">
        <v>3732</v>
      </c>
      <c r="G1772" s="100" t="s">
        <v>4028</v>
      </c>
      <c r="H1772" s="100" t="s">
        <v>133</v>
      </c>
      <c r="I1772" s="247">
        <v>22315</v>
      </c>
      <c r="J1772" s="101"/>
      <c r="K1772" s="101">
        <v>1</v>
      </c>
      <c r="L1772" s="101">
        <v>1</v>
      </c>
      <c r="M1772" s="101"/>
      <c r="N1772" s="101">
        <v>1</v>
      </c>
      <c r="O1772" s="101"/>
      <c r="P1772" s="101"/>
      <c r="Q1772" s="101"/>
      <c r="R1772" s="101"/>
      <c r="S1772" s="101"/>
      <c r="T1772" s="101"/>
      <c r="U1772" s="100" t="s">
        <v>862</v>
      </c>
      <c r="V1772" s="100" t="s">
        <v>218</v>
      </c>
      <c r="W1772" s="100" t="s">
        <v>279</v>
      </c>
      <c r="X1772" s="100" t="s">
        <v>227</v>
      </c>
      <c r="Y1772" s="99"/>
      <c r="Z1772" s="99"/>
      <c r="AA1772" s="100" t="s">
        <v>3968</v>
      </c>
      <c r="AB1772" s="100" t="s">
        <v>528</v>
      </c>
      <c r="AC1772" s="101">
        <v>1</v>
      </c>
      <c r="AD1772" s="101"/>
      <c r="AE1772" s="101"/>
      <c r="AF1772" s="101"/>
      <c r="AG1772" s="101"/>
      <c r="AH1772" s="99"/>
      <c r="AI1772" s="105"/>
    </row>
    <row r="1773" spans="1:35">
      <c r="A1773" s="98"/>
      <c r="B1773" s="99"/>
      <c r="C1773" s="263" t="s">
        <v>3230</v>
      </c>
      <c r="D1773" s="264" t="s">
        <v>79</v>
      </c>
      <c r="E1773" s="264" t="s">
        <v>80</v>
      </c>
      <c r="F1773" s="100" t="s">
        <v>4029</v>
      </c>
      <c r="G1773" s="100" t="s">
        <v>210</v>
      </c>
      <c r="H1773" s="100" t="s">
        <v>117</v>
      </c>
      <c r="I1773" s="247">
        <v>22136</v>
      </c>
      <c r="J1773" s="101">
        <v>1</v>
      </c>
      <c r="K1773" s="101"/>
      <c r="L1773" s="101">
        <v>1</v>
      </c>
      <c r="M1773" s="101"/>
      <c r="N1773" s="101">
        <v>1</v>
      </c>
      <c r="O1773" s="101"/>
      <c r="P1773" s="101"/>
      <c r="Q1773" s="101"/>
      <c r="R1773" s="101"/>
      <c r="S1773" s="101"/>
      <c r="T1773" s="101"/>
      <c r="U1773" s="100" t="s">
        <v>4036</v>
      </c>
      <c r="V1773" s="100" t="s">
        <v>218</v>
      </c>
      <c r="W1773" s="100" t="s">
        <v>279</v>
      </c>
      <c r="X1773" s="100" t="s">
        <v>227</v>
      </c>
      <c r="Y1773" s="99"/>
      <c r="Z1773" s="99"/>
      <c r="AA1773" s="100" t="s">
        <v>3968</v>
      </c>
      <c r="AB1773" s="100" t="s">
        <v>528</v>
      </c>
      <c r="AC1773" s="101">
        <v>1</v>
      </c>
      <c r="AD1773" s="101"/>
      <c r="AE1773" s="101"/>
      <c r="AF1773" s="101"/>
      <c r="AG1773" s="101"/>
      <c r="AH1773" s="99"/>
      <c r="AI1773" s="105"/>
    </row>
    <row r="1774" spans="1:35">
      <c r="A1774" s="98"/>
      <c r="B1774" s="99"/>
      <c r="C1774" s="263" t="s">
        <v>3230</v>
      </c>
      <c r="D1774" s="264" t="s">
        <v>79</v>
      </c>
      <c r="E1774" s="264" t="s">
        <v>80</v>
      </c>
      <c r="F1774" s="100" t="s">
        <v>4030</v>
      </c>
      <c r="G1774" s="100" t="s">
        <v>1911</v>
      </c>
      <c r="H1774" s="100" t="s">
        <v>120</v>
      </c>
      <c r="I1774" s="247">
        <v>17556</v>
      </c>
      <c r="J1774" s="101">
        <v>1</v>
      </c>
      <c r="K1774" s="101"/>
      <c r="L1774" s="101">
        <v>1</v>
      </c>
      <c r="M1774" s="101"/>
      <c r="N1774" s="101">
        <v>1</v>
      </c>
      <c r="O1774" s="101"/>
      <c r="P1774" s="101"/>
      <c r="Q1774" s="101"/>
      <c r="R1774" s="101"/>
      <c r="S1774" s="101"/>
      <c r="T1774" s="101"/>
      <c r="U1774" s="100" t="s">
        <v>862</v>
      </c>
      <c r="V1774" s="100" t="s">
        <v>218</v>
      </c>
      <c r="W1774" s="100" t="s">
        <v>279</v>
      </c>
      <c r="X1774" s="100" t="s">
        <v>227</v>
      </c>
      <c r="Y1774" s="99"/>
      <c r="Z1774" s="99"/>
      <c r="AA1774" s="100" t="s">
        <v>3968</v>
      </c>
      <c r="AB1774" s="100" t="s">
        <v>528</v>
      </c>
      <c r="AC1774" s="101">
        <v>1</v>
      </c>
      <c r="AD1774" s="101"/>
      <c r="AE1774" s="101"/>
      <c r="AF1774" s="101"/>
      <c r="AG1774" s="101"/>
      <c r="AH1774" s="99"/>
      <c r="AI1774" s="105"/>
    </row>
    <row r="1775" spans="1:35">
      <c r="A1775" s="98"/>
      <c r="B1775" s="99"/>
      <c r="C1775" s="263" t="s">
        <v>3230</v>
      </c>
      <c r="D1775" s="264" t="s">
        <v>79</v>
      </c>
      <c r="E1775" s="264" t="s">
        <v>80</v>
      </c>
      <c r="F1775" s="100" t="s">
        <v>4004</v>
      </c>
      <c r="G1775" s="100" t="s">
        <v>4031</v>
      </c>
      <c r="H1775" s="100" t="s">
        <v>136</v>
      </c>
      <c r="I1775" s="247">
        <v>19088</v>
      </c>
      <c r="J1775" s="101">
        <v>1</v>
      </c>
      <c r="K1775" s="101"/>
      <c r="L1775" s="101">
        <v>1</v>
      </c>
      <c r="M1775" s="101"/>
      <c r="N1775" s="101">
        <v>1</v>
      </c>
      <c r="O1775" s="101"/>
      <c r="P1775" s="101"/>
      <c r="Q1775" s="101"/>
      <c r="R1775" s="101"/>
      <c r="S1775" s="101"/>
      <c r="T1775" s="101"/>
      <c r="U1775" s="100" t="s">
        <v>4036</v>
      </c>
      <c r="V1775" s="100" t="s">
        <v>218</v>
      </c>
      <c r="W1775" s="100" t="s">
        <v>279</v>
      </c>
      <c r="X1775" s="100" t="s">
        <v>227</v>
      </c>
      <c r="Y1775" s="99"/>
      <c r="Z1775" s="99"/>
      <c r="AA1775" s="100" t="s">
        <v>3968</v>
      </c>
      <c r="AB1775" s="100" t="s">
        <v>528</v>
      </c>
      <c r="AC1775" s="101">
        <v>1</v>
      </c>
      <c r="AD1775" s="101"/>
      <c r="AE1775" s="101"/>
      <c r="AF1775" s="101"/>
      <c r="AG1775" s="101"/>
      <c r="AH1775" s="99"/>
      <c r="AI1775" s="105"/>
    </row>
    <row r="1776" spans="1:35">
      <c r="A1776" s="98"/>
      <c r="B1776" s="99"/>
      <c r="C1776" s="263" t="s">
        <v>3230</v>
      </c>
      <c r="D1776" s="264" t="s">
        <v>79</v>
      </c>
      <c r="E1776" s="264" t="s">
        <v>80</v>
      </c>
      <c r="F1776" s="100" t="s">
        <v>4032</v>
      </c>
      <c r="G1776" s="100" t="s">
        <v>751</v>
      </c>
      <c r="H1776" s="100" t="s">
        <v>286</v>
      </c>
      <c r="I1776" s="247">
        <v>31526</v>
      </c>
      <c r="J1776" s="101">
        <v>1</v>
      </c>
      <c r="K1776" s="101"/>
      <c r="L1776" s="101">
        <v>1</v>
      </c>
      <c r="M1776" s="101"/>
      <c r="N1776" s="101">
        <v>1</v>
      </c>
      <c r="O1776" s="101"/>
      <c r="P1776" s="101"/>
      <c r="Q1776" s="101"/>
      <c r="R1776" s="101"/>
      <c r="S1776" s="101"/>
      <c r="T1776" s="101"/>
      <c r="U1776" s="100" t="s">
        <v>4036</v>
      </c>
      <c r="V1776" s="100" t="s">
        <v>218</v>
      </c>
      <c r="W1776" s="100" t="s">
        <v>279</v>
      </c>
      <c r="X1776" s="100" t="s">
        <v>227</v>
      </c>
      <c r="Y1776" s="99"/>
      <c r="Z1776" s="99"/>
      <c r="AA1776" s="100" t="s">
        <v>3968</v>
      </c>
      <c r="AB1776" s="100" t="s">
        <v>528</v>
      </c>
      <c r="AC1776" s="101">
        <v>1</v>
      </c>
      <c r="AD1776" s="101"/>
      <c r="AE1776" s="101"/>
      <c r="AF1776" s="101"/>
      <c r="AG1776" s="101"/>
      <c r="AH1776" s="99"/>
      <c r="AI1776" s="105"/>
    </row>
    <row r="1777" spans="1:35">
      <c r="A1777" s="98"/>
      <c r="B1777" s="99"/>
      <c r="C1777" s="263" t="s">
        <v>3230</v>
      </c>
      <c r="D1777" s="264" t="s">
        <v>79</v>
      </c>
      <c r="E1777" s="264" t="s">
        <v>80</v>
      </c>
      <c r="F1777" s="100" t="s">
        <v>1154</v>
      </c>
      <c r="G1777" s="100" t="s">
        <v>321</v>
      </c>
      <c r="H1777" s="100" t="s">
        <v>126</v>
      </c>
      <c r="I1777" s="247">
        <v>26914</v>
      </c>
      <c r="J1777" s="101">
        <v>1</v>
      </c>
      <c r="K1777" s="101"/>
      <c r="L1777" s="101">
        <v>1</v>
      </c>
      <c r="M1777" s="101"/>
      <c r="N1777" s="101">
        <v>1</v>
      </c>
      <c r="O1777" s="101"/>
      <c r="P1777" s="101"/>
      <c r="Q1777" s="101"/>
      <c r="R1777" s="101"/>
      <c r="S1777" s="101"/>
      <c r="T1777" s="101"/>
      <c r="U1777" s="100" t="s">
        <v>4036</v>
      </c>
      <c r="V1777" s="100" t="s">
        <v>218</v>
      </c>
      <c r="W1777" s="100" t="s">
        <v>279</v>
      </c>
      <c r="X1777" s="100" t="s">
        <v>227</v>
      </c>
      <c r="Y1777" s="99"/>
      <c r="Z1777" s="99"/>
      <c r="AA1777" s="100" t="s">
        <v>3968</v>
      </c>
      <c r="AB1777" s="100" t="s">
        <v>528</v>
      </c>
      <c r="AC1777" s="101">
        <v>1</v>
      </c>
      <c r="AD1777" s="101"/>
      <c r="AE1777" s="101"/>
      <c r="AF1777" s="101"/>
      <c r="AG1777" s="101"/>
      <c r="AH1777" s="99"/>
      <c r="AI1777" s="105"/>
    </row>
    <row r="1778" spans="1:35">
      <c r="A1778" s="98"/>
      <c r="B1778" s="99"/>
      <c r="C1778" s="263" t="s">
        <v>3230</v>
      </c>
      <c r="D1778" s="264" t="s">
        <v>79</v>
      </c>
      <c r="E1778" s="264" t="s">
        <v>80</v>
      </c>
      <c r="F1778" s="100" t="s">
        <v>4030</v>
      </c>
      <c r="G1778" s="100" t="s">
        <v>1911</v>
      </c>
      <c r="H1778" s="100" t="s">
        <v>133</v>
      </c>
      <c r="I1778" s="247">
        <v>27645</v>
      </c>
      <c r="J1778" s="101">
        <v>1</v>
      </c>
      <c r="K1778" s="101"/>
      <c r="L1778" s="101">
        <v>1</v>
      </c>
      <c r="M1778" s="101"/>
      <c r="N1778" s="101">
        <v>1</v>
      </c>
      <c r="O1778" s="101"/>
      <c r="P1778" s="101"/>
      <c r="Q1778" s="101"/>
      <c r="R1778" s="101"/>
      <c r="S1778" s="101"/>
      <c r="T1778" s="101"/>
      <c r="U1778" s="100" t="s">
        <v>4036</v>
      </c>
      <c r="V1778" s="100" t="s">
        <v>218</v>
      </c>
      <c r="W1778" s="100" t="s">
        <v>279</v>
      </c>
      <c r="X1778" s="100" t="s">
        <v>227</v>
      </c>
      <c r="Y1778" s="99"/>
      <c r="Z1778" s="99"/>
      <c r="AA1778" s="100" t="s">
        <v>3968</v>
      </c>
      <c r="AB1778" s="100" t="s">
        <v>528</v>
      </c>
      <c r="AC1778" s="101">
        <v>1</v>
      </c>
      <c r="AD1778" s="101"/>
      <c r="AE1778" s="101"/>
      <c r="AF1778" s="101"/>
      <c r="AG1778" s="101"/>
      <c r="AH1778" s="99"/>
      <c r="AI1778" s="105"/>
    </row>
    <row r="1779" spans="1:35">
      <c r="A1779" s="98"/>
      <c r="B1779" s="99"/>
      <c r="C1779" s="263" t="s">
        <v>3230</v>
      </c>
      <c r="D1779" s="264" t="s">
        <v>79</v>
      </c>
      <c r="E1779" s="264" t="s">
        <v>80</v>
      </c>
      <c r="F1779" s="100" t="s">
        <v>4033</v>
      </c>
      <c r="G1779" s="100" t="s">
        <v>4034</v>
      </c>
      <c r="H1779" s="100" t="s">
        <v>286</v>
      </c>
      <c r="I1779" s="247">
        <v>27682</v>
      </c>
      <c r="J1779" s="101"/>
      <c r="K1779" s="101">
        <v>1</v>
      </c>
      <c r="L1779" s="101">
        <v>1</v>
      </c>
      <c r="M1779" s="101"/>
      <c r="N1779" s="101">
        <v>1</v>
      </c>
      <c r="O1779" s="101"/>
      <c r="P1779" s="101"/>
      <c r="Q1779" s="101"/>
      <c r="R1779" s="101"/>
      <c r="S1779" s="101"/>
      <c r="T1779" s="101"/>
      <c r="U1779" s="100" t="s">
        <v>4036</v>
      </c>
      <c r="V1779" s="100" t="s">
        <v>218</v>
      </c>
      <c r="W1779" s="100" t="s">
        <v>279</v>
      </c>
      <c r="X1779" s="100" t="s">
        <v>227</v>
      </c>
      <c r="Y1779" s="99"/>
      <c r="Z1779" s="99"/>
      <c r="AA1779" s="100" t="s">
        <v>3968</v>
      </c>
      <c r="AB1779" s="100" t="s">
        <v>528</v>
      </c>
      <c r="AC1779" s="101">
        <v>1</v>
      </c>
      <c r="AD1779" s="101"/>
      <c r="AE1779" s="101"/>
      <c r="AF1779" s="101"/>
      <c r="AG1779" s="101"/>
      <c r="AH1779" s="99"/>
      <c r="AI1779" s="105"/>
    </row>
    <row r="1780" spans="1:35">
      <c r="A1780" s="98"/>
      <c r="B1780" s="99"/>
      <c r="C1780" s="263" t="s">
        <v>3230</v>
      </c>
      <c r="D1780" s="264" t="s">
        <v>79</v>
      </c>
      <c r="E1780" s="264" t="s">
        <v>80</v>
      </c>
      <c r="F1780" s="100" t="s">
        <v>3205</v>
      </c>
      <c r="G1780" s="100" t="s">
        <v>381</v>
      </c>
      <c r="H1780" s="100" t="s">
        <v>136</v>
      </c>
      <c r="I1780" s="247">
        <v>21308</v>
      </c>
      <c r="J1780" s="101">
        <v>1</v>
      </c>
      <c r="K1780" s="101"/>
      <c r="L1780" s="101">
        <v>1</v>
      </c>
      <c r="M1780" s="101"/>
      <c r="N1780" s="101">
        <v>1</v>
      </c>
      <c r="O1780" s="101"/>
      <c r="P1780" s="101"/>
      <c r="Q1780" s="101"/>
      <c r="R1780" s="101"/>
      <c r="S1780" s="101"/>
      <c r="T1780" s="101"/>
      <c r="U1780" s="100" t="s">
        <v>4036</v>
      </c>
      <c r="V1780" s="100" t="s">
        <v>218</v>
      </c>
      <c r="W1780" s="100" t="s">
        <v>279</v>
      </c>
      <c r="X1780" s="100" t="s">
        <v>227</v>
      </c>
      <c r="Y1780" s="99"/>
      <c r="Z1780" s="99"/>
      <c r="AA1780" s="100" t="s">
        <v>3968</v>
      </c>
      <c r="AB1780" s="100" t="s">
        <v>528</v>
      </c>
      <c r="AC1780" s="101">
        <v>1</v>
      </c>
      <c r="AD1780" s="101"/>
      <c r="AE1780" s="101"/>
      <c r="AF1780" s="101"/>
      <c r="AG1780" s="101"/>
      <c r="AH1780" s="99"/>
      <c r="AI1780" s="105"/>
    </row>
    <row r="1781" spans="1:35">
      <c r="A1781" s="98"/>
      <c r="B1781" s="99"/>
      <c r="C1781" s="263" t="s">
        <v>3230</v>
      </c>
      <c r="D1781" s="264" t="s">
        <v>79</v>
      </c>
      <c r="E1781" s="264" t="s">
        <v>80</v>
      </c>
      <c r="F1781" s="100" t="s">
        <v>593</v>
      </c>
      <c r="G1781" s="100" t="s">
        <v>4035</v>
      </c>
      <c r="H1781" s="100" t="s">
        <v>409</v>
      </c>
      <c r="I1781" s="247">
        <v>26200</v>
      </c>
      <c r="J1781" s="101">
        <v>1</v>
      </c>
      <c r="K1781" s="101"/>
      <c r="L1781" s="101">
        <v>1</v>
      </c>
      <c r="M1781" s="101"/>
      <c r="N1781" s="101">
        <v>1</v>
      </c>
      <c r="O1781" s="101"/>
      <c r="P1781" s="101"/>
      <c r="Q1781" s="101"/>
      <c r="R1781" s="101"/>
      <c r="S1781" s="101"/>
      <c r="T1781" s="101"/>
      <c r="U1781" s="100" t="s">
        <v>4036</v>
      </c>
      <c r="V1781" s="100" t="s">
        <v>218</v>
      </c>
      <c r="W1781" s="100" t="s">
        <v>279</v>
      </c>
      <c r="X1781" s="100" t="s">
        <v>227</v>
      </c>
      <c r="Y1781" s="99"/>
      <c r="Z1781" s="99"/>
      <c r="AA1781" s="100" t="s">
        <v>3968</v>
      </c>
      <c r="AB1781" s="100" t="s">
        <v>528</v>
      </c>
      <c r="AC1781" s="101">
        <v>1</v>
      </c>
      <c r="AD1781" s="101"/>
      <c r="AE1781" s="101"/>
      <c r="AF1781" s="101"/>
      <c r="AG1781" s="101"/>
      <c r="AH1781" s="99"/>
      <c r="AI1781" s="105"/>
    </row>
    <row r="1782" spans="1:35">
      <c r="A1782" s="98"/>
      <c r="B1782" s="99"/>
      <c r="C1782" s="263" t="s">
        <v>3230</v>
      </c>
      <c r="D1782" s="264" t="s">
        <v>79</v>
      </c>
      <c r="E1782" s="264" t="s">
        <v>80</v>
      </c>
      <c r="F1782" s="100" t="s">
        <v>4037</v>
      </c>
      <c r="G1782" s="100" t="s">
        <v>3896</v>
      </c>
      <c r="H1782" s="100" t="s">
        <v>160</v>
      </c>
      <c r="I1782" s="247">
        <v>32393</v>
      </c>
      <c r="J1782" s="101">
        <v>1</v>
      </c>
      <c r="K1782" s="101"/>
      <c r="L1782" s="101">
        <v>1</v>
      </c>
      <c r="M1782" s="101"/>
      <c r="N1782" s="101"/>
      <c r="O1782" s="101"/>
      <c r="P1782" s="101"/>
      <c r="Q1782" s="101"/>
      <c r="R1782" s="101"/>
      <c r="S1782" s="101"/>
      <c r="T1782" s="101"/>
      <c r="U1782" s="100" t="s">
        <v>221</v>
      </c>
      <c r="V1782" s="100" t="s">
        <v>218</v>
      </c>
      <c r="W1782" s="100" t="s">
        <v>279</v>
      </c>
      <c r="X1782" s="100" t="s">
        <v>227</v>
      </c>
      <c r="Y1782" s="99"/>
      <c r="Z1782" s="99"/>
      <c r="AA1782" s="100" t="s">
        <v>3968</v>
      </c>
      <c r="AB1782" s="100" t="s">
        <v>528</v>
      </c>
      <c r="AC1782" s="101">
        <v>1</v>
      </c>
      <c r="AD1782" s="101"/>
      <c r="AE1782" s="101"/>
      <c r="AF1782" s="101"/>
      <c r="AG1782" s="101"/>
      <c r="AH1782" s="99"/>
      <c r="AI1782" s="105"/>
    </row>
    <row r="1783" spans="1:35">
      <c r="A1783" s="98"/>
      <c r="B1783" s="99"/>
      <c r="C1783" s="263" t="s">
        <v>3230</v>
      </c>
      <c r="D1783" s="264" t="s">
        <v>79</v>
      </c>
      <c r="E1783" s="264" t="s">
        <v>80</v>
      </c>
      <c r="F1783" s="100" t="s">
        <v>2661</v>
      </c>
      <c r="G1783" s="100" t="s">
        <v>4038</v>
      </c>
      <c r="H1783" s="100" t="s">
        <v>136</v>
      </c>
      <c r="I1783" s="247">
        <v>26754</v>
      </c>
      <c r="J1783" s="101">
        <v>1</v>
      </c>
      <c r="K1783" s="101"/>
      <c r="L1783" s="101">
        <v>1</v>
      </c>
      <c r="M1783" s="101"/>
      <c r="N1783" s="101"/>
      <c r="O1783" s="101"/>
      <c r="P1783" s="101"/>
      <c r="Q1783" s="101"/>
      <c r="R1783" s="101"/>
      <c r="S1783" s="101"/>
      <c r="T1783" s="101"/>
      <c r="U1783" s="100" t="s">
        <v>221</v>
      </c>
      <c r="V1783" s="100" t="s">
        <v>218</v>
      </c>
      <c r="W1783" s="100" t="s">
        <v>279</v>
      </c>
      <c r="X1783" s="100" t="s">
        <v>227</v>
      </c>
      <c r="Y1783" s="99"/>
      <c r="Z1783" s="99"/>
      <c r="AA1783" s="100" t="s">
        <v>3968</v>
      </c>
      <c r="AB1783" s="100" t="s">
        <v>528</v>
      </c>
      <c r="AC1783" s="101">
        <v>1</v>
      </c>
      <c r="AD1783" s="101"/>
      <c r="AE1783" s="101"/>
      <c r="AF1783" s="101"/>
      <c r="AG1783" s="101"/>
      <c r="AH1783" s="99"/>
      <c r="AI1783" s="105"/>
    </row>
    <row r="1784" spans="1:35">
      <c r="A1784" s="98"/>
      <c r="B1784" s="99"/>
      <c r="C1784" s="263" t="s">
        <v>3230</v>
      </c>
      <c r="D1784" s="264" t="s">
        <v>79</v>
      </c>
      <c r="E1784" s="264" t="s">
        <v>80</v>
      </c>
      <c r="F1784" s="100" t="s">
        <v>411</v>
      </c>
      <c r="G1784" s="100" t="s">
        <v>1299</v>
      </c>
      <c r="H1784" s="100" t="s">
        <v>126</v>
      </c>
      <c r="I1784" s="247">
        <v>28365</v>
      </c>
      <c r="J1784" s="101">
        <v>1</v>
      </c>
      <c r="K1784" s="101"/>
      <c r="L1784" s="101">
        <v>1</v>
      </c>
      <c r="M1784" s="101"/>
      <c r="N1784" s="101"/>
      <c r="O1784" s="101"/>
      <c r="P1784" s="101"/>
      <c r="Q1784" s="101"/>
      <c r="R1784" s="101"/>
      <c r="S1784" s="101"/>
      <c r="T1784" s="101"/>
      <c r="U1784" s="100" t="s">
        <v>4053</v>
      </c>
      <c r="V1784" s="100" t="s">
        <v>218</v>
      </c>
      <c r="W1784" s="100" t="s">
        <v>279</v>
      </c>
      <c r="X1784" s="100" t="s">
        <v>227</v>
      </c>
      <c r="Y1784" s="99"/>
      <c r="Z1784" s="99"/>
      <c r="AA1784" s="100" t="s">
        <v>3968</v>
      </c>
      <c r="AB1784" s="100" t="s">
        <v>528</v>
      </c>
      <c r="AC1784" s="101">
        <v>1</v>
      </c>
      <c r="AD1784" s="101"/>
      <c r="AE1784" s="101"/>
      <c r="AF1784" s="101"/>
      <c r="AG1784" s="101"/>
      <c r="AH1784" s="99"/>
      <c r="AI1784" s="105"/>
    </row>
    <row r="1785" spans="1:35">
      <c r="A1785" s="98"/>
      <c r="B1785" s="99"/>
      <c r="C1785" s="263" t="s">
        <v>3230</v>
      </c>
      <c r="D1785" s="264" t="s">
        <v>79</v>
      </c>
      <c r="E1785" s="264" t="s">
        <v>80</v>
      </c>
      <c r="F1785" s="100" t="s">
        <v>4039</v>
      </c>
      <c r="G1785" s="100" t="s">
        <v>4040</v>
      </c>
      <c r="H1785" s="100" t="s">
        <v>286</v>
      </c>
      <c r="I1785" s="247">
        <v>29960</v>
      </c>
      <c r="J1785" s="101">
        <v>1</v>
      </c>
      <c r="K1785" s="101"/>
      <c r="L1785" s="101">
        <v>1</v>
      </c>
      <c r="M1785" s="101"/>
      <c r="N1785" s="101"/>
      <c r="O1785" s="101"/>
      <c r="P1785" s="101"/>
      <c r="Q1785" s="101"/>
      <c r="R1785" s="101"/>
      <c r="S1785" s="101"/>
      <c r="T1785" s="101"/>
      <c r="U1785" s="100" t="s">
        <v>4054</v>
      </c>
      <c r="V1785" s="100" t="s">
        <v>218</v>
      </c>
      <c r="W1785" s="100" t="s">
        <v>279</v>
      </c>
      <c r="X1785" s="100" t="s">
        <v>227</v>
      </c>
      <c r="Y1785" s="99"/>
      <c r="Z1785" s="99"/>
      <c r="AA1785" s="100" t="s">
        <v>3968</v>
      </c>
      <c r="AB1785" s="100" t="s">
        <v>528</v>
      </c>
      <c r="AC1785" s="101">
        <v>1</v>
      </c>
      <c r="AD1785" s="101"/>
      <c r="AE1785" s="101"/>
      <c r="AF1785" s="101"/>
      <c r="AG1785" s="101"/>
      <c r="AH1785" s="99"/>
      <c r="AI1785" s="105"/>
    </row>
    <row r="1786" spans="1:35">
      <c r="A1786" s="98"/>
      <c r="B1786" s="99"/>
      <c r="C1786" s="263" t="s">
        <v>3230</v>
      </c>
      <c r="D1786" s="264" t="s">
        <v>79</v>
      </c>
      <c r="E1786" s="264" t="s">
        <v>80</v>
      </c>
      <c r="F1786" s="100" t="s">
        <v>1474</v>
      </c>
      <c r="G1786" s="100" t="s">
        <v>4041</v>
      </c>
      <c r="H1786" s="100" t="s">
        <v>113</v>
      </c>
      <c r="I1786" s="247">
        <v>20252</v>
      </c>
      <c r="J1786" s="101">
        <v>1</v>
      </c>
      <c r="K1786" s="101"/>
      <c r="L1786" s="101">
        <v>1</v>
      </c>
      <c r="M1786" s="101"/>
      <c r="N1786" s="101"/>
      <c r="O1786" s="101"/>
      <c r="P1786" s="101"/>
      <c r="Q1786" s="101"/>
      <c r="R1786" s="101"/>
      <c r="S1786" s="101"/>
      <c r="T1786" s="101"/>
      <c r="U1786" s="100" t="s">
        <v>858</v>
      </c>
      <c r="V1786" s="100" t="s">
        <v>218</v>
      </c>
      <c r="W1786" s="100" t="s">
        <v>279</v>
      </c>
      <c r="X1786" s="100" t="s">
        <v>227</v>
      </c>
      <c r="Y1786" s="99"/>
      <c r="Z1786" s="99"/>
      <c r="AA1786" s="100" t="s">
        <v>3968</v>
      </c>
      <c r="AB1786" s="100" t="s">
        <v>528</v>
      </c>
      <c r="AC1786" s="101">
        <v>1</v>
      </c>
      <c r="AD1786" s="101"/>
      <c r="AE1786" s="101"/>
      <c r="AF1786" s="101"/>
      <c r="AG1786" s="101"/>
      <c r="AH1786" s="99"/>
      <c r="AI1786" s="105"/>
    </row>
    <row r="1787" spans="1:35">
      <c r="A1787" s="98"/>
      <c r="B1787" s="99"/>
      <c r="C1787" s="263" t="s">
        <v>3230</v>
      </c>
      <c r="D1787" s="264" t="s">
        <v>79</v>
      </c>
      <c r="E1787" s="264" t="s">
        <v>80</v>
      </c>
      <c r="F1787" s="100" t="s">
        <v>1336</v>
      </c>
      <c r="G1787" s="100" t="s">
        <v>2590</v>
      </c>
      <c r="H1787" s="100" t="s">
        <v>126</v>
      </c>
      <c r="I1787" s="247">
        <v>33911</v>
      </c>
      <c r="J1787" s="101">
        <v>1</v>
      </c>
      <c r="K1787" s="101"/>
      <c r="L1787" s="101">
        <v>1</v>
      </c>
      <c r="M1787" s="101"/>
      <c r="N1787" s="101"/>
      <c r="O1787" s="101"/>
      <c r="P1787" s="101"/>
      <c r="Q1787" s="101"/>
      <c r="R1787" s="101"/>
      <c r="S1787" s="101"/>
      <c r="T1787" s="101"/>
      <c r="U1787" s="100" t="s">
        <v>221</v>
      </c>
      <c r="V1787" s="100" t="s">
        <v>218</v>
      </c>
      <c r="W1787" s="100" t="s">
        <v>279</v>
      </c>
      <c r="X1787" s="100" t="s">
        <v>227</v>
      </c>
      <c r="Y1787" s="99"/>
      <c r="Z1787" s="99"/>
      <c r="AA1787" s="100" t="s">
        <v>3968</v>
      </c>
      <c r="AB1787" s="100" t="s">
        <v>528</v>
      </c>
      <c r="AC1787" s="101">
        <v>1</v>
      </c>
      <c r="AD1787" s="101"/>
      <c r="AE1787" s="101"/>
      <c r="AF1787" s="101"/>
      <c r="AG1787" s="101"/>
      <c r="AH1787" s="99"/>
      <c r="AI1787" s="105"/>
    </row>
    <row r="1788" spans="1:35">
      <c r="A1788" s="98"/>
      <c r="B1788" s="99"/>
      <c r="C1788" s="263" t="s">
        <v>3230</v>
      </c>
      <c r="D1788" s="264" t="s">
        <v>79</v>
      </c>
      <c r="E1788" s="264" t="s">
        <v>80</v>
      </c>
      <c r="F1788" s="100" t="s">
        <v>1954</v>
      </c>
      <c r="G1788" s="100" t="s">
        <v>150</v>
      </c>
      <c r="H1788" s="100" t="s">
        <v>830</v>
      </c>
      <c r="I1788" s="247">
        <v>20646</v>
      </c>
      <c r="J1788" s="101">
        <v>1</v>
      </c>
      <c r="K1788" s="101"/>
      <c r="L1788" s="101">
        <v>1</v>
      </c>
      <c r="M1788" s="101"/>
      <c r="N1788" s="101"/>
      <c r="O1788" s="101"/>
      <c r="P1788" s="101"/>
      <c r="Q1788" s="101"/>
      <c r="R1788" s="101"/>
      <c r="S1788" s="101"/>
      <c r="T1788" s="101"/>
      <c r="U1788" s="100" t="s">
        <v>858</v>
      </c>
      <c r="V1788" s="100" t="s">
        <v>218</v>
      </c>
      <c r="W1788" s="100" t="s">
        <v>279</v>
      </c>
      <c r="X1788" s="100" t="s">
        <v>227</v>
      </c>
      <c r="Y1788" s="99"/>
      <c r="Z1788" s="99"/>
      <c r="AA1788" s="100" t="s">
        <v>3968</v>
      </c>
      <c r="AB1788" s="100" t="s">
        <v>528</v>
      </c>
      <c r="AC1788" s="101">
        <v>1</v>
      </c>
      <c r="AD1788" s="101"/>
      <c r="AE1788" s="101"/>
      <c r="AF1788" s="101"/>
      <c r="AG1788" s="101"/>
      <c r="AH1788" s="99"/>
      <c r="AI1788" s="105"/>
    </row>
    <row r="1789" spans="1:35">
      <c r="A1789" s="98"/>
      <c r="B1789" s="99"/>
      <c r="C1789" s="263" t="s">
        <v>3230</v>
      </c>
      <c r="D1789" s="264" t="s">
        <v>79</v>
      </c>
      <c r="E1789" s="264" t="s">
        <v>80</v>
      </c>
      <c r="F1789" s="100" t="s">
        <v>4042</v>
      </c>
      <c r="G1789" s="100" t="s">
        <v>4043</v>
      </c>
      <c r="H1789" s="100" t="s">
        <v>286</v>
      </c>
      <c r="I1789" s="247">
        <v>31332</v>
      </c>
      <c r="J1789" s="101"/>
      <c r="K1789" s="101">
        <v>1</v>
      </c>
      <c r="L1789" s="101">
        <v>1</v>
      </c>
      <c r="M1789" s="101"/>
      <c r="N1789" s="101"/>
      <c r="O1789" s="101"/>
      <c r="P1789" s="101"/>
      <c r="Q1789" s="101"/>
      <c r="R1789" s="101"/>
      <c r="S1789" s="101"/>
      <c r="T1789" s="101"/>
      <c r="U1789" s="100" t="s">
        <v>858</v>
      </c>
      <c r="V1789" s="100" t="s">
        <v>218</v>
      </c>
      <c r="W1789" s="100" t="s">
        <v>279</v>
      </c>
      <c r="X1789" s="100" t="s">
        <v>227</v>
      </c>
      <c r="Y1789" s="99"/>
      <c r="Z1789" s="99"/>
      <c r="AA1789" s="100" t="s">
        <v>3968</v>
      </c>
      <c r="AB1789" s="100" t="s">
        <v>528</v>
      </c>
      <c r="AC1789" s="101">
        <v>1</v>
      </c>
      <c r="AD1789" s="101"/>
      <c r="AE1789" s="101"/>
      <c r="AF1789" s="101"/>
      <c r="AG1789" s="101"/>
      <c r="AH1789" s="99"/>
      <c r="AI1789" s="105"/>
    </row>
    <row r="1790" spans="1:35">
      <c r="A1790" s="98"/>
      <c r="B1790" s="99"/>
      <c r="C1790" s="263" t="s">
        <v>3230</v>
      </c>
      <c r="D1790" s="264" t="s">
        <v>79</v>
      </c>
      <c r="E1790" s="264" t="s">
        <v>80</v>
      </c>
      <c r="F1790" s="100" t="s">
        <v>4044</v>
      </c>
      <c r="G1790" s="100" t="s">
        <v>4045</v>
      </c>
      <c r="H1790" s="100" t="s">
        <v>409</v>
      </c>
      <c r="I1790" s="247">
        <v>27799</v>
      </c>
      <c r="J1790" s="101">
        <v>1</v>
      </c>
      <c r="K1790" s="101"/>
      <c r="L1790" s="101">
        <v>1</v>
      </c>
      <c r="M1790" s="101"/>
      <c r="N1790" s="101"/>
      <c r="O1790" s="101"/>
      <c r="P1790" s="101"/>
      <c r="Q1790" s="101"/>
      <c r="R1790" s="101"/>
      <c r="S1790" s="101"/>
      <c r="T1790" s="101"/>
      <c r="U1790" s="100" t="s">
        <v>858</v>
      </c>
      <c r="V1790" s="100" t="s">
        <v>218</v>
      </c>
      <c r="W1790" s="100" t="s">
        <v>279</v>
      </c>
      <c r="X1790" s="100" t="s">
        <v>227</v>
      </c>
      <c r="Y1790" s="99"/>
      <c r="Z1790" s="99"/>
      <c r="AA1790" s="100" t="s">
        <v>3968</v>
      </c>
      <c r="AB1790" s="100" t="s">
        <v>528</v>
      </c>
      <c r="AC1790" s="101">
        <v>1</v>
      </c>
      <c r="AD1790" s="101"/>
      <c r="AE1790" s="101"/>
      <c r="AF1790" s="101"/>
      <c r="AG1790" s="101"/>
      <c r="AH1790" s="99"/>
      <c r="AI1790" s="105"/>
    </row>
    <row r="1791" spans="1:35">
      <c r="A1791" s="98"/>
      <c r="B1791" s="99"/>
      <c r="C1791" s="263" t="s">
        <v>3230</v>
      </c>
      <c r="D1791" s="264" t="s">
        <v>79</v>
      </c>
      <c r="E1791" s="264" t="s">
        <v>80</v>
      </c>
      <c r="F1791" s="100" t="s">
        <v>4046</v>
      </c>
      <c r="G1791" s="100" t="s">
        <v>170</v>
      </c>
      <c r="H1791" s="100" t="s">
        <v>126</v>
      </c>
      <c r="I1791" s="247">
        <v>27577</v>
      </c>
      <c r="J1791" s="101">
        <v>1</v>
      </c>
      <c r="K1791" s="101"/>
      <c r="L1791" s="101">
        <v>1</v>
      </c>
      <c r="M1791" s="101"/>
      <c r="N1791" s="101"/>
      <c r="O1791" s="101"/>
      <c r="P1791" s="101"/>
      <c r="Q1791" s="101"/>
      <c r="R1791" s="101"/>
      <c r="S1791" s="101"/>
      <c r="T1791" s="101"/>
      <c r="U1791" s="100" t="s">
        <v>4054</v>
      </c>
      <c r="V1791" s="100" t="s">
        <v>218</v>
      </c>
      <c r="W1791" s="100" t="s">
        <v>279</v>
      </c>
      <c r="X1791" s="100" t="s">
        <v>227</v>
      </c>
      <c r="Y1791" s="99"/>
      <c r="Z1791" s="99"/>
      <c r="AA1791" s="100" t="s">
        <v>3968</v>
      </c>
      <c r="AB1791" s="100" t="s">
        <v>528</v>
      </c>
      <c r="AC1791" s="101">
        <v>1</v>
      </c>
      <c r="AD1791" s="101"/>
      <c r="AE1791" s="101"/>
      <c r="AF1791" s="101"/>
      <c r="AG1791" s="101"/>
      <c r="AH1791" s="99"/>
      <c r="AI1791" s="105"/>
    </row>
    <row r="1792" spans="1:35">
      <c r="A1792" s="98"/>
      <c r="B1792" s="99"/>
      <c r="C1792" s="263" t="s">
        <v>3230</v>
      </c>
      <c r="D1792" s="264" t="s">
        <v>79</v>
      </c>
      <c r="E1792" s="264" t="s">
        <v>80</v>
      </c>
      <c r="F1792" s="100" t="s">
        <v>1902</v>
      </c>
      <c r="G1792" s="100" t="s">
        <v>4047</v>
      </c>
      <c r="H1792" s="99"/>
      <c r="I1792" s="247">
        <v>23735</v>
      </c>
      <c r="J1792" s="101">
        <v>1</v>
      </c>
      <c r="K1792" s="101"/>
      <c r="L1792" s="101">
        <v>1</v>
      </c>
      <c r="M1792" s="101"/>
      <c r="N1792" s="101"/>
      <c r="O1792" s="101"/>
      <c r="P1792" s="101"/>
      <c r="Q1792" s="101"/>
      <c r="R1792" s="101"/>
      <c r="S1792" s="101"/>
      <c r="T1792" s="101"/>
      <c r="U1792" s="100" t="s">
        <v>1354</v>
      </c>
      <c r="V1792" s="100" t="s">
        <v>218</v>
      </c>
      <c r="W1792" s="100" t="s">
        <v>279</v>
      </c>
      <c r="X1792" s="100" t="s">
        <v>227</v>
      </c>
      <c r="Y1792" s="99"/>
      <c r="Z1792" s="99"/>
      <c r="AA1792" s="100" t="s">
        <v>3968</v>
      </c>
      <c r="AB1792" s="100" t="s">
        <v>528</v>
      </c>
      <c r="AC1792" s="101">
        <v>1</v>
      </c>
      <c r="AD1792" s="101"/>
      <c r="AE1792" s="101"/>
      <c r="AF1792" s="101"/>
      <c r="AG1792" s="101"/>
      <c r="AH1792" s="99"/>
      <c r="AI1792" s="105"/>
    </row>
    <row r="1793" spans="1:35">
      <c r="A1793" s="98"/>
      <c r="B1793" s="99"/>
      <c r="C1793" s="263" t="s">
        <v>3230</v>
      </c>
      <c r="D1793" s="264" t="s">
        <v>79</v>
      </c>
      <c r="E1793" s="264" t="s">
        <v>80</v>
      </c>
      <c r="F1793" s="100" t="s">
        <v>4048</v>
      </c>
      <c r="G1793" s="100" t="s">
        <v>4049</v>
      </c>
      <c r="H1793" s="100" t="s">
        <v>136</v>
      </c>
      <c r="I1793" s="247">
        <v>25827</v>
      </c>
      <c r="J1793" s="101">
        <v>1</v>
      </c>
      <c r="K1793" s="101"/>
      <c r="L1793" s="101">
        <v>1</v>
      </c>
      <c r="M1793" s="101"/>
      <c r="N1793" s="101"/>
      <c r="O1793" s="101"/>
      <c r="P1793" s="101"/>
      <c r="Q1793" s="101"/>
      <c r="R1793" s="101"/>
      <c r="S1793" s="101"/>
      <c r="T1793" s="101"/>
      <c r="U1793" s="100" t="s">
        <v>1354</v>
      </c>
      <c r="V1793" s="100" t="s">
        <v>218</v>
      </c>
      <c r="W1793" s="100" t="s">
        <v>279</v>
      </c>
      <c r="X1793" s="100" t="s">
        <v>227</v>
      </c>
      <c r="Y1793" s="99"/>
      <c r="Z1793" s="99"/>
      <c r="AA1793" s="100" t="s">
        <v>3968</v>
      </c>
      <c r="AB1793" s="100" t="s">
        <v>528</v>
      </c>
      <c r="AC1793" s="101">
        <v>1</v>
      </c>
      <c r="AD1793" s="101"/>
      <c r="AE1793" s="101"/>
      <c r="AF1793" s="101"/>
      <c r="AG1793" s="101"/>
      <c r="AH1793" s="99"/>
      <c r="AI1793" s="105"/>
    </row>
    <row r="1794" spans="1:35">
      <c r="A1794" s="98"/>
      <c r="B1794" s="99"/>
      <c r="C1794" s="263" t="s">
        <v>3230</v>
      </c>
      <c r="D1794" s="264" t="s">
        <v>79</v>
      </c>
      <c r="E1794" s="264" t="s">
        <v>80</v>
      </c>
      <c r="F1794" s="100" t="s">
        <v>1874</v>
      </c>
      <c r="G1794" s="100" t="s">
        <v>4050</v>
      </c>
      <c r="H1794" s="100" t="s">
        <v>742</v>
      </c>
      <c r="I1794" s="247">
        <v>21527</v>
      </c>
      <c r="J1794" s="101">
        <v>1</v>
      </c>
      <c r="K1794" s="101"/>
      <c r="L1794" s="101">
        <v>1</v>
      </c>
      <c r="M1794" s="101"/>
      <c r="N1794" s="101"/>
      <c r="O1794" s="101"/>
      <c r="P1794" s="101"/>
      <c r="Q1794" s="101"/>
      <c r="R1794" s="101"/>
      <c r="S1794" s="101"/>
      <c r="T1794" s="101"/>
      <c r="U1794" s="100" t="s">
        <v>516</v>
      </c>
      <c r="V1794" s="100" t="s">
        <v>218</v>
      </c>
      <c r="W1794" s="100" t="s">
        <v>279</v>
      </c>
      <c r="X1794" s="100" t="s">
        <v>227</v>
      </c>
      <c r="Y1794" s="99"/>
      <c r="Z1794" s="99"/>
      <c r="AA1794" s="100" t="s">
        <v>3968</v>
      </c>
      <c r="AB1794" s="100" t="s">
        <v>528</v>
      </c>
      <c r="AC1794" s="101">
        <v>1</v>
      </c>
      <c r="AD1794" s="101"/>
      <c r="AE1794" s="101"/>
      <c r="AF1794" s="101"/>
      <c r="AG1794" s="101"/>
      <c r="AH1794" s="99"/>
      <c r="AI1794" s="105"/>
    </row>
    <row r="1795" spans="1:35">
      <c r="A1795" s="98"/>
      <c r="B1795" s="99"/>
      <c r="C1795" s="263" t="s">
        <v>3230</v>
      </c>
      <c r="D1795" s="264" t="s">
        <v>79</v>
      </c>
      <c r="E1795" s="264" t="s">
        <v>80</v>
      </c>
      <c r="F1795" s="100" t="s">
        <v>124</v>
      </c>
      <c r="G1795" s="100" t="s">
        <v>4051</v>
      </c>
      <c r="H1795" s="100" t="s">
        <v>126</v>
      </c>
      <c r="I1795" s="247">
        <v>22535</v>
      </c>
      <c r="J1795" s="101">
        <v>1</v>
      </c>
      <c r="K1795" s="101"/>
      <c r="L1795" s="101">
        <v>1</v>
      </c>
      <c r="M1795" s="101"/>
      <c r="N1795" s="101"/>
      <c r="O1795" s="101"/>
      <c r="P1795" s="101"/>
      <c r="Q1795" s="101"/>
      <c r="R1795" s="101"/>
      <c r="S1795" s="101"/>
      <c r="T1795" s="101"/>
      <c r="U1795" s="100" t="s">
        <v>81</v>
      </c>
      <c r="V1795" s="100" t="s">
        <v>218</v>
      </c>
      <c r="W1795" s="100" t="s">
        <v>279</v>
      </c>
      <c r="X1795" s="100" t="s">
        <v>227</v>
      </c>
      <c r="Y1795" s="99"/>
      <c r="Z1795" s="99"/>
      <c r="AA1795" s="100" t="s">
        <v>3968</v>
      </c>
      <c r="AB1795" s="100" t="s">
        <v>528</v>
      </c>
      <c r="AC1795" s="101">
        <v>1</v>
      </c>
      <c r="AD1795" s="101"/>
      <c r="AE1795" s="101"/>
      <c r="AF1795" s="101"/>
      <c r="AG1795" s="101"/>
      <c r="AH1795" s="99"/>
      <c r="AI1795" s="105"/>
    </row>
    <row r="1796" spans="1:35">
      <c r="A1796" s="98"/>
      <c r="B1796" s="99"/>
      <c r="C1796" s="263" t="s">
        <v>3230</v>
      </c>
      <c r="D1796" s="264" t="s">
        <v>79</v>
      </c>
      <c r="E1796" s="264" t="s">
        <v>80</v>
      </c>
      <c r="F1796" s="100" t="s">
        <v>4052</v>
      </c>
      <c r="G1796" s="100" t="s">
        <v>715</v>
      </c>
      <c r="H1796" s="99"/>
      <c r="I1796" s="247">
        <v>30270</v>
      </c>
      <c r="J1796" s="101">
        <v>1</v>
      </c>
      <c r="K1796" s="101"/>
      <c r="L1796" s="101">
        <v>1</v>
      </c>
      <c r="M1796" s="101"/>
      <c r="N1796" s="101"/>
      <c r="O1796" s="101"/>
      <c r="P1796" s="101"/>
      <c r="Q1796" s="101"/>
      <c r="R1796" s="101"/>
      <c r="S1796" s="101"/>
      <c r="T1796" s="101"/>
      <c r="U1796" s="100" t="s">
        <v>81</v>
      </c>
      <c r="V1796" s="100" t="s">
        <v>218</v>
      </c>
      <c r="W1796" s="100" t="s">
        <v>279</v>
      </c>
      <c r="X1796" s="100" t="s">
        <v>227</v>
      </c>
      <c r="Y1796" s="99"/>
      <c r="Z1796" s="99"/>
      <c r="AA1796" s="100" t="s">
        <v>3968</v>
      </c>
      <c r="AB1796" s="100" t="s">
        <v>528</v>
      </c>
      <c r="AC1796" s="101">
        <v>1</v>
      </c>
      <c r="AD1796" s="101"/>
      <c r="AE1796" s="101"/>
      <c r="AF1796" s="101"/>
      <c r="AG1796" s="101"/>
      <c r="AH1796" s="99"/>
      <c r="AI1796" s="105"/>
    </row>
    <row r="1797" spans="1:35">
      <c r="A1797" s="98"/>
      <c r="B1797" s="99"/>
      <c r="C1797" s="263" t="s">
        <v>3230</v>
      </c>
      <c r="D1797" s="264" t="s">
        <v>79</v>
      </c>
      <c r="E1797" s="264" t="s">
        <v>80</v>
      </c>
      <c r="F1797" s="100" t="s">
        <v>4055</v>
      </c>
      <c r="G1797" s="100" t="s">
        <v>817</v>
      </c>
      <c r="H1797" s="100" t="s">
        <v>160</v>
      </c>
      <c r="I1797" s="247">
        <v>22228</v>
      </c>
      <c r="J1797" s="101">
        <v>1</v>
      </c>
      <c r="K1797" s="101"/>
      <c r="L1797" s="101">
        <v>1</v>
      </c>
      <c r="M1797" s="101"/>
      <c r="N1797" s="101"/>
      <c r="O1797" s="101"/>
      <c r="P1797" s="101"/>
      <c r="Q1797" s="101"/>
      <c r="R1797" s="101"/>
      <c r="S1797" s="101"/>
      <c r="T1797" s="101"/>
      <c r="U1797" s="100" t="s">
        <v>4036</v>
      </c>
      <c r="V1797" s="100" t="s">
        <v>218</v>
      </c>
      <c r="W1797" s="100" t="s">
        <v>279</v>
      </c>
      <c r="X1797" s="100" t="s">
        <v>227</v>
      </c>
      <c r="Y1797" s="99"/>
      <c r="Z1797" s="99"/>
      <c r="AA1797" s="100" t="s">
        <v>3968</v>
      </c>
      <c r="AB1797" s="100" t="s">
        <v>528</v>
      </c>
      <c r="AC1797" s="101">
        <v>1</v>
      </c>
      <c r="AD1797" s="101"/>
      <c r="AE1797" s="101"/>
      <c r="AF1797" s="101"/>
      <c r="AG1797" s="101"/>
      <c r="AH1797" s="99"/>
      <c r="AI1797" s="105"/>
    </row>
    <row r="1798" spans="1:35">
      <c r="A1798" s="98"/>
      <c r="B1798" s="99"/>
      <c r="C1798" s="263" t="s">
        <v>3230</v>
      </c>
      <c r="D1798" s="264" t="s">
        <v>79</v>
      </c>
      <c r="E1798" s="264" t="s">
        <v>80</v>
      </c>
      <c r="F1798" s="100" t="s">
        <v>137</v>
      </c>
      <c r="G1798" s="100" t="s">
        <v>4056</v>
      </c>
      <c r="H1798" s="100" t="s">
        <v>160</v>
      </c>
      <c r="I1798" s="247">
        <v>22252</v>
      </c>
      <c r="J1798" s="101">
        <v>1</v>
      </c>
      <c r="K1798" s="101"/>
      <c r="L1798" s="101">
        <v>1</v>
      </c>
      <c r="M1798" s="101"/>
      <c r="N1798" s="101"/>
      <c r="O1798" s="101"/>
      <c r="P1798" s="101"/>
      <c r="Q1798" s="101"/>
      <c r="R1798" s="101"/>
      <c r="S1798" s="101"/>
      <c r="T1798" s="101"/>
      <c r="U1798" s="100" t="s">
        <v>221</v>
      </c>
      <c r="V1798" s="100" t="s">
        <v>218</v>
      </c>
      <c r="W1798" s="100" t="s">
        <v>279</v>
      </c>
      <c r="X1798" s="100" t="s">
        <v>227</v>
      </c>
      <c r="Y1798" s="99"/>
      <c r="Z1798" s="99"/>
      <c r="AA1798" s="100" t="s">
        <v>3968</v>
      </c>
      <c r="AB1798" s="100" t="s">
        <v>528</v>
      </c>
      <c r="AC1798" s="101">
        <v>1</v>
      </c>
      <c r="AD1798" s="101"/>
      <c r="AE1798" s="101"/>
      <c r="AF1798" s="101"/>
      <c r="AG1798" s="101"/>
      <c r="AH1798" s="99"/>
      <c r="AI1798" s="105"/>
    </row>
    <row r="1799" spans="1:35">
      <c r="A1799" s="98"/>
      <c r="B1799" s="99"/>
      <c r="C1799" s="263" t="s">
        <v>3230</v>
      </c>
      <c r="D1799" s="264" t="s">
        <v>79</v>
      </c>
      <c r="E1799" s="264" t="s">
        <v>80</v>
      </c>
      <c r="F1799" s="100" t="s">
        <v>1228</v>
      </c>
      <c r="G1799" s="100" t="s">
        <v>1355</v>
      </c>
      <c r="H1799" s="100" t="s">
        <v>588</v>
      </c>
      <c r="I1799" s="247">
        <v>27933</v>
      </c>
      <c r="J1799" s="101">
        <v>1</v>
      </c>
      <c r="K1799" s="101"/>
      <c r="L1799" s="101">
        <v>1</v>
      </c>
      <c r="M1799" s="101"/>
      <c r="N1799" s="101"/>
      <c r="O1799" s="101"/>
      <c r="P1799" s="101"/>
      <c r="Q1799" s="101"/>
      <c r="R1799" s="101"/>
      <c r="S1799" s="101"/>
      <c r="T1799" s="101"/>
      <c r="U1799" s="100" t="s">
        <v>221</v>
      </c>
      <c r="V1799" s="100" t="s">
        <v>218</v>
      </c>
      <c r="W1799" s="100" t="s">
        <v>279</v>
      </c>
      <c r="X1799" s="100" t="s">
        <v>227</v>
      </c>
      <c r="Y1799" s="99"/>
      <c r="Z1799" s="99"/>
      <c r="AA1799" s="100" t="s">
        <v>3968</v>
      </c>
      <c r="AB1799" s="100" t="s">
        <v>528</v>
      </c>
      <c r="AC1799" s="101">
        <v>1</v>
      </c>
      <c r="AD1799" s="101"/>
      <c r="AE1799" s="101"/>
      <c r="AF1799" s="101"/>
      <c r="AG1799" s="101"/>
      <c r="AH1799" s="99"/>
      <c r="AI1799" s="105"/>
    </row>
    <row r="1800" spans="1:35">
      <c r="A1800" s="98"/>
      <c r="B1800" s="99"/>
      <c r="C1800" s="263" t="s">
        <v>3230</v>
      </c>
      <c r="D1800" s="264" t="s">
        <v>79</v>
      </c>
      <c r="E1800" s="264" t="s">
        <v>80</v>
      </c>
      <c r="F1800" s="100" t="s">
        <v>1228</v>
      </c>
      <c r="G1800" s="100" t="s">
        <v>1324</v>
      </c>
      <c r="H1800" s="100" t="s">
        <v>588</v>
      </c>
      <c r="I1800" s="247">
        <v>29371</v>
      </c>
      <c r="J1800" s="101">
        <v>1</v>
      </c>
      <c r="K1800" s="101"/>
      <c r="L1800" s="101">
        <v>1</v>
      </c>
      <c r="M1800" s="101"/>
      <c r="N1800" s="101"/>
      <c r="O1800" s="101"/>
      <c r="P1800" s="101"/>
      <c r="Q1800" s="101"/>
      <c r="R1800" s="101"/>
      <c r="S1800" s="101"/>
      <c r="T1800" s="101"/>
      <c r="U1800" s="100" t="s">
        <v>221</v>
      </c>
      <c r="V1800" s="100" t="s">
        <v>218</v>
      </c>
      <c r="W1800" s="100" t="s">
        <v>279</v>
      </c>
      <c r="X1800" s="100" t="s">
        <v>227</v>
      </c>
      <c r="Y1800" s="99"/>
      <c r="Z1800" s="99"/>
      <c r="AA1800" s="100" t="s">
        <v>3968</v>
      </c>
      <c r="AB1800" s="100" t="s">
        <v>528</v>
      </c>
      <c r="AC1800" s="101">
        <v>1</v>
      </c>
      <c r="AD1800" s="101"/>
      <c r="AE1800" s="101"/>
      <c r="AF1800" s="101"/>
      <c r="AG1800" s="101"/>
      <c r="AH1800" s="99"/>
      <c r="AI1800" s="105"/>
    </row>
    <row r="1801" spans="1:35">
      <c r="A1801" s="98"/>
      <c r="B1801" s="99"/>
      <c r="C1801" s="263" t="s">
        <v>3230</v>
      </c>
      <c r="D1801" s="264" t="s">
        <v>79</v>
      </c>
      <c r="E1801" s="264" t="s">
        <v>80</v>
      </c>
      <c r="F1801" s="100" t="s">
        <v>2497</v>
      </c>
      <c r="G1801" s="100" t="s">
        <v>456</v>
      </c>
      <c r="H1801" s="100" t="s">
        <v>160</v>
      </c>
      <c r="I1801" s="247">
        <v>13123</v>
      </c>
      <c r="J1801" s="101">
        <v>1</v>
      </c>
      <c r="K1801" s="101"/>
      <c r="L1801" s="101">
        <v>1</v>
      </c>
      <c r="M1801" s="101"/>
      <c r="N1801" s="101"/>
      <c r="O1801" s="101"/>
      <c r="P1801" s="101"/>
      <c r="Q1801" s="101"/>
      <c r="R1801" s="101"/>
      <c r="S1801" s="101"/>
      <c r="T1801" s="101"/>
      <c r="U1801" s="100" t="s">
        <v>221</v>
      </c>
      <c r="V1801" s="100" t="s">
        <v>218</v>
      </c>
      <c r="W1801" s="100" t="s">
        <v>279</v>
      </c>
      <c r="X1801" s="100" t="s">
        <v>227</v>
      </c>
      <c r="Y1801" s="99"/>
      <c r="Z1801" s="99"/>
      <c r="AA1801" s="100" t="s">
        <v>3968</v>
      </c>
      <c r="AB1801" s="100" t="s">
        <v>528</v>
      </c>
      <c r="AC1801" s="101">
        <v>1</v>
      </c>
      <c r="AD1801" s="101"/>
      <c r="AE1801" s="101"/>
      <c r="AF1801" s="101"/>
      <c r="AG1801" s="101"/>
      <c r="AH1801" s="99"/>
      <c r="AI1801" s="105"/>
    </row>
    <row r="1802" spans="1:35">
      <c r="A1802" s="98"/>
      <c r="B1802" s="99"/>
      <c r="C1802" s="263" t="s">
        <v>3230</v>
      </c>
      <c r="D1802" s="264" t="s">
        <v>79</v>
      </c>
      <c r="E1802" s="264" t="s">
        <v>80</v>
      </c>
      <c r="F1802" s="100" t="s">
        <v>106</v>
      </c>
      <c r="G1802" s="100" t="s">
        <v>121</v>
      </c>
      <c r="H1802" s="100" t="s">
        <v>117</v>
      </c>
      <c r="I1802" s="247">
        <v>30373</v>
      </c>
      <c r="J1802" s="101">
        <v>1</v>
      </c>
      <c r="K1802" s="101"/>
      <c r="L1802" s="101">
        <v>1</v>
      </c>
      <c r="M1802" s="101"/>
      <c r="N1802" s="101"/>
      <c r="O1802" s="101"/>
      <c r="P1802" s="101"/>
      <c r="Q1802" s="101"/>
      <c r="R1802" s="101"/>
      <c r="S1802" s="101"/>
      <c r="T1802" s="101"/>
      <c r="U1802" s="100" t="s">
        <v>221</v>
      </c>
      <c r="V1802" s="100" t="s">
        <v>218</v>
      </c>
      <c r="W1802" s="100" t="s">
        <v>279</v>
      </c>
      <c r="X1802" s="100" t="s">
        <v>227</v>
      </c>
      <c r="Y1802" s="99"/>
      <c r="Z1802" s="99"/>
      <c r="AA1802" s="100" t="s">
        <v>3968</v>
      </c>
      <c r="AB1802" s="100" t="s">
        <v>528</v>
      </c>
      <c r="AC1802" s="101">
        <v>1</v>
      </c>
      <c r="AD1802" s="101"/>
      <c r="AE1802" s="101"/>
      <c r="AF1802" s="101"/>
      <c r="AG1802" s="101"/>
      <c r="AH1802" s="99"/>
      <c r="AI1802" s="105"/>
    </row>
    <row r="1803" spans="1:35">
      <c r="A1803" s="98"/>
      <c r="B1803" s="99"/>
      <c r="C1803" s="263" t="s">
        <v>3230</v>
      </c>
      <c r="D1803" s="264" t="s">
        <v>79</v>
      </c>
      <c r="E1803" s="264" t="s">
        <v>80</v>
      </c>
      <c r="F1803" s="100" t="s">
        <v>608</v>
      </c>
      <c r="G1803" s="100" t="s">
        <v>4057</v>
      </c>
      <c r="H1803" s="100" t="s">
        <v>126</v>
      </c>
      <c r="I1803" s="247">
        <v>17027</v>
      </c>
      <c r="J1803" s="101">
        <v>1</v>
      </c>
      <c r="K1803" s="101"/>
      <c r="L1803" s="101">
        <v>1</v>
      </c>
      <c r="M1803" s="101"/>
      <c r="N1803" s="101"/>
      <c r="O1803" s="101"/>
      <c r="P1803" s="101"/>
      <c r="Q1803" s="101"/>
      <c r="R1803" s="101"/>
      <c r="S1803" s="101"/>
      <c r="T1803" s="101"/>
      <c r="U1803" s="100" t="s">
        <v>221</v>
      </c>
      <c r="V1803" s="100" t="s">
        <v>218</v>
      </c>
      <c r="W1803" s="100" t="s">
        <v>279</v>
      </c>
      <c r="X1803" s="100" t="s">
        <v>227</v>
      </c>
      <c r="Y1803" s="99"/>
      <c r="Z1803" s="99"/>
      <c r="AA1803" s="100" t="s">
        <v>3968</v>
      </c>
      <c r="AB1803" s="100" t="s">
        <v>528</v>
      </c>
      <c r="AC1803" s="101">
        <v>1</v>
      </c>
      <c r="AD1803" s="101"/>
      <c r="AE1803" s="101"/>
      <c r="AF1803" s="101"/>
      <c r="AG1803" s="101"/>
      <c r="AH1803" s="99"/>
      <c r="AI1803" s="105"/>
    </row>
    <row r="1804" spans="1:35">
      <c r="A1804" s="98"/>
      <c r="B1804" s="99"/>
      <c r="C1804" s="263" t="s">
        <v>3230</v>
      </c>
      <c r="D1804" s="264" t="s">
        <v>79</v>
      </c>
      <c r="E1804" s="264" t="s">
        <v>80</v>
      </c>
      <c r="F1804" s="100" t="s">
        <v>137</v>
      </c>
      <c r="G1804" s="100" t="s">
        <v>198</v>
      </c>
      <c r="H1804" s="100" t="s">
        <v>160</v>
      </c>
      <c r="I1804" s="247">
        <v>21592</v>
      </c>
      <c r="J1804" s="101">
        <v>1</v>
      </c>
      <c r="K1804" s="101"/>
      <c r="L1804" s="101">
        <v>1</v>
      </c>
      <c r="M1804" s="101"/>
      <c r="N1804" s="101"/>
      <c r="O1804" s="101"/>
      <c r="P1804" s="101"/>
      <c r="Q1804" s="101"/>
      <c r="R1804" s="101"/>
      <c r="S1804" s="101"/>
      <c r="T1804" s="101"/>
      <c r="U1804" s="100" t="s">
        <v>221</v>
      </c>
      <c r="V1804" s="100" t="s">
        <v>218</v>
      </c>
      <c r="W1804" s="100" t="s">
        <v>279</v>
      </c>
      <c r="X1804" s="100" t="s">
        <v>227</v>
      </c>
      <c r="Y1804" s="99"/>
      <c r="Z1804" s="99"/>
      <c r="AA1804" s="100" t="s">
        <v>3968</v>
      </c>
      <c r="AB1804" s="100" t="s">
        <v>528</v>
      </c>
      <c r="AC1804" s="101">
        <v>1</v>
      </c>
      <c r="AD1804" s="101"/>
      <c r="AE1804" s="101"/>
      <c r="AF1804" s="101"/>
      <c r="AG1804" s="101"/>
      <c r="AH1804" s="99"/>
      <c r="AI1804" s="105"/>
    </row>
    <row r="1805" spans="1:35">
      <c r="A1805" s="98"/>
      <c r="B1805" s="99"/>
      <c r="C1805" s="263" t="s">
        <v>3230</v>
      </c>
      <c r="D1805" s="264" t="s">
        <v>79</v>
      </c>
      <c r="E1805" s="264" t="s">
        <v>80</v>
      </c>
      <c r="F1805" s="100" t="s">
        <v>137</v>
      </c>
      <c r="G1805" s="100" t="s">
        <v>2628</v>
      </c>
      <c r="H1805" s="100" t="s">
        <v>136</v>
      </c>
      <c r="I1805" s="247">
        <v>31830</v>
      </c>
      <c r="J1805" s="101">
        <v>1</v>
      </c>
      <c r="K1805" s="101"/>
      <c r="L1805" s="101">
        <v>1</v>
      </c>
      <c r="M1805" s="101"/>
      <c r="N1805" s="101"/>
      <c r="O1805" s="101"/>
      <c r="P1805" s="101"/>
      <c r="Q1805" s="101"/>
      <c r="R1805" s="101"/>
      <c r="S1805" s="101"/>
      <c r="T1805" s="101"/>
      <c r="U1805" s="100" t="s">
        <v>221</v>
      </c>
      <c r="V1805" s="100" t="s">
        <v>218</v>
      </c>
      <c r="W1805" s="100" t="s">
        <v>279</v>
      </c>
      <c r="X1805" s="100" t="s">
        <v>227</v>
      </c>
      <c r="Y1805" s="99"/>
      <c r="Z1805" s="99"/>
      <c r="AA1805" s="100" t="s">
        <v>3968</v>
      </c>
      <c r="AB1805" s="100" t="s">
        <v>528</v>
      </c>
      <c r="AC1805" s="101">
        <v>1</v>
      </c>
      <c r="AD1805" s="101"/>
      <c r="AE1805" s="101"/>
      <c r="AF1805" s="101"/>
      <c r="AG1805" s="101"/>
      <c r="AH1805" s="99"/>
      <c r="AI1805" s="105"/>
    </row>
    <row r="1806" spans="1:35">
      <c r="A1806" s="98"/>
      <c r="B1806" s="99"/>
      <c r="C1806" s="263" t="s">
        <v>3230</v>
      </c>
      <c r="D1806" s="264" t="s">
        <v>79</v>
      </c>
      <c r="E1806" s="264" t="s">
        <v>80</v>
      </c>
      <c r="F1806" s="100" t="s">
        <v>191</v>
      </c>
      <c r="G1806" s="100" t="s">
        <v>2550</v>
      </c>
      <c r="H1806" s="100" t="s">
        <v>115</v>
      </c>
      <c r="I1806" s="247">
        <v>29223</v>
      </c>
      <c r="J1806" s="101">
        <v>1</v>
      </c>
      <c r="K1806" s="101"/>
      <c r="L1806" s="101">
        <v>1</v>
      </c>
      <c r="M1806" s="101"/>
      <c r="N1806" s="101"/>
      <c r="O1806" s="101"/>
      <c r="P1806" s="101"/>
      <c r="Q1806" s="101"/>
      <c r="R1806" s="101"/>
      <c r="S1806" s="101"/>
      <c r="T1806" s="101"/>
      <c r="U1806" s="100" t="s">
        <v>221</v>
      </c>
      <c r="V1806" s="100" t="s">
        <v>218</v>
      </c>
      <c r="W1806" s="100" t="s">
        <v>279</v>
      </c>
      <c r="X1806" s="100" t="s">
        <v>227</v>
      </c>
      <c r="Y1806" s="99"/>
      <c r="Z1806" s="99"/>
      <c r="AA1806" s="100" t="s">
        <v>3968</v>
      </c>
      <c r="AB1806" s="100" t="s">
        <v>528</v>
      </c>
      <c r="AC1806" s="101">
        <v>1</v>
      </c>
      <c r="AD1806" s="101"/>
      <c r="AE1806" s="101"/>
      <c r="AF1806" s="101"/>
      <c r="AG1806" s="101"/>
      <c r="AH1806" s="99"/>
      <c r="AI1806" s="105"/>
    </row>
    <row r="1807" spans="1:35">
      <c r="A1807" s="98"/>
      <c r="B1807" s="99"/>
      <c r="C1807" s="263" t="s">
        <v>3230</v>
      </c>
      <c r="D1807" s="264" t="s">
        <v>79</v>
      </c>
      <c r="E1807" s="264" t="s">
        <v>80</v>
      </c>
      <c r="F1807" s="100" t="s">
        <v>191</v>
      </c>
      <c r="G1807" s="100" t="s">
        <v>4058</v>
      </c>
      <c r="H1807" s="100" t="s">
        <v>144</v>
      </c>
      <c r="I1807" s="247">
        <v>29122</v>
      </c>
      <c r="J1807" s="101"/>
      <c r="K1807" s="101">
        <v>1</v>
      </c>
      <c r="L1807" s="101">
        <v>1</v>
      </c>
      <c r="M1807" s="101"/>
      <c r="N1807" s="101"/>
      <c r="O1807" s="101"/>
      <c r="P1807" s="101"/>
      <c r="Q1807" s="101"/>
      <c r="R1807" s="101"/>
      <c r="S1807" s="101"/>
      <c r="T1807" s="101"/>
      <c r="U1807" s="100" t="s">
        <v>221</v>
      </c>
      <c r="V1807" s="100" t="s">
        <v>218</v>
      </c>
      <c r="W1807" s="100" t="s">
        <v>279</v>
      </c>
      <c r="X1807" s="100" t="s">
        <v>227</v>
      </c>
      <c r="Y1807" s="99"/>
      <c r="Z1807" s="99"/>
      <c r="AA1807" s="100" t="s">
        <v>3968</v>
      </c>
      <c r="AB1807" s="100" t="s">
        <v>528</v>
      </c>
      <c r="AC1807" s="101">
        <v>1</v>
      </c>
      <c r="AD1807" s="101"/>
      <c r="AE1807" s="101"/>
      <c r="AF1807" s="101"/>
      <c r="AG1807" s="101"/>
      <c r="AH1807" s="99"/>
      <c r="AI1807" s="105"/>
    </row>
    <row r="1808" spans="1:35">
      <c r="A1808" s="98"/>
      <c r="B1808" s="99"/>
      <c r="C1808" s="263" t="s">
        <v>3230</v>
      </c>
      <c r="D1808" s="264" t="s">
        <v>79</v>
      </c>
      <c r="E1808" s="264" t="s">
        <v>80</v>
      </c>
      <c r="F1808" s="100" t="s">
        <v>4059</v>
      </c>
      <c r="G1808" s="100" t="s">
        <v>4060</v>
      </c>
      <c r="H1808" s="100" t="s">
        <v>144</v>
      </c>
      <c r="I1808" s="247">
        <v>30839</v>
      </c>
      <c r="J1808" s="101"/>
      <c r="K1808" s="101">
        <v>1</v>
      </c>
      <c r="L1808" s="101">
        <v>1</v>
      </c>
      <c r="M1808" s="101"/>
      <c r="N1808" s="101"/>
      <c r="O1808" s="101"/>
      <c r="P1808" s="101"/>
      <c r="Q1808" s="101"/>
      <c r="R1808" s="101"/>
      <c r="S1808" s="101"/>
      <c r="T1808" s="101"/>
      <c r="U1808" s="100" t="s">
        <v>221</v>
      </c>
      <c r="V1808" s="100" t="s">
        <v>218</v>
      </c>
      <c r="W1808" s="100" t="s">
        <v>279</v>
      </c>
      <c r="X1808" s="100" t="s">
        <v>227</v>
      </c>
      <c r="Y1808" s="99"/>
      <c r="Z1808" s="99"/>
      <c r="AA1808" s="100" t="s">
        <v>3968</v>
      </c>
      <c r="AB1808" s="100" t="s">
        <v>528</v>
      </c>
      <c r="AC1808" s="101">
        <v>1</v>
      </c>
      <c r="AD1808" s="101"/>
      <c r="AE1808" s="101"/>
      <c r="AF1808" s="101"/>
      <c r="AG1808" s="101"/>
      <c r="AH1808" s="99"/>
      <c r="AI1808" s="105"/>
    </row>
    <row r="1809" spans="1:35">
      <c r="A1809" s="98"/>
      <c r="B1809" s="99"/>
      <c r="C1809" s="263" t="s">
        <v>3230</v>
      </c>
      <c r="D1809" s="264" t="s">
        <v>79</v>
      </c>
      <c r="E1809" s="264" t="s">
        <v>80</v>
      </c>
      <c r="F1809" s="100" t="s">
        <v>184</v>
      </c>
      <c r="G1809" s="100" t="s">
        <v>4061</v>
      </c>
      <c r="H1809" s="100" t="s">
        <v>120</v>
      </c>
      <c r="I1809" s="247">
        <v>27601</v>
      </c>
      <c r="J1809" s="101"/>
      <c r="K1809" s="101">
        <v>1</v>
      </c>
      <c r="L1809" s="101">
        <v>1</v>
      </c>
      <c r="M1809" s="101"/>
      <c r="N1809" s="101"/>
      <c r="O1809" s="101"/>
      <c r="P1809" s="101"/>
      <c r="Q1809" s="101"/>
      <c r="R1809" s="101"/>
      <c r="S1809" s="101"/>
      <c r="T1809" s="101"/>
      <c r="U1809" s="100" t="s">
        <v>221</v>
      </c>
      <c r="V1809" s="100" t="s">
        <v>218</v>
      </c>
      <c r="W1809" s="100" t="s">
        <v>279</v>
      </c>
      <c r="X1809" s="100" t="s">
        <v>227</v>
      </c>
      <c r="Y1809" s="99"/>
      <c r="Z1809" s="99"/>
      <c r="AA1809" s="100" t="s">
        <v>3968</v>
      </c>
      <c r="AB1809" s="100" t="s">
        <v>528</v>
      </c>
      <c r="AC1809" s="101">
        <v>1</v>
      </c>
      <c r="AD1809" s="101"/>
      <c r="AE1809" s="101"/>
      <c r="AF1809" s="101"/>
      <c r="AG1809" s="101"/>
      <c r="AH1809" s="99"/>
      <c r="AI1809" s="105"/>
    </row>
    <row r="1810" spans="1:35">
      <c r="A1810" s="98"/>
      <c r="B1810" s="99"/>
      <c r="C1810" s="263" t="s">
        <v>3230</v>
      </c>
      <c r="D1810" s="264" t="s">
        <v>79</v>
      </c>
      <c r="E1810" s="264" t="s">
        <v>80</v>
      </c>
      <c r="F1810" s="100" t="s">
        <v>4062</v>
      </c>
      <c r="G1810" s="100" t="s">
        <v>403</v>
      </c>
      <c r="H1810" s="100" t="s">
        <v>113</v>
      </c>
      <c r="I1810" s="247">
        <v>28183</v>
      </c>
      <c r="J1810" s="101">
        <v>1</v>
      </c>
      <c r="K1810" s="101"/>
      <c r="L1810" s="101">
        <v>1</v>
      </c>
      <c r="M1810" s="101"/>
      <c r="N1810" s="101"/>
      <c r="O1810" s="101"/>
      <c r="P1810" s="101"/>
      <c r="Q1810" s="101"/>
      <c r="R1810" s="101"/>
      <c r="S1810" s="101"/>
      <c r="T1810" s="101"/>
      <c r="U1810" s="100" t="s">
        <v>4053</v>
      </c>
      <c r="V1810" s="100" t="s">
        <v>218</v>
      </c>
      <c r="W1810" s="100" t="s">
        <v>279</v>
      </c>
      <c r="X1810" s="100" t="s">
        <v>227</v>
      </c>
      <c r="Y1810" s="99"/>
      <c r="Z1810" s="99"/>
      <c r="AA1810" s="100" t="s">
        <v>3968</v>
      </c>
      <c r="AB1810" s="100" t="s">
        <v>528</v>
      </c>
      <c r="AC1810" s="101">
        <v>1</v>
      </c>
      <c r="AD1810" s="101"/>
      <c r="AE1810" s="101"/>
      <c r="AF1810" s="101"/>
      <c r="AG1810" s="101"/>
      <c r="AH1810" s="99"/>
      <c r="AI1810" s="105"/>
    </row>
    <row r="1811" spans="1:35">
      <c r="A1811" s="98"/>
      <c r="B1811" s="99"/>
      <c r="C1811" s="263" t="s">
        <v>3230</v>
      </c>
      <c r="D1811" s="264" t="s">
        <v>79</v>
      </c>
      <c r="E1811" s="264" t="s">
        <v>80</v>
      </c>
      <c r="F1811" s="100" t="s">
        <v>4063</v>
      </c>
      <c r="G1811" s="100" t="s">
        <v>994</v>
      </c>
      <c r="H1811" s="100" t="s">
        <v>120</v>
      </c>
      <c r="I1811" s="247">
        <v>29112</v>
      </c>
      <c r="J1811" s="101">
        <v>1</v>
      </c>
      <c r="K1811" s="101"/>
      <c r="L1811" s="101">
        <v>1</v>
      </c>
      <c r="M1811" s="101"/>
      <c r="N1811" s="101"/>
      <c r="O1811" s="101"/>
      <c r="P1811" s="101"/>
      <c r="Q1811" s="101"/>
      <c r="R1811" s="101"/>
      <c r="S1811" s="101"/>
      <c r="T1811" s="101"/>
      <c r="U1811" s="100" t="s">
        <v>4053</v>
      </c>
      <c r="V1811" s="100" t="s">
        <v>218</v>
      </c>
      <c r="W1811" s="100" t="s">
        <v>279</v>
      </c>
      <c r="X1811" s="100" t="s">
        <v>227</v>
      </c>
      <c r="Y1811" s="99"/>
      <c r="Z1811" s="99"/>
      <c r="AA1811" s="100" t="s">
        <v>3968</v>
      </c>
      <c r="AB1811" s="100" t="s">
        <v>528</v>
      </c>
      <c r="AC1811" s="101">
        <v>1</v>
      </c>
      <c r="AD1811" s="101"/>
      <c r="AE1811" s="101"/>
      <c r="AF1811" s="101"/>
      <c r="AG1811" s="101"/>
      <c r="AH1811" s="99"/>
      <c r="AI1811" s="105"/>
    </row>
    <row r="1812" spans="1:35">
      <c r="A1812" s="98"/>
      <c r="B1812" s="99"/>
      <c r="C1812" s="100" t="s">
        <v>4203</v>
      </c>
      <c r="D1812" s="100" t="s">
        <v>79</v>
      </c>
      <c r="E1812" s="100" t="s">
        <v>80</v>
      </c>
      <c r="F1812" s="100" t="s">
        <v>3330</v>
      </c>
      <c r="G1812" s="100" t="s">
        <v>4204</v>
      </c>
      <c r="H1812" s="99" t="s">
        <v>120</v>
      </c>
      <c r="I1812" s="247">
        <v>25857</v>
      </c>
      <c r="J1812" s="101">
        <v>1</v>
      </c>
      <c r="K1812" s="101"/>
      <c r="L1812" s="101">
        <v>1</v>
      </c>
      <c r="M1812" s="101"/>
      <c r="N1812" s="101">
        <v>1</v>
      </c>
      <c r="O1812" s="101"/>
      <c r="P1812" s="101"/>
      <c r="Q1812" s="101"/>
      <c r="R1812" s="101"/>
      <c r="S1812" s="101"/>
      <c r="T1812" s="101"/>
      <c r="U1812" s="99" t="s">
        <v>3919</v>
      </c>
      <c r="V1812" s="99" t="s">
        <v>513</v>
      </c>
      <c r="W1812" s="99" t="s">
        <v>279</v>
      </c>
      <c r="X1812" s="100" t="s">
        <v>227</v>
      </c>
      <c r="Y1812" s="99"/>
      <c r="Z1812" s="99"/>
      <c r="AA1812" s="100" t="s">
        <v>1961</v>
      </c>
      <c r="AB1812" s="99" t="s">
        <v>528</v>
      </c>
      <c r="AC1812" s="101">
        <v>1</v>
      </c>
      <c r="AD1812" s="101"/>
      <c r="AE1812" s="101"/>
      <c r="AF1812" s="101"/>
      <c r="AG1812" s="101"/>
      <c r="AH1812" s="99"/>
      <c r="AI1812" s="105"/>
    </row>
    <row r="1813" spans="1:35">
      <c r="A1813" s="98"/>
      <c r="B1813" s="99"/>
      <c r="C1813" s="99"/>
      <c r="D1813" s="99"/>
      <c r="E1813" s="99"/>
      <c r="F1813" s="100"/>
      <c r="G1813" s="100"/>
      <c r="H1813" s="99"/>
      <c r="I1813" s="247"/>
      <c r="J1813" s="101"/>
      <c r="K1813" s="101"/>
      <c r="L1813" s="101"/>
      <c r="M1813" s="101"/>
      <c r="N1813" s="101"/>
      <c r="O1813" s="101"/>
      <c r="P1813" s="101"/>
      <c r="Q1813" s="101"/>
      <c r="R1813" s="101"/>
      <c r="S1813" s="101"/>
      <c r="T1813" s="101"/>
      <c r="U1813" s="99"/>
      <c r="V1813" s="100"/>
      <c r="W1813" s="100"/>
      <c r="X1813" s="100"/>
      <c r="Y1813" s="99"/>
      <c r="Z1813" s="99"/>
      <c r="AA1813" s="100" t="s">
        <v>1792</v>
      </c>
      <c r="AB1813" s="99" t="s">
        <v>526</v>
      </c>
      <c r="AC1813" s="101">
        <v>50</v>
      </c>
      <c r="AD1813" s="101"/>
      <c r="AE1813" s="101"/>
      <c r="AF1813" s="101"/>
      <c r="AG1813" s="101"/>
      <c r="AH1813" s="99"/>
      <c r="AI1813" s="105"/>
    </row>
    <row r="1814" spans="1:35">
      <c r="A1814" s="98"/>
      <c r="B1814" s="99"/>
      <c r="C1814" s="100" t="s">
        <v>4203</v>
      </c>
      <c r="D1814" s="100" t="s">
        <v>79</v>
      </c>
      <c r="E1814" s="100" t="s">
        <v>80</v>
      </c>
      <c r="F1814" s="100" t="s">
        <v>3330</v>
      </c>
      <c r="G1814" s="100" t="s">
        <v>4205</v>
      </c>
      <c r="H1814" s="99" t="s">
        <v>126</v>
      </c>
      <c r="I1814" s="247">
        <v>19323</v>
      </c>
      <c r="J1814" s="101">
        <v>1</v>
      </c>
      <c r="K1814" s="101"/>
      <c r="L1814" s="101">
        <v>1</v>
      </c>
      <c r="M1814" s="101"/>
      <c r="N1814" s="101">
        <v>1</v>
      </c>
      <c r="O1814" s="101"/>
      <c r="P1814" s="101"/>
      <c r="Q1814" s="101"/>
      <c r="R1814" s="101"/>
      <c r="S1814" s="101"/>
      <c r="T1814" s="101"/>
      <c r="U1814" s="99" t="s">
        <v>3919</v>
      </c>
      <c r="V1814" s="99" t="s">
        <v>513</v>
      </c>
      <c r="W1814" s="99" t="s">
        <v>279</v>
      </c>
      <c r="X1814" s="100" t="s">
        <v>227</v>
      </c>
      <c r="Y1814" s="99"/>
      <c r="Z1814" s="99"/>
      <c r="AA1814" s="100" t="s">
        <v>1961</v>
      </c>
      <c r="AB1814" s="99" t="s">
        <v>528</v>
      </c>
      <c r="AC1814" s="101">
        <v>1</v>
      </c>
      <c r="AD1814" s="101"/>
      <c r="AE1814" s="101"/>
      <c r="AF1814" s="101"/>
      <c r="AG1814" s="101"/>
      <c r="AH1814" s="99"/>
      <c r="AI1814" s="105"/>
    </row>
    <row r="1815" spans="1:35">
      <c r="A1815" s="98"/>
      <c r="B1815" s="99"/>
      <c r="C1815" s="99"/>
      <c r="D1815" s="99"/>
      <c r="E1815" s="99"/>
      <c r="F1815" s="100"/>
      <c r="G1815" s="100"/>
      <c r="H1815" s="99"/>
      <c r="I1815" s="247"/>
      <c r="J1815" s="101"/>
      <c r="K1815" s="101"/>
      <c r="L1815" s="101"/>
      <c r="M1815" s="101"/>
      <c r="N1815" s="101"/>
      <c r="O1815" s="101"/>
      <c r="P1815" s="101"/>
      <c r="Q1815" s="101"/>
      <c r="R1815" s="101"/>
      <c r="S1815" s="101"/>
      <c r="T1815" s="101"/>
      <c r="U1815" s="99"/>
      <c r="V1815" s="99"/>
      <c r="W1815" s="99"/>
      <c r="X1815" s="99"/>
      <c r="Y1815" s="99"/>
      <c r="Z1815" s="99"/>
      <c r="AA1815" s="100" t="s">
        <v>1792</v>
      </c>
      <c r="AB1815" s="99" t="s">
        <v>526</v>
      </c>
      <c r="AC1815" s="101">
        <v>50</v>
      </c>
      <c r="AD1815" s="101"/>
      <c r="AE1815" s="101"/>
      <c r="AF1815" s="101"/>
      <c r="AG1815" s="101"/>
      <c r="AH1815" s="99"/>
      <c r="AI1815" s="105"/>
    </row>
    <row r="1816" spans="1:35">
      <c r="A1816" s="98"/>
      <c r="B1816" s="99"/>
      <c r="C1816" s="100" t="s">
        <v>4203</v>
      </c>
      <c r="D1816" s="100" t="s">
        <v>79</v>
      </c>
      <c r="E1816" s="100" t="s">
        <v>80</v>
      </c>
      <c r="F1816" s="100" t="s">
        <v>4206</v>
      </c>
      <c r="G1816" s="100" t="s">
        <v>140</v>
      </c>
      <c r="H1816" s="99" t="s">
        <v>144</v>
      </c>
      <c r="I1816" s="247">
        <v>20903</v>
      </c>
      <c r="J1816" s="101">
        <v>1</v>
      </c>
      <c r="K1816" s="101"/>
      <c r="L1816" s="101">
        <v>1</v>
      </c>
      <c r="M1816" s="101"/>
      <c r="N1816" s="101">
        <v>1</v>
      </c>
      <c r="O1816" s="101"/>
      <c r="P1816" s="101"/>
      <c r="Q1816" s="101"/>
      <c r="R1816" s="101"/>
      <c r="S1816" s="101"/>
      <c r="T1816" s="101"/>
      <c r="U1816" s="99" t="s">
        <v>3919</v>
      </c>
      <c r="V1816" s="99" t="s">
        <v>513</v>
      </c>
      <c r="W1816" s="99" t="s">
        <v>279</v>
      </c>
      <c r="X1816" s="100" t="s">
        <v>227</v>
      </c>
      <c r="Y1816" s="99"/>
      <c r="Z1816" s="99"/>
      <c r="AA1816" s="100" t="s">
        <v>1961</v>
      </c>
      <c r="AB1816" s="99" t="s">
        <v>528</v>
      </c>
      <c r="AC1816" s="101">
        <v>1</v>
      </c>
      <c r="AD1816" s="101"/>
      <c r="AE1816" s="101"/>
      <c r="AF1816" s="101"/>
      <c r="AG1816" s="101"/>
      <c r="AH1816" s="99"/>
      <c r="AI1816" s="105"/>
    </row>
    <row r="1817" spans="1:35">
      <c r="A1817" s="98"/>
      <c r="B1817" s="99"/>
      <c r="C1817" s="99"/>
      <c r="D1817" s="99"/>
      <c r="E1817" s="99"/>
      <c r="F1817" s="100"/>
      <c r="G1817" s="100"/>
      <c r="H1817" s="99"/>
      <c r="I1817" s="247"/>
      <c r="J1817" s="101"/>
      <c r="K1817" s="101"/>
      <c r="L1817" s="101"/>
      <c r="M1817" s="101"/>
      <c r="N1817" s="101"/>
      <c r="O1817" s="101"/>
      <c r="P1817" s="101"/>
      <c r="Q1817" s="101"/>
      <c r="R1817" s="101"/>
      <c r="S1817" s="101"/>
      <c r="T1817" s="101"/>
      <c r="U1817" s="99"/>
      <c r="V1817" s="99"/>
      <c r="W1817" s="99"/>
      <c r="X1817" s="99"/>
      <c r="Y1817" s="99"/>
      <c r="Z1817" s="99"/>
      <c r="AA1817" s="100" t="s">
        <v>1792</v>
      </c>
      <c r="AB1817" s="99" t="s">
        <v>526</v>
      </c>
      <c r="AC1817" s="101">
        <v>50</v>
      </c>
      <c r="AD1817" s="101"/>
      <c r="AE1817" s="101"/>
      <c r="AF1817" s="101"/>
      <c r="AG1817" s="101"/>
      <c r="AH1817" s="99"/>
      <c r="AI1817" s="105"/>
    </row>
    <row r="1818" spans="1:35">
      <c r="A1818" s="98"/>
      <c r="B1818" s="99"/>
      <c r="C1818" s="100" t="s">
        <v>4203</v>
      </c>
      <c r="D1818" s="100" t="s">
        <v>79</v>
      </c>
      <c r="E1818" s="100" t="s">
        <v>80</v>
      </c>
      <c r="F1818" s="100" t="s">
        <v>4208</v>
      </c>
      <c r="G1818" s="100" t="s">
        <v>542</v>
      </c>
      <c r="H1818" s="99" t="s">
        <v>409</v>
      </c>
      <c r="I1818" s="247">
        <v>25380</v>
      </c>
      <c r="J1818" s="101">
        <v>1</v>
      </c>
      <c r="K1818" s="101"/>
      <c r="L1818" s="101">
        <v>1</v>
      </c>
      <c r="M1818" s="101"/>
      <c r="N1818" s="101">
        <v>1</v>
      </c>
      <c r="O1818" s="101"/>
      <c r="P1818" s="101"/>
      <c r="Q1818" s="101"/>
      <c r="R1818" s="101"/>
      <c r="S1818" s="101"/>
      <c r="T1818" s="101"/>
      <c r="U1818" s="99" t="s">
        <v>3919</v>
      </c>
      <c r="V1818" s="99" t="s">
        <v>513</v>
      </c>
      <c r="W1818" s="99" t="s">
        <v>279</v>
      </c>
      <c r="X1818" s="100" t="s">
        <v>227</v>
      </c>
      <c r="Y1818" s="99"/>
      <c r="Z1818" s="99"/>
      <c r="AA1818" s="100" t="s">
        <v>1961</v>
      </c>
      <c r="AB1818" s="99" t="s">
        <v>528</v>
      </c>
      <c r="AC1818" s="101">
        <v>1</v>
      </c>
      <c r="AD1818" s="101"/>
      <c r="AE1818" s="101"/>
      <c r="AF1818" s="101"/>
      <c r="AG1818" s="101"/>
      <c r="AH1818" s="99"/>
      <c r="AI1818" s="105"/>
    </row>
    <row r="1819" spans="1:35">
      <c r="A1819" s="98"/>
      <c r="B1819" s="99"/>
      <c r="C1819" s="99"/>
      <c r="D1819" s="99"/>
      <c r="E1819" s="99"/>
      <c r="F1819" s="100"/>
      <c r="G1819" s="100"/>
      <c r="H1819" s="99"/>
      <c r="I1819" s="247"/>
      <c r="J1819" s="101"/>
      <c r="K1819" s="101"/>
      <c r="L1819" s="101"/>
      <c r="M1819" s="101"/>
      <c r="N1819" s="101"/>
      <c r="O1819" s="101"/>
      <c r="P1819" s="101"/>
      <c r="Q1819" s="101"/>
      <c r="R1819" s="101"/>
      <c r="S1819" s="101"/>
      <c r="T1819" s="101"/>
      <c r="U1819" s="99"/>
      <c r="V1819" s="100"/>
      <c r="W1819" s="100"/>
      <c r="X1819" s="100"/>
      <c r="Y1819" s="99"/>
      <c r="Z1819" s="99"/>
      <c r="AA1819" s="100" t="s">
        <v>1792</v>
      </c>
      <c r="AB1819" s="99" t="s">
        <v>526</v>
      </c>
      <c r="AC1819" s="101">
        <v>50</v>
      </c>
      <c r="AD1819" s="101"/>
      <c r="AE1819" s="101"/>
      <c r="AF1819" s="101"/>
      <c r="AG1819" s="101"/>
      <c r="AH1819" s="99"/>
      <c r="AI1819" s="105"/>
    </row>
    <row r="1820" spans="1:35">
      <c r="A1820" s="98"/>
      <c r="B1820" s="99"/>
      <c r="C1820" s="100" t="s">
        <v>4203</v>
      </c>
      <c r="D1820" s="100" t="s">
        <v>79</v>
      </c>
      <c r="E1820" s="100" t="s">
        <v>80</v>
      </c>
      <c r="F1820" s="100" t="s">
        <v>110</v>
      </c>
      <c r="G1820" s="100" t="s">
        <v>3969</v>
      </c>
      <c r="H1820" s="99" t="s">
        <v>115</v>
      </c>
      <c r="I1820" s="247">
        <v>32757</v>
      </c>
      <c r="J1820" s="101">
        <v>1</v>
      </c>
      <c r="K1820" s="101"/>
      <c r="L1820" s="101">
        <v>1</v>
      </c>
      <c r="M1820" s="101"/>
      <c r="N1820" s="101">
        <v>1</v>
      </c>
      <c r="O1820" s="101"/>
      <c r="P1820" s="101"/>
      <c r="Q1820" s="101"/>
      <c r="R1820" s="101"/>
      <c r="S1820" s="101"/>
      <c r="T1820" s="101"/>
      <c r="U1820" s="99" t="s">
        <v>3919</v>
      </c>
      <c r="V1820" s="99" t="s">
        <v>513</v>
      </c>
      <c r="W1820" s="99" t="s">
        <v>279</v>
      </c>
      <c r="X1820" s="100" t="s">
        <v>227</v>
      </c>
      <c r="Y1820" s="99"/>
      <c r="Z1820" s="99"/>
      <c r="AA1820" s="100" t="s">
        <v>1961</v>
      </c>
      <c r="AB1820" s="99" t="s">
        <v>528</v>
      </c>
      <c r="AC1820" s="101">
        <v>1</v>
      </c>
      <c r="AD1820" s="101"/>
      <c r="AE1820" s="101"/>
      <c r="AF1820" s="101"/>
      <c r="AG1820" s="101"/>
      <c r="AH1820" s="99"/>
      <c r="AI1820" s="105"/>
    </row>
    <row r="1821" spans="1:35">
      <c r="A1821" s="98"/>
      <c r="B1821" s="99"/>
      <c r="C1821" s="99"/>
      <c r="D1821" s="99"/>
      <c r="E1821" s="99"/>
      <c r="F1821" s="100"/>
      <c r="G1821" s="100"/>
      <c r="H1821" s="99"/>
      <c r="I1821" s="247"/>
      <c r="J1821" s="101"/>
      <c r="K1821" s="101"/>
      <c r="L1821" s="101"/>
      <c r="M1821" s="101"/>
      <c r="N1821" s="101"/>
      <c r="O1821" s="101"/>
      <c r="P1821" s="101"/>
      <c r="Q1821" s="101"/>
      <c r="R1821" s="101"/>
      <c r="S1821" s="101"/>
      <c r="T1821" s="101"/>
      <c r="U1821" s="99"/>
      <c r="V1821" s="99"/>
      <c r="W1821" s="99"/>
      <c r="X1821" s="99"/>
      <c r="Y1821" s="99"/>
      <c r="Z1821" s="99"/>
      <c r="AA1821" s="100" t="s">
        <v>1792</v>
      </c>
      <c r="AB1821" s="99" t="s">
        <v>526</v>
      </c>
      <c r="AC1821" s="101">
        <v>50</v>
      </c>
      <c r="AD1821" s="101"/>
      <c r="AE1821" s="101"/>
      <c r="AF1821" s="101"/>
      <c r="AG1821" s="101"/>
      <c r="AH1821" s="99"/>
      <c r="AI1821" s="105"/>
    </row>
    <row r="1822" spans="1:35">
      <c r="A1822" s="98"/>
      <c r="B1822" s="99"/>
      <c r="C1822" s="100" t="s">
        <v>4203</v>
      </c>
      <c r="D1822" s="100" t="s">
        <v>79</v>
      </c>
      <c r="E1822" s="100" t="s">
        <v>80</v>
      </c>
      <c r="F1822" s="100" t="s">
        <v>1129</v>
      </c>
      <c r="G1822" s="100" t="s">
        <v>4219</v>
      </c>
      <c r="H1822" s="99" t="s">
        <v>409</v>
      </c>
      <c r="I1822" s="247">
        <v>31388</v>
      </c>
      <c r="J1822" s="101">
        <v>1</v>
      </c>
      <c r="K1822" s="101"/>
      <c r="L1822" s="101">
        <v>1</v>
      </c>
      <c r="M1822" s="101"/>
      <c r="N1822" s="101">
        <v>1</v>
      </c>
      <c r="O1822" s="101"/>
      <c r="P1822" s="101"/>
      <c r="Q1822" s="101"/>
      <c r="R1822" s="101"/>
      <c r="S1822" s="101"/>
      <c r="T1822" s="101"/>
      <c r="U1822" s="99" t="s">
        <v>3919</v>
      </c>
      <c r="V1822" s="99" t="s">
        <v>513</v>
      </c>
      <c r="W1822" s="99" t="s">
        <v>279</v>
      </c>
      <c r="X1822" s="100" t="s">
        <v>227</v>
      </c>
      <c r="Y1822" s="99">
        <v>9754873500</v>
      </c>
      <c r="Z1822" s="99"/>
      <c r="AA1822" s="100" t="s">
        <v>1961</v>
      </c>
      <c r="AB1822" s="99" t="s">
        <v>528</v>
      </c>
      <c r="AC1822" s="101">
        <v>1</v>
      </c>
      <c r="AD1822" s="101"/>
      <c r="AE1822" s="101"/>
      <c r="AF1822" s="101"/>
      <c r="AG1822" s="101"/>
      <c r="AH1822" s="99"/>
      <c r="AI1822" s="105"/>
    </row>
    <row r="1823" spans="1:35">
      <c r="A1823" s="98"/>
      <c r="B1823" s="99"/>
      <c r="C1823" s="99"/>
      <c r="D1823" s="99"/>
      <c r="E1823" s="99"/>
      <c r="F1823" s="100"/>
      <c r="G1823" s="100"/>
      <c r="H1823" s="99"/>
      <c r="I1823" s="247"/>
      <c r="J1823" s="101"/>
      <c r="K1823" s="101"/>
      <c r="L1823" s="101"/>
      <c r="M1823" s="101"/>
      <c r="N1823" s="101"/>
      <c r="O1823" s="101"/>
      <c r="P1823" s="101"/>
      <c r="Q1823" s="101"/>
      <c r="R1823" s="101"/>
      <c r="S1823" s="101"/>
      <c r="T1823" s="101"/>
      <c r="U1823" s="99"/>
      <c r="V1823" s="100"/>
      <c r="W1823" s="100"/>
      <c r="X1823" s="100"/>
      <c r="Y1823" s="99"/>
      <c r="Z1823" s="99"/>
      <c r="AA1823" s="100" t="s">
        <v>1792</v>
      </c>
      <c r="AB1823" s="99" t="s">
        <v>526</v>
      </c>
      <c r="AC1823" s="101">
        <v>50</v>
      </c>
      <c r="AD1823" s="101"/>
      <c r="AE1823" s="101"/>
      <c r="AF1823" s="101"/>
      <c r="AG1823" s="101"/>
      <c r="AH1823" s="99"/>
      <c r="AI1823" s="105"/>
    </row>
    <row r="1824" spans="1:35">
      <c r="A1824" s="98"/>
      <c r="B1824" s="99"/>
      <c r="C1824" s="100" t="s">
        <v>4203</v>
      </c>
      <c r="D1824" s="100" t="s">
        <v>79</v>
      </c>
      <c r="E1824" s="100" t="s">
        <v>80</v>
      </c>
      <c r="F1824" s="100" t="s">
        <v>4209</v>
      </c>
      <c r="G1824" s="100" t="s">
        <v>2758</v>
      </c>
      <c r="H1824" s="99" t="s">
        <v>120</v>
      </c>
      <c r="I1824" s="247">
        <v>36470</v>
      </c>
      <c r="J1824" s="101">
        <v>1</v>
      </c>
      <c r="K1824" s="101"/>
      <c r="L1824" s="101">
        <v>1</v>
      </c>
      <c r="M1824" s="101"/>
      <c r="N1824" s="101">
        <v>1</v>
      </c>
      <c r="O1824" s="101"/>
      <c r="P1824" s="101"/>
      <c r="Q1824" s="101"/>
      <c r="R1824" s="101"/>
      <c r="S1824" s="101"/>
      <c r="T1824" s="101"/>
      <c r="U1824" s="99" t="s">
        <v>3919</v>
      </c>
      <c r="V1824" s="99" t="s">
        <v>513</v>
      </c>
      <c r="W1824" s="99" t="s">
        <v>279</v>
      </c>
      <c r="X1824" s="100" t="s">
        <v>227</v>
      </c>
      <c r="Y1824" s="99"/>
      <c r="Z1824" s="99"/>
      <c r="AA1824" s="100" t="s">
        <v>1961</v>
      </c>
      <c r="AB1824" s="99" t="s">
        <v>528</v>
      </c>
      <c r="AC1824" s="101">
        <v>1</v>
      </c>
      <c r="AD1824" s="101"/>
      <c r="AE1824" s="101"/>
      <c r="AF1824" s="101"/>
      <c r="AG1824" s="101"/>
      <c r="AH1824" s="99"/>
      <c r="AI1824" s="105"/>
    </row>
    <row r="1825" spans="1:35">
      <c r="A1825" s="98"/>
      <c r="B1825" s="99"/>
      <c r="C1825" s="99"/>
      <c r="D1825" s="99"/>
      <c r="E1825" s="99"/>
      <c r="F1825" s="100"/>
      <c r="G1825" s="100"/>
      <c r="H1825" s="99"/>
      <c r="I1825" s="247"/>
      <c r="J1825" s="101"/>
      <c r="K1825" s="101"/>
      <c r="L1825" s="101"/>
      <c r="M1825" s="101"/>
      <c r="N1825" s="101"/>
      <c r="O1825" s="101"/>
      <c r="P1825" s="101"/>
      <c r="Q1825" s="101"/>
      <c r="R1825" s="101"/>
      <c r="S1825" s="101"/>
      <c r="T1825" s="101"/>
      <c r="U1825" s="99"/>
      <c r="V1825" s="99"/>
      <c r="W1825" s="99"/>
      <c r="X1825" s="99"/>
      <c r="Y1825" s="99"/>
      <c r="Z1825" s="99"/>
      <c r="AA1825" s="100" t="s">
        <v>1792</v>
      </c>
      <c r="AB1825" s="99" t="s">
        <v>526</v>
      </c>
      <c r="AC1825" s="101">
        <v>50</v>
      </c>
      <c r="AD1825" s="101"/>
      <c r="AE1825" s="101"/>
      <c r="AF1825" s="101"/>
      <c r="AG1825" s="101"/>
      <c r="AH1825" s="99"/>
      <c r="AI1825" s="105"/>
    </row>
    <row r="1826" spans="1:35">
      <c r="A1826" s="98"/>
      <c r="B1826" s="99"/>
      <c r="C1826" s="100" t="s">
        <v>4203</v>
      </c>
      <c r="D1826" s="100" t="s">
        <v>79</v>
      </c>
      <c r="E1826" s="100" t="s">
        <v>80</v>
      </c>
      <c r="F1826" s="100" t="s">
        <v>1370</v>
      </c>
      <c r="G1826" s="100" t="s">
        <v>4210</v>
      </c>
      <c r="H1826" s="99" t="s">
        <v>1040</v>
      </c>
      <c r="I1826" s="247">
        <v>36072</v>
      </c>
      <c r="J1826" s="101">
        <v>1</v>
      </c>
      <c r="K1826" s="101"/>
      <c r="L1826" s="101">
        <v>1</v>
      </c>
      <c r="M1826" s="101"/>
      <c r="N1826" s="101">
        <v>1</v>
      </c>
      <c r="O1826" s="101"/>
      <c r="P1826" s="101"/>
      <c r="Q1826" s="101"/>
      <c r="R1826" s="101"/>
      <c r="S1826" s="101"/>
      <c r="T1826" s="101"/>
      <c r="U1826" s="99" t="s">
        <v>3919</v>
      </c>
      <c r="V1826" s="99" t="s">
        <v>513</v>
      </c>
      <c r="W1826" s="99" t="s">
        <v>279</v>
      </c>
      <c r="X1826" s="100" t="s">
        <v>227</v>
      </c>
      <c r="Y1826" s="99"/>
      <c r="Z1826" s="99"/>
      <c r="AA1826" s="100" t="s">
        <v>1961</v>
      </c>
      <c r="AB1826" s="99" t="s">
        <v>528</v>
      </c>
      <c r="AC1826" s="101">
        <v>1</v>
      </c>
      <c r="AD1826" s="101"/>
      <c r="AE1826" s="101"/>
      <c r="AF1826" s="101"/>
      <c r="AG1826" s="101"/>
      <c r="AH1826" s="99"/>
      <c r="AI1826" s="105"/>
    </row>
    <row r="1827" spans="1:35">
      <c r="A1827" s="98"/>
      <c r="B1827" s="99"/>
      <c r="C1827" s="99"/>
      <c r="D1827" s="99"/>
      <c r="E1827" s="99"/>
      <c r="F1827" s="100"/>
      <c r="G1827" s="100"/>
      <c r="H1827" s="99"/>
      <c r="I1827" s="247"/>
      <c r="J1827" s="101"/>
      <c r="K1827" s="101"/>
      <c r="L1827" s="101"/>
      <c r="M1827" s="101"/>
      <c r="N1827" s="101"/>
      <c r="O1827" s="101"/>
      <c r="P1827" s="101"/>
      <c r="Q1827" s="101"/>
      <c r="R1827" s="101"/>
      <c r="S1827" s="101"/>
      <c r="T1827" s="101"/>
      <c r="U1827" s="99"/>
      <c r="V1827" s="99"/>
      <c r="W1827" s="99"/>
      <c r="X1827" s="99"/>
      <c r="Y1827" s="99"/>
      <c r="Z1827" s="99"/>
      <c r="AA1827" s="100" t="s">
        <v>1792</v>
      </c>
      <c r="AB1827" s="99" t="s">
        <v>526</v>
      </c>
      <c r="AC1827" s="101">
        <v>50</v>
      </c>
      <c r="AD1827" s="101"/>
      <c r="AE1827" s="101"/>
      <c r="AF1827" s="101"/>
      <c r="AG1827" s="101"/>
      <c r="AH1827" s="99"/>
      <c r="AI1827" s="105"/>
    </row>
    <row r="1828" spans="1:35">
      <c r="A1828" s="98"/>
      <c r="B1828" s="99"/>
      <c r="C1828" s="100" t="s">
        <v>4203</v>
      </c>
      <c r="D1828" s="100" t="s">
        <v>79</v>
      </c>
      <c r="E1828" s="100" t="s">
        <v>80</v>
      </c>
      <c r="F1828" s="100" t="s">
        <v>171</v>
      </c>
      <c r="G1828" s="100" t="s">
        <v>862</v>
      </c>
      <c r="H1828" s="99" t="s">
        <v>120</v>
      </c>
      <c r="I1828" s="247">
        <v>26922</v>
      </c>
      <c r="J1828" s="101">
        <v>1</v>
      </c>
      <c r="K1828" s="101"/>
      <c r="L1828" s="101">
        <v>1</v>
      </c>
      <c r="M1828" s="101"/>
      <c r="N1828" s="101">
        <v>1</v>
      </c>
      <c r="O1828" s="101"/>
      <c r="P1828" s="101"/>
      <c r="Q1828" s="101"/>
      <c r="R1828" s="101"/>
      <c r="S1828" s="101"/>
      <c r="T1828" s="101"/>
      <c r="U1828" s="99" t="s">
        <v>3919</v>
      </c>
      <c r="V1828" s="99" t="s">
        <v>513</v>
      </c>
      <c r="W1828" s="99" t="s">
        <v>279</v>
      </c>
      <c r="X1828" s="100" t="s">
        <v>227</v>
      </c>
      <c r="Y1828" s="99"/>
      <c r="Z1828" s="99"/>
      <c r="AA1828" s="100" t="s">
        <v>1961</v>
      </c>
      <c r="AB1828" s="99" t="s">
        <v>528</v>
      </c>
      <c r="AC1828" s="101">
        <v>1</v>
      </c>
      <c r="AD1828" s="101"/>
      <c r="AE1828" s="101"/>
      <c r="AF1828" s="101"/>
      <c r="AG1828" s="101"/>
      <c r="AH1828" s="99"/>
      <c r="AI1828" s="105"/>
    </row>
    <row r="1829" spans="1:35">
      <c r="A1829" s="98"/>
      <c r="B1829" s="99"/>
      <c r="C1829" s="99"/>
      <c r="D1829" s="99"/>
      <c r="E1829" s="99"/>
      <c r="F1829" s="100"/>
      <c r="G1829" s="100"/>
      <c r="H1829" s="99"/>
      <c r="I1829" s="247"/>
      <c r="J1829" s="101"/>
      <c r="K1829" s="101"/>
      <c r="L1829" s="101"/>
      <c r="M1829" s="101"/>
      <c r="N1829" s="101"/>
      <c r="O1829" s="101"/>
      <c r="P1829" s="101"/>
      <c r="Q1829" s="101"/>
      <c r="R1829" s="101"/>
      <c r="S1829" s="101"/>
      <c r="T1829" s="101"/>
      <c r="U1829" s="99"/>
      <c r="V1829" s="100"/>
      <c r="W1829" s="100"/>
      <c r="X1829" s="100"/>
      <c r="Y1829" s="99"/>
      <c r="Z1829" s="99"/>
      <c r="AA1829" s="100" t="s">
        <v>1792</v>
      </c>
      <c r="AB1829" s="99" t="s">
        <v>526</v>
      </c>
      <c r="AC1829" s="101">
        <v>50</v>
      </c>
      <c r="AD1829" s="101"/>
      <c r="AE1829" s="101"/>
      <c r="AF1829" s="101"/>
      <c r="AG1829" s="101"/>
      <c r="AH1829" s="99"/>
      <c r="AI1829" s="105"/>
    </row>
    <row r="1830" spans="1:35">
      <c r="A1830" s="98"/>
      <c r="B1830" s="99"/>
      <c r="C1830" s="100" t="s">
        <v>4203</v>
      </c>
      <c r="D1830" s="100" t="s">
        <v>79</v>
      </c>
      <c r="E1830" s="100" t="s">
        <v>80</v>
      </c>
      <c r="F1830" s="100" t="s">
        <v>4211</v>
      </c>
      <c r="G1830" s="100" t="s">
        <v>4212</v>
      </c>
      <c r="H1830" s="99" t="s">
        <v>113</v>
      </c>
      <c r="I1830" s="247">
        <v>32702</v>
      </c>
      <c r="J1830" s="101">
        <v>1</v>
      </c>
      <c r="K1830" s="101"/>
      <c r="L1830" s="101">
        <v>1</v>
      </c>
      <c r="M1830" s="101"/>
      <c r="N1830" s="101">
        <v>1</v>
      </c>
      <c r="O1830" s="101"/>
      <c r="P1830" s="101"/>
      <c r="Q1830" s="101"/>
      <c r="R1830" s="101"/>
      <c r="S1830" s="101"/>
      <c r="T1830" s="101"/>
      <c r="U1830" s="99" t="s">
        <v>3919</v>
      </c>
      <c r="V1830" s="99" t="s">
        <v>513</v>
      </c>
      <c r="W1830" s="99" t="s">
        <v>279</v>
      </c>
      <c r="X1830" s="100" t="s">
        <v>227</v>
      </c>
      <c r="Y1830" s="99"/>
      <c r="Z1830" s="99"/>
      <c r="AA1830" s="100" t="s">
        <v>1961</v>
      </c>
      <c r="AB1830" s="99" t="s">
        <v>528</v>
      </c>
      <c r="AC1830" s="101">
        <v>1</v>
      </c>
      <c r="AD1830" s="101"/>
      <c r="AE1830" s="101"/>
      <c r="AF1830" s="101"/>
      <c r="AG1830" s="101"/>
      <c r="AH1830" s="99"/>
      <c r="AI1830" s="105"/>
    </row>
    <row r="1831" spans="1:35">
      <c r="A1831" s="98"/>
      <c r="B1831" s="99"/>
      <c r="C1831" s="99"/>
      <c r="D1831" s="99"/>
      <c r="E1831" s="99"/>
      <c r="F1831" s="100"/>
      <c r="G1831" s="100"/>
      <c r="H1831" s="99"/>
      <c r="I1831" s="247"/>
      <c r="J1831" s="101"/>
      <c r="K1831" s="101"/>
      <c r="L1831" s="101"/>
      <c r="M1831" s="101"/>
      <c r="N1831" s="101"/>
      <c r="O1831" s="101"/>
      <c r="P1831" s="101"/>
      <c r="Q1831" s="101"/>
      <c r="R1831" s="101"/>
      <c r="S1831" s="101"/>
      <c r="T1831" s="101"/>
      <c r="U1831" s="99"/>
      <c r="V1831" s="99"/>
      <c r="W1831" s="99"/>
      <c r="X1831" s="99"/>
      <c r="Y1831" s="99"/>
      <c r="Z1831" s="99"/>
      <c r="AA1831" s="100" t="s">
        <v>1792</v>
      </c>
      <c r="AB1831" s="99" t="s">
        <v>526</v>
      </c>
      <c r="AC1831" s="101">
        <v>50</v>
      </c>
      <c r="AD1831" s="101"/>
      <c r="AE1831" s="101"/>
      <c r="AF1831" s="101"/>
      <c r="AG1831" s="101"/>
      <c r="AH1831" s="99"/>
      <c r="AI1831" s="105"/>
    </row>
    <row r="1832" spans="1:35">
      <c r="A1832" s="98"/>
      <c r="B1832" s="99"/>
      <c r="C1832" s="100" t="s">
        <v>4203</v>
      </c>
      <c r="D1832" s="100" t="s">
        <v>79</v>
      </c>
      <c r="E1832" s="100" t="s">
        <v>80</v>
      </c>
      <c r="F1832" s="100" t="s">
        <v>3393</v>
      </c>
      <c r="G1832" s="100" t="s">
        <v>3814</v>
      </c>
      <c r="H1832" s="99" t="s">
        <v>115</v>
      </c>
      <c r="I1832" s="247">
        <v>33018</v>
      </c>
      <c r="J1832" s="101">
        <v>1</v>
      </c>
      <c r="K1832" s="101"/>
      <c r="L1832" s="101">
        <v>1</v>
      </c>
      <c r="M1832" s="101"/>
      <c r="N1832" s="101">
        <v>1</v>
      </c>
      <c r="O1832" s="101"/>
      <c r="P1832" s="101"/>
      <c r="Q1832" s="101"/>
      <c r="R1832" s="101"/>
      <c r="S1832" s="101"/>
      <c r="T1832" s="101"/>
      <c r="U1832" s="99" t="s">
        <v>3919</v>
      </c>
      <c r="V1832" s="99" t="s">
        <v>513</v>
      </c>
      <c r="W1832" s="99" t="s">
        <v>279</v>
      </c>
      <c r="X1832" s="100" t="s">
        <v>227</v>
      </c>
      <c r="Y1832" s="99"/>
      <c r="Z1832" s="99"/>
      <c r="AA1832" s="100" t="s">
        <v>1961</v>
      </c>
      <c r="AB1832" s="99" t="s">
        <v>528</v>
      </c>
      <c r="AC1832" s="101">
        <v>1</v>
      </c>
      <c r="AD1832" s="101"/>
      <c r="AE1832" s="101"/>
      <c r="AF1832" s="101"/>
      <c r="AG1832" s="101"/>
      <c r="AH1832" s="99"/>
      <c r="AI1832" s="105"/>
    </row>
    <row r="1833" spans="1:35">
      <c r="A1833" s="98"/>
      <c r="B1833" s="99"/>
      <c r="C1833" s="99"/>
      <c r="D1833" s="99"/>
      <c r="E1833" s="99"/>
      <c r="F1833" s="100"/>
      <c r="G1833" s="100"/>
      <c r="H1833" s="99"/>
      <c r="I1833" s="247"/>
      <c r="J1833" s="101"/>
      <c r="K1833" s="101"/>
      <c r="L1833" s="101"/>
      <c r="M1833" s="101"/>
      <c r="N1833" s="101"/>
      <c r="O1833" s="101"/>
      <c r="P1833" s="101"/>
      <c r="Q1833" s="101"/>
      <c r="R1833" s="101"/>
      <c r="S1833" s="101"/>
      <c r="T1833" s="101"/>
      <c r="U1833" s="99"/>
      <c r="V1833" s="99"/>
      <c r="W1833" s="99"/>
      <c r="X1833" s="99"/>
      <c r="Y1833" s="99"/>
      <c r="Z1833" s="99"/>
      <c r="AA1833" s="100" t="s">
        <v>1792</v>
      </c>
      <c r="AB1833" s="99" t="s">
        <v>526</v>
      </c>
      <c r="AC1833" s="101">
        <v>50</v>
      </c>
      <c r="AD1833" s="101"/>
      <c r="AE1833" s="101"/>
      <c r="AF1833" s="101"/>
      <c r="AG1833" s="101"/>
      <c r="AH1833" s="99"/>
      <c r="AI1833" s="105"/>
    </row>
    <row r="1834" spans="1:35">
      <c r="A1834" s="98"/>
      <c r="B1834" s="99"/>
      <c r="C1834" s="100" t="s">
        <v>4203</v>
      </c>
      <c r="D1834" s="100" t="s">
        <v>79</v>
      </c>
      <c r="E1834" s="100" t="s">
        <v>80</v>
      </c>
      <c r="F1834" s="100" t="s">
        <v>4214</v>
      </c>
      <c r="G1834" s="100" t="s">
        <v>4215</v>
      </c>
      <c r="H1834" s="99" t="s">
        <v>120</v>
      </c>
      <c r="I1834" s="247">
        <v>27477</v>
      </c>
      <c r="J1834" s="101">
        <v>1</v>
      </c>
      <c r="K1834" s="101"/>
      <c r="L1834" s="101">
        <v>1</v>
      </c>
      <c r="M1834" s="101"/>
      <c r="N1834" s="101">
        <v>1</v>
      </c>
      <c r="O1834" s="101"/>
      <c r="P1834" s="101"/>
      <c r="Q1834" s="101"/>
      <c r="R1834" s="101"/>
      <c r="S1834" s="101"/>
      <c r="T1834" s="101"/>
      <c r="U1834" s="99" t="s">
        <v>3919</v>
      </c>
      <c r="V1834" s="99" t="s">
        <v>513</v>
      </c>
      <c r="W1834" s="99" t="s">
        <v>279</v>
      </c>
      <c r="X1834" s="100" t="s">
        <v>227</v>
      </c>
      <c r="Y1834" s="99"/>
      <c r="Z1834" s="99"/>
      <c r="AA1834" s="100" t="s">
        <v>1961</v>
      </c>
      <c r="AB1834" s="99" t="s">
        <v>528</v>
      </c>
      <c r="AC1834" s="101">
        <v>1</v>
      </c>
      <c r="AD1834" s="101"/>
      <c r="AE1834" s="101"/>
      <c r="AF1834" s="101"/>
      <c r="AG1834" s="101"/>
      <c r="AH1834" s="99"/>
      <c r="AI1834" s="105"/>
    </row>
    <row r="1835" spans="1:35">
      <c r="A1835" s="98"/>
      <c r="B1835" s="99"/>
      <c r="C1835" s="99"/>
      <c r="D1835" s="99"/>
      <c r="E1835" s="99"/>
      <c r="F1835" s="100"/>
      <c r="G1835" s="100"/>
      <c r="H1835" s="99"/>
      <c r="I1835" s="247"/>
      <c r="J1835" s="101"/>
      <c r="K1835" s="101"/>
      <c r="L1835" s="101"/>
      <c r="M1835" s="101"/>
      <c r="N1835" s="101"/>
      <c r="O1835" s="101"/>
      <c r="P1835" s="101"/>
      <c r="Q1835" s="101"/>
      <c r="R1835" s="101"/>
      <c r="S1835" s="101"/>
      <c r="T1835" s="101"/>
      <c r="U1835" s="99"/>
      <c r="V1835" s="99"/>
      <c r="W1835" s="99"/>
      <c r="X1835" s="99"/>
      <c r="Y1835" s="99"/>
      <c r="Z1835" s="99"/>
      <c r="AA1835" s="100" t="s">
        <v>1792</v>
      </c>
      <c r="AB1835" s="99" t="s">
        <v>526</v>
      </c>
      <c r="AC1835" s="101">
        <v>50</v>
      </c>
      <c r="AD1835" s="101"/>
      <c r="AE1835" s="101"/>
      <c r="AF1835" s="101"/>
      <c r="AG1835" s="101"/>
      <c r="AH1835" s="99"/>
      <c r="AI1835" s="105"/>
    </row>
    <row r="1836" spans="1:35">
      <c r="A1836" s="98"/>
      <c r="B1836" s="99"/>
      <c r="C1836" s="100" t="s">
        <v>4203</v>
      </c>
      <c r="D1836" s="100" t="s">
        <v>79</v>
      </c>
      <c r="E1836" s="100" t="s">
        <v>80</v>
      </c>
      <c r="F1836" s="100" t="s">
        <v>4216</v>
      </c>
      <c r="G1836" s="100" t="s">
        <v>4217</v>
      </c>
      <c r="H1836" s="99" t="s">
        <v>286</v>
      </c>
      <c r="I1836" s="247">
        <v>21618</v>
      </c>
      <c r="J1836" s="101">
        <v>1</v>
      </c>
      <c r="K1836" s="101"/>
      <c r="L1836" s="101">
        <v>1</v>
      </c>
      <c r="M1836" s="101"/>
      <c r="N1836" s="101">
        <v>1</v>
      </c>
      <c r="O1836" s="101"/>
      <c r="P1836" s="101"/>
      <c r="Q1836" s="101"/>
      <c r="R1836" s="101"/>
      <c r="S1836" s="101"/>
      <c r="T1836" s="101"/>
      <c r="U1836" s="99" t="s">
        <v>3919</v>
      </c>
      <c r="V1836" s="99" t="s">
        <v>513</v>
      </c>
      <c r="W1836" s="99" t="s">
        <v>279</v>
      </c>
      <c r="X1836" s="100" t="s">
        <v>227</v>
      </c>
      <c r="Y1836" s="99"/>
      <c r="Z1836" s="99"/>
      <c r="AA1836" s="100" t="s">
        <v>1961</v>
      </c>
      <c r="AB1836" s="99" t="s">
        <v>528</v>
      </c>
      <c r="AC1836" s="101">
        <v>1</v>
      </c>
      <c r="AD1836" s="101"/>
      <c r="AE1836" s="101"/>
      <c r="AF1836" s="101"/>
      <c r="AG1836" s="101"/>
      <c r="AH1836" s="99"/>
      <c r="AI1836" s="105"/>
    </row>
    <row r="1837" spans="1:35">
      <c r="A1837" s="98"/>
      <c r="B1837" s="99"/>
      <c r="C1837" s="99"/>
      <c r="D1837" s="99"/>
      <c r="E1837" s="99"/>
      <c r="F1837" s="100"/>
      <c r="G1837" s="100"/>
      <c r="H1837" s="99"/>
      <c r="I1837" s="101"/>
      <c r="J1837" s="101"/>
      <c r="K1837" s="101"/>
      <c r="L1837" s="101"/>
      <c r="M1837" s="101"/>
      <c r="N1837" s="101"/>
      <c r="O1837" s="101"/>
      <c r="P1837" s="101"/>
      <c r="Q1837" s="101"/>
      <c r="R1837" s="101"/>
      <c r="S1837" s="101"/>
      <c r="T1837" s="101"/>
      <c r="U1837" s="99"/>
      <c r="V1837" s="100"/>
      <c r="W1837" s="100"/>
      <c r="X1837" s="100"/>
      <c r="Y1837" s="99"/>
      <c r="Z1837" s="99"/>
      <c r="AA1837" s="100" t="s">
        <v>1792</v>
      </c>
      <c r="AB1837" s="99" t="s">
        <v>526</v>
      </c>
      <c r="AC1837" s="101">
        <v>50</v>
      </c>
      <c r="AD1837" s="101"/>
      <c r="AE1837" s="101"/>
      <c r="AF1837" s="101"/>
      <c r="AG1837" s="101"/>
      <c r="AH1837" s="99"/>
      <c r="AI1837" s="105"/>
    </row>
    <row r="1838" spans="1:35">
      <c r="A1838" s="98"/>
      <c r="B1838" s="99"/>
      <c r="C1838" s="100" t="s">
        <v>4203</v>
      </c>
      <c r="D1838" s="100" t="s">
        <v>79</v>
      </c>
      <c r="E1838" s="100" t="s">
        <v>80</v>
      </c>
      <c r="F1838" s="100" t="s">
        <v>110</v>
      </c>
      <c r="G1838" s="100" t="s">
        <v>4218</v>
      </c>
      <c r="H1838" s="99" t="s">
        <v>115</v>
      </c>
      <c r="I1838" s="247">
        <v>33226</v>
      </c>
      <c r="J1838" s="101">
        <v>1</v>
      </c>
      <c r="K1838" s="101"/>
      <c r="L1838" s="101">
        <v>1</v>
      </c>
      <c r="M1838" s="101"/>
      <c r="N1838" s="101">
        <v>1</v>
      </c>
      <c r="O1838" s="101"/>
      <c r="P1838" s="101"/>
      <c r="Q1838" s="101"/>
      <c r="R1838" s="101"/>
      <c r="S1838" s="101"/>
      <c r="T1838" s="101"/>
      <c r="U1838" s="99" t="s">
        <v>3919</v>
      </c>
      <c r="V1838" s="99" t="s">
        <v>513</v>
      </c>
      <c r="W1838" s="99" t="s">
        <v>279</v>
      </c>
      <c r="X1838" s="100" t="s">
        <v>227</v>
      </c>
      <c r="Y1838" s="99"/>
      <c r="Z1838" s="99"/>
      <c r="AA1838" s="100" t="s">
        <v>1961</v>
      </c>
      <c r="AB1838" s="99" t="s">
        <v>528</v>
      </c>
      <c r="AC1838" s="101">
        <v>1</v>
      </c>
      <c r="AD1838" s="101"/>
      <c r="AE1838" s="101"/>
      <c r="AF1838" s="101"/>
      <c r="AG1838" s="101"/>
      <c r="AH1838" s="99"/>
      <c r="AI1838" s="105"/>
    </row>
    <row r="1839" spans="1:35">
      <c r="A1839" s="98"/>
      <c r="B1839" s="99"/>
      <c r="C1839" s="99"/>
      <c r="D1839" s="99"/>
      <c r="E1839" s="99"/>
      <c r="F1839" s="100"/>
      <c r="G1839" s="100"/>
      <c r="H1839" s="99"/>
      <c r="I1839" s="247"/>
      <c r="J1839" s="101"/>
      <c r="K1839" s="101"/>
      <c r="L1839" s="101"/>
      <c r="M1839" s="101"/>
      <c r="N1839" s="101"/>
      <c r="O1839" s="101"/>
      <c r="P1839" s="101"/>
      <c r="Q1839" s="101"/>
      <c r="R1839" s="101"/>
      <c r="S1839" s="101"/>
      <c r="T1839" s="101"/>
      <c r="U1839" s="99"/>
      <c r="V1839" s="99"/>
      <c r="W1839" s="99"/>
      <c r="X1839" s="99"/>
      <c r="Y1839" s="99"/>
      <c r="Z1839" s="99"/>
      <c r="AA1839" s="100" t="s">
        <v>1792</v>
      </c>
      <c r="AB1839" s="99" t="s">
        <v>526</v>
      </c>
      <c r="AC1839" s="101">
        <v>50</v>
      </c>
      <c r="AD1839" s="101"/>
      <c r="AE1839" s="101"/>
      <c r="AF1839" s="101"/>
      <c r="AG1839" s="101"/>
      <c r="AH1839" s="99"/>
      <c r="AI1839" s="105"/>
    </row>
    <row r="1840" spans="1:35">
      <c r="A1840" s="98"/>
      <c r="B1840" s="99"/>
      <c r="C1840" s="100" t="s">
        <v>4203</v>
      </c>
      <c r="D1840" s="100" t="s">
        <v>79</v>
      </c>
      <c r="E1840" s="100" t="s">
        <v>80</v>
      </c>
      <c r="F1840" s="100" t="s">
        <v>4213</v>
      </c>
      <c r="G1840" s="100" t="s">
        <v>470</v>
      </c>
      <c r="H1840" s="99" t="s">
        <v>286</v>
      </c>
      <c r="I1840" s="247">
        <v>27703</v>
      </c>
      <c r="J1840" s="101">
        <v>1</v>
      </c>
      <c r="K1840" s="101"/>
      <c r="L1840" s="101">
        <v>1</v>
      </c>
      <c r="M1840" s="101"/>
      <c r="N1840" s="101">
        <v>1</v>
      </c>
      <c r="O1840" s="101"/>
      <c r="P1840" s="101"/>
      <c r="Q1840" s="101"/>
      <c r="R1840" s="101"/>
      <c r="S1840" s="101"/>
      <c r="T1840" s="101"/>
      <c r="U1840" s="99" t="s">
        <v>3919</v>
      </c>
      <c r="V1840" s="99" t="s">
        <v>513</v>
      </c>
      <c r="W1840" s="99" t="s">
        <v>279</v>
      </c>
      <c r="X1840" s="100" t="s">
        <v>227</v>
      </c>
      <c r="Y1840" s="99"/>
      <c r="Z1840" s="99"/>
      <c r="AA1840" s="100" t="s">
        <v>1961</v>
      </c>
      <c r="AB1840" s="99" t="s">
        <v>528</v>
      </c>
      <c r="AC1840" s="101">
        <v>1</v>
      </c>
      <c r="AD1840" s="101"/>
      <c r="AE1840" s="101"/>
      <c r="AF1840" s="101"/>
      <c r="AG1840" s="101"/>
      <c r="AH1840" s="99"/>
      <c r="AI1840" s="105"/>
    </row>
    <row r="1841" spans="1:35">
      <c r="A1841" s="98"/>
      <c r="B1841" s="99"/>
      <c r="C1841" s="99"/>
      <c r="D1841" s="99"/>
      <c r="E1841" s="99"/>
      <c r="F1841" s="100"/>
      <c r="G1841" s="100"/>
      <c r="H1841" s="99"/>
      <c r="I1841" s="247"/>
      <c r="J1841" s="101"/>
      <c r="K1841" s="101"/>
      <c r="L1841" s="101"/>
      <c r="M1841" s="101"/>
      <c r="N1841" s="101"/>
      <c r="O1841" s="101"/>
      <c r="P1841" s="101"/>
      <c r="Q1841" s="101"/>
      <c r="R1841" s="101"/>
      <c r="S1841" s="101"/>
      <c r="T1841" s="101"/>
      <c r="U1841" s="99"/>
      <c r="V1841" s="99"/>
      <c r="W1841" s="99"/>
      <c r="X1841" s="99"/>
      <c r="Y1841" s="99"/>
      <c r="Z1841" s="99"/>
      <c r="AA1841" s="100" t="s">
        <v>1792</v>
      </c>
      <c r="AB1841" s="99" t="s">
        <v>526</v>
      </c>
      <c r="AC1841" s="101">
        <v>50</v>
      </c>
      <c r="AD1841" s="101"/>
      <c r="AE1841" s="101"/>
      <c r="AF1841" s="101"/>
      <c r="AG1841" s="101"/>
      <c r="AH1841" s="99"/>
      <c r="AI1841" s="105"/>
    </row>
    <row r="1842" spans="1:35">
      <c r="A1842" s="98"/>
      <c r="B1842" s="99"/>
      <c r="C1842" s="100" t="s">
        <v>4203</v>
      </c>
      <c r="D1842" s="100" t="s">
        <v>79</v>
      </c>
      <c r="E1842" s="100" t="s">
        <v>80</v>
      </c>
      <c r="F1842" s="100" t="s">
        <v>4207</v>
      </c>
      <c r="G1842" s="100" t="s">
        <v>751</v>
      </c>
      <c r="H1842" s="99" t="s">
        <v>126</v>
      </c>
      <c r="I1842" s="247">
        <v>33169</v>
      </c>
      <c r="J1842" s="101">
        <v>1</v>
      </c>
      <c r="K1842" s="101"/>
      <c r="L1842" s="101">
        <v>1</v>
      </c>
      <c r="M1842" s="101"/>
      <c r="N1842" s="101">
        <v>1</v>
      </c>
      <c r="O1842" s="101"/>
      <c r="P1842" s="101"/>
      <c r="Q1842" s="101"/>
      <c r="R1842" s="101"/>
      <c r="S1842" s="101"/>
      <c r="T1842" s="101"/>
      <c r="U1842" s="99" t="s">
        <v>3919</v>
      </c>
      <c r="V1842" s="99" t="s">
        <v>513</v>
      </c>
      <c r="W1842" s="99" t="s">
        <v>279</v>
      </c>
      <c r="X1842" s="100" t="s">
        <v>227</v>
      </c>
      <c r="Y1842" s="99"/>
      <c r="Z1842" s="99"/>
      <c r="AA1842" s="100" t="s">
        <v>1961</v>
      </c>
      <c r="AB1842" s="99" t="s">
        <v>528</v>
      </c>
      <c r="AC1842" s="101">
        <v>1</v>
      </c>
      <c r="AD1842" s="101"/>
      <c r="AE1842" s="101"/>
      <c r="AF1842" s="101"/>
      <c r="AG1842" s="101"/>
      <c r="AH1842" s="99"/>
      <c r="AI1842" s="105"/>
    </row>
    <row r="1843" spans="1:35">
      <c r="A1843" s="98"/>
      <c r="B1843" s="99"/>
      <c r="C1843" s="99"/>
      <c r="D1843" s="99"/>
      <c r="E1843" s="99"/>
      <c r="F1843" s="100"/>
      <c r="G1843" s="100"/>
      <c r="H1843" s="99"/>
      <c r="I1843" s="247"/>
      <c r="J1843" s="101"/>
      <c r="K1843" s="101"/>
      <c r="L1843" s="101"/>
      <c r="M1843" s="101"/>
      <c r="N1843" s="101"/>
      <c r="O1843" s="101"/>
      <c r="P1843" s="101"/>
      <c r="Q1843" s="101"/>
      <c r="R1843" s="101"/>
      <c r="S1843" s="101"/>
      <c r="T1843" s="101"/>
      <c r="U1843" s="99"/>
      <c r="V1843" s="99"/>
      <c r="W1843" s="99"/>
      <c r="X1843" s="99"/>
      <c r="Y1843" s="99"/>
      <c r="Z1843" s="99"/>
      <c r="AA1843" s="100" t="s">
        <v>1792</v>
      </c>
      <c r="AB1843" s="99" t="s">
        <v>526</v>
      </c>
      <c r="AC1843" s="101">
        <v>50</v>
      </c>
      <c r="AD1843" s="101"/>
      <c r="AE1843" s="101"/>
      <c r="AF1843" s="101"/>
      <c r="AG1843" s="101"/>
      <c r="AH1843" s="99"/>
      <c r="AI1843" s="105"/>
    </row>
    <row r="1844" spans="1:35">
      <c r="A1844" s="98"/>
      <c r="B1844" s="99"/>
      <c r="C1844" s="100" t="s">
        <v>4203</v>
      </c>
      <c r="D1844" s="100" t="s">
        <v>79</v>
      </c>
      <c r="E1844" s="100" t="s">
        <v>80</v>
      </c>
      <c r="F1844" s="100" t="s">
        <v>4207</v>
      </c>
      <c r="G1844" s="100" t="s">
        <v>405</v>
      </c>
      <c r="H1844" s="99" t="s">
        <v>588</v>
      </c>
      <c r="I1844" s="247">
        <v>19254</v>
      </c>
      <c r="J1844" s="101">
        <v>1</v>
      </c>
      <c r="K1844" s="101"/>
      <c r="L1844" s="101">
        <v>1</v>
      </c>
      <c r="M1844" s="101"/>
      <c r="N1844" s="101">
        <v>1</v>
      </c>
      <c r="O1844" s="101"/>
      <c r="P1844" s="101"/>
      <c r="Q1844" s="101"/>
      <c r="R1844" s="101"/>
      <c r="S1844" s="101"/>
      <c r="T1844" s="101"/>
      <c r="U1844" s="99" t="s">
        <v>3919</v>
      </c>
      <c r="V1844" s="99" t="s">
        <v>513</v>
      </c>
      <c r="W1844" s="99" t="s">
        <v>279</v>
      </c>
      <c r="X1844" s="100" t="s">
        <v>227</v>
      </c>
      <c r="Y1844" s="99"/>
      <c r="Z1844" s="99"/>
      <c r="AA1844" s="100" t="s">
        <v>1961</v>
      </c>
      <c r="AB1844" s="99" t="s">
        <v>528</v>
      </c>
      <c r="AC1844" s="101">
        <v>1</v>
      </c>
      <c r="AD1844" s="101"/>
      <c r="AE1844" s="101"/>
      <c r="AF1844" s="101"/>
      <c r="AG1844" s="101"/>
      <c r="AH1844" s="99"/>
      <c r="AI1844" s="105"/>
    </row>
    <row r="1845" spans="1:35">
      <c r="A1845" s="98"/>
      <c r="B1845" s="99"/>
      <c r="C1845" s="99"/>
      <c r="D1845" s="99"/>
      <c r="E1845" s="99"/>
      <c r="F1845" s="100"/>
      <c r="G1845" s="100"/>
      <c r="H1845" s="99"/>
      <c r="I1845" s="247"/>
      <c r="J1845" s="101"/>
      <c r="K1845" s="101"/>
      <c r="L1845" s="101"/>
      <c r="M1845" s="101"/>
      <c r="N1845" s="101"/>
      <c r="O1845" s="101"/>
      <c r="P1845" s="101"/>
      <c r="Q1845" s="101"/>
      <c r="R1845" s="101"/>
      <c r="S1845" s="101"/>
      <c r="T1845" s="101"/>
      <c r="U1845" s="99"/>
      <c r="V1845" s="99"/>
      <c r="W1845" s="99"/>
      <c r="X1845" s="99"/>
      <c r="Y1845" s="99"/>
      <c r="Z1845" s="99"/>
      <c r="AA1845" s="100" t="s">
        <v>1792</v>
      </c>
      <c r="AB1845" s="99" t="s">
        <v>526</v>
      </c>
      <c r="AC1845" s="101">
        <v>50</v>
      </c>
      <c r="AD1845" s="101"/>
      <c r="AE1845" s="101"/>
      <c r="AF1845" s="101"/>
      <c r="AG1845" s="101"/>
      <c r="AH1845" s="99"/>
      <c r="AI1845" s="105"/>
    </row>
    <row r="1846" spans="1:35">
      <c r="A1846" s="98"/>
      <c r="B1846" s="99"/>
      <c r="C1846" s="100" t="s">
        <v>4203</v>
      </c>
      <c r="D1846" s="100" t="s">
        <v>79</v>
      </c>
      <c r="E1846" s="100" t="s">
        <v>80</v>
      </c>
      <c r="F1846" s="100" t="s">
        <v>406</v>
      </c>
      <c r="G1846" s="100" t="s">
        <v>724</v>
      </c>
      <c r="H1846" s="99" t="s">
        <v>286</v>
      </c>
      <c r="I1846" s="247">
        <v>32886</v>
      </c>
      <c r="J1846" s="101"/>
      <c r="K1846" s="101">
        <v>1</v>
      </c>
      <c r="L1846" s="101">
        <v>1</v>
      </c>
      <c r="M1846" s="101"/>
      <c r="N1846" s="101">
        <v>1</v>
      </c>
      <c r="O1846" s="101"/>
      <c r="P1846" s="101"/>
      <c r="Q1846" s="101"/>
      <c r="R1846" s="101"/>
      <c r="S1846" s="101"/>
      <c r="T1846" s="101"/>
      <c r="U1846" s="99" t="s">
        <v>3919</v>
      </c>
      <c r="V1846" s="99" t="s">
        <v>513</v>
      </c>
      <c r="W1846" s="99" t="s">
        <v>279</v>
      </c>
      <c r="X1846" s="100" t="s">
        <v>227</v>
      </c>
      <c r="Y1846" s="99">
        <v>9072770599</v>
      </c>
      <c r="Z1846" s="99"/>
      <c r="AA1846" s="100" t="s">
        <v>1961</v>
      </c>
      <c r="AB1846" s="99" t="s">
        <v>528</v>
      </c>
      <c r="AC1846" s="101">
        <v>1</v>
      </c>
      <c r="AD1846" s="101"/>
      <c r="AE1846" s="101"/>
      <c r="AF1846" s="101"/>
      <c r="AG1846" s="101"/>
      <c r="AH1846" s="99"/>
      <c r="AI1846" s="105"/>
    </row>
    <row r="1847" spans="1:35">
      <c r="A1847" s="98"/>
      <c r="B1847" s="99"/>
      <c r="C1847" s="99"/>
      <c r="D1847" s="99"/>
      <c r="E1847" s="99"/>
      <c r="F1847" s="100"/>
      <c r="G1847" s="100"/>
      <c r="H1847" s="99"/>
      <c r="I1847" s="247"/>
      <c r="J1847" s="101"/>
      <c r="K1847" s="101"/>
      <c r="L1847" s="101"/>
      <c r="M1847" s="101"/>
      <c r="N1847" s="101"/>
      <c r="O1847" s="101"/>
      <c r="P1847" s="101"/>
      <c r="Q1847" s="101"/>
      <c r="R1847" s="101"/>
      <c r="S1847" s="101"/>
      <c r="T1847" s="101"/>
      <c r="U1847" s="99"/>
      <c r="V1847" s="99"/>
      <c r="W1847" s="99"/>
      <c r="X1847" s="99"/>
      <c r="Y1847" s="99"/>
      <c r="Z1847" s="99"/>
      <c r="AA1847" s="100" t="s">
        <v>1792</v>
      </c>
      <c r="AB1847" s="99" t="s">
        <v>526</v>
      </c>
      <c r="AC1847" s="101">
        <v>50</v>
      </c>
      <c r="AD1847" s="101"/>
      <c r="AE1847" s="101"/>
      <c r="AF1847" s="101"/>
      <c r="AG1847" s="101"/>
      <c r="AH1847" s="99"/>
      <c r="AI1847" s="105"/>
    </row>
    <row r="1848" spans="1:35">
      <c r="A1848" s="98"/>
      <c r="B1848" s="99"/>
      <c r="C1848" s="100" t="s">
        <v>4203</v>
      </c>
      <c r="D1848" s="100" t="s">
        <v>79</v>
      </c>
      <c r="E1848" s="100" t="s">
        <v>80</v>
      </c>
      <c r="F1848" s="100" t="s">
        <v>171</v>
      </c>
      <c r="G1848" s="100" t="s">
        <v>4220</v>
      </c>
      <c r="H1848" s="99" t="s">
        <v>126</v>
      </c>
      <c r="I1848" s="247">
        <v>35201</v>
      </c>
      <c r="J1848" s="101"/>
      <c r="K1848" s="101">
        <v>1</v>
      </c>
      <c r="L1848" s="101">
        <v>1</v>
      </c>
      <c r="M1848" s="101"/>
      <c r="N1848" s="101">
        <v>1</v>
      </c>
      <c r="O1848" s="101"/>
      <c r="P1848" s="101"/>
      <c r="Q1848" s="101"/>
      <c r="R1848" s="101"/>
      <c r="S1848" s="101"/>
      <c r="T1848" s="101"/>
      <c r="U1848" s="99" t="s">
        <v>3919</v>
      </c>
      <c r="V1848" s="99" t="s">
        <v>513</v>
      </c>
      <c r="W1848" s="99" t="s">
        <v>279</v>
      </c>
      <c r="X1848" s="100" t="s">
        <v>227</v>
      </c>
      <c r="Y1848" s="99">
        <v>9754062084</v>
      </c>
      <c r="Z1848" s="99"/>
      <c r="AA1848" s="100" t="s">
        <v>1961</v>
      </c>
      <c r="AB1848" s="99" t="s">
        <v>528</v>
      </c>
      <c r="AC1848" s="101">
        <v>1</v>
      </c>
      <c r="AD1848" s="101"/>
      <c r="AE1848" s="101"/>
      <c r="AF1848" s="101"/>
      <c r="AG1848" s="101"/>
      <c r="AH1848" s="99"/>
      <c r="AI1848" s="105"/>
    </row>
    <row r="1849" spans="1:35">
      <c r="A1849" s="98"/>
      <c r="B1849" s="99"/>
      <c r="C1849" s="99"/>
      <c r="D1849" s="99"/>
      <c r="E1849" s="99"/>
      <c r="F1849" s="100"/>
      <c r="G1849" s="100"/>
      <c r="H1849" s="99"/>
      <c r="I1849" s="247"/>
      <c r="J1849" s="101"/>
      <c r="K1849" s="101"/>
      <c r="L1849" s="101"/>
      <c r="M1849" s="101"/>
      <c r="N1849" s="101"/>
      <c r="O1849" s="101"/>
      <c r="P1849" s="101"/>
      <c r="Q1849" s="101"/>
      <c r="R1849" s="101"/>
      <c r="S1849" s="101"/>
      <c r="T1849" s="101"/>
      <c r="U1849" s="99"/>
      <c r="V1849" s="99"/>
      <c r="W1849" s="99"/>
      <c r="X1849" s="99"/>
      <c r="Y1849" s="99"/>
      <c r="Z1849" s="99"/>
      <c r="AA1849" s="100" t="s">
        <v>1792</v>
      </c>
      <c r="AB1849" s="99" t="s">
        <v>526</v>
      </c>
      <c r="AC1849" s="101">
        <v>50</v>
      </c>
      <c r="AD1849" s="101"/>
      <c r="AE1849" s="101"/>
      <c r="AF1849" s="101"/>
      <c r="AG1849" s="101"/>
      <c r="AH1849" s="99"/>
      <c r="AI1849" s="105"/>
    </row>
    <row r="1850" spans="1:35">
      <c r="A1850" s="98"/>
      <c r="B1850" s="99"/>
      <c r="C1850" s="100" t="s">
        <v>4203</v>
      </c>
      <c r="D1850" s="100" t="s">
        <v>79</v>
      </c>
      <c r="E1850" s="100" t="s">
        <v>80</v>
      </c>
      <c r="F1850" s="100" t="s">
        <v>3330</v>
      </c>
      <c r="G1850" s="100" t="s">
        <v>498</v>
      </c>
      <c r="H1850" s="99" t="s">
        <v>421</v>
      </c>
      <c r="I1850" s="247">
        <v>27457</v>
      </c>
      <c r="J1850" s="101"/>
      <c r="K1850" s="101">
        <v>1</v>
      </c>
      <c r="L1850" s="101">
        <v>1</v>
      </c>
      <c r="M1850" s="101"/>
      <c r="N1850" s="101">
        <v>1</v>
      </c>
      <c r="O1850" s="101"/>
      <c r="P1850" s="101"/>
      <c r="Q1850" s="101"/>
      <c r="R1850" s="101"/>
      <c r="S1850" s="101"/>
      <c r="T1850" s="101"/>
      <c r="U1850" s="99" t="s">
        <v>3919</v>
      </c>
      <c r="V1850" s="99" t="s">
        <v>513</v>
      </c>
      <c r="W1850" s="99" t="s">
        <v>279</v>
      </c>
      <c r="X1850" s="100" t="s">
        <v>227</v>
      </c>
      <c r="Y1850" s="99"/>
      <c r="Z1850" s="99"/>
      <c r="AA1850" s="100" t="s">
        <v>1961</v>
      </c>
      <c r="AB1850" s="99" t="s">
        <v>528</v>
      </c>
      <c r="AC1850" s="101">
        <v>1</v>
      </c>
      <c r="AD1850" s="101"/>
      <c r="AE1850" s="101"/>
      <c r="AF1850" s="101"/>
      <c r="AG1850" s="101"/>
      <c r="AH1850" s="99"/>
      <c r="AI1850" s="105"/>
    </row>
    <row r="1851" spans="1:35">
      <c r="A1851" s="98"/>
      <c r="B1851" s="99"/>
      <c r="C1851" s="99"/>
      <c r="D1851" s="99"/>
      <c r="E1851" s="99"/>
      <c r="F1851" s="100"/>
      <c r="G1851" s="100"/>
      <c r="H1851" s="99"/>
      <c r="I1851" s="247"/>
      <c r="J1851" s="101"/>
      <c r="K1851" s="101"/>
      <c r="L1851" s="101"/>
      <c r="M1851" s="101"/>
      <c r="N1851" s="101"/>
      <c r="O1851" s="101"/>
      <c r="P1851" s="101"/>
      <c r="Q1851" s="101"/>
      <c r="R1851" s="101"/>
      <c r="S1851" s="101"/>
      <c r="T1851" s="101"/>
      <c r="U1851" s="99"/>
      <c r="V1851" s="99"/>
      <c r="W1851" s="99"/>
      <c r="X1851" s="99"/>
      <c r="Y1851" s="99"/>
      <c r="Z1851" s="99"/>
      <c r="AA1851" s="100" t="s">
        <v>1792</v>
      </c>
      <c r="AB1851" s="99" t="s">
        <v>526</v>
      </c>
      <c r="AC1851" s="101">
        <v>50</v>
      </c>
      <c r="AD1851" s="101"/>
      <c r="AE1851" s="101"/>
      <c r="AF1851" s="101"/>
      <c r="AG1851" s="101"/>
      <c r="AH1851" s="99"/>
      <c r="AI1851" s="105"/>
    </row>
    <row r="1852" spans="1:35">
      <c r="A1852" s="98"/>
      <c r="B1852" s="99"/>
      <c r="C1852" s="100" t="s">
        <v>4203</v>
      </c>
      <c r="D1852" s="100" t="s">
        <v>79</v>
      </c>
      <c r="E1852" s="100" t="s">
        <v>80</v>
      </c>
      <c r="F1852" s="100" t="s">
        <v>4216</v>
      </c>
      <c r="G1852" s="100" t="s">
        <v>2590</v>
      </c>
      <c r="H1852" s="99" t="s">
        <v>120</v>
      </c>
      <c r="I1852" s="247">
        <v>31863</v>
      </c>
      <c r="J1852" s="101">
        <v>1</v>
      </c>
      <c r="K1852" s="101"/>
      <c r="L1852" s="101">
        <v>1</v>
      </c>
      <c r="M1852" s="101"/>
      <c r="N1852" s="101">
        <v>1</v>
      </c>
      <c r="O1852" s="101"/>
      <c r="P1852" s="101">
        <v>1</v>
      </c>
      <c r="Q1852" s="101"/>
      <c r="R1852" s="101"/>
      <c r="S1852" s="101"/>
      <c r="T1852" s="101"/>
      <c r="U1852" s="99" t="s">
        <v>3919</v>
      </c>
      <c r="V1852" s="99" t="s">
        <v>513</v>
      </c>
      <c r="W1852" s="99" t="s">
        <v>279</v>
      </c>
      <c r="X1852" s="100" t="s">
        <v>227</v>
      </c>
      <c r="Y1852" s="99"/>
      <c r="Z1852" s="99"/>
      <c r="AA1852" s="100" t="s">
        <v>1961</v>
      </c>
      <c r="AB1852" s="99" t="s">
        <v>528</v>
      </c>
      <c r="AC1852" s="101">
        <v>1</v>
      </c>
      <c r="AD1852" s="101"/>
      <c r="AE1852" s="101"/>
      <c r="AF1852" s="101"/>
      <c r="AG1852" s="101"/>
      <c r="AH1852" s="99"/>
      <c r="AI1852" s="105"/>
    </row>
    <row r="1853" spans="1:35">
      <c r="A1853" s="98"/>
      <c r="B1853" s="99"/>
      <c r="C1853" s="99"/>
      <c r="D1853" s="99"/>
      <c r="E1853" s="99"/>
      <c r="F1853" s="100"/>
      <c r="G1853" s="100"/>
      <c r="H1853" s="99"/>
      <c r="I1853" s="247"/>
      <c r="J1853" s="101"/>
      <c r="K1853" s="101"/>
      <c r="L1853" s="101"/>
      <c r="M1853" s="101"/>
      <c r="N1853" s="101"/>
      <c r="O1853" s="101"/>
      <c r="P1853" s="101"/>
      <c r="Q1853" s="101"/>
      <c r="R1853" s="101"/>
      <c r="S1853" s="101"/>
      <c r="T1853" s="101"/>
      <c r="U1853" s="99"/>
      <c r="V1853" s="99"/>
      <c r="W1853" s="99"/>
      <c r="X1853" s="99"/>
      <c r="Y1853" s="99"/>
      <c r="Z1853" s="99"/>
      <c r="AA1853" s="100" t="s">
        <v>1792</v>
      </c>
      <c r="AB1853" s="99" t="s">
        <v>526</v>
      </c>
      <c r="AC1853" s="101">
        <v>50</v>
      </c>
      <c r="AD1853" s="101"/>
      <c r="AE1853" s="101"/>
      <c r="AF1853" s="101"/>
      <c r="AG1853" s="101"/>
      <c r="AH1853" s="99"/>
      <c r="AI1853" s="105"/>
    </row>
    <row r="1854" spans="1:35">
      <c r="A1854" s="98"/>
      <c r="B1854" s="99"/>
      <c r="C1854" s="100" t="s">
        <v>4203</v>
      </c>
      <c r="D1854" s="100" t="s">
        <v>79</v>
      </c>
      <c r="E1854" s="100" t="s">
        <v>80</v>
      </c>
      <c r="F1854" s="100" t="s">
        <v>3426</v>
      </c>
      <c r="G1854" s="100" t="s">
        <v>648</v>
      </c>
      <c r="H1854" s="99" t="s">
        <v>120</v>
      </c>
      <c r="I1854" s="247">
        <v>30080</v>
      </c>
      <c r="J1854" s="101"/>
      <c r="K1854" s="101">
        <v>1</v>
      </c>
      <c r="L1854" s="101">
        <v>1</v>
      </c>
      <c r="M1854" s="101"/>
      <c r="N1854" s="101">
        <v>1</v>
      </c>
      <c r="O1854" s="101"/>
      <c r="P1854" s="101"/>
      <c r="Q1854" s="101"/>
      <c r="R1854" s="101"/>
      <c r="S1854" s="101"/>
      <c r="T1854" s="101"/>
      <c r="U1854" s="99" t="s">
        <v>3919</v>
      </c>
      <c r="V1854" s="99" t="s">
        <v>513</v>
      </c>
      <c r="W1854" s="99" t="s">
        <v>279</v>
      </c>
      <c r="X1854" s="100" t="s">
        <v>227</v>
      </c>
      <c r="Y1854" s="99"/>
      <c r="Z1854" s="99"/>
      <c r="AA1854" s="100" t="s">
        <v>1961</v>
      </c>
      <c r="AB1854" s="99" t="s">
        <v>528</v>
      </c>
      <c r="AC1854" s="101">
        <v>1</v>
      </c>
      <c r="AD1854" s="101"/>
      <c r="AE1854" s="101"/>
      <c r="AF1854" s="101"/>
      <c r="AG1854" s="101"/>
      <c r="AH1854" s="99"/>
      <c r="AI1854" s="105"/>
    </row>
    <row r="1855" spans="1:35">
      <c r="A1855" s="98"/>
      <c r="B1855" s="99"/>
      <c r="C1855" s="99"/>
      <c r="D1855" s="99"/>
      <c r="E1855" s="99"/>
      <c r="F1855" s="100"/>
      <c r="G1855" s="100"/>
      <c r="H1855" s="99"/>
      <c r="I1855" s="247"/>
      <c r="J1855" s="101"/>
      <c r="K1855" s="101"/>
      <c r="L1855" s="101"/>
      <c r="M1855" s="101"/>
      <c r="N1855" s="101"/>
      <c r="O1855" s="101"/>
      <c r="P1855" s="101"/>
      <c r="Q1855" s="101"/>
      <c r="R1855" s="101"/>
      <c r="S1855" s="101"/>
      <c r="T1855" s="101"/>
      <c r="U1855" s="99"/>
      <c r="V1855" s="99"/>
      <c r="W1855" s="99"/>
      <c r="X1855" s="99"/>
      <c r="Y1855" s="99"/>
      <c r="Z1855" s="99"/>
      <c r="AA1855" s="100" t="s">
        <v>1792</v>
      </c>
      <c r="AB1855" s="99" t="s">
        <v>526</v>
      </c>
      <c r="AC1855" s="101">
        <v>50</v>
      </c>
      <c r="AD1855" s="101"/>
      <c r="AE1855" s="101"/>
      <c r="AF1855" s="101"/>
      <c r="AG1855" s="101"/>
      <c r="AH1855" s="99"/>
      <c r="AI1855" s="105"/>
    </row>
    <row r="1856" spans="1:35">
      <c r="A1856" s="98"/>
      <c r="B1856" s="99"/>
      <c r="C1856" s="100" t="s">
        <v>4203</v>
      </c>
      <c r="D1856" s="100" t="s">
        <v>79</v>
      </c>
      <c r="E1856" s="100" t="s">
        <v>80</v>
      </c>
      <c r="F1856" s="100" t="s">
        <v>4221</v>
      </c>
      <c r="G1856" s="100" t="s">
        <v>181</v>
      </c>
      <c r="H1856" s="99" t="s">
        <v>144</v>
      </c>
      <c r="I1856" s="247">
        <v>26202</v>
      </c>
      <c r="J1856" s="101">
        <v>1</v>
      </c>
      <c r="K1856" s="101"/>
      <c r="L1856" s="101">
        <v>1</v>
      </c>
      <c r="M1856" s="101"/>
      <c r="N1856" s="101">
        <v>1</v>
      </c>
      <c r="O1856" s="101"/>
      <c r="P1856" s="101"/>
      <c r="Q1856" s="101"/>
      <c r="R1856" s="101"/>
      <c r="S1856" s="101"/>
      <c r="T1856" s="101"/>
      <c r="U1856" s="99" t="s">
        <v>3919</v>
      </c>
      <c r="V1856" s="99" t="s">
        <v>513</v>
      </c>
      <c r="W1856" s="99" t="s">
        <v>279</v>
      </c>
      <c r="X1856" s="100" t="s">
        <v>227</v>
      </c>
      <c r="Y1856" s="99"/>
      <c r="Z1856" s="99"/>
      <c r="AA1856" s="100" t="s">
        <v>1961</v>
      </c>
      <c r="AB1856" s="99" t="s">
        <v>528</v>
      </c>
      <c r="AC1856" s="101">
        <v>1</v>
      </c>
      <c r="AD1856" s="101"/>
      <c r="AE1856" s="101"/>
      <c r="AF1856" s="101"/>
      <c r="AG1856" s="101"/>
      <c r="AH1856" s="99"/>
      <c r="AI1856" s="105"/>
    </row>
    <row r="1857" spans="1:35">
      <c r="A1857" s="98"/>
      <c r="B1857" s="99"/>
      <c r="C1857" s="99"/>
      <c r="D1857" s="99"/>
      <c r="E1857" s="99"/>
      <c r="F1857" s="100"/>
      <c r="G1857" s="100"/>
      <c r="H1857" s="99"/>
      <c r="I1857" s="247"/>
      <c r="J1857" s="101"/>
      <c r="K1857" s="101"/>
      <c r="L1857" s="101"/>
      <c r="M1857" s="101"/>
      <c r="N1857" s="101"/>
      <c r="O1857" s="101"/>
      <c r="P1857" s="101"/>
      <c r="Q1857" s="101"/>
      <c r="R1857" s="101"/>
      <c r="S1857" s="101"/>
      <c r="T1857" s="101"/>
      <c r="U1857" s="99"/>
      <c r="V1857" s="99"/>
      <c r="W1857" s="99"/>
      <c r="X1857" s="99"/>
      <c r="Y1857" s="99"/>
      <c r="Z1857" s="99"/>
      <c r="AA1857" s="100" t="s">
        <v>1792</v>
      </c>
      <c r="AB1857" s="99" t="s">
        <v>526</v>
      </c>
      <c r="AC1857" s="101">
        <v>50</v>
      </c>
      <c r="AD1857" s="101"/>
      <c r="AE1857" s="101"/>
      <c r="AF1857" s="101"/>
      <c r="AG1857" s="101"/>
      <c r="AH1857" s="99"/>
      <c r="AI1857" s="105"/>
    </row>
    <row r="1858" spans="1:35">
      <c r="A1858" s="98"/>
      <c r="B1858" s="99"/>
      <c r="C1858" s="100" t="s">
        <v>4203</v>
      </c>
      <c r="D1858" s="100" t="s">
        <v>79</v>
      </c>
      <c r="E1858" s="100" t="s">
        <v>80</v>
      </c>
      <c r="F1858" s="100" t="s">
        <v>3787</v>
      </c>
      <c r="G1858" s="100" t="s">
        <v>4222</v>
      </c>
      <c r="H1858" s="99" t="s">
        <v>120</v>
      </c>
      <c r="I1858" s="247">
        <v>24095</v>
      </c>
      <c r="J1858" s="101">
        <v>1</v>
      </c>
      <c r="K1858" s="101"/>
      <c r="L1858" s="101">
        <v>1</v>
      </c>
      <c r="M1858" s="101"/>
      <c r="N1858" s="101"/>
      <c r="O1858" s="101"/>
      <c r="P1858" s="101"/>
      <c r="Q1858" s="101"/>
      <c r="R1858" s="101"/>
      <c r="S1858" s="101"/>
      <c r="T1858" s="101"/>
      <c r="U1858" s="99" t="s">
        <v>3919</v>
      </c>
      <c r="V1858" s="99" t="s">
        <v>513</v>
      </c>
      <c r="W1858" s="99" t="s">
        <v>279</v>
      </c>
      <c r="X1858" s="100" t="s">
        <v>227</v>
      </c>
      <c r="Y1858" s="99">
        <v>9485152108</v>
      </c>
      <c r="Z1858" s="99"/>
      <c r="AA1858" s="100" t="s">
        <v>1961</v>
      </c>
      <c r="AB1858" s="99" t="s">
        <v>528</v>
      </c>
      <c r="AC1858" s="101">
        <v>1</v>
      </c>
      <c r="AD1858" s="101"/>
      <c r="AE1858" s="101"/>
      <c r="AF1858" s="101"/>
      <c r="AG1858" s="101"/>
      <c r="AH1858" s="99"/>
      <c r="AI1858" s="105"/>
    </row>
    <row r="1859" spans="1:35">
      <c r="A1859" s="98"/>
      <c r="B1859" s="99"/>
      <c r="C1859" s="99"/>
      <c r="D1859" s="99"/>
      <c r="E1859" s="99"/>
      <c r="F1859" s="100"/>
      <c r="G1859" s="100"/>
      <c r="H1859" s="99"/>
      <c r="I1859" s="247"/>
      <c r="J1859" s="101"/>
      <c r="K1859" s="101"/>
      <c r="L1859" s="101"/>
      <c r="M1859" s="101"/>
      <c r="N1859" s="101"/>
      <c r="O1859" s="101"/>
      <c r="P1859" s="101"/>
      <c r="Q1859" s="101"/>
      <c r="R1859" s="101"/>
      <c r="S1859" s="101"/>
      <c r="T1859" s="101"/>
      <c r="U1859" s="99"/>
      <c r="V1859" s="99"/>
      <c r="W1859" s="99"/>
      <c r="X1859" s="99"/>
      <c r="Y1859" s="99"/>
      <c r="Z1859" s="99"/>
      <c r="AA1859" s="100" t="s">
        <v>1792</v>
      </c>
      <c r="AB1859" s="99" t="s">
        <v>526</v>
      </c>
      <c r="AC1859" s="101">
        <v>50</v>
      </c>
      <c r="AD1859" s="101"/>
      <c r="AE1859" s="101"/>
      <c r="AF1859" s="101"/>
      <c r="AG1859" s="101"/>
      <c r="AH1859" s="99"/>
      <c r="AI1859" s="105"/>
    </row>
    <row r="1860" spans="1:35">
      <c r="A1860" s="98"/>
      <c r="B1860" s="99"/>
      <c r="C1860" s="100" t="s">
        <v>4203</v>
      </c>
      <c r="D1860" s="100" t="s">
        <v>79</v>
      </c>
      <c r="E1860" s="100" t="s">
        <v>80</v>
      </c>
      <c r="F1860" s="100" t="s">
        <v>4211</v>
      </c>
      <c r="G1860" s="100" t="s">
        <v>4223</v>
      </c>
      <c r="H1860" s="99" t="s">
        <v>409</v>
      </c>
      <c r="I1860" s="247">
        <v>22532</v>
      </c>
      <c r="J1860" s="101"/>
      <c r="K1860" s="101">
        <v>1</v>
      </c>
      <c r="L1860" s="101">
        <v>1</v>
      </c>
      <c r="M1860" s="101"/>
      <c r="N1860" s="101">
        <v>1</v>
      </c>
      <c r="O1860" s="101"/>
      <c r="P1860" s="101"/>
      <c r="Q1860" s="101"/>
      <c r="R1860" s="101"/>
      <c r="S1860" s="101"/>
      <c r="T1860" s="101"/>
      <c r="U1860" s="99" t="s">
        <v>3919</v>
      </c>
      <c r="V1860" s="99" t="s">
        <v>513</v>
      </c>
      <c r="W1860" s="99" t="s">
        <v>279</v>
      </c>
      <c r="X1860" s="100" t="s">
        <v>227</v>
      </c>
      <c r="Y1860" s="99">
        <v>9354606403</v>
      </c>
      <c r="Z1860" s="99"/>
      <c r="AA1860" s="100" t="s">
        <v>1961</v>
      </c>
      <c r="AB1860" s="99" t="s">
        <v>528</v>
      </c>
      <c r="AC1860" s="101">
        <v>1</v>
      </c>
      <c r="AD1860" s="101"/>
      <c r="AE1860" s="101"/>
      <c r="AF1860" s="101"/>
      <c r="AG1860" s="101"/>
      <c r="AH1860" s="99"/>
      <c r="AI1860" s="105"/>
    </row>
    <row r="1861" spans="1:35">
      <c r="A1861" s="98"/>
      <c r="B1861" s="99"/>
      <c r="C1861" s="99"/>
      <c r="D1861" s="99"/>
      <c r="E1861" s="99"/>
      <c r="F1861" s="100"/>
      <c r="G1861" s="100"/>
      <c r="H1861" s="99"/>
      <c r="I1861" s="247"/>
      <c r="J1861" s="101"/>
      <c r="K1861" s="101"/>
      <c r="L1861" s="101"/>
      <c r="M1861" s="101"/>
      <c r="N1861" s="101"/>
      <c r="O1861" s="101"/>
      <c r="P1861" s="101"/>
      <c r="Q1861" s="101"/>
      <c r="R1861" s="101"/>
      <c r="S1861" s="101"/>
      <c r="T1861" s="101"/>
      <c r="U1861" s="99"/>
      <c r="V1861" s="99"/>
      <c r="W1861" s="99"/>
      <c r="X1861" s="99"/>
      <c r="Y1861" s="99"/>
      <c r="Z1861" s="99"/>
      <c r="AA1861" s="100" t="s">
        <v>1792</v>
      </c>
      <c r="AB1861" s="99" t="s">
        <v>526</v>
      </c>
      <c r="AC1861" s="101">
        <v>50</v>
      </c>
      <c r="AD1861" s="101"/>
      <c r="AE1861" s="101"/>
      <c r="AF1861" s="101"/>
      <c r="AG1861" s="101"/>
      <c r="AH1861" s="99"/>
      <c r="AI1861" s="105"/>
    </row>
    <row r="1862" spans="1:35">
      <c r="A1862" s="98"/>
      <c r="B1862" s="99"/>
      <c r="C1862" s="100" t="s">
        <v>4203</v>
      </c>
      <c r="D1862" s="100" t="s">
        <v>79</v>
      </c>
      <c r="E1862" s="100" t="s">
        <v>80</v>
      </c>
      <c r="F1862" s="100" t="s">
        <v>4224</v>
      </c>
      <c r="G1862" s="100" t="s">
        <v>1992</v>
      </c>
      <c r="H1862" s="99" t="s">
        <v>115</v>
      </c>
      <c r="I1862" s="247">
        <v>33703</v>
      </c>
      <c r="J1862" s="101"/>
      <c r="K1862" s="101">
        <v>1</v>
      </c>
      <c r="L1862" s="101">
        <v>1</v>
      </c>
      <c r="M1862" s="101"/>
      <c r="N1862" s="101">
        <v>1</v>
      </c>
      <c r="O1862" s="101"/>
      <c r="P1862" s="101"/>
      <c r="Q1862" s="101"/>
      <c r="R1862" s="101"/>
      <c r="S1862" s="101"/>
      <c r="T1862" s="101"/>
      <c r="U1862" s="99" t="s">
        <v>3919</v>
      </c>
      <c r="V1862" s="99" t="s">
        <v>513</v>
      </c>
      <c r="W1862" s="99" t="s">
        <v>279</v>
      </c>
      <c r="X1862" s="100" t="s">
        <v>227</v>
      </c>
      <c r="Y1862" s="99"/>
      <c r="Z1862" s="99"/>
      <c r="AA1862" s="100" t="s">
        <v>1961</v>
      </c>
      <c r="AB1862" s="99" t="s">
        <v>528</v>
      </c>
      <c r="AC1862" s="101">
        <v>1</v>
      </c>
      <c r="AD1862" s="101"/>
      <c r="AE1862" s="101"/>
      <c r="AF1862" s="101"/>
      <c r="AG1862" s="101"/>
      <c r="AH1862" s="99"/>
      <c r="AI1862" s="105"/>
    </row>
    <row r="1863" spans="1:35">
      <c r="A1863" s="98"/>
      <c r="B1863" s="99"/>
      <c r="C1863" s="99"/>
      <c r="D1863" s="99"/>
      <c r="E1863" s="99"/>
      <c r="F1863" s="100"/>
      <c r="G1863" s="100"/>
      <c r="H1863" s="99"/>
      <c r="I1863" s="247"/>
      <c r="J1863" s="101"/>
      <c r="K1863" s="101"/>
      <c r="L1863" s="101"/>
      <c r="M1863" s="101"/>
      <c r="N1863" s="101"/>
      <c r="O1863" s="101"/>
      <c r="P1863" s="101"/>
      <c r="Q1863" s="101"/>
      <c r="R1863" s="101"/>
      <c r="S1863" s="101"/>
      <c r="T1863" s="101"/>
      <c r="U1863" s="99"/>
      <c r="V1863" s="99"/>
      <c r="W1863" s="99"/>
      <c r="X1863" s="99"/>
      <c r="Y1863" s="99"/>
      <c r="Z1863" s="99"/>
      <c r="AA1863" s="100" t="s">
        <v>1792</v>
      </c>
      <c r="AB1863" s="99" t="s">
        <v>526</v>
      </c>
      <c r="AC1863" s="101">
        <v>50</v>
      </c>
      <c r="AD1863" s="101"/>
      <c r="AE1863" s="101"/>
      <c r="AF1863" s="101"/>
      <c r="AG1863" s="101"/>
      <c r="AH1863" s="99"/>
      <c r="AI1863" s="105"/>
    </row>
    <row r="1864" spans="1:35">
      <c r="A1864" s="98"/>
      <c r="B1864" s="99"/>
      <c r="C1864" s="100" t="s">
        <v>4203</v>
      </c>
      <c r="D1864" s="100" t="s">
        <v>79</v>
      </c>
      <c r="E1864" s="100" t="s">
        <v>80</v>
      </c>
      <c r="F1864" s="100" t="s">
        <v>4208</v>
      </c>
      <c r="G1864" s="100" t="s">
        <v>2085</v>
      </c>
      <c r="H1864" s="99" t="s">
        <v>120</v>
      </c>
      <c r="I1864" s="247">
        <v>27380</v>
      </c>
      <c r="J1864" s="101">
        <v>1</v>
      </c>
      <c r="K1864" s="101"/>
      <c r="L1864" s="101">
        <v>1</v>
      </c>
      <c r="M1864" s="101"/>
      <c r="N1864" s="101">
        <v>1</v>
      </c>
      <c r="O1864" s="101"/>
      <c r="P1864" s="101"/>
      <c r="Q1864" s="101"/>
      <c r="R1864" s="101"/>
      <c r="S1864" s="101"/>
      <c r="T1864" s="101"/>
      <c r="U1864" s="99" t="s">
        <v>3919</v>
      </c>
      <c r="V1864" s="99" t="s">
        <v>513</v>
      </c>
      <c r="W1864" s="99" t="s">
        <v>279</v>
      </c>
      <c r="X1864" s="100" t="s">
        <v>227</v>
      </c>
      <c r="Y1864" s="99">
        <v>9309247462</v>
      </c>
      <c r="Z1864" s="99"/>
      <c r="AA1864" s="100" t="s">
        <v>1961</v>
      </c>
      <c r="AB1864" s="99" t="s">
        <v>528</v>
      </c>
      <c r="AC1864" s="101">
        <v>1</v>
      </c>
      <c r="AD1864" s="101"/>
      <c r="AE1864" s="101"/>
      <c r="AF1864" s="101"/>
      <c r="AG1864" s="101"/>
      <c r="AH1864" s="99"/>
      <c r="AI1864" s="105"/>
    </row>
    <row r="1865" spans="1:35">
      <c r="A1865" s="98"/>
      <c r="B1865" s="99"/>
      <c r="C1865" s="99"/>
      <c r="D1865" s="99"/>
      <c r="E1865" s="99"/>
      <c r="F1865" s="100"/>
      <c r="G1865" s="100"/>
      <c r="H1865" s="99"/>
      <c r="I1865" s="247"/>
      <c r="J1865" s="101"/>
      <c r="K1865" s="101"/>
      <c r="L1865" s="101"/>
      <c r="M1865" s="101"/>
      <c r="N1865" s="101"/>
      <c r="O1865" s="101"/>
      <c r="P1865" s="101"/>
      <c r="Q1865" s="101"/>
      <c r="R1865" s="101"/>
      <c r="S1865" s="101"/>
      <c r="T1865" s="101"/>
      <c r="U1865" s="99"/>
      <c r="V1865" s="99"/>
      <c r="W1865" s="99"/>
      <c r="X1865" s="99"/>
      <c r="Y1865" s="99"/>
      <c r="Z1865" s="99"/>
      <c r="AA1865" s="100" t="s">
        <v>1792</v>
      </c>
      <c r="AB1865" s="99" t="s">
        <v>526</v>
      </c>
      <c r="AC1865" s="101">
        <v>50</v>
      </c>
      <c r="AD1865" s="101"/>
      <c r="AE1865" s="101"/>
      <c r="AF1865" s="101"/>
      <c r="AG1865" s="101"/>
      <c r="AH1865" s="99"/>
      <c r="AI1865" s="105"/>
    </row>
    <row r="1866" spans="1:35">
      <c r="A1866" s="98"/>
      <c r="B1866" s="99"/>
      <c r="C1866" s="100" t="s">
        <v>4203</v>
      </c>
      <c r="D1866" s="100" t="s">
        <v>79</v>
      </c>
      <c r="E1866" s="100" t="s">
        <v>80</v>
      </c>
      <c r="F1866" s="100" t="s">
        <v>608</v>
      </c>
      <c r="G1866" s="100" t="s">
        <v>4225</v>
      </c>
      <c r="H1866" s="99" t="s">
        <v>120</v>
      </c>
      <c r="I1866" s="247">
        <v>27046</v>
      </c>
      <c r="J1866" s="101">
        <v>1</v>
      </c>
      <c r="K1866" s="101"/>
      <c r="L1866" s="101">
        <v>1</v>
      </c>
      <c r="M1866" s="101"/>
      <c r="N1866" s="101">
        <v>1</v>
      </c>
      <c r="O1866" s="101"/>
      <c r="P1866" s="101"/>
      <c r="Q1866" s="101"/>
      <c r="R1866" s="101"/>
      <c r="S1866" s="101"/>
      <c r="T1866" s="101"/>
      <c r="U1866" s="99" t="s">
        <v>3919</v>
      </c>
      <c r="V1866" s="99" t="s">
        <v>513</v>
      </c>
      <c r="W1866" s="99" t="s">
        <v>279</v>
      </c>
      <c r="X1866" s="100" t="s">
        <v>227</v>
      </c>
      <c r="Y1866" s="99">
        <v>9692248636</v>
      </c>
      <c r="Z1866" s="99"/>
      <c r="AA1866" s="100" t="s">
        <v>1961</v>
      </c>
      <c r="AB1866" s="99" t="s">
        <v>528</v>
      </c>
      <c r="AC1866" s="101">
        <v>1</v>
      </c>
      <c r="AD1866" s="101"/>
      <c r="AE1866" s="101"/>
      <c r="AF1866" s="101"/>
      <c r="AG1866" s="101"/>
      <c r="AH1866" s="99"/>
      <c r="AI1866" s="105"/>
    </row>
    <row r="1867" spans="1:35">
      <c r="A1867" s="98"/>
      <c r="B1867" s="99"/>
      <c r="C1867" s="99"/>
      <c r="D1867" s="99"/>
      <c r="E1867" s="99"/>
      <c r="F1867" s="100"/>
      <c r="G1867" s="100"/>
      <c r="H1867" s="99"/>
      <c r="I1867" s="247"/>
      <c r="J1867" s="101"/>
      <c r="K1867" s="101"/>
      <c r="L1867" s="101"/>
      <c r="M1867" s="101"/>
      <c r="N1867" s="101"/>
      <c r="O1867" s="101"/>
      <c r="P1867" s="101"/>
      <c r="Q1867" s="101"/>
      <c r="R1867" s="101"/>
      <c r="S1867" s="101"/>
      <c r="T1867" s="101"/>
      <c r="U1867" s="99"/>
      <c r="V1867" s="99"/>
      <c r="W1867" s="99"/>
      <c r="X1867" s="99"/>
      <c r="Y1867" s="99"/>
      <c r="Z1867" s="99"/>
      <c r="AA1867" s="100" t="s">
        <v>1792</v>
      </c>
      <c r="AB1867" s="99" t="s">
        <v>526</v>
      </c>
      <c r="AC1867" s="101">
        <v>50</v>
      </c>
      <c r="AD1867" s="101"/>
      <c r="AE1867" s="101"/>
      <c r="AF1867" s="101"/>
      <c r="AG1867" s="101"/>
      <c r="AH1867" s="99"/>
      <c r="AI1867" s="105"/>
    </row>
    <row r="1868" spans="1:35">
      <c r="A1868" s="98"/>
      <c r="B1868" s="99"/>
      <c r="C1868" s="100" t="s">
        <v>4203</v>
      </c>
      <c r="D1868" s="100" t="s">
        <v>79</v>
      </c>
      <c r="E1868" s="100" t="s">
        <v>80</v>
      </c>
      <c r="F1868" s="100" t="s">
        <v>4211</v>
      </c>
      <c r="G1868" s="100" t="s">
        <v>789</v>
      </c>
      <c r="H1868" s="99" t="s">
        <v>113</v>
      </c>
      <c r="I1868" s="247">
        <v>25320</v>
      </c>
      <c r="J1868" s="101"/>
      <c r="K1868" s="101">
        <v>1</v>
      </c>
      <c r="L1868" s="101">
        <v>1</v>
      </c>
      <c r="M1868" s="101"/>
      <c r="N1868" s="101">
        <v>1</v>
      </c>
      <c r="O1868" s="101"/>
      <c r="P1868" s="101"/>
      <c r="Q1868" s="101"/>
      <c r="R1868" s="101"/>
      <c r="S1868" s="101"/>
      <c r="T1868" s="101"/>
      <c r="U1868" s="99" t="s">
        <v>3919</v>
      </c>
      <c r="V1868" s="99" t="s">
        <v>513</v>
      </c>
      <c r="W1868" s="99" t="s">
        <v>279</v>
      </c>
      <c r="X1868" s="100" t="s">
        <v>227</v>
      </c>
      <c r="Y1868" s="99"/>
      <c r="Z1868" s="99"/>
      <c r="AA1868" s="100" t="s">
        <v>1961</v>
      </c>
      <c r="AB1868" s="99" t="s">
        <v>528</v>
      </c>
      <c r="AC1868" s="101">
        <v>1</v>
      </c>
      <c r="AD1868" s="101"/>
      <c r="AE1868" s="101"/>
      <c r="AF1868" s="101"/>
      <c r="AG1868" s="101"/>
      <c r="AH1868" s="99"/>
      <c r="AI1868" s="105"/>
    </row>
    <row r="1869" spans="1:35">
      <c r="A1869" s="98"/>
      <c r="B1869" s="99"/>
      <c r="C1869" s="99"/>
      <c r="D1869" s="99"/>
      <c r="E1869" s="99"/>
      <c r="F1869" s="100"/>
      <c r="G1869" s="100"/>
      <c r="H1869" s="99"/>
      <c r="I1869" s="247"/>
      <c r="J1869" s="101"/>
      <c r="K1869" s="101"/>
      <c r="L1869" s="101"/>
      <c r="M1869" s="101"/>
      <c r="N1869" s="101"/>
      <c r="O1869" s="101"/>
      <c r="P1869" s="101"/>
      <c r="Q1869" s="101"/>
      <c r="R1869" s="101"/>
      <c r="S1869" s="101"/>
      <c r="T1869" s="101"/>
      <c r="U1869" s="99"/>
      <c r="V1869" s="99"/>
      <c r="W1869" s="99"/>
      <c r="X1869" s="99"/>
      <c r="Y1869" s="99"/>
      <c r="Z1869" s="99"/>
      <c r="AA1869" s="100" t="s">
        <v>1792</v>
      </c>
      <c r="AB1869" s="99" t="s">
        <v>526</v>
      </c>
      <c r="AC1869" s="101">
        <v>50</v>
      </c>
      <c r="AD1869" s="101"/>
      <c r="AE1869" s="101"/>
      <c r="AF1869" s="101"/>
      <c r="AG1869" s="101"/>
      <c r="AH1869" s="99"/>
      <c r="AI1869" s="105"/>
    </row>
    <row r="1870" spans="1:35">
      <c r="A1870" s="98"/>
      <c r="B1870" s="99"/>
      <c r="C1870" s="100" t="s">
        <v>4203</v>
      </c>
      <c r="D1870" s="100" t="s">
        <v>79</v>
      </c>
      <c r="E1870" s="100" t="s">
        <v>80</v>
      </c>
      <c r="F1870" s="100" t="s">
        <v>110</v>
      </c>
      <c r="G1870" s="100" t="s">
        <v>4226</v>
      </c>
      <c r="H1870" s="99" t="s">
        <v>115</v>
      </c>
      <c r="I1870" s="247">
        <v>33844</v>
      </c>
      <c r="J1870" s="101">
        <v>1</v>
      </c>
      <c r="K1870" s="101"/>
      <c r="L1870" s="101">
        <v>1</v>
      </c>
      <c r="M1870" s="101"/>
      <c r="N1870" s="101">
        <v>1</v>
      </c>
      <c r="O1870" s="101"/>
      <c r="P1870" s="101"/>
      <c r="Q1870" s="101"/>
      <c r="R1870" s="101"/>
      <c r="S1870" s="101"/>
      <c r="T1870" s="101"/>
      <c r="U1870" s="99" t="s">
        <v>3919</v>
      </c>
      <c r="V1870" s="99" t="s">
        <v>513</v>
      </c>
      <c r="W1870" s="99" t="s">
        <v>279</v>
      </c>
      <c r="X1870" s="100" t="s">
        <v>227</v>
      </c>
      <c r="Y1870" s="99">
        <v>9467041651</v>
      </c>
      <c r="Z1870" s="99"/>
      <c r="AA1870" s="100" t="s">
        <v>1961</v>
      </c>
      <c r="AB1870" s="99" t="s">
        <v>528</v>
      </c>
      <c r="AC1870" s="101">
        <v>1</v>
      </c>
      <c r="AD1870" s="101"/>
      <c r="AE1870" s="101"/>
      <c r="AF1870" s="101"/>
      <c r="AG1870" s="101"/>
      <c r="AH1870" s="99"/>
      <c r="AI1870" s="105"/>
    </row>
    <row r="1871" spans="1:35">
      <c r="A1871" s="98"/>
      <c r="B1871" s="99"/>
      <c r="C1871" s="99"/>
      <c r="D1871" s="99"/>
      <c r="E1871" s="99"/>
      <c r="F1871" s="100"/>
      <c r="G1871" s="100"/>
      <c r="H1871" s="99"/>
      <c r="I1871" s="247"/>
      <c r="J1871" s="101"/>
      <c r="K1871" s="101"/>
      <c r="L1871" s="101"/>
      <c r="M1871" s="101"/>
      <c r="N1871" s="101"/>
      <c r="O1871" s="101"/>
      <c r="P1871" s="101"/>
      <c r="Q1871" s="101"/>
      <c r="R1871" s="101"/>
      <c r="S1871" s="101"/>
      <c r="T1871" s="101"/>
      <c r="U1871" s="99"/>
      <c r="V1871" s="99"/>
      <c r="W1871" s="99"/>
      <c r="X1871" s="99"/>
      <c r="Y1871" s="99"/>
      <c r="Z1871" s="99"/>
      <c r="AA1871" s="100" t="s">
        <v>1792</v>
      </c>
      <c r="AB1871" s="99" t="s">
        <v>526</v>
      </c>
      <c r="AC1871" s="101">
        <v>50</v>
      </c>
      <c r="AD1871" s="101"/>
      <c r="AE1871" s="101"/>
      <c r="AF1871" s="101"/>
      <c r="AG1871" s="101"/>
      <c r="AH1871" s="99"/>
      <c r="AI1871" s="105"/>
    </row>
    <row r="1872" spans="1:35">
      <c r="A1872" s="98"/>
      <c r="B1872" s="99"/>
      <c r="C1872" s="100" t="s">
        <v>4203</v>
      </c>
      <c r="D1872" s="100" t="s">
        <v>79</v>
      </c>
      <c r="E1872" s="100" t="s">
        <v>80</v>
      </c>
      <c r="F1872" s="100" t="s">
        <v>329</v>
      </c>
      <c r="G1872" s="100" t="s">
        <v>715</v>
      </c>
      <c r="H1872" s="99" t="s">
        <v>126</v>
      </c>
      <c r="I1872" s="247">
        <v>31289</v>
      </c>
      <c r="J1872" s="101">
        <v>1</v>
      </c>
      <c r="K1872" s="101"/>
      <c r="L1872" s="101">
        <v>1</v>
      </c>
      <c r="M1872" s="101"/>
      <c r="N1872" s="101">
        <v>1</v>
      </c>
      <c r="O1872" s="101"/>
      <c r="P1872" s="101"/>
      <c r="Q1872" s="101"/>
      <c r="R1872" s="101"/>
      <c r="S1872" s="101"/>
      <c r="T1872" s="101"/>
      <c r="U1872" s="99" t="s">
        <v>3919</v>
      </c>
      <c r="V1872" s="99" t="s">
        <v>513</v>
      </c>
      <c r="W1872" s="99" t="s">
        <v>279</v>
      </c>
      <c r="X1872" s="100" t="s">
        <v>227</v>
      </c>
      <c r="Y1872" s="99">
        <v>9467041651</v>
      </c>
      <c r="Z1872" s="99"/>
      <c r="AA1872" s="100" t="s">
        <v>1961</v>
      </c>
      <c r="AB1872" s="99" t="s">
        <v>528</v>
      </c>
      <c r="AC1872" s="101">
        <v>1</v>
      </c>
      <c r="AD1872" s="101"/>
      <c r="AE1872" s="101"/>
      <c r="AF1872" s="101"/>
      <c r="AG1872" s="101"/>
      <c r="AH1872" s="99"/>
      <c r="AI1872" s="105"/>
    </row>
    <row r="1873" spans="1:35">
      <c r="A1873" s="98"/>
      <c r="B1873" s="99"/>
      <c r="C1873" s="99"/>
      <c r="D1873" s="99"/>
      <c r="E1873" s="99"/>
      <c r="F1873" s="100"/>
      <c r="G1873" s="100"/>
      <c r="H1873" s="99"/>
      <c r="I1873" s="247"/>
      <c r="J1873" s="101"/>
      <c r="K1873" s="101"/>
      <c r="L1873" s="101"/>
      <c r="M1873" s="101"/>
      <c r="N1873" s="101"/>
      <c r="O1873" s="101"/>
      <c r="P1873" s="101"/>
      <c r="Q1873" s="101"/>
      <c r="R1873" s="101"/>
      <c r="S1873" s="101"/>
      <c r="T1873" s="101"/>
      <c r="U1873" s="99"/>
      <c r="V1873" s="99"/>
      <c r="W1873" s="99"/>
      <c r="X1873" s="99"/>
      <c r="Y1873" s="99"/>
      <c r="Z1873" s="99"/>
      <c r="AA1873" s="100" t="s">
        <v>1792</v>
      </c>
      <c r="AB1873" s="99" t="s">
        <v>526</v>
      </c>
      <c r="AC1873" s="101">
        <v>50</v>
      </c>
      <c r="AD1873" s="101"/>
      <c r="AE1873" s="101"/>
      <c r="AF1873" s="101"/>
      <c r="AG1873" s="101"/>
      <c r="AH1873" s="99"/>
      <c r="AI1873" s="105"/>
    </row>
    <row r="1874" spans="1:35">
      <c r="A1874" s="98"/>
      <c r="B1874" s="99"/>
      <c r="C1874" s="100" t="s">
        <v>4203</v>
      </c>
      <c r="D1874" s="100" t="s">
        <v>79</v>
      </c>
      <c r="E1874" s="100" t="s">
        <v>80</v>
      </c>
      <c r="F1874" s="100" t="s">
        <v>786</v>
      </c>
      <c r="G1874" s="100" t="s">
        <v>400</v>
      </c>
      <c r="H1874" s="99" t="s">
        <v>81</v>
      </c>
      <c r="I1874" s="247">
        <v>34794</v>
      </c>
      <c r="J1874" s="101">
        <v>1</v>
      </c>
      <c r="K1874" s="101"/>
      <c r="L1874" s="101">
        <v>1</v>
      </c>
      <c r="M1874" s="101"/>
      <c r="N1874" s="101">
        <v>1</v>
      </c>
      <c r="O1874" s="101"/>
      <c r="P1874" s="101"/>
      <c r="Q1874" s="101"/>
      <c r="R1874" s="101"/>
      <c r="S1874" s="101"/>
      <c r="T1874" s="101"/>
      <c r="U1874" s="99" t="s">
        <v>3919</v>
      </c>
      <c r="V1874" s="99" t="s">
        <v>513</v>
      </c>
      <c r="W1874" s="99" t="s">
        <v>279</v>
      </c>
      <c r="X1874" s="100" t="s">
        <v>227</v>
      </c>
      <c r="Y1874" s="99">
        <v>9467041651</v>
      </c>
      <c r="Z1874" s="99"/>
      <c r="AA1874" s="100" t="s">
        <v>1961</v>
      </c>
      <c r="AB1874" s="99" t="s">
        <v>528</v>
      </c>
      <c r="AC1874" s="101">
        <v>1</v>
      </c>
      <c r="AD1874" s="101"/>
      <c r="AE1874" s="101"/>
      <c r="AF1874" s="101"/>
      <c r="AG1874" s="101"/>
      <c r="AH1874" s="99"/>
      <c r="AI1874" s="105"/>
    </row>
    <row r="1875" spans="1:35">
      <c r="A1875" s="98"/>
      <c r="B1875" s="99"/>
      <c r="C1875" s="99"/>
      <c r="D1875" s="99"/>
      <c r="E1875" s="99"/>
      <c r="F1875" s="100"/>
      <c r="G1875" s="100"/>
      <c r="H1875" s="99"/>
      <c r="I1875" s="247"/>
      <c r="J1875" s="101"/>
      <c r="K1875" s="101"/>
      <c r="L1875" s="101"/>
      <c r="M1875" s="101"/>
      <c r="N1875" s="101"/>
      <c r="O1875" s="101"/>
      <c r="P1875" s="101"/>
      <c r="Q1875" s="101"/>
      <c r="R1875" s="101"/>
      <c r="S1875" s="101"/>
      <c r="T1875" s="101"/>
      <c r="U1875" s="99"/>
      <c r="V1875" s="99"/>
      <c r="W1875" s="99"/>
      <c r="X1875" s="99"/>
      <c r="Y1875" s="99"/>
      <c r="Z1875" s="99"/>
      <c r="AA1875" s="100" t="s">
        <v>1792</v>
      </c>
      <c r="AB1875" s="99" t="s">
        <v>526</v>
      </c>
      <c r="AC1875" s="101">
        <v>50</v>
      </c>
      <c r="AD1875" s="101"/>
      <c r="AE1875" s="101"/>
      <c r="AF1875" s="101"/>
      <c r="AG1875" s="101"/>
      <c r="AH1875" s="99"/>
      <c r="AI1875" s="105"/>
    </row>
    <row r="1876" spans="1:35">
      <c r="A1876" s="98"/>
      <c r="B1876" s="99"/>
      <c r="C1876" s="100" t="s">
        <v>4203</v>
      </c>
      <c r="D1876" s="100" t="s">
        <v>79</v>
      </c>
      <c r="E1876" s="100" t="s">
        <v>80</v>
      </c>
      <c r="F1876" s="100" t="s">
        <v>1227</v>
      </c>
      <c r="G1876" s="100" t="s">
        <v>862</v>
      </c>
      <c r="H1876" s="99" t="s">
        <v>136</v>
      </c>
      <c r="I1876" s="247">
        <v>33370</v>
      </c>
      <c r="J1876" s="101"/>
      <c r="K1876" s="101">
        <v>1</v>
      </c>
      <c r="L1876" s="101">
        <v>1</v>
      </c>
      <c r="M1876" s="101"/>
      <c r="N1876" s="101">
        <v>1</v>
      </c>
      <c r="O1876" s="101"/>
      <c r="P1876" s="101"/>
      <c r="Q1876" s="101"/>
      <c r="R1876" s="101"/>
      <c r="S1876" s="101"/>
      <c r="T1876" s="101"/>
      <c r="U1876" s="99" t="s">
        <v>3919</v>
      </c>
      <c r="V1876" s="99" t="s">
        <v>513</v>
      </c>
      <c r="W1876" s="99" t="s">
        <v>279</v>
      </c>
      <c r="X1876" s="100" t="s">
        <v>227</v>
      </c>
      <c r="Y1876" s="99">
        <v>9467041651</v>
      </c>
      <c r="Z1876" s="99"/>
      <c r="AA1876" s="100" t="s">
        <v>1961</v>
      </c>
      <c r="AB1876" s="99" t="s">
        <v>528</v>
      </c>
      <c r="AC1876" s="101">
        <v>1</v>
      </c>
      <c r="AD1876" s="101"/>
      <c r="AE1876" s="101"/>
      <c r="AF1876" s="101"/>
      <c r="AG1876" s="101"/>
      <c r="AH1876" s="99"/>
      <c r="AI1876" s="105"/>
    </row>
    <row r="1877" spans="1:35">
      <c r="A1877" s="98"/>
      <c r="B1877" s="99"/>
      <c r="C1877" s="99"/>
      <c r="D1877" s="99"/>
      <c r="E1877" s="99"/>
      <c r="F1877" s="100"/>
      <c r="G1877" s="100"/>
      <c r="H1877" s="99"/>
      <c r="I1877" s="247"/>
      <c r="J1877" s="101"/>
      <c r="K1877" s="101"/>
      <c r="L1877" s="101"/>
      <c r="M1877" s="101"/>
      <c r="N1877" s="101"/>
      <c r="O1877" s="101"/>
      <c r="P1877" s="101"/>
      <c r="Q1877" s="101"/>
      <c r="R1877" s="101"/>
      <c r="S1877" s="101"/>
      <c r="T1877" s="101"/>
      <c r="U1877" s="99"/>
      <c r="V1877" s="99"/>
      <c r="W1877" s="99"/>
      <c r="X1877" s="99"/>
      <c r="Y1877" s="99"/>
      <c r="Z1877" s="99"/>
      <c r="AA1877" s="100" t="s">
        <v>1792</v>
      </c>
      <c r="AB1877" s="99" t="s">
        <v>526</v>
      </c>
      <c r="AC1877" s="101">
        <v>50</v>
      </c>
      <c r="AD1877" s="101"/>
      <c r="AE1877" s="101"/>
      <c r="AF1877" s="101"/>
      <c r="AG1877" s="101"/>
      <c r="AH1877" s="99"/>
      <c r="AI1877" s="105"/>
    </row>
    <row r="1878" spans="1:35">
      <c r="A1878" s="98"/>
      <c r="B1878" s="99"/>
      <c r="C1878" s="100" t="s">
        <v>4203</v>
      </c>
      <c r="D1878" s="100" t="s">
        <v>79</v>
      </c>
      <c r="E1878" s="100" t="s">
        <v>80</v>
      </c>
      <c r="F1878" s="100" t="s">
        <v>171</v>
      </c>
      <c r="G1878" s="100" t="s">
        <v>4227</v>
      </c>
      <c r="H1878" s="99" t="s">
        <v>160</v>
      </c>
      <c r="I1878" s="247">
        <v>20059</v>
      </c>
      <c r="J1878" s="101">
        <v>1</v>
      </c>
      <c r="K1878" s="101"/>
      <c r="L1878" s="101">
        <v>1</v>
      </c>
      <c r="M1878" s="101"/>
      <c r="N1878" s="101">
        <v>1</v>
      </c>
      <c r="O1878" s="101"/>
      <c r="P1878" s="101"/>
      <c r="Q1878" s="101"/>
      <c r="R1878" s="101"/>
      <c r="S1878" s="101"/>
      <c r="T1878" s="101"/>
      <c r="U1878" s="99" t="s">
        <v>3919</v>
      </c>
      <c r="V1878" s="99" t="s">
        <v>513</v>
      </c>
      <c r="W1878" s="99" t="s">
        <v>279</v>
      </c>
      <c r="X1878" s="100" t="s">
        <v>227</v>
      </c>
      <c r="Y1878" s="99">
        <v>9467041651</v>
      </c>
      <c r="Z1878" s="99"/>
      <c r="AA1878" s="100" t="s">
        <v>1961</v>
      </c>
      <c r="AB1878" s="99" t="s">
        <v>528</v>
      </c>
      <c r="AC1878" s="101">
        <v>1</v>
      </c>
      <c r="AD1878" s="101"/>
      <c r="AE1878" s="101"/>
      <c r="AF1878" s="101"/>
      <c r="AG1878" s="101"/>
      <c r="AH1878" s="99"/>
      <c r="AI1878" s="105"/>
    </row>
    <row r="1879" spans="1:35">
      <c r="A1879" s="98"/>
      <c r="B1879" s="99"/>
      <c r="C1879" s="99"/>
      <c r="D1879" s="99"/>
      <c r="E1879" s="99"/>
      <c r="F1879" s="100"/>
      <c r="G1879" s="100"/>
      <c r="H1879" s="99"/>
      <c r="I1879" s="247"/>
      <c r="J1879" s="101"/>
      <c r="K1879" s="101"/>
      <c r="L1879" s="101"/>
      <c r="M1879" s="101"/>
      <c r="N1879" s="101"/>
      <c r="O1879" s="101"/>
      <c r="P1879" s="101"/>
      <c r="Q1879" s="101"/>
      <c r="R1879" s="101"/>
      <c r="S1879" s="101"/>
      <c r="T1879" s="101"/>
      <c r="U1879" s="99"/>
      <c r="V1879" s="99"/>
      <c r="W1879" s="99"/>
      <c r="X1879" s="99"/>
      <c r="Y1879" s="99"/>
      <c r="Z1879" s="99"/>
      <c r="AA1879" s="100" t="s">
        <v>1792</v>
      </c>
      <c r="AB1879" s="99" t="s">
        <v>526</v>
      </c>
      <c r="AC1879" s="101">
        <v>50</v>
      </c>
      <c r="AD1879" s="101"/>
      <c r="AE1879" s="101"/>
      <c r="AF1879" s="101"/>
      <c r="AG1879" s="101"/>
      <c r="AH1879" s="99"/>
      <c r="AI1879" s="105"/>
    </row>
    <row r="1880" spans="1:35">
      <c r="A1880" s="98"/>
      <c r="B1880" s="99"/>
      <c r="C1880" s="100" t="s">
        <v>4203</v>
      </c>
      <c r="D1880" s="100" t="s">
        <v>79</v>
      </c>
      <c r="E1880" s="100" t="s">
        <v>80</v>
      </c>
      <c r="F1880" s="100" t="s">
        <v>4224</v>
      </c>
      <c r="G1880" s="100" t="s">
        <v>432</v>
      </c>
      <c r="H1880" s="99" t="s">
        <v>126</v>
      </c>
      <c r="I1880" s="247">
        <v>29974</v>
      </c>
      <c r="J1880" s="101"/>
      <c r="K1880" s="101">
        <v>1</v>
      </c>
      <c r="L1880" s="101">
        <v>1</v>
      </c>
      <c r="M1880" s="101"/>
      <c r="N1880" s="101">
        <v>1</v>
      </c>
      <c r="O1880" s="101"/>
      <c r="P1880" s="101"/>
      <c r="Q1880" s="101"/>
      <c r="R1880" s="101"/>
      <c r="S1880" s="101"/>
      <c r="T1880" s="101"/>
      <c r="U1880" s="99" t="s">
        <v>3919</v>
      </c>
      <c r="V1880" s="99" t="s">
        <v>513</v>
      </c>
      <c r="W1880" s="99" t="s">
        <v>279</v>
      </c>
      <c r="X1880" s="100" t="s">
        <v>227</v>
      </c>
      <c r="Y1880" s="99">
        <v>9467041651</v>
      </c>
      <c r="Z1880" s="99"/>
      <c r="AA1880" s="100" t="s">
        <v>1961</v>
      </c>
      <c r="AB1880" s="99" t="s">
        <v>528</v>
      </c>
      <c r="AC1880" s="101">
        <v>1</v>
      </c>
      <c r="AD1880" s="101"/>
      <c r="AE1880" s="101"/>
      <c r="AF1880" s="101"/>
      <c r="AG1880" s="101"/>
      <c r="AH1880" s="99"/>
      <c r="AI1880" s="105"/>
    </row>
    <row r="1881" spans="1:35">
      <c r="A1881" s="98"/>
      <c r="B1881" s="99"/>
      <c r="C1881" s="99"/>
      <c r="D1881" s="99"/>
      <c r="E1881" s="99"/>
      <c r="F1881" s="100"/>
      <c r="G1881" s="100"/>
      <c r="H1881" s="99"/>
      <c r="I1881" s="247"/>
      <c r="J1881" s="101"/>
      <c r="K1881" s="101"/>
      <c r="L1881" s="101"/>
      <c r="M1881" s="101"/>
      <c r="N1881" s="101"/>
      <c r="O1881" s="101"/>
      <c r="P1881" s="101"/>
      <c r="Q1881" s="101"/>
      <c r="R1881" s="101"/>
      <c r="S1881" s="101"/>
      <c r="T1881" s="101"/>
      <c r="U1881" s="99"/>
      <c r="V1881" s="99"/>
      <c r="W1881" s="99"/>
      <c r="X1881" s="99"/>
      <c r="Y1881" s="99"/>
      <c r="Z1881" s="99"/>
      <c r="AA1881" s="100" t="s">
        <v>1792</v>
      </c>
      <c r="AB1881" s="99" t="s">
        <v>526</v>
      </c>
      <c r="AC1881" s="101">
        <v>50</v>
      </c>
      <c r="AD1881" s="101"/>
      <c r="AE1881" s="101"/>
      <c r="AF1881" s="101"/>
      <c r="AG1881" s="101"/>
      <c r="AH1881" s="99"/>
      <c r="AI1881" s="105"/>
    </row>
    <row r="1882" spans="1:35">
      <c r="A1882" s="98"/>
      <c r="B1882" s="99"/>
      <c r="C1882" s="100" t="s">
        <v>4203</v>
      </c>
      <c r="D1882" s="100" t="s">
        <v>79</v>
      </c>
      <c r="E1882" s="100" t="s">
        <v>80</v>
      </c>
      <c r="F1882" s="100" t="s">
        <v>2053</v>
      </c>
      <c r="G1882" s="100" t="s">
        <v>4228</v>
      </c>
      <c r="H1882" s="99" t="s">
        <v>120</v>
      </c>
      <c r="I1882" s="247">
        <v>30776</v>
      </c>
      <c r="J1882" s="101"/>
      <c r="K1882" s="101">
        <v>1</v>
      </c>
      <c r="L1882" s="101">
        <v>1</v>
      </c>
      <c r="M1882" s="101"/>
      <c r="N1882" s="101">
        <v>1</v>
      </c>
      <c r="O1882" s="101"/>
      <c r="P1882" s="101"/>
      <c r="Q1882" s="101"/>
      <c r="R1882" s="101"/>
      <c r="S1882" s="101"/>
      <c r="T1882" s="101"/>
      <c r="U1882" s="99" t="s">
        <v>3919</v>
      </c>
      <c r="V1882" s="99" t="s">
        <v>513</v>
      </c>
      <c r="W1882" s="99" t="s">
        <v>279</v>
      </c>
      <c r="X1882" s="100" t="s">
        <v>227</v>
      </c>
      <c r="Y1882" s="99">
        <v>9467041651</v>
      </c>
      <c r="Z1882" s="99"/>
      <c r="AA1882" s="100" t="s">
        <v>1961</v>
      </c>
      <c r="AB1882" s="99" t="s">
        <v>528</v>
      </c>
      <c r="AC1882" s="101">
        <v>1</v>
      </c>
      <c r="AD1882" s="101"/>
      <c r="AE1882" s="101"/>
      <c r="AF1882" s="101"/>
      <c r="AG1882" s="101"/>
      <c r="AH1882" s="99"/>
      <c r="AI1882" s="105"/>
    </row>
    <row r="1883" spans="1:35">
      <c r="A1883" s="98"/>
      <c r="B1883" s="99"/>
      <c r="C1883" s="99"/>
      <c r="D1883" s="99"/>
      <c r="E1883" s="99"/>
      <c r="F1883" s="100"/>
      <c r="G1883" s="100"/>
      <c r="H1883" s="99"/>
      <c r="I1883" s="247"/>
      <c r="J1883" s="101"/>
      <c r="K1883" s="101"/>
      <c r="L1883" s="101"/>
      <c r="M1883" s="101"/>
      <c r="N1883" s="101"/>
      <c r="O1883" s="101"/>
      <c r="P1883" s="101"/>
      <c r="Q1883" s="101"/>
      <c r="R1883" s="101"/>
      <c r="S1883" s="101"/>
      <c r="T1883" s="101"/>
      <c r="U1883" s="99"/>
      <c r="V1883" s="99"/>
      <c r="W1883" s="99"/>
      <c r="X1883" s="99"/>
      <c r="Y1883" s="99"/>
      <c r="Z1883" s="99"/>
      <c r="AA1883" s="100" t="s">
        <v>1792</v>
      </c>
      <c r="AB1883" s="99" t="s">
        <v>526</v>
      </c>
      <c r="AC1883" s="101">
        <v>50</v>
      </c>
      <c r="AD1883" s="101"/>
      <c r="AE1883" s="101"/>
      <c r="AF1883" s="101"/>
      <c r="AG1883" s="101"/>
      <c r="AH1883" s="99"/>
      <c r="AI1883" s="105"/>
    </row>
    <row r="1884" spans="1:35">
      <c r="A1884" s="98"/>
      <c r="B1884" s="99"/>
      <c r="C1884" s="100" t="s">
        <v>4203</v>
      </c>
      <c r="D1884" s="100" t="s">
        <v>79</v>
      </c>
      <c r="E1884" s="100" t="s">
        <v>80</v>
      </c>
      <c r="F1884" s="100" t="s">
        <v>4229</v>
      </c>
      <c r="G1884" s="100" t="s">
        <v>604</v>
      </c>
      <c r="H1884" s="99" t="s">
        <v>588</v>
      </c>
      <c r="I1884" s="247">
        <v>23410</v>
      </c>
      <c r="J1884" s="101">
        <v>1</v>
      </c>
      <c r="K1884" s="101"/>
      <c r="L1884" s="101">
        <v>1</v>
      </c>
      <c r="M1884" s="101"/>
      <c r="N1884" s="101">
        <v>1</v>
      </c>
      <c r="O1884" s="101"/>
      <c r="P1884" s="101"/>
      <c r="Q1884" s="101"/>
      <c r="R1884" s="101"/>
      <c r="S1884" s="101"/>
      <c r="T1884" s="101"/>
      <c r="U1884" s="99" t="s">
        <v>3919</v>
      </c>
      <c r="V1884" s="99" t="s">
        <v>513</v>
      </c>
      <c r="W1884" s="99" t="s">
        <v>279</v>
      </c>
      <c r="X1884" s="100" t="s">
        <v>227</v>
      </c>
      <c r="Y1884" s="99">
        <v>9467041651</v>
      </c>
      <c r="Z1884" s="99"/>
      <c r="AA1884" s="100" t="s">
        <v>1961</v>
      </c>
      <c r="AB1884" s="99" t="s">
        <v>528</v>
      </c>
      <c r="AC1884" s="101">
        <v>1</v>
      </c>
      <c r="AD1884" s="101"/>
      <c r="AE1884" s="101"/>
      <c r="AF1884" s="101"/>
      <c r="AG1884" s="101"/>
      <c r="AH1884" s="99"/>
      <c r="AI1884" s="105"/>
    </row>
    <row r="1885" spans="1:35">
      <c r="A1885" s="98"/>
      <c r="B1885" s="99"/>
      <c r="C1885" s="99"/>
      <c r="D1885" s="99"/>
      <c r="E1885" s="99"/>
      <c r="F1885" s="100"/>
      <c r="G1885" s="100"/>
      <c r="H1885" s="99"/>
      <c r="I1885" s="247"/>
      <c r="J1885" s="101"/>
      <c r="K1885" s="101"/>
      <c r="L1885" s="101"/>
      <c r="M1885" s="101"/>
      <c r="N1885" s="101"/>
      <c r="O1885" s="101"/>
      <c r="P1885" s="101"/>
      <c r="Q1885" s="101"/>
      <c r="R1885" s="101"/>
      <c r="S1885" s="101"/>
      <c r="T1885" s="101"/>
      <c r="U1885" s="99"/>
      <c r="V1885" s="99"/>
      <c r="W1885" s="99"/>
      <c r="X1885" s="99"/>
      <c r="Y1885" s="99"/>
      <c r="Z1885" s="99"/>
      <c r="AA1885" s="100" t="s">
        <v>1792</v>
      </c>
      <c r="AB1885" s="99" t="s">
        <v>526</v>
      </c>
      <c r="AC1885" s="101">
        <v>50</v>
      </c>
      <c r="AD1885" s="101"/>
      <c r="AE1885" s="101"/>
      <c r="AF1885" s="101"/>
      <c r="AG1885" s="101"/>
      <c r="AH1885" s="99"/>
      <c r="AI1885" s="105"/>
    </row>
    <row r="1886" spans="1:35">
      <c r="A1886" s="98"/>
      <c r="B1886" s="99"/>
      <c r="C1886" s="100" t="s">
        <v>4203</v>
      </c>
      <c r="D1886" s="100" t="s">
        <v>79</v>
      </c>
      <c r="E1886" s="100" t="s">
        <v>80</v>
      </c>
      <c r="F1886" s="100" t="s">
        <v>4224</v>
      </c>
      <c r="G1886" s="100" t="s">
        <v>776</v>
      </c>
      <c r="H1886" s="99" t="s">
        <v>120</v>
      </c>
      <c r="I1886" s="247">
        <v>36572</v>
      </c>
      <c r="J1886" s="101">
        <v>1</v>
      </c>
      <c r="K1886" s="101"/>
      <c r="L1886" s="101">
        <v>1</v>
      </c>
      <c r="M1886" s="101"/>
      <c r="N1886" s="101">
        <v>1</v>
      </c>
      <c r="O1886" s="101"/>
      <c r="P1886" s="101"/>
      <c r="Q1886" s="101"/>
      <c r="R1886" s="101"/>
      <c r="S1886" s="101"/>
      <c r="T1886" s="101"/>
      <c r="U1886" s="99" t="s">
        <v>3919</v>
      </c>
      <c r="V1886" s="99" t="s">
        <v>513</v>
      </c>
      <c r="W1886" s="99" t="s">
        <v>279</v>
      </c>
      <c r="X1886" s="100" t="s">
        <v>227</v>
      </c>
      <c r="Y1886" s="99">
        <v>9467041651</v>
      </c>
      <c r="Z1886" s="99"/>
      <c r="AA1886" s="100" t="s">
        <v>1961</v>
      </c>
      <c r="AB1886" s="99" t="s">
        <v>528</v>
      </c>
      <c r="AC1886" s="101">
        <v>1</v>
      </c>
      <c r="AD1886" s="101"/>
      <c r="AE1886" s="101"/>
      <c r="AF1886" s="101"/>
      <c r="AG1886" s="101"/>
      <c r="AH1886" s="99"/>
      <c r="AI1886" s="105"/>
    </row>
    <row r="1887" spans="1:35">
      <c r="A1887" s="98"/>
      <c r="B1887" s="99"/>
      <c r="C1887" s="99"/>
      <c r="D1887" s="99"/>
      <c r="E1887" s="99"/>
      <c r="F1887" s="100"/>
      <c r="G1887" s="100"/>
      <c r="H1887" s="99"/>
      <c r="I1887" s="247"/>
      <c r="J1887" s="101"/>
      <c r="K1887" s="101"/>
      <c r="L1887" s="101"/>
      <c r="M1887" s="101"/>
      <c r="N1887" s="101"/>
      <c r="O1887" s="101"/>
      <c r="P1887" s="101"/>
      <c r="Q1887" s="101"/>
      <c r="R1887" s="101"/>
      <c r="S1887" s="101"/>
      <c r="T1887" s="101"/>
      <c r="U1887" s="99"/>
      <c r="V1887" s="99"/>
      <c r="W1887" s="99"/>
      <c r="X1887" s="99"/>
      <c r="Y1887" s="99"/>
      <c r="Z1887" s="99"/>
      <c r="AA1887" s="100" t="s">
        <v>1792</v>
      </c>
      <c r="AB1887" s="99" t="s">
        <v>526</v>
      </c>
      <c r="AC1887" s="101">
        <v>50</v>
      </c>
      <c r="AD1887" s="101"/>
      <c r="AE1887" s="101"/>
      <c r="AF1887" s="101"/>
      <c r="AG1887" s="101"/>
      <c r="AH1887" s="99"/>
      <c r="AI1887" s="105"/>
    </row>
    <row r="1888" spans="1:35">
      <c r="A1888" s="98"/>
      <c r="B1888" s="99"/>
      <c r="C1888" s="100" t="s">
        <v>4203</v>
      </c>
      <c r="D1888" s="100" t="s">
        <v>79</v>
      </c>
      <c r="E1888" s="100" t="s">
        <v>80</v>
      </c>
      <c r="F1888" s="100" t="s">
        <v>1815</v>
      </c>
      <c r="G1888" s="100" t="s">
        <v>4230</v>
      </c>
      <c r="H1888" s="99" t="s">
        <v>286</v>
      </c>
      <c r="I1888" s="247">
        <v>27715</v>
      </c>
      <c r="J1888" s="101"/>
      <c r="K1888" s="101">
        <v>1</v>
      </c>
      <c r="L1888" s="101">
        <v>1</v>
      </c>
      <c r="M1888" s="101"/>
      <c r="N1888" s="101">
        <v>1</v>
      </c>
      <c r="O1888" s="101"/>
      <c r="P1888" s="101"/>
      <c r="Q1888" s="101"/>
      <c r="R1888" s="101"/>
      <c r="S1888" s="101"/>
      <c r="T1888" s="101"/>
      <c r="U1888" s="99" t="s">
        <v>3919</v>
      </c>
      <c r="V1888" s="99" t="s">
        <v>513</v>
      </c>
      <c r="W1888" s="99" t="s">
        <v>279</v>
      </c>
      <c r="X1888" s="100" t="s">
        <v>227</v>
      </c>
      <c r="Y1888" s="99">
        <v>9467041651</v>
      </c>
      <c r="Z1888" s="99"/>
      <c r="AA1888" s="100" t="s">
        <v>1961</v>
      </c>
      <c r="AB1888" s="99" t="s">
        <v>528</v>
      </c>
      <c r="AC1888" s="101">
        <v>1</v>
      </c>
      <c r="AD1888" s="101"/>
      <c r="AE1888" s="101"/>
      <c r="AF1888" s="101"/>
      <c r="AG1888" s="101"/>
      <c r="AH1888" s="99"/>
      <c r="AI1888" s="105"/>
    </row>
    <row r="1889" spans="1:35">
      <c r="A1889" s="98"/>
      <c r="B1889" s="99"/>
      <c r="C1889" s="99"/>
      <c r="D1889" s="99"/>
      <c r="E1889" s="99"/>
      <c r="F1889" s="100"/>
      <c r="G1889" s="100"/>
      <c r="H1889" s="99"/>
      <c r="I1889" s="247"/>
      <c r="J1889" s="101"/>
      <c r="K1889" s="101"/>
      <c r="L1889" s="101"/>
      <c r="M1889" s="101"/>
      <c r="N1889" s="101"/>
      <c r="O1889" s="101"/>
      <c r="P1889" s="101"/>
      <c r="Q1889" s="101"/>
      <c r="R1889" s="101"/>
      <c r="S1889" s="101"/>
      <c r="T1889" s="101"/>
      <c r="U1889" s="99"/>
      <c r="V1889" s="99"/>
      <c r="W1889" s="99"/>
      <c r="X1889" s="99"/>
      <c r="Y1889" s="99"/>
      <c r="Z1889" s="99"/>
      <c r="AA1889" s="100" t="s">
        <v>1792</v>
      </c>
      <c r="AB1889" s="99" t="s">
        <v>526</v>
      </c>
      <c r="AC1889" s="101">
        <v>50</v>
      </c>
      <c r="AD1889" s="101"/>
      <c r="AE1889" s="101"/>
      <c r="AF1889" s="101"/>
      <c r="AG1889" s="101"/>
      <c r="AH1889" s="99"/>
      <c r="AI1889" s="105"/>
    </row>
    <row r="1890" spans="1:35">
      <c r="A1890" s="98"/>
      <c r="B1890" s="99"/>
      <c r="C1890" s="100" t="s">
        <v>4203</v>
      </c>
      <c r="D1890" s="100" t="s">
        <v>79</v>
      </c>
      <c r="E1890" s="100" t="s">
        <v>80</v>
      </c>
      <c r="F1890" s="100" t="s">
        <v>3913</v>
      </c>
      <c r="G1890" s="100" t="s">
        <v>2879</v>
      </c>
      <c r="H1890" s="99" t="s">
        <v>202</v>
      </c>
      <c r="I1890" s="247">
        <v>21373</v>
      </c>
      <c r="J1890" s="101">
        <v>1</v>
      </c>
      <c r="K1890" s="101"/>
      <c r="L1890" s="101">
        <v>1</v>
      </c>
      <c r="M1890" s="101"/>
      <c r="N1890" s="101">
        <v>1</v>
      </c>
      <c r="O1890" s="101"/>
      <c r="P1890" s="101"/>
      <c r="Q1890" s="101"/>
      <c r="R1890" s="101"/>
      <c r="S1890" s="101"/>
      <c r="T1890" s="101"/>
      <c r="U1890" s="99" t="s">
        <v>3919</v>
      </c>
      <c r="V1890" s="99" t="s">
        <v>513</v>
      </c>
      <c r="W1890" s="99" t="s">
        <v>279</v>
      </c>
      <c r="X1890" s="100" t="s">
        <v>227</v>
      </c>
      <c r="Y1890" s="99">
        <v>9467041651</v>
      </c>
      <c r="Z1890" s="99"/>
      <c r="AA1890" s="100" t="s">
        <v>1961</v>
      </c>
      <c r="AB1890" s="99" t="s">
        <v>528</v>
      </c>
      <c r="AC1890" s="101">
        <v>1</v>
      </c>
      <c r="AD1890" s="101"/>
      <c r="AE1890" s="101"/>
      <c r="AF1890" s="101"/>
      <c r="AG1890" s="101"/>
      <c r="AH1890" s="99"/>
      <c r="AI1890" s="105"/>
    </row>
    <row r="1891" spans="1:35">
      <c r="A1891" s="98"/>
      <c r="B1891" s="99"/>
      <c r="C1891" s="99"/>
      <c r="D1891" s="99"/>
      <c r="E1891" s="99"/>
      <c r="F1891" s="100"/>
      <c r="G1891" s="100"/>
      <c r="H1891" s="99"/>
      <c r="I1891" s="247"/>
      <c r="J1891" s="101"/>
      <c r="K1891" s="101"/>
      <c r="L1891" s="101"/>
      <c r="M1891" s="101"/>
      <c r="N1891" s="101"/>
      <c r="O1891" s="101"/>
      <c r="P1891" s="101"/>
      <c r="Q1891" s="101"/>
      <c r="R1891" s="101"/>
      <c r="S1891" s="101"/>
      <c r="T1891" s="101"/>
      <c r="U1891" s="99"/>
      <c r="V1891" s="99"/>
      <c r="W1891" s="99"/>
      <c r="X1891" s="99"/>
      <c r="Y1891" s="99"/>
      <c r="Z1891" s="99"/>
      <c r="AA1891" s="100" t="s">
        <v>1792</v>
      </c>
      <c r="AB1891" s="99" t="s">
        <v>526</v>
      </c>
      <c r="AC1891" s="101">
        <v>50</v>
      </c>
      <c r="AD1891" s="101"/>
      <c r="AE1891" s="101"/>
      <c r="AF1891" s="101"/>
      <c r="AG1891" s="101"/>
      <c r="AH1891" s="99"/>
      <c r="AI1891" s="105"/>
    </row>
    <row r="1892" spans="1:35">
      <c r="A1892" s="98"/>
      <c r="B1892" s="99"/>
      <c r="C1892" s="100" t="s">
        <v>4203</v>
      </c>
      <c r="D1892" s="100" t="s">
        <v>79</v>
      </c>
      <c r="E1892" s="100" t="s">
        <v>80</v>
      </c>
      <c r="F1892" s="100" t="s">
        <v>4208</v>
      </c>
      <c r="G1892" s="100" t="s">
        <v>181</v>
      </c>
      <c r="H1892" s="99" t="s">
        <v>120</v>
      </c>
      <c r="I1892" s="247">
        <v>32080</v>
      </c>
      <c r="J1892" s="101">
        <v>1</v>
      </c>
      <c r="K1892" s="101"/>
      <c r="L1892" s="101">
        <v>1</v>
      </c>
      <c r="M1892" s="101"/>
      <c r="N1892" s="101">
        <v>1</v>
      </c>
      <c r="O1892" s="101"/>
      <c r="P1892" s="101"/>
      <c r="Q1892" s="101"/>
      <c r="R1892" s="101"/>
      <c r="S1892" s="101"/>
      <c r="T1892" s="101"/>
      <c r="U1892" s="99" t="s">
        <v>3919</v>
      </c>
      <c r="V1892" s="99" t="s">
        <v>513</v>
      </c>
      <c r="W1892" s="99" t="s">
        <v>279</v>
      </c>
      <c r="X1892" s="100" t="s">
        <v>227</v>
      </c>
      <c r="Y1892" s="99">
        <v>9467041651</v>
      </c>
      <c r="Z1892" s="99"/>
      <c r="AA1892" s="100" t="s">
        <v>1961</v>
      </c>
      <c r="AB1892" s="99" t="s">
        <v>528</v>
      </c>
      <c r="AC1892" s="101">
        <v>1</v>
      </c>
      <c r="AD1892" s="101"/>
      <c r="AE1892" s="101"/>
      <c r="AF1892" s="101"/>
      <c r="AG1892" s="101"/>
      <c r="AH1892" s="99"/>
      <c r="AI1892" s="105"/>
    </row>
    <row r="1893" spans="1:35">
      <c r="A1893" s="98"/>
      <c r="B1893" s="99"/>
      <c r="C1893" s="99"/>
      <c r="D1893" s="99"/>
      <c r="E1893" s="99"/>
      <c r="F1893" s="100"/>
      <c r="G1893" s="100"/>
      <c r="H1893" s="99"/>
      <c r="I1893" s="247"/>
      <c r="J1893" s="101"/>
      <c r="K1893" s="101"/>
      <c r="L1893" s="101"/>
      <c r="M1893" s="101"/>
      <c r="N1893" s="101"/>
      <c r="O1893" s="101"/>
      <c r="P1893" s="101"/>
      <c r="Q1893" s="101"/>
      <c r="R1893" s="101"/>
      <c r="S1893" s="101"/>
      <c r="T1893" s="101"/>
      <c r="U1893" s="99"/>
      <c r="V1893" s="99"/>
      <c r="W1893" s="99"/>
      <c r="X1893" s="99"/>
      <c r="Y1893" s="99"/>
      <c r="Z1893" s="99"/>
      <c r="AA1893" s="100" t="s">
        <v>1792</v>
      </c>
      <c r="AB1893" s="99" t="s">
        <v>526</v>
      </c>
      <c r="AC1893" s="101">
        <v>50</v>
      </c>
      <c r="AD1893" s="101"/>
      <c r="AE1893" s="101"/>
      <c r="AF1893" s="101"/>
      <c r="AG1893" s="101"/>
      <c r="AH1893" s="99"/>
      <c r="AI1893" s="105"/>
    </row>
    <row r="1894" spans="1:35">
      <c r="A1894" s="98"/>
      <c r="B1894" s="99"/>
      <c r="C1894" s="100" t="s">
        <v>4203</v>
      </c>
      <c r="D1894" s="100" t="s">
        <v>79</v>
      </c>
      <c r="E1894" s="100" t="s">
        <v>80</v>
      </c>
      <c r="F1894" s="100" t="s">
        <v>4231</v>
      </c>
      <c r="G1894" s="100" t="s">
        <v>2606</v>
      </c>
      <c r="H1894" s="99" t="s">
        <v>120</v>
      </c>
      <c r="I1894" s="247">
        <v>28978</v>
      </c>
      <c r="J1894" s="101">
        <v>1</v>
      </c>
      <c r="K1894" s="101"/>
      <c r="L1894" s="101">
        <v>1</v>
      </c>
      <c r="M1894" s="101"/>
      <c r="N1894" s="101">
        <v>1</v>
      </c>
      <c r="O1894" s="101"/>
      <c r="P1894" s="101"/>
      <c r="Q1894" s="101"/>
      <c r="R1894" s="101"/>
      <c r="S1894" s="101"/>
      <c r="T1894" s="101"/>
      <c r="U1894" s="99" t="s">
        <v>3919</v>
      </c>
      <c r="V1894" s="99" t="s">
        <v>513</v>
      </c>
      <c r="W1894" s="99" t="s">
        <v>279</v>
      </c>
      <c r="X1894" s="100" t="s">
        <v>227</v>
      </c>
      <c r="Y1894" s="99">
        <v>9467041651</v>
      </c>
      <c r="Z1894" s="99"/>
      <c r="AA1894" s="100" t="s">
        <v>1961</v>
      </c>
      <c r="AB1894" s="99" t="s">
        <v>528</v>
      </c>
      <c r="AC1894" s="101">
        <v>1</v>
      </c>
      <c r="AD1894" s="101"/>
      <c r="AE1894" s="101"/>
      <c r="AF1894" s="101"/>
      <c r="AG1894" s="101"/>
      <c r="AH1894" s="99"/>
      <c r="AI1894" s="105"/>
    </row>
    <row r="1895" spans="1:35">
      <c r="A1895" s="98"/>
      <c r="B1895" s="99"/>
      <c r="C1895" s="99"/>
      <c r="D1895" s="99"/>
      <c r="E1895" s="99"/>
      <c r="F1895" s="100"/>
      <c r="G1895" s="100"/>
      <c r="H1895" s="99"/>
      <c r="I1895" s="247"/>
      <c r="J1895" s="101"/>
      <c r="K1895" s="101"/>
      <c r="L1895" s="101"/>
      <c r="M1895" s="101"/>
      <c r="N1895" s="101"/>
      <c r="O1895" s="101"/>
      <c r="P1895" s="101"/>
      <c r="Q1895" s="101"/>
      <c r="R1895" s="101"/>
      <c r="S1895" s="101"/>
      <c r="T1895" s="101"/>
      <c r="U1895" s="99"/>
      <c r="V1895" s="99"/>
      <c r="W1895" s="99"/>
      <c r="X1895" s="99"/>
      <c r="Y1895" s="99"/>
      <c r="Z1895" s="99"/>
      <c r="AA1895" s="100" t="s">
        <v>1792</v>
      </c>
      <c r="AB1895" s="99" t="s">
        <v>526</v>
      </c>
      <c r="AC1895" s="101">
        <v>50</v>
      </c>
      <c r="AD1895" s="101"/>
      <c r="AE1895" s="101"/>
      <c r="AF1895" s="101"/>
      <c r="AG1895" s="101"/>
      <c r="AH1895" s="99"/>
      <c r="AI1895" s="105"/>
    </row>
    <row r="1896" spans="1:35">
      <c r="A1896" s="98"/>
      <c r="B1896" s="99"/>
      <c r="C1896" s="100" t="s">
        <v>4203</v>
      </c>
      <c r="D1896" s="100" t="s">
        <v>79</v>
      </c>
      <c r="E1896" s="100" t="s">
        <v>80</v>
      </c>
      <c r="F1896" s="100" t="s">
        <v>4232</v>
      </c>
      <c r="G1896" s="100" t="s">
        <v>773</v>
      </c>
      <c r="H1896" s="99" t="s">
        <v>286</v>
      </c>
      <c r="I1896" s="247">
        <v>31356</v>
      </c>
      <c r="J1896" s="101">
        <v>1</v>
      </c>
      <c r="K1896" s="101"/>
      <c r="L1896" s="101">
        <v>1</v>
      </c>
      <c r="M1896" s="101"/>
      <c r="N1896" s="101">
        <v>1</v>
      </c>
      <c r="O1896" s="101"/>
      <c r="P1896" s="101"/>
      <c r="Q1896" s="101"/>
      <c r="R1896" s="101"/>
      <c r="S1896" s="101"/>
      <c r="T1896" s="101"/>
      <c r="U1896" s="99" t="s">
        <v>3919</v>
      </c>
      <c r="V1896" s="99" t="s">
        <v>513</v>
      </c>
      <c r="W1896" s="99" t="s">
        <v>279</v>
      </c>
      <c r="X1896" s="100" t="s">
        <v>227</v>
      </c>
      <c r="Y1896" s="99">
        <v>9467041651</v>
      </c>
      <c r="Z1896" s="99"/>
      <c r="AA1896" s="100" t="s">
        <v>1961</v>
      </c>
      <c r="AB1896" s="99" t="s">
        <v>528</v>
      </c>
      <c r="AC1896" s="101">
        <v>1</v>
      </c>
      <c r="AD1896" s="101"/>
      <c r="AE1896" s="101"/>
      <c r="AF1896" s="101"/>
      <c r="AG1896" s="101"/>
      <c r="AH1896" s="99"/>
      <c r="AI1896" s="105"/>
    </row>
    <row r="1897" spans="1:35">
      <c r="A1897" s="98"/>
      <c r="B1897" s="99"/>
      <c r="C1897" s="99"/>
      <c r="D1897" s="99"/>
      <c r="E1897" s="99"/>
      <c r="F1897" s="100"/>
      <c r="G1897" s="100"/>
      <c r="H1897" s="99"/>
      <c r="I1897" s="247"/>
      <c r="J1897" s="101"/>
      <c r="K1897" s="101"/>
      <c r="L1897" s="101"/>
      <c r="M1897" s="101"/>
      <c r="N1897" s="101"/>
      <c r="O1897" s="101"/>
      <c r="P1897" s="101"/>
      <c r="Q1897" s="101"/>
      <c r="R1897" s="101"/>
      <c r="S1897" s="101"/>
      <c r="T1897" s="101"/>
      <c r="U1897" s="99"/>
      <c r="V1897" s="99"/>
      <c r="W1897" s="99"/>
      <c r="X1897" s="99"/>
      <c r="Y1897" s="99"/>
      <c r="Z1897" s="99"/>
      <c r="AA1897" s="100" t="s">
        <v>1792</v>
      </c>
      <c r="AB1897" s="99" t="s">
        <v>526</v>
      </c>
      <c r="AC1897" s="101">
        <v>50</v>
      </c>
      <c r="AD1897" s="101"/>
      <c r="AE1897" s="101"/>
      <c r="AF1897" s="101"/>
      <c r="AG1897" s="101"/>
      <c r="AH1897" s="99"/>
      <c r="AI1897" s="105"/>
    </row>
    <row r="1898" spans="1:35">
      <c r="A1898" s="98"/>
      <c r="B1898" s="99"/>
      <c r="C1898" s="100" t="s">
        <v>4203</v>
      </c>
      <c r="D1898" s="100" t="s">
        <v>79</v>
      </c>
      <c r="E1898" s="100" t="s">
        <v>80</v>
      </c>
      <c r="F1898" s="100" t="s">
        <v>171</v>
      </c>
      <c r="G1898" s="100" t="s">
        <v>1152</v>
      </c>
      <c r="H1898" s="99" t="s">
        <v>126</v>
      </c>
      <c r="I1898" s="247">
        <v>29408</v>
      </c>
      <c r="J1898" s="101">
        <v>1</v>
      </c>
      <c r="K1898" s="101"/>
      <c r="L1898" s="101">
        <v>1</v>
      </c>
      <c r="M1898" s="101"/>
      <c r="N1898" s="101">
        <v>1</v>
      </c>
      <c r="O1898" s="101"/>
      <c r="P1898" s="101"/>
      <c r="Q1898" s="101"/>
      <c r="R1898" s="101"/>
      <c r="S1898" s="101"/>
      <c r="T1898" s="101"/>
      <c r="U1898" s="99" t="s">
        <v>3919</v>
      </c>
      <c r="V1898" s="99" t="s">
        <v>513</v>
      </c>
      <c r="W1898" s="99" t="s">
        <v>279</v>
      </c>
      <c r="X1898" s="100" t="s">
        <v>227</v>
      </c>
      <c r="Y1898" s="99">
        <v>9467041651</v>
      </c>
      <c r="Z1898" s="99"/>
      <c r="AA1898" s="100" t="s">
        <v>1961</v>
      </c>
      <c r="AB1898" s="99" t="s">
        <v>528</v>
      </c>
      <c r="AC1898" s="101">
        <v>1</v>
      </c>
      <c r="AD1898" s="101"/>
      <c r="AE1898" s="101"/>
      <c r="AF1898" s="101"/>
      <c r="AG1898" s="101"/>
      <c r="AH1898" s="99"/>
      <c r="AI1898" s="105"/>
    </row>
    <row r="1899" spans="1:35">
      <c r="A1899" s="98"/>
      <c r="B1899" s="99"/>
      <c r="C1899" s="99"/>
      <c r="D1899" s="99"/>
      <c r="E1899" s="99"/>
      <c r="F1899" s="100"/>
      <c r="G1899" s="100"/>
      <c r="H1899" s="99"/>
      <c r="I1899" s="247"/>
      <c r="J1899" s="101"/>
      <c r="K1899" s="101"/>
      <c r="L1899" s="101"/>
      <c r="M1899" s="101"/>
      <c r="N1899" s="101"/>
      <c r="O1899" s="101"/>
      <c r="P1899" s="101"/>
      <c r="Q1899" s="101"/>
      <c r="R1899" s="101"/>
      <c r="S1899" s="101"/>
      <c r="T1899" s="101"/>
      <c r="U1899" s="99"/>
      <c r="V1899" s="99"/>
      <c r="W1899" s="99"/>
      <c r="X1899" s="99"/>
      <c r="Y1899" s="99"/>
      <c r="Z1899" s="99"/>
      <c r="AA1899" s="100" t="s">
        <v>1792</v>
      </c>
      <c r="AB1899" s="99" t="s">
        <v>526</v>
      </c>
      <c r="AC1899" s="101">
        <v>50</v>
      </c>
      <c r="AD1899" s="101"/>
      <c r="AE1899" s="101"/>
      <c r="AF1899" s="101"/>
      <c r="AG1899" s="101"/>
      <c r="AH1899" s="99"/>
      <c r="AI1899" s="105"/>
    </row>
    <row r="1900" spans="1:35">
      <c r="A1900" s="98"/>
      <c r="B1900" s="99"/>
      <c r="C1900" s="100" t="s">
        <v>4203</v>
      </c>
      <c r="D1900" s="100" t="s">
        <v>79</v>
      </c>
      <c r="E1900" s="100" t="s">
        <v>80</v>
      </c>
      <c r="F1900" s="100" t="s">
        <v>171</v>
      </c>
      <c r="G1900" s="100" t="s">
        <v>4233</v>
      </c>
      <c r="H1900" s="99" t="s">
        <v>115</v>
      </c>
      <c r="I1900" s="247">
        <v>19798</v>
      </c>
      <c r="J1900" s="101">
        <v>1</v>
      </c>
      <c r="K1900" s="101"/>
      <c r="L1900" s="101">
        <v>1</v>
      </c>
      <c r="M1900" s="101"/>
      <c r="N1900" s="101">
        <v>1</v>
      </c>
      <c r="O1900" s="101"/>
      <c r="P1900" s="101"/>
      <c r="Q1900" s="101"/>
      <c r="R1900" s="101"/>
      <c r="S1900" s="101"/>
      <c r="T1900" s="101"/>
      <c r="U1900" s="99" t="s">
        <v>3919</v>
      </c>
      <c r="V1900" s="99" t="s">
        <v>513</v>
      </c>
      <c r="W1900" s="99" t="s">
        <v>279</v>
      </c>
      <c r="X1900" s="100" t="s">
        <v>227</v>
      </c>
      <c r="Y1900" s="99">
        <v>9467041651</v>
      </c>
      <c r="Z1900" s="99"/>
      <c r="AA1900" s="100" t="s">
        <v>1961</v>
      </c>
      <c r="AB1900" s="99" t="s">
        <v>528</v>
      </c>
      <c r="AC1900" s="101">
        <v>1</v>
      </c>
      <c r="AD1900" s="101"/>
      <c r="AE1900" s="101"/>
      <c r="AF1900" s="101"/>
      <c r="AG1900" s="101"/>
      <c r="AH1900" s="99"/>
      <c r="AI1900" s="105"/>
    </row>
    <row r="1901" spans="1:35">
      <c r="A1901" s="98"/>
      <c r="B1901" s="99"/>
      <c r="C1901" s="99"/>
      <c r="D1901" s="99"/>
      <c r="E1901" s="99"/>
      <c r="F1901" s="100"/>
      <c r="G1901" s="100"/>
      <c r="H1901" s="99"/>
      <c r="I1901" s="247"/>
      <c r="J1901" s="101"/>
      <c r="K1901" s="101"/>
      <c r="L1901" s="101"/>
      <c r="M1901" s="101"/>
      <c r="N1901" s="101"/>
      <c r="O1901" s="101"/>
      <c r="P1901" s="101"/>
      <c r="Q1901" s="101"/>
      <c r="R1901" s="101"/>
      <c r="S1901" s="101"/>
      <c r="T1901" s="101"/>
      <c r="U1901" s="99"/>
      <c r="V1901" s="99"/>
      <c r="W1901" s="99"/>
      <c r="X1901" s="99"/>
      <c r="Y1901" s="99"/>
      <c r="Z1901" s="99"/>
      <c r="AA1901" s="100" t="s">
        <v>1792</v>
      </c>
      <c r="AB1901" s="99" t="s">
        <v>526</v>
      </c>
      <c r="AC1901" s="101">
        <v>50</v>
      </c>
      <c r="AD1901" s="101"/>
      <c r="AE1901" s="101"/>
      <c r="AF1901" s="101"/>
      <c r="AG1901" s="101"/>
      <c r="AH1901" s="99"/>
      <c r="AI1901" s="105"/>
    </row>
    <row r="1902" spans="1:35">
      <c r="A1902" s="98"/>
      <c r="B1902" s="99"/>
      <c r="C1902" s="100" t="s">
        <v>4203</v>
      </c>
      <c r="D1902" s="100" t="s">
        <v>79</v>
      </c>
      <c r="E1902" s="100" t="s">
        <v>80</v>
      </c>
      <c r="F1902" s="100" t="s">
        <v>4229</v>
      </c>
      <c r="G1902" s="100" t="s">
        <v>4234</v>
      </c>
      <c r="H1902" s="99" t="s">
        <v>286</v>
      </c>
      <c r="I1902" s="247">
        <v>34354</v>
      </c>
      <c r="J1902" s="101"/>
      <c r="K1902" s="101">
        <v>1</v>
      </c>
      <c r="L1902" s="101">
        <v>1</v>
      </c>
      <c r="M1902" s="101"/>
      <c r="N1902" s="101">
        <v>1</v>
      </c>
      <c r="O1902" s="101"/>
      <c r="P1902" s="101"/>
      <c r="Q1902" s="101"/>
      <c r="R1902" s="101"/>
      <c r="S1902" s="101"/>
      <c r="T1902" s="101"/>
      <c r="U1902" s="99" t="s">
        <v>3919</v>
      </c>
      <c r="V1902" s="99" t="s">
        <v>513</v>
      </c>
      <c r="W1902" s="99" t="s">
        <v>279</v>
      </c>
      <c r="X1902" s="100" t="s">
        <v>227</v>
      </c>
      <c r="Y1902" s="99"/>
      <c r="Z1902" s="99"/>
      <c r="AA1902" s="100" t="s">
        <v>1961</v>
      </c>
      <c r="AB1902" s="99" t="s">
        <v>528</v>
      </c>
      <c r="AC1902" s="101">
        <v>1</v>
      </c>
      <c r="AD1902" s="101"/>
      <c r="AE1902" s="101"/>
      <c r="AF1902" s="101"/>
      <c r="AG1902" s="101"/>
      <c r="AH1902" s="99"/>
      <c r="AI1902" s="105"/>
    </row>
    <row r="1903" spans="1:35">
      <c r="A1903" s="98"/>
      <c r="B1903" s="99"/>
      <c r="C1903" s="99"/>
      <c r="D1903" s="99"/>
      <c r="E1903" s="99"/>
      <c r="F1903" s="100"/>
      <c r="G1903" s="100"/>
      <c r="H1903" s="99"/>
      <c r="I1903" s="247"/>
      <c r="J1903" s="101"/>
      <c r="K1903" s="101"/>
      <c r="L1903" s="101"/>
      <c r="M1903" s="101"/>
      <c r="N1903" s="101"/>
      <c r="O1903" s="101"/>
      <c r="P1903" s="101"/>
      <c r="Q1903" s="101"/>
      <c r="R1903" s="101"/>
      <c r="S1903" s="101"/>
      <c r="T1903" s="101"/>
      <c r="U1903" s="99"/>
      <c r="V1903" s="99"/>
      <c r="W1903" s="99"/>
      <c r="X1903" s="99"/>
      <c r="Y1903" s="99"/>
      <c r="Z1903" s="99"/>
      <c r="AA1903" s="100" t="s">
        <v>1792</v>
      </c>
      <c r="AB1903" s="99" t="s">
        <v>526</v>
      </c>
      <c r="AC1903" s="101">
        <v>50</v>
      </c>
      <c r="AD1903" s="101"/>
      <c r="AE1903" s="101"/>
      <c r="AF1903" s="101"/>
      <c r="AG1903" s="101"/>
      <c r="AH1903" s="99"/>
      <c r="AI1903" s="105"/>
    </row>
    <row r="1904" spans="1:35">
      <c r="A1904" s="98"/>
      <c r="B1904" s="99"/>
      <c r="C1904" s="100" t="s">
        <v>4203</v>
      </c>
      <c r="D1904" s="100" t="s">
        <v>79</v>
      </c>
      <c r="E1904" s="100" t="s">
        <v>80</v>
      </c>
      <c r="F1904" s="100" t="s">
        <v>1795</v>
      </c>
      <c r="G1904" s="100" t="s">
        <v>181</v>
      </c>
      <c r="H1904" s="99" t="s">
        <v>113</v>
      </c>
      <c r="I1904" s="247">
        <v>28783</v>
      </c>
      <c r="J1904" s="101"/>
      <c r="K1904" s="101">
        <v>1</v>
      </c>
      <c r="L1904" s="101">
        <v>1</v>
      </c>
      <c r="M1904" s="101"/>
      <c r="N1904" s="101">
        <v>1</v>
      </c>
      <c r="O1904" s="101"/>
      <c r="P1904" s="101"/>
      <c r="Q1904" s="101"/>
      <c r="R1904" s="101"/>
      <c r="S1904" s="101"/>
      <c r="T1904" s="101"/>
      <c r="U1904" s="99" t="s">
        <v>3919</v>
      </c>
      <c r="V1904" s="99" t="s">
        <v>513</v>
      </c>
      <c r="W1904" s="99" t="s">
        <v>279</v>
      </c>
      <c r="X1904" s="100" t="s">
        <v>227</v>
      </c>
      <c r="Y1904" s="99"/>
      <c r="Z1904" s="99"/>
      <c r="AA1904" s="100" t="s">
        <v>1961</v>
      </c>
      <c r="AB1904" s="99" t="s">
        <v>528</v>
      </c>
      <c r="AC1904" s="101">
        <v>1</v>
      </c>
      <c r="AD1904" s="101"/>
      <c r="AE1904" s="101"/>
      <c r="AF1904" s="101"/>
      <c r="AG1904" s="101"/>
      <c r="AH1904" s="99"/>
      <c r="AI1904" s="105"/>
    </row>
    <row r="1905" spans="1:35">
      <c r="A1905" s="98"/>
      <c r="B1905" s="99"/>
      <c r="C1905" s="99"/>
      <c r="D1905" s="99"/>
      <c r="E1905" s="99"/>
      <c r="F1905" s="100"/>
      <c r="G1905" s="100"/>
      <c r="H1905" s="99"/>
      <c r="I1905" s="247"/>
      <c r="J1905" s="101"/>
      <c r="K1905" s="101"/>
      <c r="L1905" s="101"/>
      <c r="M1905" s="101"/>
      <c r="N1905" s="101"/>
      <c r="O1905" s="101"/>
      <c r="P1905" s="101"/>
      <c r="Q1905" s="101"/>
      <c r="R1905" s="101"/>
      <c r="S1905" s="101"/>
      <c r="T1905" s="101"/>
      <c r="U1905" s="99"/>
      <c r="V1905" s="99"/>
      <c r="W1905" s="99"/>
      <c r="X1905" s="99"/>
      <c r="Y1905" s="99"/>
      <c r="Z1905" s="99"/>
      <c r="AA1905" s="100" t="s">
        <v>1792</v>
      </c>
      <c r="AB1905" s="99" t="s">
        <v>526</v>
      </c>
      <c r="AC1905" s="101">
        <v>50</v>
      </c>
      <c r="AD1905" s="101"/>
      <c r="AE1905" s="101"/>
      <c r="AF1905" s="101"/>
      <c r="AG1905" s="101"/>
      <c r="AH1905" s="99"/>
      <c r="AI1905" s="105"/>
    </row>
    <row r="1906" spans="1:35">
      <c r="A1906" s="98"/>
      <c r="B1906" s="99"/>
      <c r="C1906" s="100" t="s">
        <v>4203</v>
      </c>
      <c r="D1906" s="100" t="s">
        <v>79</v>
      </c>
      <c r="E1906" s="100" t="s">
        <v>80</v>
      </c>
      <c r="F1906" s="100" t="s">
        <v>4207</v>
      </c>
      <c r="G1906" s="100" t="s">
        <v>2000</v>
      </c>
      <c r="H1906" s="99" t="s">
        <v>126</v>
      </c>
      <c r="I1906" s="247">
        <v>28982</v>
      </c>
      <c r="J1906" s="101"/>
      <c r="K1906" s="101">
        <v>1</v>
      </c>
      <c r="L1906" s="101">
        <v>1</v>
      </c>
      <c r="M1906" s="101"/>
      <c r="N1906" s="101">
        <v>1</v>
      </c>
      <c r="O1906" s="101"/>
      <c r="P1906" s="101"/>
      <c r="Q1906" s="101"/>
      <c r="R1906" s="101"/>
      <c r="S1906" s="101"/>
      <c r="T1906" s="101"/>
      <c r="U1906" s="99" t="s">
        <v>3919</v>
      </c>
      <c r="V1906" s="99" t="s">
        <v>513</v>
      </c>
      <c r="W1906" s="99" t="s">
        <v>279</v>
      </c>
      <c r="X1906" s="100" t="s">
        <v>227</v>
      </c>
      <c r="Y1906" s="99"/>
      <c r="Z1906" s="99"/>
      <c r="AA1906" s="100" t="s">
        <v>1961</v>
      </c>
      <c r="AB1906" s="99" t="s">
        <v>528</v>
      </c>
      <c r="AC1906" s="101">
        <v>1</v>
      </c>
      <c r="AD1906" s="101"/>
      <c r="AE1906" s="101"/>
      <c r="AF1906" s="101"/>
      <c r="AG1906" s="101"/>
      <c r="AH1906" s="99"/>
      <c r="AI1906" s="105"/>
    </row>
    <row r="1907" spans="1:35">
      <c r="A1907" s="98"/>
      <c r="B1907" s="99"/>
      <c r="C1907" s="99"/>
      <c r="D1907" s="99"/>
      <c r="E1907" s="99"/>
      <c r="F1907" s="100"/>
      <c r="G1907" s="100"/>
      <c r="H1907" s="99"/>
      <c r="I1907" s="247"/>
      <c r="J1907" s="101"/>
      <c r="K1907" s="101"/>
      <c r="L1907" s="101"/>
      <c r="M1907" s="101"/>
      <c r="N1907" s="101"/>
      <c r="O1907" s="101"/>
      <c r="P1907" s="101"/>
      <c r="Q1907" s="101"/>
      <c r="R1907" s="101"/>
      <c r="S1907" s="101"/>
      <c r="T1907" s="101"/>
      <c r="U1907" s="99"/>
      <c r="V1907" s="100"/>
      <c r="W1907" s="100"/>
      <c r="X1907" s="100"/>
      <c r="Y1907" s="99"/>
      <c r="Z1907" s="99"/>
      <c r="AA1907" s="100" t="s">
        <v>1792</v>
      </c>
      <c r="AB1907" s="99" t="s">
        <v>526</v>
      </c>
      <c r="AC1907" s="101">
        <v>50</v>
      </c>
      <c r="AD1907" s="101"/>
      <c r="AE1907" s="101"/>
      <c r="AF1907" s="101"/>
      <c r="AG1907" s="101"/>
      <c r="AH1907" s="99"/>
      <c r="AI1907" s="105"/>
    </row>
    <row r="1908" spans="1:35">
      <c r="A1908" s="98"/>
      <c r="B1908" s="99"/>
      <c r="C1908" s="100" t="s">
        <v>4203</v>
      </c>
      <c r="D1908" s="100" t="s">
        <v>79</v>
      </c>
      <c r="E1908" s="100" t="s">
        <v>80</v>
      </c>
      <c r="F1908" s="100" t="s">
        <v>171</v>
      </c>
      <c r="G1908" s="100" t="s">
        <v>4235</v>
      </c>
      <c r="H1908" s="99" t="s">
        <v>286</v>
      </c>
      <c r="I1908" s="247">
        <v>30859</v>
      </c>
      <c r="J1908" s="101"/>
      <c r="K1908" s="101">
        <v>1</v>
      </c>
      <c r="L1908" s="101">
        <v>1</v>
      </c>
      <c r="M1908" s="101"/>
      <c r="N1908" s="101">
        <v>1</v>
      </c>
      <c r="O1908" s="101"/>
      <c r="P1908" s="101"/>
      <c r="Q1908" s="101"/>
      <c r="R1908" s="101"/>
      <c r="S1908" s="101"/>
      <c r="T1908" s="101"/>
      <c r="U1908" s="99" t="s">
        <v>3919</v>
      </c>
      <c r="V1908" s="99" t="s">
        <v>513</v>
      </c>
      <c r="W1908" s="99" t="s">
        <v>279</v>
      </c>
      <c r="X1908" s="100" t="s">
        <v>227</v>
      </c>
      <c r="Y1908" s="99"/>
      <c r="Z1908" s="99"/>
      <c r="AA1908" s="100" t="s">
        <v>1961</v>
      </c>
      <c r="AB1908" s="99" t="s">
        <v>528</v>
      </c>
      <c r="AC1908" s="101">
        <v>1</v>
      </c>
      <c r="AD1908" s="101"/>
      <c r="AE1908" s="101"/>
      <c r="AF1908" s="101"/>
      <c r="AG1908" s="101"/>
      <c r="AH1908" s="99"/>
      <c r="AI1908" s="105"/>
    </row>
    <row r="1909" spans="1:35">
      <c r="A1909" s="98"/>
      <c r="B1909" s="99"/>
      <c r="C1909" s="99"/>
      <c r="D1909" s="99"/>
      <c r="E1909" s="99"/>
      <c r="F1909" s="100"/>
      <c r="G1909" s="100"/>
      <c r="H1909" s="99"/>
      <c r="I1909" s="247"/>
      <c r="J1909" s="101"/>
      <c r="K1909" s="101"/>
      <c r="L1909" s="101"/>
      <c r="M1909" s="101"/>
      <c r="N1909" s="101"/>
      <c r="O1909" s="101"/>
      <c r="P1909" s="101"/>
      <c r="Q1909" s="101"/>
      <c r="R1909" s="101"/>
      <c r="S1909" s="101"/>
      <c r="T1909" s="101"/>
      <c r="U1909" s="99"/>
      <c r="V1909" s="100"/>
      <c r="W1909" s="100"/>
      <c r="X1909" s="100"/>
      <c r="Y1909" s="99"/>
      <c r="Z1909" s="99"/>
      <c r="AA1909" s="100" t="s">
        <v>1792</v>
      </c>
      <c r="AB1909" s="99" t="s">
        <v>526</v>
      </c>
      <c r="AC1909" s="101">
        <v>50</v>
      </c>
      <c r="AD1909" s="101"/>
      <c r="AE1909" s="101"/>
      <c r="AF1909" s="101"/>
      <c r="AG1909" s="101"/>
      <c r="AH1909" s="99"/>
      <c r="AI1909" s="105"/>
    </row>
    <row r="1910" spans="1:35">
      <c r="A1910" s="98"/>
      <c r="B1910" s="99"/>
      <c r="C1910" s="100" t="s">
        <v>4203</v>
      </c>
      <c r="D1910" s="100" t="s">
        <v>79</v>
      </c>
      <c r="E1910" s="100" t="s">
        <v>80</v>
      </c>
      <c r="F1910" s="100" t="s">
        <v>110</v>
      </c>
      <c r="G1910" s="100" t="s">
        <v>4236</v>
      </c>
      <c r="H1910" s="99" t="s">
        <v>286</v>
      </c>
      <c r="I1910" s="247">
        <v>32648</v>
      </c>
      <c r="J1910" s="101"/>
      <c r="K1910" s="101">
        <v>1</v>
      </c>
      <c r="L1910" s="101">
        <v>1</v>
      </c>
      <c r="M1910" s="101"/>
      <c r="N1910" s="101">
        <v>1</v>
      </c>
      <c r="O1910" s="101"/>
      <c r="P1910" s="101"/>
      <c r="Q1910" s="101"/>
      <c r="R1910" s="101"/>
      <c r="S1910" s="101"/>
      <c r="T1910" s="101"/>
      <c r="U1910" s="99" t="s">
        <v>3919</v>
      </c>
      <c r="V1910" s="99" t="s">
        <v>513</v>
      </c>
      <c r="W1910" s="99" t="s">
        <v>279</v>
      </c>
      <c r="X1910" s="100" t="s">
        <v>227</v>
      </c>
      <c r="Y1910" s="99"/>
      <c r="Z1910" s="99"/>
      <c r="AA1910" s="100" t="s">
        <v>1961</v>
      </c>
      <c r="AB1910" s="99" t="s">
        <v>528</v>
      </c>
      <c r="AC1910" s="101">
        <v>1</v>
      </c>
      <c r="AD1910" s="101"/>
      <c r="AE1910" s="101"/>
      <c r="AF1910" s="101"/>
      <c r="AG1910" s="101"/>
      <c r="AH1910" s="99"/>
      <c r="AI1910" s="105"/>
    </row>
    <row r="1911" spans="1:35">
      <c r="A1911" s="98"/>
      <c r="B1911" s="99"/>
      <c r="C1911" s="99"/>
      <c r="D1911" s="99"/>
      <c r="E1911" s="99"/>
      <c r="F1911" s="100"/>
      <c r="G1911" s="100"/>
      <c r="H1911" s="99"/>
      <c r="I1911" s="247"/>
      <c r="J1911" s="101"/>
      <c r="K1911" s="101"/>
      <c r="L1911" s="101"/>
      <c r="M1911" s="101"/>
      <c r="N1911" s="101"/>
      <c r="O1911" s="101"/>
      <c r="P1911" s="101"/>
      <c r="Q1911" s="101"/>
      <c r="R1911" s="101"/>
      <c r="S1911" s="101"/>
      <c r="T1911" s="101"/>
      <c r="U1911" s="99"/>
      <c r="V1911" s="99"/>
      <c r="W1911" s="99"/>
      <c r="X1911" s="99"/>
      <c r="Y1911" s="99"/>
      <c r="Z1911" s="99"/>
      <c r="AA1911" s="100" t="s">
        <v>1792</v>
      </c>
      <c r="AB1911" s="99" t="s">
        <v>526</v>
      </c>
      <c r="AC1911" s="101">
        <v>50</v>
      </c>
      <c r="AD1911" s="101"/>
      <c r="AE1911" s="101"/>
      <c r="AF1911" s="101"/>
      <c r="AG1911" s="101"/>
      <c r="AH1911" s="99"/>
      <c r="AI1911" s="105"/>
    </row>
    <row r="1912" spans="1:35">
      <c r="A1912" s="98"/>
      <c r="B1912" s="99"/>
      <c r="C1912" s="100" t="s">
        <v>4203</v>
      </c>
      <c r="D1912" s="100" t="s">
        <v>79</v>
      </c>
      <c r="E1912" s="100" t="s">
        <v>80</v>
      </c>
      <c r="F1912" s="100" t="s">
        <v>4224</v>
      </c>
      <c r="G1912" s="100" t="s">
        <v>4237</v>
      </c>
      <c r="H1912" s="99" t="s">
        <v>120</v>
      </c>
      <c r="I1912" s="247">
        <v>30046</v>
      </c>
      <c r="J1912" s="101"/>
      <c r="K1912" s="101">
        <v>1</v>
      </c>
      <c r="L1912" s="101">
        <v>1</v>
      </c>
      <c r="M1912" s="101"/>
      <c r="N1912" s="101">
        <v>1</v>
      </c>
      <c r="O1912" s="101"/>
      <c r="P1912" s="101"/>
      <c r="Q1912" s="101"/>
      <c r="R1912" s="101"/>
      <c r="S1912" s="101"/>
      <c r="T1912" s="101"/>
      <c r="U1912" s="99" t="s">
        <v>3919</v>
      </c>
      <c r="V1912" s="99" t="s">
        <v>513</v>
      </c>
      <c r="W1912" s="99" t="s">
        <v>279</v>
      </c>
      <c r="X1912" s="100" t="s">
        <v>227</v>
      </c>
      <c r="Y1912" s="99"/>
      <c r="Z1912" s="99"/>
      <c r="AA1912" s="100" t="s">
        <v>1792</v>
      </c>
      <c r="AB1912" s="99" t="s">
        <v>526</v>
      </c>
      <c r="AC1912" s="101">
        <v>50</v>
      </c>
      <c r="AD1912" s="101"/>
      <c r="AE1912" s="101"/>
      <c r="AF1912" s="101"/>
      <c r="AG1912" s="101"/>
      <c r="AH1912" s="99"/>
      <c r="AI1912" s="105"/>
    </row>
    <row r="1913" spans="1:35">
      <c r="A1913" s="98"/>
      <c r="B1913" s="99"/>
      <c r="C1913" s="100" t="s">
        <v>4203</v>
      </c>
      <c r="D1913" s="100" t="s">
        <v>79</v>
      </c>
      <c r="E1913" s="100" t="s">
        <v>80</v>
      </c>
      <c r="F1913" s="100" t="s">
        <v>4238</v>
      </c>
      <c r="G1913" s="100" t="s">
        <v>432</v>
      </c>
      <c r="H1913" s="99" t="s">
        <v>115</v>
      </c>
      <c r="I1913" s="247">
        <v>31477</v>
      </c>
      <c r="J1913" s="101"/>
      <c r="K1913" s="101">
        <v>1</v>
      </c>
      <c r="L1913" s="101">
        <v>1</v>
      </c>
      <c r="M1913" s="101"/>
      <c r="N1913" s="101">
        <v>1</v>
      </c>
      <c r="O1913" s="101"/>
      <c r="P1913" s="101"/>
      <c r="Q1913" s="101"/>
      <c r="R1913" s="101"/>
      <c r="S1913" s="101"/>
      <c r="T1913" s="101"/>
      <c r="U1913" s="99" t="s">
        <v>3919</v>
      </c>
      <c r="V1913" s="99" t="s">
        <v>513</v>
      </c>
      <c r="W1913" s="99" t="s">
        <v>279</v>
      </c>
      <c r="X1913" s="100" t="s">
        <v>227</v>
      </c>
      <c r="Y1913" s="99"/>
      <c r="Z1913" s="99"/>
      <c r="AA1913" s="100" t="s">
        <v>1792</v>
      </c>
      <c r="AB1913" s="99" t="s">
        <v>526</v>
      </c>
      <c r="AC1913" s="101">
        <v>50</v>
      </c>
      <c r="AD1913" s="101"/>
      <c r="AE1913" s="101"/>
      <c r="AF1913" s="101"/>
      <c r="AG1913" s="101"/>
      <c r="AH1913" s="99"/>
      <c r="AI1913" s="105"/>
    </row>
    <row r="1914" spans="1:35">
      <c r="A1914" s="98"/>
      <c r="B1914" s="99"/>
      <c r="C1914" s="100" t="s">
        <v>4203</v>
      </c>
      <c r="D1914" s="100" t="s">
        <v>79</v>
      </c>
      <c r="E1914" s="100" t="s">
        <v>80</v>
      </c>
      <c r="F1914" s="100" t="s">
        <v>171</v>
      </c>
      <c r="G1914" s="100" t="s">
        <v>4239</v>
      </c>
      <c r="H1914" s="99" t="s">
        <v>115</v>
      </c>
      <c r="I1914" s="247">
        <v>26406</v>
      </c>
      <c r="J1914" s="101">
        <v>1</v>
      </c>
      <c r="K1914" s="101"/>
      <c r="L1914" s="101">
        <v>1</v>
      </c>
      <c r="M1914" s="101"/>
      <c r="N1914" s="101">
        <v>1</v>
      </c>
      <c r="O1914" s="101"/>
      <c r="P1914" s="101"/>
      <c r="Q1914" s="101"/>
      <c r="R1914" s="101"/>
      <c r="S1914" s="101"/>
      <c r="T1914" s="101"/>
      <c r="U1914" s="99" t="s">
        <v>3919</v>
      </c>
      <c r="V1914" s="99" t="s">
        <v>513</v>
      </c>
      <c r="W1914" s="99" t="s">
        <v>279</v>
      </c>
      <c r="X1914" s="100" t="s">
        <v>227</v>
      </c>
      <c r="Y1914" s="99"/>
      <c r="Z1914" s="99"/>
      <c r="AA1914" s="100" t="s">
        <v>1792</v>
      </c>
      <c r="AB1914" s="99" t="s">
        <v>526</v>
      </c>
      <c r="AC1914" s="101">
        <v>50</v>
      </c>
      <c r="AD1914" s="101"/>
      <c r="AE1914" s="101"/>
      <c r="AF1914" s="101"/>
      <c r="AG1914" s="101"/>
      <c r="AH1914" s="99"/>
      <c r="AI1914" s="105"/>
    </row>
    <row r="1915" spans="1:35">
      <c r="A1915" s="98"/>
      <c r="B1915" s="99"/>
      <c r="C1915" s="100" t="s">
        <v>4203</v>
      </c>
      <c r="D1915" s="100" t="s">
        <v>79</v>
      </c>
      <c r="E1915" s="100" t="s">
        <v>80</v>
      </c>
      <c r="F1915" s="100" t="s">
        <v>171</v>
      </c>
      <c r="G1915" s="100" t="s">
        <v>4240</v>
      </c>
      <c r="H1915" s="99" t="s">
        <v>115</v>
      </c>
      <c r="I1915" s="247">
        <v>19952</v>
      </c>
      <c r="J1915" s="101"/>
      <c r="K1915" s="101">
        <v>1</v>
      </c>
      <c r="L1915" s="101">
        <v>1</v>
      </c>
      <c r="M1915" s="101"/>
      <c r="N1915" s="101">
        <v>1</v>
      </c>
      <c r="O1915" s="101"/>
      <c r="P1915" s="101"/>
      <c r="Q1915" s="101"/>
      <c r="R1915" s="101"/>
      <c r="S1915" s="101"/>
      <c r="T1915" s="101"/>
      <c r="U1915" s="99" t="s">
        <v>3919</v>
      </c>
      <c r="V1915" s="99" t="s">
        <v>513</v>
      </c>
      <c r="W1915" s="99" t="s">
        <v>279</v>
      </c>
      <c r="X1915" s="100" t="s">
        <v>227</v>
      </c>
      <c r="Y1915" s="99"/>
      <c r="Z1915" s="99"/>
      <c r="AA1915" s="100" t="s">
        <v>1792</v>
      </c>
      <c r="AB1915" s="99" t="s">
        <v>526</v>
      </c>
      <c r="AC1915" s="101">
        <v>50</v>
      </c>
      <c r="AD1915" s="101"/>
      <c r="AE1915" s="101"/>
      <c r="AF1915" s="101"/>
      <c r="AG1915" s="101"/>
      <c r="AH1915" s="99"/>
      <c r="AI1915" s="105"/>
    </row>
    <row r="1916" spans="1:35">
      <c r="A1916" s="98"/>
      <c r="B1916" s="99"/>
      <c r="C1916" s="100" t="s">
        <v>4203</v>
      </c>
      <c r="D1916" s="100" t="s">
        <v>79</v>
      </c>
      <c r="E1916" s="100" t="s">
        <v>80</v>
      </c>
      <c r="F1916" s="100" t="s">
        <v>1474</v>
      </c>
      <c r="G1916" s="100" t="s">
        <v>615</v>
      </c>
      <c r="H1916" s="99" t="s">
        <v>120</v>
      </c>
      <c r="I1916" s="247">
        <v>33903</v>
      </c>
      <c r="J1916" s="101"/>
      <c r="K1916" s="101">
        <v>1</v>
      </c>
      <c r="L1916" s="101">
        <v>1</v>
      </c>
      <c r="M1916" s="101"/>
      <c r="N1916" s="101">
        <v>1</v>
      </c>
      <c r="O1916" s="101"/>
      <c r="P1916" s="101"/>
      <c r="Q1916" s="101"/>
      <c r="R1916" s="101"/>
      <c r="S1916" s="101"/>
      <c r="T1916" s="101"/>
      <c r="U1916" s="99" t="s">
        <v>3919</v>
      </c>
      <c r="V1916" s="99" t="s">
        <v>513</v>
      </c>
      <c r="W1916" s="99" t="s">
        <v>279</v>
      </c>
      <c r="X1916" s="100" t="s">
        <v>227</v>
      </c>
      <c r="Y1916" s="99"/>
      <c r="Z1916" s="99"/>
      <c r="AA1916" s="100" t="s">
        <v>1792</v>
      </c>
      <c r="AB1916" s="99" t="s">
        <v>526</v>
      </c>
      <c r="AC1916" s="101">
        <v>50</v>
      </c>
      <c r="AD1916" s="101"/>
      <c r="AE1916" s="101"/>
      <c r="AF1916" s="101"/>
      <c r="AG1916" s="101"/>
      <c r="AH1916" s="99"/>
      <c r="AI1916" s="105"/>
    </row>
    <row r="1917" spans="1:35">
      <c r="A1917" s="98"/>
      <c r="B1917" s="99"/>
      <c r="C1917" s="100" t="s">
        <v>4203</v>
      </c>
      <c r="D1917" s="100" t="s">
        <v>79</v>
      </c>
      <c r="E1917" s="100" t="s">
        <v>80</v>
      </c>
      <c r="F1917" s="100" t="s">
        <v>1902</v>
      </c>
      <c r="G1917" s="100" t="s">
        <v>4241</v>
      </c>
      <c r="H1917" s="99" t="s">
        <v>120</v>
      </c>
      <c r="I1917" s="247">
        <v>32437</v>
      </c>
      <c r="J1917" s="101"/>
      <c r="K1917" s="101">
        <v>1</v>
      </c>
      <c r="L1917" s="101">
        <v>1</v>
      </c>
      <c r="M1917" s="101"/>
      <c r="N1917" s="101">
        <v>1</v>
      </c>
      <c r="O1917" s="101"/>
      <c r="P1917" s="101"/>
      <c r="Q1917" s="101"/>
      <c r="R1917" s="101"/>
      <c r="S1917" s="101"/>
      <c r="T1917" s="101"/>
      <c r="U1917" s="99" t="s">
        <v>3919</v>
      </c>
      <c r="V1917" s="99" t="s">
        <v>513</v>
      </c>
      <c r="W1917" s="99" t="s">
        <v>279</v>
      </c>
      <c r="X1917" s="100" t="s">
        <v>227</v>
      </c>
      <c r="Y1917" s="99"/>
      <c r="Z1917" s="99"/>
      <c r="AA1917" s="100" t="s">
        <v>1792</v>
      </c>
      <c r="AB1917" s="99" t="s">
        <v>526</v>
      </c>
      <c r="AC1917" s="101">
        <v>50</v>
      </c>
      <c r="AD1917" s="101"/>
      <c r="AE1917" s="101"/>
      <c r="AF1917" s="101"/>
      <c r="AG1917" s="101"/>
      <c r="AH1917" s="99"/>
      <c r="AI1917" s="105"/>
    </row>
    <row r="1918" spans="1:35">
      <c r="A1918" s="98"/>
      <c r="B1918" s="99"/>
      <c r="C1918" s="100" t="s">
        <v>4203</v>
      </c>
      <c r="D1918" s="100" t="s">
        <v>79</v>
      </c>
      <c r="E1918" s="100" t="s">
        <v>80</v>
      </c>
      <c r="F1918" s="100" t="s">
        <v>4242</v>
      </c>
      <c r="G1918" s="100" t="s">
        <v>4243</v>
      </c>
      <c r="H1918" s="99" t="s">
        <v>120</v>
      </c>
      <c r="I1918" s="247">
        <v>34191</v>
      </c>
      <c r="J1918" s="101"/>
      <c r="K1918" s="101">
        <v>1</v>
      </c>
      <c r="L1918" s="101">
        <v>1</v>
      </c>
      <c r="M1918" s="101"/>
      <c r="N1918" s="101">
        <v>1</v>
      </c>
      <c r="O1918" s="101"/>
      <c r="P1918" s="101"/>
      <c r="Q1918" s="101"/>
      <c r="R1918" s="101"/>
      <c r="S1918" s="101"/>
      <c r="T1918" s="101"/>
      <c r="U1918" s="99" t="s">
        <v>3919</v>
      </c>
      <c r="V1918" s="99" t="s">
        <v>513</v>
      </c>
      <c r="W1918" s="99" t="s">
        <v>279</v>
      </c>
      <c r="X1918" s="100" t="s">
        <v>227</v>
      </c>
      <c r="Y1918" s="99"/>
      <c r="Z1918" s="99"/>
      <c r="AA1918" s="100" t="s">
        <v>1792</v>
      </c>
      <c r="AB1918" s="99" t="s">
        <v>526</v>
      </c>
      <c r="AC1918" s="101">
        <v>50</v>
      </c>
      <c r="AD1918" s="101"/>
      <c r="AE1918" s="101"/>
      <c r="AF1918" s="101"/>
      <c r="AG1918" s="101"/>
      <c r="AH1918" s="99"/>
      <c r="AI1918" s="105"/>
    </row>
    <row r="1919" spans="1:35">
      <c r="A1919" s="98"/>
      <c r="B1919" s="99"/>
      <c r="C1919" s="100" t="s">
        <v>4203</v>
      </c>
      <c r="D1919" s="100" t="s">
        <v>79</v>
      </c>
      <c r="E1919" s="100" t="s">
        <v>80</v>
      </c>
      <c r="F1919" s="100" t="s">
        <v>3913</v>
      </c>
      <c r="G1919" s="100" t="s">
        <v>905</v>
      </c>
      <c r="H1919" s="99" t="s">
        <v>202</v>
      </c>
      <c r="I1919" s="247">
        <v>22663</v>
      </c>
      <c r="J1919" s="101">
        <v>1</v>
      </c>
      <c r="K1919" s="101"/>
      <c r="L1919" s="101">
        <v>1</v>
      </c>
      <c r="M1919" s="101"/>
      <c r="N1919" s="101">
        <v>1</v>
      </c>
      <c r="O1919" s="101"/>
      <c r="P1919" s="101"/>
      <c r="Q1919" s="101"/>
      <c r="R1919" s="101"/>
      <c r="S1919" s="101"/>
      <c r="T1919" s="101"/>
      <c r="U1919" s="99" t="s">
        <v>3919</v>
      </c>
      <c r="V1919" s="99" t="s">
        <v>513</v>
      </c>
      <c r="W1919" s="99" t="s">
        <v>279</v>
      </c>
      <c r="X1919" s="100" t="s">
        <v>227</v>
      </c>
      <c r="Y1919" s="99"/>
      <c r="Z1919" s="99"/>
      <c r="AA1919" s="100" t="s">
        <v>1792</v>
      </c>
      <c r="AB1919" s="99" t="s">
        <v>526</v>
      </c>
      <c r="AC1919" s="101">
        <v>50</v>
      </c>
      <c r="AD1919" s="101"/>
      <c r="AE1919" s="101"/>
      <c r="AF1919" s="101"/>
      <c r="AG1919" s="101"/>
      <c r="AH1919" s="99"/>
      <c r="AI1919" s="105"/>
    </row>
    <row r="1920" spans="1:35">
      <c r="A1920" s="98"/>
      <c r="B1920" s="99"/>
      <c r="C1920" s="100" t="s">
        <v>4203</v>
      </c>
      <c r="D1920" s="100" t="s">
        <v>79</v>
      </c>
      <c r="E1920" s="100" t="s">
        <v>80</v>
      </c>
      <c r="F1920" s="100" t="s">
        <v>4232</v>
      </c>
      <c r="G1920" s="100" t="s">
        <v>585</v>
      </c>
      <c r="H1920" s="99" t="s">
        <v>286</v>
      </c>
      <c r="I1920" s="247">
        <v>33558</v>
      </c>
      <c r="J1920" s="101">
        <v>1</v>
      </c>
      <c r="K1920" s="101"/>
      <c r="L1920" s="101">
        <v>1</v>
      </c>
      <c r="M1920" s="101"/>
      <c r="N1920" s="101">
        <v>1</v>
      </c>
      <c r="O1920" s="101"/>
      <c r="P1920" s="101"/>
      <c r="Q1920" s="101"/>
      <c r="R1920" s="101"/>
      <c r="S1920" s="101"/>
      <c r="T1920" s="101"/>
      <c r="U1920" s="99" t="s">
        <v>3919</v>
      </c>
      <c r="V1920" s="99" t="s">
        <v>513</v>
      </c>
      <c r="W1920" s="99" t="s">
        <v>279</v>
      </c>
      <c r="X1920" s="100" t="s">
        <v>227</v>
      </c>
      <c r="Y1920" s="99"/>
      <c r="Z1920" s="99"/>
      <c r="AA1920" s="100" t="s">
        <v>1792</v>
      </c>
      <c r="AB1920" s="99" t="s">
        <v>526</v>
      </c>
      <c r="AC1920" s="101">
        <v>50</v>
      </c>
      <c r="AD1920" s="101"/>
      <c r="AE1920" s="101"/>
      <c r="AF1920" s="101"/>
      <c r="AG1920" s="101"/>
      <c r="AH1920" s="99"/>
      <c r="AI1920" s="105"/>
    </row>
    <row r="1921" spans="1:35">
      <c r="A1921" s="98"/>
      <c r="B1921" s="99"/>
      <c r="C1921" s="100" t="s">
        <v>4203</v>
      </c>
      <c r="D1921" s="100" t="s">
        <v>79</v>
      </c>
      <c r="E1921" s="100" t="s">
        <v>80</v>
      </c>
      <c r="F1921" s="100" t="s">
        <v>2053</v>
      </c>
      <c r="G1921" s="100" t="s">
        <v>4244</v>
      </c>
      <c r="H1921" s="100" t="s">
        <v>115</v>
      </c>
      <c r="I1921" s="247">
        <v>31960</v>
      </c>
      <c r="J1921" s="101">
        <v>1</v>
      </c>
      <c r="K1921" s="101"/>
      <c r="L1921" s="101">
        <v>1</v>
      </c>
      <c r="M1921" s="101"/>
      <c r="N1921" s="101">
        <v>1</v>
      </c>
      <c r="O1921" s="101"/>
      <c r="P1921" s="101"/>
      <c r="Q1921" s="101"/>
      <c r="R1921" s="101"/>
      <c r="S1921" s="101"/>
      <c r="T1921" s="101"/>
      <c r="U1921" s="99" t="s">
        <v>3919</v>
      </c>
      <c r="V1921" s="99" t="s">
        <v>513</v>
      </c>
      <c r="W1921" s="99" t="s">
        <v>279</v>
      </c>
      <c r="X1921" s="100" t="s">
        <v>227</v>
      </c>
      <c r="Y1921" s="99"/>
      <c r="Z1921" s="99"/>
      <c r="AA1921" s="100" t="s">
        <v>1792</v>
      </c>
      <c r="AB1921" s="99" t="s">
        <v>526</v>
      </c>
      <c r="AC1921" s="101">
        <v>50</v>
      </c>
      <c r="AD1921" s="101"/>
      <c r="AE1921" s="101"/>
      <c r="AF1921" s="101"/>
      <c r="AG1921" s="101"/>
      <c r="AH1921" s="99"/>
      <c r="AI1921" s="105"/>
    </row>
    <row r="1922" spans="1:35">
      <c r="A1922" s="98"/>
      <c r="B1922" s="99"/>
      <c r="C1922" s="100" t="s">
        <v>4203</v>
      </c>
      <c r="D1922" s="100" t="s">
        <v>79</v>
      </c>
      <c r="E1922" s="100" t="s">
        <v>80</v>
      </c>
      <c r="F1922" s="100" t="s">
        <v>4229</v>
      </c>
      <c r="G1922" s="100" t="s">
        <v>4245</v>
      </c>
      <c r="H1922" s="100" t="s">
        <v>81</v>
      </c>
      <c r="I1922" s="247">
        <v>19428</v>
      </c>
      <c r="J1922" s="101">
        <v>1</v>
      </c>
      <c r="K1922" s="101"/>
      <c r="L1922" s="101">
        <v>1</v>
      </c>
      <c r="M1922" s="101"/>
      <c r="N1922" s="101">
        <v>1</v>
      </c>
      <c r="O1922" s="101"/>
      <c r="P1922" s="101"/>
      <c r="Q1922" s="101"/>
      <c r="R1922" s="101"/>
      <c r="S1922" s="101"/>
      <c r="T1922" s="101"/>
      <c r="U1922" s="99" t="s">
        <v>3919</v>
      </c>
      <c r="V1922" s="99" t="s">
        <v>513</v>
      </c>
      <c r="W1922" s="99" t="s">
        <v>279</v>
      </c>
      <c r="X1922" s="100" t="s">
        <v>227</v>
      </c>
      <c r="Y1922" s="99"/>
      <c r="Z1922" s="99"/>
      <c r="AA1922" s="100" t="s">
        <v>1792</v>
      </c>
      <c r="AB1922" s="99" t="s">
        <v>526</v>
      </c>
      <c r="AC1922" s="101">
        <v>50</v>
      </c>
      <c r="AD1922" s="101"/>
      <c r="AE1922" s="101"/>
      <c r="AF1922" s="101"/>
      <c r="AG1922" s="101"/>
      <c r="AH1922" s="99"/>
      <c r="AI1922" s="105"/>
    </row>
    <row r="1923" spans="1:35">
      <c r="A1923" s="98"/>
      <c r="B1923" s="99"/>
      <c r="C1923" s="100" t="s">
        <v>4203</v>
      </c>
      <c r="D1923" s="100" t="s">
        <v>79</v>
      </c>
      <c r="E1923" s="100" t="s">
        <v>80</v>
      </c>
      <c r="F1923" s="100" t="s">
        <v>3330</v>
      </c>
      <c r="G1923" s="100" t="s">
        <v>4246</v>
      </c>
      <c r="H1923" s="100" t="s">
        <v>126</v>
      </c>
      <c r="I1923" s="247">
        <v>33081</v>
      </c>
      <c r="J1923" s="101">
        <v>1</v>
      </c>
      <c r="K1923" s="101"/>
      <c r="L1923" s="101">
        <v>1</v>
      </c>
      <c r="M1923" s="101"/>
      <c r="N1923" s="101">
        <v>1</v>
      </c>
      <c r="O1923" s="101"/>
      <c r="P1923" s="101"/>
      <c r="Q1923" s="101"/>
      <c r="R1923" s="101"/>
      <c r="S1923" s="101"/>
      <c r="T1923" s="101"/>
      <c r="U1923" s="99" t="s">
        <v>3919</v>
      </c>
      <c r="V1923" s="99" t="s">
        <v>513</v>
      </c>
      <c r="W1923" s="99" t="s">
        <v>279</v>
      </c>
      <c r="X1923" s="100" t="s">
        <v>227</v>
      </c>
      <c r="Y1923" s="99"/>
      <c r="Z1923" s="99"/>
      <c r="AA1923" s="100" t="s">
        <v>1792</v>
      </c>
      <c r="AB1923" s="99" t="s">
        <v>526</v>
      </c>
      <c r="AC1923" s="101">
        <v>50</v>
      </c>
      <c r="AD1923" s="101"/>
      <c r="AE1923" s="101"/>
      <c r="AF1923" s="101"/>
      <c r="AG1923" s="101"/>
      <c r="AH1923" s="99"/>
      <c r="AI1923" s="105"/>
    </row>
    <row r="1924" spans="1:35">
      <c r="A1924" s="98"/>
      <c r="B1924" s="99"/>
      <c r="C1924" s="100" t="s">
        <v>4203</v>
      </c>
      <c r="D1924" s="100" t="s">
        <v>79</v>
      </c>
      <c r="E1924" s="100" t="s">
        <v>80</v>
      </c>
      <c r="F1924" s="100" t="s">
        <v>4247</v>
      </c>
      <c r="G1924" s="100" t="s">
        <v>2020</v>
      </c>
      <c r="H1924" s="100" t="s">
        <v>113</v>
      </c>
      <c r="I1924" s="247">
        <v>26984</v>
      </c>
      <c r="J1924" s="101">
        <v>1</v>
      </c>
      <c r="K1924" s="101"/>
      <c r="L1924" s="101">
        <v>1</v>
      </c>
      <c r="M1924" s="101"/>
      <c r="N1924" s="101">
        <v>1</v>
      </c>
      <c r="O1924" s="101"/>
      <c r="P1924" s="101"/>
      <c r="Q1924" s="101"/>
      <c r="R1924" s="101"/>
      <c r="S1924" s="101"/>
      <c r="T1924" s="101"/>
      <c r="U1924" s="99" t="s">
        <v>3919</v>
      </c>
      <c r="V1924" s="99" t="s">
        <v>513</v>
      </c>
      <c r="W1924" s="99" t="s">
        <v>279</v>
      </c>
      <c r="X1924" s="100" t="s">
        <v>227</v>
      </c>
      <c r="Y1924" s="99"/>
      <c r="Z1924" s="99"/>
      <c r="AA1924" s="100" t="s">
        <v>1792</v>
      </c>
      <c r="AB1924" s="99" t="s">
        <v>526</v>
      </c>
      <c r="AC1924" s="101">
        <v>50</v>
      </c>
      <c r="AD1924" s="101"/>
      <c r="AE1924" s="101"/>
      <c r="AF1924" s="101"/>
      <c r="AG1924" s="101"/>
      <c r="AH1924" s="99"/>
      <c r="AI1924" s="105"/>
    </row>
    <row r="1925" spans="1:35">
      <c r="A1925" s="98"/>
      <c r="B1925" s="99"/>
      <c r="C1925" s="100" t="s">
        <v>4203</v>
      </c>
      <c r="D1925" s="100" t="s">
        <v>79</v>
      </c>
      <c r="E1925" s="100" t="s">
        <v>80</v>
      </c>
      <c r="F1925" s="100" t="s">
        <v>3330</v>
      </c>
      <c r="G1925" s="100" t="s">
        <v>4248</v>
      </c>
      <c r="H1925" s="100" t="s">
        <v>126</v>
      </c>
      <c r="I1925" s="247">
        <v>31622</v>
      </c>
      <c r="J1925" s="101">
        <v>1</v>
      </c>
      <c r="K1925" s="101"/>
      <c r="L1925" s="101">
        <v>1</v>
      </c>
      <c r="M1925" s="101"/>
      <c r="N1925" s="101">
        <v>1</v>
      </c>
      <c r="O1925" s="101"/>
      <c r="P1925" s="101"/>
      <c r="Q1925" s="101"/>
      <c r="R1925" s="101"/>
      <c r="S1925" s="101"/>
      <c r="T1925" s="101"/>
      <c r="U1925" s="99" t="s">
        <v>3919</v>
      </c>
      <c r="V1925" s="99" t="s">
        <v>513</v>
      </c>
      <c r="W1925" s="99" t="s">
        <v>279</v>
      </c>
      <c r="X1925" s="100" t="s">
        <v>227</v>
      </c>
      <c r="Y1925" s="99"/>
      <c r="Z1925" s="99"/>
      <c r="AA1925" s="100" t="s">
        <v>1792</v>
      </c>
      <c r="AB1925" s="99" t="s">
        <v>526</v>
      </c>
      <c r="AC1925" s="101">
        <v>50</v>
      </c>
      <c r="AD1925" s="101"/>
      <c r="AE1925" s="101"/>
      <c r="AF1925" s="101"/>
      <c r="AG1925" s="101"/>
      <c r="AH1925" s="99"/>
      <c r="AI1925" s="105"/>
    </row>
    <row r="1926" spans="1:35">
      <c r="A1926" s="98"/>
      <c r="B1926" s="99"/>
      <c r="C1926" s="100" t="s">
        <v>4203</v>
      </c>
      <c r="D1926" s="100" t="s">
        <v>79</v>
      </c>
      <c r="E1926" s="100" t="s">
        <v>80</v>
      </c>
      <c r="F1926" s="100" t="s">
        <v>846</v>
      </c>
      <c r="G1926" s="100" t="s">
        <v>715</v>
      </c>
      <c r="H1926" s="100" t="s">
        <v>136</v>
      </c>
      <c r="I1926" s="247">
        <v>27872</v>
      </c>
      <c r="J1926" s="101">
        <v>1</v>
      </c>
      <c r="K1926" s="101"/>
      <c r="L1926" s="101">
        <v>1</v>
      </c>
      <c r="M1926" s="101"/>
      <c r="N1926" s="101">
        <v>1</v>
      </c>
      <c r="O1926" s="101"/>
      <c r="P1926" s="101"/>
      <c r="Q1926" s="101"/>
      <c r="R1926" s="101"/>
      <c r="S1926" s="101"/>
      <c r="T1926" s="101"/>
      <c r="U1926" s="99" t="s">
        <v>3919</v>
      </c>
      <c r="V1926" s="99" t="s">
        <v>513</v>
      </c>
      <c r="W1926" s="99" t="s">
        <v>279</v>
      </c>
      <c r="X1926" s="100" t="s">
        <v>227</v>
      </c>
      <c r="Y1926" s="99"/>
      <c r="Z1926" s="99"/>
      <c r="AA1926" s="100" t="s">
        <v>1792</v>
      </c>
      <c r="AB1926" s="99" t="s">
        <v>526</v>
      </c>
      <c r="AC1926" s="101">
        <v>50</v>
      </c>
      <c r="AD1926" s="101"/>
      <c r="AE1926" s="101"/>
      <c r="AF1926" s="101"/>
      <c r="AG1926" s="101"/>
      <c r="AH1926" s="99"/>
      <c r="AI1926" s="105"/>
    </row>
    <row r="1927" spans="1:35">
      <c r="A1927" s="98"/>
      <c r="B1927" s="99"/>
      <c r="C1927" s="100" t="s">
        <v>4203</v>
      </c>
      <c r="D1927" s="100" t="s">
        <v>79</v>
      </c>
      <c r="E1927" s="100" t="s">
        <v>80</v>
      </c>
      <c r="F1927" s="100" t="s">
        <v>1875</v>
      </c>
      <c r="G1927" s="100" t="s">
        <v>2590</v>
      </c>
      <c r="H1927" s="100" t="s">
        <v>283</v>
      </c>
      <c r="I1927" s="247">
        <v>33236</v>
      </c>
      <c r="J1927" s="101">
        <v>1</v>
      </c>
      <c r="K1927" s="101"/>
      <c r="L1927" s="101">
        <v>1</v>
      </c>
      <c r="M1927" s="101"/>
      <c r="N1927" s="101">
        <v>1</v>
      </c>
      <c r="O1927" s="101"/>
      <c r="P1927" s="101"/>
      <c r="Q1927" s="101"/>
      <c r="R1927" s="101"/>
      <c r="S1927" s="101"/>
      <c r="T1927" s="101"/>
      <c r="U1927" s="99" t="s">
        <v>3919</v>
      </c>
      <c r="V1927" s="99" t="s">
        <v>513</v>
      </c>
      <c r="W1927" s="99" t="s">
        <v>279</v>
      </c>
      <c r="X1927" s="100" t="s">
        <v>227</v>
      </c>
      <c r="Y1927" s="99"/>
      <c r="Z1927" s="99"/>
      <c r="AA1927" s="100" t="s">
        <v>1792</v>
      </c>
      <c r="AB1927" s="99" t="s">
        <v>526</v>
      </c>
      <c r="AC1927" s="101">
        <v>50</v>
      </c>
      <c r="AD1927" s="101"/>
      <c r="AE1927" s="101"/>
      <c r="AF1927" s="101"/>
      <c r="AG1927" s="101"/>
      <c r="AH1927" s="99"/>
      <c r="AI1927" s="105"/>
    </row>
    <row r="1928" spans="1:35">
      <c r="A1928" s="98"/>
      <c r="B1928" s="99"/>
      <c r="C1928" s="100" t="s">
        <v>4203</v>
      </c>
      <c r="D1928" s="100" t="s">
        <v>79</v>
      </c>
      <c r="E1928" s="100" t="s">
        <v>80</v>
      </c>
      <c r="F1928" s="100" t="s">
        <v>4250</v>
      </c>
      <c r="G1928" s="100" t="s">
        <v>4249</v>
      </c>
      <c r="H1928" s="100" t="s">
        <v>115</v>
      </c>
      <c r="I1928" s="247">
        <v>23532</v>
      </c>
      <c r="J1928" s="101"/>
      <c r="K1928" s="101">
        <v>1</v>
      </c>
      <c r="L1928" s="101">
        <v>1</v>
      </c>
      <c r="M1928" s="101"/>
      <c r="N1928" s="101">
        <v>1</v>
      </c>
      <c r="O1928" s="101"/>
      <c r="P1928" s="101"/>
      <c r="Q1928" s="101"/>
      <c r="R1928" s="101"/>
      <c r="S1928" s="101"/>
      <c r="T1928" s="101"/>
      <c r="U1928" s="99" t="s">
        <v>3919</v>
      </c>
      <c r="V1928" s="99" t="s">
        <v>513</v>
      </c>
      <c r="W1928" s="99" t="s">
        <v>279</v>
      </c>
      <c r="X1928" s="100" t="s">
        <v>227</v>
      </c>
      <c r="Y1928" s="99"/>
      <c r="Z1928" s="99"/>
      <c r="AA1928" s="100" t="s">
        <v>1792</v>
      </c>
      <c r="AB1928" s="99" t="s">
        <v>526</v>
      </c>
      <c r="AC1928" s="101">
        <v>50</v>
      </c>
      <c r="AD1928" s="101"/>
      <c r="AE1928" s="101"/>
      <c r="AF1928" s="101"/>
      <c r="AG1928" s="101"/>
      <c r="AH1928" s="99"/>
      <c r="AI1928" s="105"/>
    </row>
    <row r="1929" spans="1:35">
      <c r="A1929" s="98"/>
      <c r="B1929" s="99"/>
      <c r="C1929" s="100" t="s">
        <v>4203</v>
      </c>
      <c r="D1929" s="100" t="s">
        <v>79</v>
      </c>
      <c r="E1929" s="100" t="s">
        <v>80</v>
      </c>
      <c r="F1929" s="100" t="s">
        <v>4208</v>
      </c>
      <c r="G1929" s="100" t="s">
        <v>4251</v>
      </c>
      <c r="H1929" s="100" t="s">
        <v>1040</v>
      </c>
      <c r="I1929" s="247">
        <v>22990</v>
      </c>
      <c r="J1929" s="101">
        <v>1</v>
      </c>
      <c r="K1929" s="101"/>
      <c r="L1929" s="101">
        <v>1</v>
      </c>
      <c r="M1929" s="101"/>
      <c r="N1929" s="101">
        <v>1</v>
      </c>
      <c r="O1929" s="101"/>
      <c r="P1929" s="101"/>
      <c r="Q1929" s="101"/>
      <c r="R1929" s="101"/>
      <c r="S1929" s="101"/>
      <c r="T1929" s="101"/>
      <c r="U1929" s="99" t="s">
        <v>3919</v>
      </c>
      <c r="V1929" s="99" t="s">
        <v>513</v>
      </c>
      <c r="W1929" s="99" t="s">
        <v>279</v>
      </c>
      <c r="X1929" s="100" t="s">
        <v>227</v>
      </c>
      <c r="Y1929" s="99"/>
      <c r="Z1929" s="99"/>
      <c r="AA1929" s="100" t="s">
        <v>1792</v>
      </c>
      <c r="AB1929" s="99" t="s">
        <v>526</v>
      </c>
      <c r="AC1929" s="101">
        <v>50</v>
      </c>
      <c r="AD1929" s="101"/>
      <c r="AE1929" s="101"/>
      <c r="AF1929" s="101"/>
      <c r="AG1929" s="101"/>
      <c r="AH1929" s="99"/>
      <c r="AI1929" s="105"/>
    </row>
    <row r="1930" spans="1:35">
      <c r="A1930" s="98"/>
      <c r="B1930" s="99"/>
      <c r="C1930" s="100" t="s">
        <v>4203</v>
      </c>
      <c r="D1930" s="100" t="s">
        <v>79</v>
      </c>
      <c r="E1930" s="100" t="s">
        <v>80</v>
      </c>
      <c r="F1930" s="100" t="s">
        <v>3913</v>
      </c>
      <c r="G1930" s="100" t="s">
        <v>2879</v>
      </c>
      <c r="H1930" s="100" t="s">
        <v>120</v>
      </c>
      <c r="I1930" s="247">
        <v>35667</v>
      </c>
      <c r="J1930" s="101">
        <v>1</v>
      </c>
      <c r="K1930" s="101"/>
      <c r="L1930" s="101">
        <v>1</v>
      </c>
      <c r="M1930" s="101"/>
      <c r="N1930" s="101">
        <v>1</v>
      </c>
      <c r="O1930" s="101"/>
      <c r="P1930" s="101"/>
      <c r="Q1930" s="101"/>
      <c r="R1930" s="101"/>
      <c r="S1930" s="101"/>
      <c r="T1930" s="101"/>
      <c r="U1930" s="99" t="s">
        <v>3919</v>
      </c>
      <c r="V1930" s="99" t="s">
        <v>513</v>
      </c>
      <c r="W1930" s="99" t="s">
        <v>279</v>
      </c>
      <c r="X1930" s="100" t="s">
        <v>227</v>
      </c>
      <c r="Y1930" s="99"/>
      <c r="Z1930" s="99"/>
      <c r="AA1930" s="100" t="s">
        <v>1792</v>
      </c>
      <c r="AB1930" s="99" t="s">
        <v>526</v>
      </c>
      <c r="AC1930" s="101">
        <v>50</v>
      </c>
      <c r="AD1930" s="101"/>
      <c r="AE1930" s="101"/>
      <c r="AF1930" s="101"/>
      <c r="AG1930" s="101"/>
      <c r="AH1930" s="99"/>
      <c r="AI1930" s="105"/>
    </row>
    <row r="1931" spans="1:35">
      <c r="A1931" s="98"/>
      <c r="B1931" s="99"/>
      <c r="C1931" s="100" t="s">
        <v>4203</v>
      </c>
      <c r="D1931" s="100" t="s">
        <v>79</v>
      </c>
      <c r="E1931" s="100" t="s">
        <v>80</v>
      </c>
      <c r="F1931" s="100" t="s">
        <v>110</v>
      </c>
      <c r="G1931" s="100" t="s">
        <v>4252</v>
      </c>
      <c r="H1931" s="100" t="s">
        <v>421</v>
      </c>
      <c r="I1931" s="247">
        <v>24921</v>
      </c>
      <c r="J1931" s="101">
        <v>1</v>
      </c>
      <c r="K1931" s="101"/>
      <c r="L1931" s="101">
        <v>1</v>
      </c>
      <c r="M1931" s="101"/>
      <c r="N1931" s="101">
        <v>1</v>
      </c>
      <c r="O1931" s="101"/>
      <c r="P1931" s="101"/>
      <c r="Q1931" s="101"/>
      <c r="R1931" s="101"/>
      <c r="S1931" s="101"/>
      <c r="T1931" s="101"/>
      <c r="U1931" s="99" t="s">
        <v>3919</v>
      </c>
      <c r="V1931" s="99" t="s">
        <v>513</v>
      </c>
      <c r="W1931" s="99" t="s">
        <v>279</v>
      </c>
      <c r="X1931" s="100" t="s">
        <v>227</v>
      </c>
      <c r="Y1931" s="99"/>
      <c r="Z1931" s="99"/>
      <c r="AA1931" s="100" t="s">
        <v>1792</v>
      </c>
      <c r="AB1931" s="99" t="s">
        <v>526</v>
      </c>
      <c r="AC1931" s="101">
        <v>50</v>
      </c>
      <c r="AD1931" s="101"/>
      <c r="AE1931" s="101"/>
      <c r="AF1931" s="101"/>
      <c r="AG1931" s="101"/>
      <c r="AH1931" s="99"/>
      <c r="AI1931" s="105"/>
    </row>
    <row r="1932" spans="1:35">
      <c r="A1932" s="98"/>
      <c r="B1932" s="99"/>
      <c r="C1932" s="100" t="s">
        <v>4203</v>
      </c>
      <c r="D1932" s="100" t="s">
        <v>79</v>
      </c>
      <c r="E1932" s="100" t="s">
        <v>80</v>
      </c>
      <c r="F1932" s="100" t="s">
        <v>4209</v>
      </c>
      <c r="G1932" s="100" t="s">
        <v>159</v>
      </c>
      <c r="H1932" s="100" t="s">
        <v>120</v>
      </c>
      <c r="I1932" s="247">
        <v>34780</v>
      </c>
      <c r="J1932" s="101">
        <v>1</v>
      </c>
      <c r="K1932" s="101"/>
      <c r="L1932" s="101">
        <v>1</v>
      </c>
      <c r="M1932" s="101"/>
      <c r="N1932" s="101">
        <v>1</v>
      </c>
      <c r="O1932" s="101"/>
      <c r="P1932" s="101"/>
      <c r="Q1932" s="101"/>
      <c r="R1932" s="101"/>
      <c r="S1932" s="101"/>
      <c r="T1932" s="101"/>
      <c r="U1932" s="99" t="s">
        <v>3919</v>
      </c>
      <c r="V1932" s="99" t="s">
        <v>513</v>
      </c>
      <c r="W1932" s="99" t="s">
        <v>279</v>
      </c>
      <c r="X1932" s="100" t="s">
        <v>227</v>
      </c>
      <c r="Y1932" s="99"/>
      <c r="Z1932" s="99"/>
      <c r="AA1932" s="100" t="s">
        <v>1792</v>
      </c>
      <c r="AB1932" s="99" t="s">
        <v>526</v>
      </c>
      <c r="AC1932" s="101">
        <v>50</v>
      </c>
      <c r="AD1932" s="101"/>
      <c r="AE1932" s="101"/>
      <c r="AF1932" s="101"/>
      <c r="AG1932" s="101"/>
      <c r="AH1932" s="99"/>
      <c r="AI1932" s="105"/>
    </row>
    <row r="1933" spans="1:35">
      <c r="A1933" s="98"/>
      <c r="B1933" s="99"/>
      <c r="C1933" s="100" t="s">
        <v>4203</v>
      </c>
      <c r="D1933" s="100" t="s">
        <v>79</v>
      </c>
      <c r="E1933" s="100" t="s">
        <v>80</v>
      </c>
      <c r="F1933" s="100" t="s">
        <v>4253</v>
      </c>
      <c r="G1933" s="100" t="s">
        <v>4254</v>
      </c>
      <c r="H1933" s="100" t="s">
        <v>120</v>
      </c>
      <c r="I1933" s="247">
        <v>36588</v>
      </c>
      <c r="J1933" s="101"/>
      <c r="K1933" s="101">
        <v>1</v>
      </c>
      <c r="L1933" s="101">
        <v>1</v>
      </c>
      <c r="M1933" s="101"/>
      <c r="N1933" s="101">
        <v>1</v>
      </c>
      <c r="O1933" s="101"/>
      <c r="P1933" s="101"/>
      <c r="Q1933" s="101"/>
      <c r="R1933" s="101"/>
      <c r="S1933" s="101"/>
      <c r="T1933" s="101"/>
      <c r="U1933" s="99" t="s">
        <v>3919</v>
      </c>
      <c r="V1933" s="99" t="s">
        <v>513</v>
      </c>
      <c r="W1933" s="99" t="s">
        <v>279</v>
      </c>
      <c r="X1933" s="100" t="s">
        <v>227</v>
      </c>
      <c r="Y1933" s="99"/>
      <c r="Z1933" s="99"/>
      <c r="AA1933" s="100" t="s">
        <v>1792</v>
      </c>
      <c r="AB1933" s="99" t="s">
        <v>526</v>
      </c>
      <c r="AC1933" s="101">
        <v>50</v>
      </c>
      <c r="AD1933" s="101"/>
      <c r="AE1933" s="101"/>
      <c r="AF1933" s="101"/>
      <c r="AG1933" s="101"/>
      <c r="AH1933" s="99"/>
      <c r="AI1933" s="105"/>
    </row>
    <row r="1934" spans="1:35">
      <c r="A1934" s="98"/>
      <c r="B1934" s="99"/>
      <c r="C1934" s="100" t="s">
        <v>4203</v>
      </c>
      <c r="D1934" s="100" t="s">
        <v>79</v>
      </c>
      <c r="E1934" s="100" t="s">
        <v>80</v>
      </c>
      <c r="F1934" s="100" t="s">
        <v>4255</v>
      </c>
      <c r="G1934" s="100" t="s">
        <v>1322</v>
      </c>
      <c r="H1934" s="100" t="s">
        <v>120</v>
      </c>
      <c r="I1934" s="247">
        <v>29221</v>
      </c>
      <c r="J1934" s="101">
        <v>1</v>
      </c>
      <c r="K1934" s="101"/>
      <c r="L1934" s="101">
        <v>1</v>
      </c>
      <c r="M1934" s="101"/>
      <c r="N1934" s="101">
        <v>1</v>
      </c>
      <c r="O1934" s="101"/>
      <c r="P1934" s="101"/>
      <c r="Q1934" s="101"/>
      <c r="R1934" s="101"/>
      <c r="S1934" s="101"/>
      <c r="T1934" s="101"/>
      <c r="U1934" s="99" t="s">
        <v>3919</v>
      </c>
      <c r="V1934" s="99" t="s">
        <v>513</v>
      </c>
      <c r="W1934" s="99" t="s">
        <v>279</v>
      </c>
      <c r="X1934" s="100" t="s">
        <v>227</v>
      </c>
      <c r="Y1934" s="99"/>
      <c r="Z1934" s="99"/>
      <c r="AA1934" s="100" t="s">
        <v>1792</v>
      </c>
      <c r="AB1934" s="99" t="s">
        <v>526</v>
      </c>
      <c r="AC1934" s="101">
        <v>50</v>
      </c>
      <c r="AD1934" s="101"/>
      <c r="AE1934" s="101"/>
      <c r="AF1934" s="101"/>
      <c r="AG1934" s="101"/>
      <c r="AH1934" s="99"/>
      <c r="AI1934" s="105"/>
    </row>
    <row r="1935" spans="1:35">
      <c r="A1935" s="98"/>
      <c r="B1935" s="99"/>
      <c r="C1935" s="100" t="s">
        <v>4203</v>
      </c>
      <c r="D1935" s="100" t="s">
        <v>79</v>
      </c>
      <c r="E1935" s="100" t="s">
        <v>80</v>
      </c>
      <c r="F1935" s="100" t="s">
        <v>4257</v>
      </c>
      <c r="G1935" s="100" t="s">
        <v>4256</v>
      </c>
      <c r="H1935" s="100" t="s">
        <v>588</v>
      </c>
      <c r="I1935" s="247">
        <v>32373</v>
      </c>
      <c r="J1935" s="101">
        <v>1</v>
      </c>
      <c r="K1935" s="101"/>
      <c r="L1935" s="101">
        <v>1</v>
      </c>
      <c r="M1935" s="101"/>
      <c r="N1935" s="101">
        <v>1</v>
      </c>
      <c r="O1935" s="101"/>
      <c r="P1935" s="101"/>
      <c r="Q1935" s="101"/>
      <c r="R1935" s="101"/>
      <c r="S1935" s="101"/>
      <c r="T1935" s="101"/>
      <c r="U1935" s="99" t="s">
        <v>3919</v>
      </c>
      <c r="V1935" s="99" t="s">
        <v>513</v>
      </c>
      <c r="W1935" s="99" t="s">
        <v>279</v>
      </c>
      <c r="X1935" s="100" t="s">
        <v>227</v>
      </c>
      <c r="Y1935" s="99"/>
      <c r="Z1935" s="99"/>
      <c r="AA1935" s="100" t="s">
        <v>1792</v>
      </c>
      <c r="AB1935" s="99" t="s">
        <v>526</v>
      </c>
      <c r="AC1935" s="101">
        <v>50</v>
      </c>
      <c r="AD1935" s="101"/>
      <c r="AE1935" s="101"/>
      <c r="AF1935" s="101"/>
      <c r="AG1935" s="101"/>
      <c r="AH1935" s="99"/>
      <c r="AI1935" s="105"/>
    </row>
    <row r="1936" spans="1:35">
      <c r="A1936" s="98"/>
      <c r="B1936" s="99"/>
      <c r="C1936" s="100" t="s">
        <v>4203</v>
      </c>
      <c r="D1936" s="100" t="s">
        <v>79</v>
      </c>
      <c r="E1936" s="100" t="s">
        <v>80</v>
      </c>
      <c r="F1936" s="100" t="s">
        <v>110</v>
      </c>
      <c r="G1936" s="100" t="s">
        <v>4258</v>
      </c>
      <c r="H1936" s="100" t="s">
        <v>115</v>
      </c>
      <c r="I1936" s="247">
        <v>22649</v>
      </c>
      <c r="J1936" s="101">
        <v>1</v>
      </c>
      <c r="K1936" s="101"/>
      <c r="L1936" s="101">
        <v>1</v>
      </c>
      <c r="M1936" s="101"/>
      <c r="N1936" s="101">
        <v>1</v>
      </c>
      <c r="O1936" s="101"/>
      <c r="P1936" s="101"/>
      <c r="Q1936" s="101"/>
      <c r="R1936" s="101"/>
      <c r="S1936" s="101"/>
      <c r="T1936" s="101"/>
      <c r="U1936" s="99" t="s">
        <v>3919</v>
      </c>
      <c r="V1936" s="99" t="s">
        <v>513</v>
      </c>
      <c r="W1936" s="99" t="s">
        <v>279</v>
      </c>
      <c r="X1936" s="100" t="s">
        <v>227</v>
      </c>
      <c r="Y1936" s="99"/>
      <c r="Z1936" s="99"/>
      <c r="AA1936" s="100" t="s">
        <v>1792</v>
      </c>
      <c r="AB1936" s="99" t="s">
        <v>526</v>
      </c>
      <c r="AC1936" s="101">
        <v>50</v>
      </c>
      <c r="AD1936" s="101"/>
      <c r="AE1936" s="101"/>
      <c r="AF1936" s="101"/>
      <c r="AG1936" s="101"/>
      <c r="AH1936" s="99"/>
      <c r="AI1936" s="105"/>
    </row>
    <row r="1937" spans="1:35">
      <c r="A1937" s="98"/>
      <c r="B1937" s="99"/>
      <c r="C1937" s="100" t="s">
        <v>4203</v>
      </c>
      <c r="D1937" s="100" t="s">
        <v>79</v>
      </c>
      <c r="E1937" s="100" t="s">
        <v>80</v>
      </c>
      <c r="F1937" s="100" t="s">
        <v>4259</v>
      </c>
      <c r="G1937" s="100" t="s">
        <v>2606</v>
      </c>
      <c r="H1937" s="100" t="s">
        <v>136</v>
      </c>
      <c r="I1937" s="247">
        <v>25601</v>
      </c>
      <c r="J1937" s="101">
        <v>1</v>
      </c>
      <c r="K1937" s="101"/>
      <c r="L1937" s="101">
        <v>1</v>
      </c>
      <c r="M1937" s="101"/>
      <c r="N1937" s="101">
        <v>1</v>
      </c>
      <c r="O1937" s="101"/>
      <c r="P1937" s="101"/>
      <c r="Q1937" s="101"/>
      <c r="R1937" s="101"/>
      <c r="S1937" s="101"/>
      <c r="T1937" s="101"/>
      <c r="U1937" s="99" t="s">
        <v>3919</v>
      </c>
      <c r="V1937" s="99" t="s">
        <v>513</v>
      </c>
      <c r="W1937" s="99" t="s">
        <v>279</v>
      </c>
      <c r="X1937" s="100" t="s">
        <v>227</v>
      </c>
      <c r="Y1937" s="99"/>
      <c r="Z1937" s="99"/>
      <c r="AA1937" s="100" t="s">
        <v>1792</v>
      </c>
      <c r="AB1937" s="99" t="s">
        <v>526</v>
      </c>
      <c r="AC1937" s="101">
        <v>50</v>
      </c>
      <c r="AD1937" s="101"/>
      <c r="AE1937" s="101"/>
      <c r="AF1937" s="101"/>
      <c r="AG1937" s="101"/>
      <c r="AH1937" s="99"/>
      <c r="AI1937" s="105"/>
    </row>
    <row r="1938" spans="1:35">
      <c r="A1938" s="98"/>
      <c r="B1938" s="99"/>
      <c r="C1938" s="100" t="s">
        <v>4203</v>
      </c>
      <c r="D1938" s="100" t="s">
        <v>79</v>
      </c>
      <c r="E1938" s="100" t="s">
        <v>80</v>
      </c>
      <c r="F1938" s="100" t="s">
        <v>3393</v>
      </c>
      <c r="G1938" s="100" t="s">
        <v>398</v>
      </c>
      <c r="H1938" s="100" t="s">
        <v>115</v>
      </c>
      <c r="I1938" s="247">
        <v>21960</v>
      </c>
      <c r="J1938" s="101">
        <v>1</v>
      </c>
      <c r="K1938" s="101"/>
      <c r="L1938" s="101">
        <v>1</v>
      </c>
      <c r="M1938" s="101"/>
      <c r="N1938" s="101">
        <v>1</v>
      </c>
      <c r="O1938" s="101"/>
      <c r="P1938" s="101"/>
      <c r="Q1938" s="101"/>
      <c r="R1938" s="101"/>
      <c r="S1938" s="101"/>
      <c r="T1938" s="101"/>
      <c r="U1938" s="99" t="s">
        <v>3919</v>
      </c>
      <c r="V1938" s="99" t="s">
        <v>513</v>
      </c>
      <c r="W1938" s="99" t="s">
        <v>279</v>
      </c>
      <c r="X1938" s="100" t="s">
        <v>227</v>
      </c>
      <c r="Y1938" s="99"/>
      <c r="Z1938" s="99"/>
      <c r="AA1938" s="100" t="s">
        <v>1792</v>
      </c>
      <c r="AB1938" s="99" t="s">
        <v>526</v>
      </c>
      <c r="AC1938" s="101">
        <v>50</v>
      </c>
      <c r="AD1938" s="101"/>
      <c r="AE1938" s="101"/>
      <c r="AF1938" s="101"/>
      <c r="AG1938" s="101"/>
      <c r="AH1938" s="99"/>
      <c r="AI1938" s="105"/>
    </row>
    <row r="1939" spans="1:35">
      <c r="A1939" s="98"/>
      <c r="B1939" s="99"/>
      <c r="C1939" s="100" t="s">
        <v>4203</v>
      </c>
      <c r="D1939" s="100" t="s">
        <v>79</v>
      </c>
      <c r="E1939" s="100" t="s">
        <v>80</v>
      </c>
      <c r="F1939" s="100" t="s">
        <v>2843</v>
      </c>
      <c r="G1939" s="100" t="s">
        <v>4260</v>
      </c>
      <c r="H1939" s="100" t="s">
        <v>136</v>
      </c>
      <c r="I1939" s="247">
        <v>21672</v>
      </c>
      <c r="J1939" s="101">
        <v>1</v>
      </c>
      <c r="K1939" s="101"/>
      <c r="L1939" s="101">
        <v>1</v>
      </c>
      <c r="M1939" s="101"/>
      <c r="N1939" s="101">
        <v>1</v>
      </c>
      <c r="O1939" s="101"/>
      <c r="P1939" s="101"/>
      <c r="Q1939" s="101"/>
      <c r="R1939" s="101"/>
      <c r="S1939" s="101"/>
      <c r="T1939" s="101"/>
      <c r="U1939" s="99" t="s">
        <v>3919</v>
      </c>
      <c r="V1939" s="99" t="s">
        <v>513</v>
      </c>
      <c r="W1939" s="99" t="s">
        <v>279</v>
      </c>
      <c r="X1939" s="100" t="s">
        <v>227</v>
      </c>
      <c r="Y1939" s="99"/>
      <c r="Z1939" s="99"/>
      <c r="AA1939" s="100" t="s">
        <v>1792</v>
      </c>
      <c r="AB1939" s="99" t="s">
        <v>526</v>
      </c>
      <c r="AC1939" s="101">
        <v>50</v>
      </c>
      <c r="AD1939" s="101"/>
      <c r="AE1939" s="101"/>
      <c r="AF1939" s="101"/>
      <c r="AG1939" s="101"/>
      <c r="AH1939" s="99"/>
      <c r="AI1939" s="105"/>
    </row>
    <row r="1940" spans="1:35">
      <c r="A1940" s="98"/>
      <c r="B1940" s="99"/>
      <c r="C1940" s="100" t="s">
        <v>4203</v>
      </c>
      <c r="D1940" s="100" t="s">
        <v>79</v>
      </c>
      <c r="E1940" s="100" t="s">
        <v>80</v>
      </c>
      <c r="F1940" s="100" t="s">
        <v>1795</v>
      </c>
      <c r="G1940" s="100" t="s">
        <v>188</v>
      </c>
      <c r="H1940" s="100" t="s">
        <v>113</v>
      </c>
      <c r="I1940" s="247">
        <v>27980</v>
      </c>
      <c r="J1940" s="101">
        <v>1</v>
      </c>
      <c r="K1940" s="101"/>
      <c r="L1940" s="101">
        <v>1</v>
      </c>
      <c r="M1940" s="101"/>
      <c r="N1940" s="101">
        <v>1</v>
      </c>
      <c r="O1940" s="101"/>
      <c r="P1940" s="101"/>
      <c r="Q1940" s="101"/>
      <c r="R1940" s="101"/>
      <c r="S1940" s="101"/>
      <c r="T1940" s="101"/>
      <c r="U1940" s="99" t="s">
        <v>3919</v>
      </c>
      <c r="V1940" s="99" t="s">
        <v>513</v>
      </c>
      <c r="W1940" s="99" t="s">
        <v>279</v>
      </c>
      <c r="X1940" s="100" t="s">
        <v>227</v>
      </c>
      <c r="Y1940" s="99"/>
      <c r="Z1940" s="99"/>
      <c r="AA1940" s="100" t="s">
        <v>1792</v>
      </c>
      <c r="AB1940" s="99" t="s">
        <v>526</v>
      </c>
      <c r="AC1940" s="101">
        <v>50</v>
      </c>
      <c r="AD1940" s="101"/>
      <c r="AE1940" s="101"/>
      <c r="AF1940" s="101"/>
      <c r="AG1940" s="101"/>
      <c r="AH1940" s="99"/>
      <c r="AI1940" s="105"/>
    </row>
    <row r="1941" spans="1:35">
      <c r="A1941" s="98"/>
      <c r="B1941" s="99"/>
      <c r="C1941" s="100" t="s">
        <v>4203</v>
      </c>
      <c r="D1941" s="100" t="s">
        <v>79</v>
      </c>
      <c r="E1941" s="100" t="s">
        <v>80</v>
      </c>
      <c r="F1941" s="100" t="s">
        <v>171</v>
      </c>
      <c r="G1941" s="100" t="s">
        <v>1304</v>
      </c>
      <c r="H1941" s="100" t="s">
        <v>160</v>
      </c>
      <c r="I1941" s="247">
        <v>24152</v>
      </c>
      <c r="J1941" s="101">
        <v>1</v>
      </c>
      <c r="K1941" s="101"/>
      <c r="L1941" s="101">
        <v>1</v>
      </c>
      <c r="M1941" s="101"/>
      <c r="N1941" s="101"/>
      <c r="O1941" s="101"/>
      <c r="P1941" s="101"/>
      <c r="Q1941" s="101"/>
      <c r="R1941" s="101"/>
      <c r="S1941" s="101"/>
      <c r="T1941" s="101"/>
      <c r="U1941" s="99" t="s">
        <v>3919</v>
      </c>
      <c r="V1941" s="99" t="s">
        <v>513</v>
      </c>
      <c r="W1941" s="99" t="s">
        <v>279</v>
      </c>
      <c r="X1941" s="100" t="s">
        <v>227</v>
      </c>
      <c r="Y1941" s="99"/>
      <c r="Z1941" s="99"/>
      <c r="AA1941" s="100" t="s">
        <v>1792</v>
      </c>
      <c r="AB1941" s="99" t="s">
        <v>526</v>
      </c>
      <c r="AC1941" s="101">
        <v>50</v>
      </c>
      <c r="AD1941" s="101"/>
      <c r="AE1941" s="101"/>
      <c r="AF1941" s="101"/>
      <c r="AG1941" s="101"/>
      <c r="AH1941" s="99"/>
      <c r="AI1941" s="105"/>
    </row>
    <row r="1942" spans="1:35">
      <c r="A1942" s="98"/>
      <c r="B1942" s="99"/>
      <c r="C1942" s="100" t="s">
        <v>4203</v>
      </c>
      <c r="D1942" s="100" t="s">
        <v>79</v>
      </c>
      <c r="E1942" s="100" t="s">
        <v>80</v>
      </c>
      <c r="F1942" s="100" t="s">
        <v>4261</v>
      </c>
      <c r="G1942" s="100" t="s">
        <v>456</v>
      </c>
      <c r="H1942" s="100" t="s">
        <v>1183</v>
      </c>
      <c r="I1942" s="247">
        <v>31746</v>
      </c>
      <c r="J1942" s="101">
        <v>1</v>
      </c>
      <c r="K1942" s="101"/>
      <c r="L1942" s="101">
        <v>1</v>
      </c>
      <c r="M1942" s="101"/>
      <c r="N1942" s="101">
        <v>1</v>
      </c>
      <c r="O1942" s="101"/>
      <c r="P1942" s="101"/>
      <c r="Q1942" s="101"/>
      <c r="R1942" s="101"/>
      <c r="S1942" s="101"/>
      <c r="T1942" s="101"/>
      <c r="U1942" s="99" t="s">
        <v>3919</v>
      </c>
      <c r="V1942" s="99" t="s">
        <v>513</v>
      </c>
      <c r="W1942" s="99" t="s">
        <v>279</v>
      </c>
      <c r="X1942" s="100" t="s">
        <v>227</v>
      </c>
      <c r="Y1942" s="99"/>
      <c r="Z1942" s="99"/>
      <c r="AA1942" s="100" t="s">
        <v>1792</v>
      </c>
      <c r="AB1942" s="99" t="s">
        <v>526</v>
      </c>
      <c r="AC1942" s="101">
        <v>50</v>
      </c>
      <c r="AD1942" s="101"/>
      <c r="AE1942" s="101"/>
      <c r="AF1942" s="101"/>
      <c r="AG1942" s="101"/>
      <c r="AH1942" s="99"/>
      <c r="AI1942" s="105"/>
    </row>
    <row r="1943" spans="1:35">
      <c r="A1943" s="98"/>
      <c r="B1943" s="99"/>
      <c r="C1943" s="100" t="s">
        <v>4203</v>
      </c>
      <c r="D1943" s="100" t="s">
        <v>79</v>
      </c>
      <c r="E1943" s="100" t="s">
        <v>80</v>
      </c>
      <c r="F1943" s="100" t="s">
        <v>2985</v>
      </c>
      <c r="G1943" s="100" t="s">
        <v>2430</v>
      </c>
      <c r="H1943" s="100" t="s">
        <v>113</v>
      </c>
      <c r="I1943" s="247">
        <v>27402</v>
      </c>
      <c r="J1943" s="101">
        <v>1</v>
      </c>
      <c r="K1943" s="101"/>
      <c r="L1943" s="101">
        <v>1</v>
      </c>
      <c r="M1943" s="101"/>
      <c r="N1943" s="101">
        <v>1</v>
      </c>
      <c r="O1943" s="101"/>
      <c r="P1943" s="101"/>
      <c r="Q1943" s="101"/>
      <c r="R1943" s="101"/>
      <c r="S1943" s="101"/>
      <c r="T1943" s="101"/>
      <c r="U1943" s="99" t="s">
        <v>3919</v>
      </c>
      <c r="V1943" s="99" t="s">
        <v>513</v>
      </c>
      <c r="W1943" s="99" t="s">
        <v>279</v>
      </c>
      <c r="X1943" s="100" t="s">
        <v>227</v>
      </c>
      <c r="Y1943" s="99"/>
      <c r="Z1943" s="99"/>
      <c r="AA1943" s="100" t="s">
        <v>1792</v>
      </c>
      <c r="AB1943" s="99" t="s">
        <v>526</v>
      </c>
      <c r="AC1943" s="101">
        <v>50</v>
      </c>
      <c r="AD1943" s="101"/>
      <c r="AE1943" s="101"/>
      <c r="AF1943" s="101"/>
      <c r="AG1943" s="101"/>
      <c r="AH1943" s="99"/>
      <c r="AI1943" s="105"/>
    </row>
    <row r="1944" spans="1:35">
      <c r="A1944" s="98"/>
      <c r="B1944" s="99"/>
      <c r="C1944" s="100" t="s">
        <v>4203</v>
      </c>
      <c r="D1944" s="100" t="s">
        <v>79</v>
      </c>
      <c r="E1944" s="100" t="s">
        <v>80</v>
      </c>
      <c r="F1944" s="100" t="s">
        <v>4262</v>
      </c>
      <c r="G1944" s="100" t="s">
        <v>2457</v>
      </c>
      <c r="H1944" s="100" t="s">
        <v>409</v>
      </c>
      <c r="I1944" s="247">
        <v>27432</v>
      </c>
      <c r="J1944" s="101"/>
      <c r="K1944" s="101">
        <v>1</v>
      </c>
      <c r="L1944" s="101">
        <v>1</v>
      </c>
      <c r="M1944" s="101"/>
      <c r="N1944" s="101">
        <v>1</v>
      </c>
      <c r="O1944" s="101"/>
      <c r="P1944" s="101"/>
      <c r="Q1944" s="101"/>
      <c r="R1944" s="101"/>
      <c r="S1944" s="101"/>
      <c r="T1944" s="101"/>
      <c r="U1944" s="99" t="s">
        <v>3919</v>
      </c>
      <c r="V1944" s="99" t="s">
        <v>513</v>
      </c>
      <c r="W1944" s="99" t="s">
        <v>279</v>
      </c>
      <c r="X1944" s="100" t="s">
        <v>227</v>
      </c>
      <c r="Y1944" s="99"/>
      <c r="Z1944" s="99"/>
      <c r="AA1944" s="100" t="s">
        <v>1792</v>
      </c>
      <c r="AB1944" s="99" t="s">
        <v>526</v>
      </c>
      <c r="AC1944" s="101">
        <v>50</v>
      </c>
      <c r="AD1944" s="101"/>
      <c r="AE1944" s="101"/>
      <c r="AF1944" s="101"/>
      <c r="AG1944" s="101"/>
      <c r="AH1944" s="99"/>
      <c r="AI1944" s="105"/>
    </row>
    <row r="1945" spans="1:35">
      <c r="A1945" s="98"/>
      <c r="B1945" s="99"/>
      <c r="C1945" s="100" t="s">
        <v>4203</v>
      </c>
      <c r="D1945" s="100" t="s">
        <v>79</v>
      </c>
      <c r="E1945" s="100" t="s">
        <v>80</v>
      </c>
      <c r="F1945" s="100" t="s">
        <v>4224</v>
      </c>
      <c r="G1945" s="100" t="s">
        <v>4263</v>
      </c>
      <c r="H1945" s="100" t="s">
        <v>115</v>
      </c>
      <c r="I1945" s="247">
        <v>31691</v>
      </c>
      <c r="J1945" s="101">
        <v>1</v>
      </c>
      <c r="K1945" s="101"/>
      <c r="L1945" s="101">
        <v>1</v>
      </c>
      <c r="M1945" s="101"/>
      <c r="N1945" s="101">
        <v>1</v>
      </c>
      <c r="O1945" s="101"/>
      <c r="P1945" s="101"/>
      <c r="Q1945" s="101"/>
      <c r="R1945" s="101"/>
      <c r="S1945" s="101"/>
      <c r="T1945" s="101"/>
      <c r="U1945" s="99" t="s">
        <v>3919</v>
      </c>
      <c r="V1945" s="99" t="s">
        <v>513</v>
      </c>
      <c r="W1945" s="99" t="s">
        <v>279</v>
      </c>
      <c r="X1945" s="100" t="s">
        <v>227</v>
      </c>
      <c r="Y1945" s="99"/>
      <c r="Z1945" s="99"/>
      <c r="AA1945" s="100" t="s">
        <v>1792</v>
      </c>
      <c r="AB1945" s="99" t="s">
        <v>526</v>
      </c>
      <c r="AC1945" s="101">
        <v>50</v>
      </c>
      <c r="AD1945" s="101"/>
      <c r="AE1945" s="101"/>
      <c r="AF1945" s="101"/>
      <c r="AG1945" s="101"/>
      <c r="AH1945" s="99"/>
      <c r="AI1945" s="105"/>
    </row>
    <row r="1946" spans="1:35">
      <c r="A1946" s="98"/>
      <c r="B1946" s="99"/>
      <c r="C1946" s="100" t="s">
        <v>4203</v>
      </c>
      <c r="D1946" s="100" t="s">
        <v>79</v>
      </c>
      <c r="E1946" s="100" t="s">
        <v>80</v>
      </c>
      <c r="F1946" s="100" t="s">
        <v>4250</v>
      </c>
      <c r="G1946" s="100" t="s">
        <v>494</v>
      </c>
      <c r="H1946" s="100" t="s">
        <v>160</v>
      </c>
      <c r="I1946" s="247">
        <v>20775</v>
      </c>
      <c r="J1946" s="101">
        <v>1</v>
      </c>
      <c r="K1946" s="101"/>
      <c r="L1946" s="101">
        <v>1</v>
      </c>
      <c r="M1946" s="101"/>
      <c r="N1946" s="101">
        <v>1</v>
      </c>
      <c r="O1946" s="101"/>
      <c r="P1946" s="101"/>
      <c r="Q1946" s="101"/>
      <c r="R1946" s="101"/>
      <c r="S1946" s="101"/>
      <c r="T1946" s="101"/>
      <c r="U1946" s="99" t="s">
        <v>3919</v>
      </c>
      <c r="V1946" s="99" t="s">
        <v>513</v>
      </c>
      <c r="W1946" s="99" t="s">
        <v>279</v>
      </c>
      <c r="X1946" s="100" t="s">
        <v>227</v>
      </c>
      <c r="Y1946" s="99"/>
      <c r="Z1946" s="99"/>
      <c r="AA1946" s="100" t="s">
        <v>1792</v>
      </c>
      <c r="AB1946" s="99" t="s">
        <v>526</v>
      </c>
      <c r="AC1946" s="101">
        <v>50</v>
      </c>
      <c r="AD1946" s="101"/>
      <c r="AE1946" s="101"/>
      <c r="AF1946" s="101"/>
      <c r="AG1946" s="101"/>
      <c r="AH1946" s="99"/>
      <c r="AI1946" s="105"/>
    </row>
    <row r="1947" spans="1:35">
      <c r="A1947" s="98"/>
      <c r="B1947" s="99"/>
      <c r="C1947" s="100" t="s">
        <v>4203</v>
      </c>
      <c r="D1947" s="100" t="s">
        <v>79</v>
      </c>
      <c r="E1947" s="100" t="s">
        <v>80</v>
      </c>
      <c r="F1947" s="100" t="s">
        <v>3330</v>
      </c>
      <c r="G1947" s="100" t="s">
        <v>2642</v>
      </c>
      <c r="H1947" s="100" t="s">
        <v>120</v>
      </c>
      <c r="I1947" s="247">
        <v>29060</v>
      </c>
      <c r="J1947" s="101">
        <v>1</v>
      </c>
      <c r="K1947" s="101"/>
      <c r="L1947" s="101">
        <v>1</v>
      </c>
      <c r="M1947" s="101"/>
      <c r="N1947" s="101">
        <v>1</v>
      </c>
      <c r="O1947" s="101"/>
      <c r="P1947" s="101"/>
      <c r="Q1947" s="101"/>
      <c r="R1947" s="101"/>
      <c r="S1947" s="101"/>
      <c r="T1947" s="101"/>
      <c r="U1947" s="99" t="s">
        <v>3919</v>
      </c>
      <c r="V1947" s="99" t="s">
        <v>513</v>
      </c>
      <c r="W1947" s="99" t="s">
        <v>279</v>
      </c>
      <c r="X1947" s="100" t="s">
        <v>227</v>
      </c>
      <c r="Y1947" s="99"/>
      <c r="Z1947" s="99"/>
      <c r="AA1947" s="100" t="s">
        <v>1792</v>
      </c>
      <c r="AB1947" s="99" t="s">
        <v>526</v>
      </c>
      <c r="AC1947" s="101">
        <v>50</v>
      </c>
      <c r="AD1947" s="101"/>
      <c r="AE1947" s="101"/>
      <c r="AF1947" s="101"/>
      <c r="AG1947" s="101"/>
      <c r="AH1947" s="99"/>
      <c r="AI1947" s="105"/>
    </row>
    <row r="1948" spans="1:35">
      <c r="A1948" s="98"/>
      <c r="B1948" s="99"/>
      <c r="C1948" s="100" t="s">
        <v>4203</v>
      </c>
      <c r="D1948" s="100" t="s">
        <v>79</v>
      </c>
      <c r="E1948" s="100" t="s">
        <v>80</v>
      </c>
      <c r="F1948" s="100" t="s">
        <v>4264</v>
      </c>
      <c r="G1948" s="100" t="s">
        <v>192</v>
      </c>
      <c r="H1948" s="100" t="s">
        <v>117</v>
      </c>
      <c r="I1948" s="247">
        <v>28450</v>
      </c>
      <c r="J1948" s="101">
        <v>1</v>
      </c>
      <c r="K1948" s="101"/>
      <c r="L1948" s="101">
        <v>1</v>
      </c>
      <c r="M1948" s="101"/>
      <c r="N1948" s="101">
        <v>1</v>
      </c>
      <c r="O1948" s="101"/>
      <c r="P1948" s="101"/>
      <c r="Q1948" s="101"/>
      <c r="R1948" s="101"/>
      <c r="S1948" s="101"/>
      <c r="T1948" s="101"/>
      <c r="U1948" s="99" t="s">
        <v>3919</v>
      </c>
      <c r="V1948" s="99" t="s">
        <v>513</v>
      </c>
      <c r="W1948" s="99" t="s">
        <v>279</v>
      </c>
      <c r="X1948" s="100" t="s">
        <v>227</v>
      </c>
      <c r="Y1948" s="99"/>
      <c r="Z1948" s="99"/>
      <c r="AA1948" s="100" t="s">
        <v>1792</v>
      </c>
      <c r="AB1948" s="99" t="s">
        <v>526</v>
      </c>
      <c r="AC1948" s="101">
        <v>50</v>
      </c>
      <c r="AD1948" s="101"/>
      <c r="AE1948" s="101"/>
      <c r="AF1948" s="101"/>
      <c r="AG1948" s="101"/>
      <c r="AH1948" s="99"/>
      <c r="AI1948" s="105"/>
    </row>
    <row r="1949" spans="1:35">
      <c r="A1949" s="98"/>
      <c r="B1949" s="99"/>
      <c r="C1949" s="100" t="s">
        <v>4203</v>
      </c>
      <c r="D1949" s="100" t="s">
        <v>79</v>
      </c>
      <c r="E1949" s="100" t="s">
        <v>80</v>
      </c>
      <c r="F1949" s="100" t="s">
        <v>171</v>
      </c>
      <c r="G1949" s="100" t="s">
        <v>1544</v>
      </c>
      <c r="H1949" s="100" t="s">
        <v>120</v>
      </c>
      <c r="I1949" s="247">
        <v>35014</v>
      </c>
      <c r="J1949" s="101">
        <v>1</v>
      </c>
      <c r="K1949" s="101"/>
      <c r="L1949" s="101">
        <v>1</v>
      </c>
      <c r="M1949" s="101"/>
      <c r="N1949" s="101">
        <v>1</v>
      </c>
      <c r="O1949" s="101"/>
      <c r="P1949" s="101"/>
      <c r="Q1949" s="101"/>
      <c r="R1949" s="101"/>
      <c r="S1949" s="101"/>
      <c r="T1949" s="101"/>
      <c r="U1949" s="99" t="s">
        <v>3919</v>
      </c>
      <c r="V1949" s="99" t="s">
        <v>513</v>
      </c>
      <c r="W1949" s="99" t="s">
        <v>279</v>
      </c>
      <c r="X1949" s="100" t="s">
        <v>227</v>
      </c>
      <c r="Y1949" s="99"/>
      <c r="Z1949" s="99"/>
      <c r="AA1949" s="100" t="s">
        <v>1792</v>
      </c>
      <c r="AB1949" s="99" t="s">
        <v>526</v>
      </c>
      <c r="AC1949" s="101">
        <v>50</v>
      </c>
      <c r="AD1949" s="101"/>
      <c r="AE1949" s="101"/>
      <c r="AF1949" s="101"/>
      <c r="AG1949" s="101"/>
      <c r="AH1949" s="99"/>
      <c r="AI1949" s="105"/>
    </row>
    <row r="1950" spans="1:35">
      <c r="A1950" s="98"/>
      <c r="B1950" s="99"/>
      <c r="C1950" s="100" t="s">
        <v>4203</v>
      </c>
      <c r="D1950" s="100" t="s">
        <v>79</v>
      </c>
      <c r="E1950" s="100" t="s">
        <v>80</v>
      </c>
      <c r="F1950" s="100" t="s">
        <v>4265</v>
      </c>
      <c r="G1950" s="100" t="s">
        <v>4266</v>
      </c>
      <c r="H1950" s="100" t="s">
        <v>133</v>
      </c>
      <c r="I1950" s="247">
        <v>26870</v>
      </c>
      <c r="J1950" s="101"/>
      <c r="K1950" s="101">
        <v>1</v>
      </c>
      <c r="L1950" s="101">
        <v>1</v>
      </c>
      <c r="M1950" s="101"/>
      <c r="N1950" s="101">
        <v>1</v>
      </c>
      <c r="O1950" s="101"/>
      <c r="P1950" s="101"/>
      <c r="Q1950" s="101"/>
      <c r="R1950" s="101"/>
      <c r="S1950" s="101"/>
      <c r="T1950" s="101"/>
      <c r="U1950" s="99" t="s">
        <v>3919</v>
      </c>
      <c r="V1950" s="99" t="s">
        <v>513</v>
      </c>
      <c r="W1950" s="99" t="s">
        <v>279</v>
      </c>
      <c r="X1950" s="100" t="s">
        <v>227</v>
      </c>
      <c r="Y1950" s="99"/>
      <c r="Z1950" s="99"/>
      <c r="AA1950" s="100" t="s">
        <v>1792</v>
      </c>
      <c r="AB1950" s="99" t="s">
        <v>526</v>
      </c>
      <c r="AC1950" s="101">
        <v>50</v>
      </c>
      <c r="AD1950" s="101"/>
      <c r="AE1950" s="101"/>
      <c r="AF1950" s="101"/>
      <c r="AG1950" s="101"/>
      <c r="AH1950" s="99"/>
      <c r="AI1950" s="105"/>
    </row>
    <row r="1951" spans="1:35">
      <c r="A1951" s="98"/>
      <c r="B1951" s="99"/>
      <c r="C1951" s="100" t="s">
        <v>4203</v>
      </c>
      <c r="D1951" s="100" t="s">
        <v>79</v>
      </c>
      <c r="E1951" s="100" t="s">
        <v>80</v>
      </c>
      <c r="F1951" s="100" t="s">
        <v>4267</v>
      </c>
      <c r="G1951" s="100" t="s">
        <v>3935</v>
      </c>
      <c r="H1951" s="99"/>
      <c r="I1951" s="247">
        <v>21061</v>
      </c>
      <c r="J1951" s="101">
        <v>1</v>
      </c>
      <c r="K1951" s="101"/>
      <c r="L1951" s="101">
        <v>1</v>
      </c>
      <c r="M1951" s="101"/>
      <c r="N1951" s="101">
        <v>1</v>
      </c>
      <c r="O1951" s="101"/>
      <c r="P1951" s="101"/>
      <c r="Q1951" s="101"/>
      <c r="R1951" s="101"/>
      <c r="S1951" s="101"/>
      <c r="T1951" s="101"/>
      <c r="U1951" s="99" t="s">
        <v>3919</v>
      </c>
      <c r="V1951" s="99" t="s">
        <v>513</v>
      </c>
      <c r="W1951" s="99" t="s">
        <v>279</v>
      </c>
      <c r="X1951" s="100" t="s">
        <v>227</v>
      </c>
      <c r="Y1951" s="99"/>
      <c r="Z1951" s="99"/>
      <c r="AA1951" s="100" t="s">
        <v>1792</v>
      </c>
      <c r="AB1951" s="99" t="s">
        <v>526</v>
      </c>
      <c r="AC1951" s="101">
        <v>50</v>
      </c>
      <c r="AD1951" s="101"/>
      <c r="AE1951" s="101"/>
      <c r="AF1951" s="101"/>
      <c r="AG1951" s="101"/>
      <c r="AH1951" s="99"/>
      <c r="AI1951" s="105"/>
    </row>
    <row r="1952" spans="1:35">
      <c r="A1952" s="98"/>
      <c r="B1952" s="99"/>
      <c r="C1952" s="100" t="s">
        <v>4203</v>
      </c>
      <c r="D1952" s="100" t="s">
        <v>79</v>
      </c>
      <c r="E1952" s="100" t="s">
        <v>80</v>
      </c>
      <c r="F1952" s="100" t="s">
        <v>1625</v>
      </c>
      <c r="G1952" s="100" t="s">
        <v>1150</v>
      </c>
      <c r="H1952" s="100" t="s">
        <v>283</v>
      </c>
      <c r="I1952" s="247">
        <v>22505</v>
      </c>
      <c r="J1952" s="101">
        <v>1</v>
      </c>
      <c r="K1952" s="101"/>
      <c r="L1952" s="101">
        <v>1</v>
      </c>
      <c r="M1952" s="101"/>
      <c r="N1952" s="101">
        <v>1</v>
      </c>
      <c r="O1952" s="101"/>
      <c r="P1952" s="101"/>
      <c r="Q1952" s="101"/>
      <c r="R1952" s="101"/>
      <c r="S1952" s="101"/>
      <c r="T1952" s="101"/>
      <c r="U1952" s="99" t="s">
        <v>3919</v>
      </c>
      <c r="V1952" s="99" t="s">
        <v>513</v>
      </c>
      <c r="W1952" s="99" t="s">
        <v>279</v>
      </c>
      <c r="X1952" s="100" t="s">
        <v>227</v>
      </c>
      <c r="Y1952" s="99"/>
      <c r="Z1952" s="99"/>
      <c r="AA1952" s="100" t="s">
        <v>1792</v>
      </c>
      <c r="AB1952" s="99" t="s">
        <v>526</v>
      </c>
      <c r="AC1952" s="101">
        <v>50</v>
      </c>
      <c r="AD1952" s="101"/>
      <c r="AE1952" s="101"/>
      <c r="AF1952" s="101"/>
      <c r="AG1952" s="101"/>
      <c r="AH1952" s="99"/>
      <c r="AI1952" s="105"/>
    </row>
    <row r="1953" spans="1:35">
      <c r="A1953" s="98"/>
      <c r="B1953" s="99"/>
      <c r="C1953" s="100" t="s">
        <v>4203</v>
      </c>
      <c r="D1953" s="100" t="s">
        <v>79</v>
      </c>
      <c r="E1953" s="100" t="s">
        <v>80</v>
      </c>
      <c r="F1953" s="100" t="s">
        <v>4268</v>
      </c>
      <c r="G1953" s="100" t="s">
        <v>4269</v>
      </c>
      <c r="H1953" s="100" t="s">
        <v>120</v>
      </c>
      <c r="I1953" s="247">
        <v>27685</v>
      </c>
      <c r="J1953" s="101"/>
      <c r="K1953" s="101">
        <v>1</v>
      </c>
      <c r="L1953" s="101">
        <v>1</v>
      </c>
      <c r="M1953" s="101"/>
      <c r="N1953" s="101">
        <v>1</v>
      </c>
      <c r="O1953" s="101"/>
      <c r="P1953" s="101"/>
      <c r="Q1953" s="101"/>
      <c r="R1953" s="101"/>
      <c r="S1953" s="101"/>
      <c r="T1953" s="101"/>
      <c r="U1953" s="99" t="s">
        <v>3919</v>
      </c>
      <c r="V1953" s="99" t="s">
        <v>513</v>
      </c>
      <c r="W1953" s="99" t="s">
        <v>279</v>
      </c>
      <c r="X1953" s="100" t="s">
        <v>227</v>
      </c>
      <c r="Y1953" s="99"/>
      <c r="Z1953" s="99"/>
      <c r="AA1953" s="100" t="s">
        <v>1792</v>
      </c>
      <c r="AB1953" s="99" t="s">
        <v>526</v>
      </c>
      <c r="AC1953" s="101">
        <v>50</v>
      </c>
      <c r="AD1953" s="101"/>
      <c r="AE1953" s="101"/>
      <c r="AF1953" s="101"/>
      <c r="AG1953" s="101"/>
      <c r="AH1953" s="99"/>
      <c r="AI1953" s="105"/>
    </row>
    <row r="1954" spans="1:35">
      <c r="A1954" s="98"/>
      <c r="B1954" s="99"/>
      <c r="C1954" s="100" t="s">
        <v>4203</v>
      </c>
      <c r="D1954" s="100" t="s">
        <v>79</v>
      </c>
      <c r="E1954" s="100" t="s">
        <v>80</v>
      </c>
      <c r="F1954" s="100" t="s">
        <v>4270</v>
      </c>
      <c r="G1954" s="100" t="s">
        <v>154</v>
      </c>
      <c r="H1954" s="99"/>
      <c r="I1954" s="96">
        <v>30302</v>
      </c>
      <c r="J1954" s="101">
        <v>1</v>
      </c>
      <c r="K1954" s="101"/>
      <c r="L1954" s="101">
        <v>1</v>
      </c>
      <c r="M1954" s="101"/>
      <c r="N1954" s="101">
        <v>1</v>
      </c>
      <c r="O1954" s="101"/>
      <c r="P1954" s="101"/>
      <c r="Q1954" s="101"/>
      <c r="R1954" s="101"/>
      <c r="S1954" s="101"/>
      <c r="T1954" s="101"/>
      <c r="U1954" s="99" t="s">
        <v>3919</v>
      </c>
      <c r="V1954" s="99" t="s">
        <v>513</v>
      </c>
      <c r="W1954" s="99" t="s">
        <v>279</v>
      </c>
      <c r="X1954" s="100" t="s">
        <v>227</v>
      </c>
      <c r="Y1954" s="99"/>
      <c r="Z1954" s="99"/>
      <c r="AA1954" s="100" t="s">
        <v>1792</v>
      </c>
      <c r="AB1954" s="99" t="s">
        <v>526</v>
      </c>
      <c r="AC1954" s="101">
        <v>50</v>
      </c>
      <c r="AD1954" s="101"/>
      <c r="AE1954" s="101"/>
      <c r="AF1954" s="101"/>
      <c r="AG1954" s="101"/>
      <c r="AH1954" s="99"/>
      <c r="AI1954" s="105"/>
    </row>
    <row r="1955" spans="1:35">
      <c r="A1955" s="98"/>
      <c r="B1955" s="99"/>
      <c r="C1955" s="100" t="s">
        <v>4203</v>
      </c>
      <c r="D1955" s="100" t="s">
        <v>79</v>
      </c>
      <c r="E1955" s="100" t="s">
        <v>80</v>
      </c>
      <c r="F1955" s="100" t="s">
        <v>4272</v>
      </c>
      <c r="G1955" s="100" t="s">
        <v>4271</v>
      </c>
      <c r="H1955" s="100" t="s">
        <v>113</v>
      </c>
      <c r="I1955" s="247">
        <v>30360</v>
      </c>
      <c r="J1955" s="101"/>
      <c r="K1955" s="101">
        <v>1</v>
      </c>
      <c r="L1955" s="101">
        <v>1</v>
      </c>
      <c r="M1955" s="101"/>
      <c r="N1955" s="101">
        <v>1</v>
      </c>
      <c r="O1955" s="101"/>
      <c r="P1955" s="101"/>
      <c r="Q1955" s="101"/>
      <c r="R1955" s="101"/>
      <c r="S1955" s="101"/>
      <c r="T1955" s="101"/>
      <c r="U1955" s="99" t="s">
        <v>3919</v>
      </c>
      <c r="V1955" s="99" t="s">
        <v>513</v>
      </c>
      <c r="W1955" s="99" t="s">
        <v>279</v>
      </c>
      <c r="X1955" s="100" t="s">
        <v>227</v>
      </c>
      <c r="Y1955" s="99"/>
      <c r="Z1955" s="99"/>
      <c r="AA1955" s="100" t="s">
        <v>1792</v>
      </c>
      <c r="AB1955" s="99" t="s">
        <v>526</v>
      </c>
      <c r="AC1955" s="101">
        <v>50</v>
      </c>
      <c r="AD1955" s="101"/>
      <c r="AE1955" s="101"/>
      <c r="AF1955" s="101"/>
      <c r="AG1955" s="101"/>
      <c r="AH1955" s="99"/>
      <c r="AI1955" s="105"/>
    </row>
    <row r="1956" spans="1:35">
      <c r="A1956" s="98"/>
      <c r="B1956" s="99"/>
      <c r="C1956" s="100" t="s">
        <v>4203</v>
      </c>
      <c r="D1956" s="100" t="s">
        <v>79</v>
      </c>
      <c r="E1956" s="100" t="s">
        <v>80</v>
      </c>
      <c r="F1956" s="100" t="s">
        <v>4273</v>
      </c>
      <c r="G1956" s="100" t="s">
        <v>4280</v>
      </c>
      <c r="H1956" s="100" t="s">
        <v>421</v>
      </c>
      <c r="I1956" s="247">
        <v>25396</v>
      </c>
      <c r="J1956" s="101">
        <v>1</v>
      </c>
      <c r="K1956" s="101"/>
      <c r="L1956" s="101">
        <v>1</v>
      </c>
      <c r="M1956" s="101"/>
      <c r="N1956" s="101">
        <v>1</v>
      </c>
      <c r="O1956" s="101"/>
      <c r="P1956" s="101"/>
      <c r="Q1956" s="101"/>
      <c r="R1956" s="101"/>
      <c r="S1956" s="101"/>
      <c r="T1956" s="101"/>
      <c r="U1956" s="99" t="s">
        <v>3919</v>
      </c>
      <c r="V1956" s="99" t="s">
        <v>513</v>
      </c>
      <c r="W1956" s="99" t="s">
        <v>279</v>
      </c>
      <c r="X1956" s="100" t="s">
        <v>227</v>
      </c>
      <c r="Y1956" s="99"/>
      <c r="Z1956" s="99"/>
      <c r="AA1956" s="100" t="s">
        <v>1792</v>
      </c>
      <c r="AB1956" s="99" t="s">
        <v>526</v>
      </c>
      <c r="AC1956" s="101">
        <v>50</v>
      </c>
      <c r="AD1956" s="101"/>
      <c r="AE1956" s="101"/>
      <c r="AF1956" s="101"/>
      <c r="AG1956" s="101"/>
      <c r="AH1956" s="99"/>
      <c r="AI1956" s="105"/>
    </row>
    <row r="1957" spans="1:35">
      <c r="A1957" s="98"/>
      <c r="B1957" s="99"/>
      <c r="C1957" s="100" t="s">
        <v>4203</v>
      </c>
      <c r="D1957" s="100" t="s">
        <v>79</v>
      </c>
      <c r="E1957" s="100" t="s">
        <v>80</v>
      </c>
      <c r="F1957" s="100" t="s">
        <v>4273</v>
      </c>
      <c r="G1957" s="100" t="s">
        <v>4274</v>
      </c>
      <c r="H1957" s="100" t="s">
        <v>136</v>
      </c>
      <c r="I1957" s="247">
        <v>21312</v>
      </c>
      <c r="J1957" s="101">
        <v>1</v>
      </c>
      <c r="K1957" s="101"/>
      <c r="L1957" s="101">
        <v>1</v>
      </c>
      <c r="M1957" s="101"/>
      <c r="N1957" s="101">
        <v>1</v>
      </c>
      <c r="O1957" s="101"/>
      <c r="P1957" s="101"/>
      <c r="Q1957" s="101"/>
      <c r="R1957" s="101"/>
      <c r="S1957" s="101"/>
      <c r="T1957" s="101"/>
      <c r="U1957" s="99" t="s">
        <v>3919</v>
      </c>
      <c r="V1957" s="99" t="s">
        <v>513</v>
      </c>
      <c r="W1957" s="99" t="s">
        <v>279</v>
      </c>
      <c r="X1957" s="100" t="s">
        <v>227</v>
      </c>
      <c r="Y1957" s="99"/>
      <c r="Z1957" s="99"/>
      <c r="AA1957" s="100" t="s">
        <v>1792</v>
      </c>
      <c r="AB1957" s="99" t="s">
        <v>526</v>
      </c>
      <c r="AC1957" s="101">
        <v>50</v>
      </c>
      <c r="AD1957" s="101"/>
      <c r="AE1957" s="101"/>
      <c r="AF1957" s="101"/>
      <c r="AG1957" s="101"/>
      <c r="AH1957" s="99"/>
      <c r="AI1957" s="105"/>
    </row>
    <row r="1958" spans="1:35">
      <c r="A1958" s="98"/>
      <c r="B1958" s="99"/>
      <c r="C1958" s="100" t="s">
        <v>4203</v>
      </c>
      <c r="D1958" s="100" t="s">
        <v>79</v>
      </c>
      <c r="E1958" s="100" t="s">
        <v>80</v>
      </c>
      <c r="F1958" s="100" t="s">
        <v>4275</v>
      </c>
      <c r="G1958" s="100" t="s">
        <v>2577</v>
      </c>
      <c r="H1958" s="100" t="s">
        <v>144</v>
      </c>
      <c r="I1958" s="247">
        <v>28805</v>
      </c>
      <c r="J1958" s="101">
        <v>1</v>
      </c>
      <c r="K1958" s="101"/>
      <c r="L1958" s="101">
        <v>1</v>
      </c>
      <c r="M1958" s="101"/>
      <c r="N1958" s="101">
        <v>1</v>
      </c>
      <c r="O1958" s="101"/>
      <c r="P1958" s="101"/>
      <c r="Q1958" s="101"/>
      <c r="R1958" s="101"/>
      <c r="S1958" s="101"/>
      <c r="T1958" s="101"/>
      <c r="U1958" s="99" t="s">
        <v>3919</v>
      </c>
      <c r="V1958" s="99" t="s">
        <v>513</v>
      </c>
      <c r="W1958" s="99" t="s">
        <v>279</v>
      </c>
      <c r="X1958" s="100" t="s">
        <v>227</v>
      </c>
      <c r="Y1958" s="99"/>
      <c r="Z1958" s="99"/>
      <c r="AA1958" s="100" t="s">
        <v>1792</v>
      </c>
      <c r="AB1958" s="99" t="s">
        <v>526</v>
      </c>
      <c r="AC1958" s="101">
        <v>50</v>
      </c>
      <c r="AD1958" s="101"/>
      <c r="AE1958" s="101"/>
      <c r="AF1958" s="101"/>
      <c r="AG1958" s="101"/>
      <c r="AH1958" s="99"/>
      <c r="AI1958" s="105"/>
    </row>
    <row r="1959" spans="1:35">
      <c r="A1959" s="98"/>
      <c r="B1959" s="99"/>
      <c r="C1959" s="100" t="s">
        <v>4203</v>
      </c>
      <c r="D1959" s="100" t="s">
        <v>79</v>
      </c>
      <c r="E1959" s="100" t="s">
        <v>80</v>
      </c>
      <c r="F1959" s="100" t="s">
        <v>4276</v>
      </c>
      <c r="G1959" s="100" t="s">
        <v>4277</v>
      </c>
      <c r="H1959" s="100" t="s">
        <v>113</v>
      </c>
      <c r="I1959" s="247">
        <v>23100</v>
      </c>
      <c r="J1959" s="101">
        <v>1</v>
      </c>
      <c r="K1959" s="101"/>
      <c r="L1959" s="101">
        <v>1</v>
      </c>
      <c r="M1959" s="101"/>
      <c r="N1959" s="101">
        <v>1</v>
      </c>
      <c r="O1959" s="101"/>
      <c r="P1959" s="101"/>
      <c r="Q1959" s="101"/>
      <c r="R1959" s="101"/>
      <c r="S1959" s="101"/>
      <c r="T1959" s="101"/>
      <c r="U1959" s="99" t="s">
        <v>3919</v>
      </c>
      <c r="V1959" s="99" t="s">
        <v>513</v>
      </c>
      <c r="W1959" s="99" t="s">
        <v>279</v>
      </c>
      <c r="X1959" s="100" t="s">
        <v>227</v>
      </c>
      <c r="Y1959" s="99"/>
      <c r="Z1959" s="99"/>
      <c r="AA1959" s="100" t="s">
        <v>1792</v>
      </c>
      <c r="AB1959" s="99" t="s">
        <v>526</v>
      </c>
      <c r="AC1959" s="101">
        <v>50</v>
      </c>
      <c r="AD1959" s="101"/>
      <c r="AE1959" s="101"/>
      <c r="AF1959" s="101"/>
      <c r="AG1959" s="101"/>
      <c r="AH1959" s="99"/>
      <c r="AI1959" s="105"/>
    </row>
    <row r="1960" spans="1:35">
      <c r="A1960" s="98"/>
      <c r="B1960" s="99"/>
      <c r="C1960" s="100" t="s">
        <v>4203</v>
      </c>
      <c r="D1960" s="100" t="s">
        <v>79</v>
      </c>
      <c r="E1960" s="100" t="s">
        <v>80</v>
      </c>
      <c r="F1960" s="100" t="s">
        <v>4278</v>
      </c>
      <c r="G1960" s="100" t="s">
        <v>4279</v>
      </c>
      <c r="H1960" s="100" t="s">
        <v>421</v>
      </c>
      <c r="I1960" s="247">
        <v>26447</v>
      </c>
      <c r="J1960" s="101"/>
      <c r="K1960" s="101">
        <v>1</v>
      </c>
      <c r="L1960" s="101">
        <v>1</v>
      </c>
      <c r="M1960" s="101"/>
      <c r="N1960" s="101">
        <v>1</v>
      </c>
      <c r="O1960" s="101"/>
      <c r="P1960" s="101"/>
      <c r="Q1960" s="101"/>
      <c r="R1960" s="101"/>
      <c r="S1960" s="101"/>
      <c r="T1960" s="101"/>
      <c r="U1960" s="99" t="s">
        <v>3919</v>
      </c>
      <c r="V1960" s="99" t="s">
        <v>513</v>
      </c>
      <c r="W1960" s="99" t="s">
        <v>279</v>
      </c>
      <c r="X1960" s="100" t="s">
        <v>227</v>
      </c>
      <c r="Y1960" s="99"/>
      <c r="Z1960" s="99"/>
      <c r="AA1960" s="100" t="s">
        <v>1792</v>
      </c>
      <c r="AB1960" s="99" t="s">
        <v>526</v>
      </c>
      <c r="AC1960" s="101">
        <v>50</v>
      </c>
      <c r="AD1960" s="101"/>
      <c r="AE1960" s="101"/>
      <c r="AF1960" s="101"/>
      <c r="AG1960" s="101"/>
      <c r="AH1960" s="99"/>
      <c r="AI1960" s="105"/>
    </row>
    <row r="1961" spans="1:35">
      <c r="A1961" s="98"/>
      <c r="B1961" s="99"/>
      <c r="C1961" s="100" t="s">
        <v>4203</v>
      </c>
      <c r="D1961" s="100" t="s">
        <v>79</v>
      </c>
      <c r="E1961" s="100" t="s">
        <v>80</v>
      </c>
      <c r="F1961" s="100" t="s">
        <v>2651</v>
      </c>
      <c r="G1961" s="100" t="s">
        <v>4281</v>
      </c>
      <c r="H1961" s="100" t="s">
        <v>120</v>
      </c>
      <c r="I1961" s="247">
        <v>26558</v>
      </c>
      <c r="J1961" s="101">
        <v>1</v>
      </c>
      <c r="K1961" s="101"/>
      <c r="L1961" s="101">
        <v>1</v>
      </c>
      <c r="M1961" s="101"/>
      <c r="N1961" s="101">
        <v>1</v>
      </c>
      <c r="O1961" s="101"/>
      <c r="P1961" s="101"/>
      <c r="Q1961" s="101"/>
      <c r="R1961" s="101"/>
      <c r="S1961" s="101"/>
      <c r="T1961" s="101"/>
      <c r="U1961" s="100" t="s">
        <v>1466</v>
      </c>
      <c r="V1961" s="100" t="s">
        <v>949</v>
      </c>
      <c r="W1961" s="100" t="s">
        <v>280</v>
      </c>
      <c r="X1961" s="100" t="s">
        <v>227</v>
      </c>
      <c r="Y1961" s="99"/>
      <c r="Z1961" s="99"/>
      <c r="AA1961" s="100" t="s">
        <v>1961</v>
      </c>
      <c r="AB1961" s="99" t="s">
        <v>526</v>
      </c>
      <c r="AC1961" s="101">
        <v>2</v>
      </c>
      <c r="AD1961" s="101"/>
      <c r="AE1961" s="101"/>
      <c r="AF1961" s="101"/>
      <c r="AG1961" s="101"/>
      <c r="AH1961" s="99"/>
      <c r="AI1961" s="105"/>
    </row>
    <row r="1962" spans="1:35">
      <c r="A1962" s="98"/>
      <c r="B1962" s="99"/>
      <c r="C1962" s="100" t="s">
        <v>4203</v>
      </c>
      <c r="D1962" s="100" t="s">
        <v>79</v>
      </c>
      <c r="E1962" s="100" t="s">
        <v>80</v>
      </c>
      <c r="F1962" s="100" t="s">
        <v>2651</v>
      </c>
      <c r="G1962" s="100" t="s">
        <v>4282</v>
      </c>
      <c r="H1962" s="100" t="s">
        <v>136</v>
      </c>
      <c r="I1962" s="247">
        <v>29942</v>
      </c>
      <c r="J1962" s="101">
        <v>1</v>
      </c>
      <c r="K1962" s="101"/>
      <c r="L1962" s="101">
        <v>1</v>
      </c>
      <c r="M1962" s="101"/>
      <c r="N1962" s="101">
        <v>1</v>
      </c>
      <c r="O1962" s="101"/>
      <c r="P1962" s="101"/>
      <c r="Q1962" s="101"/>
      <c r="R1962" s="101"/>
      <c r="S1962" s="101"/>
      <c r="T1962" s="101"/>
      <c r="U1962" s="100" t="s">
        <v>1466</v>
      </c>
      <c r="V1962" s="100" t="s">
        <v>949</v>
      </c>
      <c r="W1962" s="100" t="s">
        <v>280</v>
      </c>
      <c r="X1962" s="100" t="s">
        <v>227</v>
      </c>
      <c r="Y1962" s="99"/>
      <c r="Z1962" s="99"/>
      <c r="AA1962" s="100" t="s">
        <v>1961</v>
      </c>
      <c r="AB1962" s="99" t="s">
        <v>526</v>
      </c>
      <c r="AC1962" s="101">
        <v>2</v>
      </c>
      <c r="AD1962" s="101"/>
      <c r="AE1962" s="101"/>
      <c r="AF1962" s="101"/>
      <c r="AG1962" s="101"/>
      <c r="AH1962" s="99"/>
      <c r="AI1962" s="105"/>
    </row>
    <row r="1963" spans="1:35">
      <c r="A1963" s="98"/>
      <c r="B1963" s="99"/>
      <c r="C1963" s="100" t="s">
        <v>4203</v>
      </c>
      <c r="D1963" s="100" t="s">
        <v>79</v>
      </c>
      <c r="E1963" s="100" t="s">
        <v>80</v>
      </c>
      <c r="F1963" s="100" t="s">
        <v>1465</v>
      </c>
      <c r="G1963" s="100" t="s">
        <v>4283</v>
      </c>
      <c r="H1963" s="100" t="s">
        <v>1183</v>
      </c>
      <c r="I1963" s="247">
        <v>18589</v>
      </c>
      <c r="J1963" s="101">
        <v>1</v>
      </c>
      <c r="K1963" s="101"/>
      <c r="L1963" s="101">
        <v>1</v>
      </c>
      <c r="M1963" s="101"/>
      <c r="N1963" s="101">
        <v>1</v>
      </c>
      <c r="O1963" s="101"/>
      <c r="P1963" s="101"/>
      <c r="Q1963" s="101"/>
      <c r="R1963" s="101"/>
      <c r="S1963" s="101"/>
      <c r="T1963" s="101"/>
      <c r="U1963" s="100" t="s">
        <v>1466</v>
      </c>
      <c r="V1963" s="100" t="s">
        <v>949</v>
      </c>
      <c r="W1963" s="100" t="s">
        <v>280</v>
      </c>
      <c r="X1963" s="100" t="s">
        <v>227</v>
      </c>
      <c r="Y1963" s="99"/>
      <c r="Z1963" s="99"/>
      <c r="AA1963" s="100" t="s">
        <v>1961</v>
      </c>
      <c r="AB1963" s="99" t="s">
        <v>526</v>
      </c>
      <c r="AC1963" s="101">
        <v>2</v>
      </c>
      <c r="AD1963" s="101"/>
      <c r="AE1963" s="101"/>
      <c r="AF1963" s="101"/>
      <c r="AG1963" s="101"/>
      <c r="AH1963" s="99"/>
      <c r="AI1963" s="105"/>
    </row>
    <row r="1964" spans="1:35">
      <c r="A1964" s="98"/>
      <c r="B1964" s="99"/>
      <c r="C1964" s="100" t="s">
        <v>4203</v>
      </c>
      <c r="D1964" s="100" t="s">
        <v>79</v>
      </c>
      <c r="E1964" s="100" t="s">
        <v>80</v>
      </c>
      <c r="F1964" s="100" t="s">
        <v>4284</v>
      </c>
      <c r="G1964" s="100" t="s">
        <v>4285</v>
      </c>
      <c r="H1964" s="100" t="s">
        <v>120</v>
      </c>
      <c r="I1964" s="247">
        <v>26774</v>
      </c>
      <c r="J1964" s="101">
        <v>1</v>
      </c>
      <c r="K1964" s="101"/>
      <c r="L1964" s="101">
        <v>1</v>
      </c>
      <c r="M1964" s="101"/>
      <c r="N1964" s="101">
        <v>1</v>
      </c>
      <c r="O1964" s="101"/>
      <c r="P1964" s="101"/>
      <c r="Q1964" s="101"/>
      <c r="R1964" s="101"/>
      <c r="S1964" s="101"/>
      <c r="T1964" s="101"/>
      <c r="U1964" s="100" t="s">
        <v>1466</v>
      </c>
      <c r="V1964" s="100" t="s">
        <v>949</v>
      </c>
      <c r="W1964" s="100" t="s">
        <v>280</v>
      </c>
      <c r="X1964" s="100" t="s">
        <v>227</v>
      </c>
      <c r="Y1964" s="99"/>
      <c r="Z1964" s="99"/>
      <c r="AA1964" s="100" t="s">
        <v>1961</v>
      </c>
      <c r="AB1964" s="99" t="s">
        <v>526</v>
      </c>
      <c r="AC1964" s="101">
        <v>2</v>
      </c>
      <c r="AD1964" s="101"/>
      <c r="AE1964" s="101"/>
      <c r="AF1964" s="101"/>
      <c r="AG1964" s="101"/>
      <c r="AH1964" s="99"/>
      <c r="AI1964" s="105"/>
    </row>
    <row r="1965" spans="1:35">
      <c r="A1965" s="98"/>
      <c r="B1965" s="99"/>
      <c r="C1965" s="100" t="s">
        <v>4203</v>
      </c>
      <c r="D1965" s="100" t="s">
        <v>79</v>
      </c>
      <c r="E1965" s="100" t="s">
        <v>80</v>
      </c>
      <c r="F1965" s="100" t="s">
        <v>4286</v>
      </c>
      <c r="G1965" s="100" t="s">
        <v>4287</v>
      </c>
      <c r="H1965" s="100" t="s">
        <v>136</v>
      </c>
      <c r="I1965" s="247">
        <v>26635</v>
      </c>
      <c r="J1965" s="101">
        <v>1</v>
      </c>
      <c r="K1965" s="101"/>
      <c r="L1965" s="101">
        <v>1</v>
      </c>
      <c r="M1965" s="101"/>
      <c r="N1965" s="101">
        <v>1</v>
      </c>
      <c r="O1965" s="101"/>
      <c r="P1965" s="101"/>
      <c r="Q1965" s="101"/>
      <c r="R1965" s="101"/>
      <c r="S1965" s="101"/>
      <c r="T1965" s="101"/>
      <c r="U1965" s="100" t="s">
        <v>1466</v>
      </c>
      <c r="V1965" s="100" t="s">
        <v>949</v>
      </c>
      <c r="W1965" s="100" t="s">
        <v>280</v>
      </c>
      <c r="X1965" s="100" t="s">
        <v>227</v>
      </c>
      <c r="Y1965" s="99"/>
      <c r="Z1965" s="99"/>
      <c r="AA1965" s="100" t="s">
        <v>1961</v>
      </c>
      <c r="AB1965" s="99" t="s">
        <v>526</v>
      </c>
      <c r="AC1965" s="101">
        <v>2</v>
      </c>
      <c r="AD1965" s="101"/>
      <c r="AE1965" s="101"/>
      <c r="AF1965" s="101"/>
      <c r="AG1965" s="101"/>
      <c r="AH1965" s="99"/>
      <c r="AI1965" s="105"/>
    </row>
    <row r="1966" spans="1:35">
      <c r="A1966" s="98"/>
      <c r="B1966" s="99"/>
      <c r="C1966" s="100" t="s">
        <v>4203</v>
      </c>
      <c r="D1966" s="100" t="s">
        <v>79</v>
      </c>
      <c r="E1966" s="100" t="s">
        <v>80</v>
      </c>
      <c r="F1966" s="100" t="s">
        <v>4286</v>
      </c>
      <c r="G1966" s="100" t="s">
        <v>4288</v>
      </c>
      <c r="H1966" s="100" t="s">
        <v>136</v>
      </c>
      <c r="I1966" s="247">
        <v>27725</v>
      </c>
      <c r="J1966" s="101">
        <v>1</v>
      </c>
      <c r="K1966" s="101"/>
      <c r="L1966" s="101">
        <v>1</v>
      </c>
      <c r="M1966" s="101"/>
      <c r="N1966" s="101">
        <v>1</v>
      </c>
      <c r="O1966" s="101"/>
      <c r="P1966" s="101"/>
      <c r="Q1966" s="101"/>
      <c r="R1966" s="101"/>
      <c r="S1966" s="101"/>
      <c r="T1966" s="101"/>
      <c r="U1966" s="100" t="s">
        <v>1466</v>
      </c>
      <c r="V1966" s="100" t="s">
        <v>949</v>
      </c>
      <c r="W1966" s="100" t="s">
        <v>280</v>
      </c>
      <c r="X1966" s="100" t="s">
        <v>227</v>
      </c>
      <c r="Y1966" s="99"/>
      <c r="Z1966" s="99"/>
      <c r="AA1966" s="100" t="s">
        <v>1961</v>
      </c>
      <c r="AB1966" s="99" t="s">
        <v>526</v>
      </c>
      <c r="AC1966" s="101">
        <v>2</v>
      </c>
      <c r="AD1966" s="101"/>
      <c r="AE1966" s="101"/>
      <c r="AF1966" s="101"/>
      <c r="AG1966" s="101"/>
      <c r="AH1966" s="99"/>
      <c r="AI1966" s="105"/>
    </row>
    <row r="1967" spans="1:35">
      <c r="A1967" s="98"/>
      <c r="B1967" s="99"/>
      <c r="C1967" s="100" t="s">
        <v>4203</v>
      </c>
      <c r="D1967" s="100" t="s">
        <v>79</v>
      </c>
      <c r="E1967" s="100" t="s">
        <v>80</v>
      </c>
      <c r="F1967" s="100" t="s">
        <v>4289</v>
      </c>
      <c r="G1967" s="100" t="s">
        <v>4290</v>
      </c>
      <c r="H1967" s="100" t="s">
        <v>115</v>
      </c>
      <c r="I1967" s="247">
        <v>25328</v>
      </c>
      <c r="J1967" s="101">
        <v>1</v>
      </c>
      <c r="K1967" s="101"/>
      <c r="L1967" s="101">
        <v>1</v>
      </c>
      <c r="M1967" s="101"/>
      <c r="N1967" s="101">
        <v>1</v>
      </c>
      <c r="O1967" s="101"/>
      <c r="P1967" s="101"/>
      <c r="Q1967" s="101"/>
      <c r="R1967" s="101"/>
      <c r="S1967" s="101"/>
      <c r="T1967" s="101"/>
      <c r="U1967" s="100" t="s">
        <v>1466</v>
      </c>
      <c r="V1967" s="100" t="s">
        <v>949</v>
      </c>
      <c r="W1967" s="100" t="s">
        <v>280</v>
      </c>
      <c r="X1967" s="100" t="s">
        <v>227</v>
      </c>
      <c r="Y1967" s="99"/>
      <c r="Z1967" s="99"/>
      <c r="AA1967" s="100" t="s">
        <v>1961</v>
      </c>
      <c r="AB1967" s="99" t="s">
        <v>526</v>
      </c>
      <c r="AC1967" s="101">
        <v>2</v>
      </c>
      <c r="AD1967" s="101"/>
      <c r="AE1967" s="101"/>
      <c r="AF1967" s="101"/>
      <c r="AG1967" s="101"/>
      <c r="AH1967" s="99"/>
      <c r="AI1967" s="105"/>
    </row>
    <row r="1968" spans="1:35">
      <c r="A1968" s="98"/>
      <c r="B1968" s="99"/>
      <c r="C1968" s="100" t="s">
        <v>4203</v>
      </c>
      <c r="D1968" s="100" t="s">
        <v>79</v>
      </c>
      <c r="E1968" s="100" t="s">
        <v>80</v>
      </c>
      <c r="F1968" s="100" t="s">
        <v>4289</v>
      </c>
      <c r="G1968" s="100" t="s">
        <v>4291</v>
      </c>
      <c r="H1968" s="100" t="s">
        <v>421</v>
      </c>
      <c r="I1968" s="247">
        <v>27140</v>
      </c>
      <c r="J1968" s="101">
        <v>1</v>
      </c>
      <c r="K1968" s="101"/>
      <c r="L1968" s="101">
        <v>1</v>
      </c>
      <c r="M1968" s="101"/>
      <c r="N1968" s="101">
        <v>1</v>
      </c>
      <c r="O1968" s="101"/>
      <c r="P1968" s="101"/>
      <c r="Q1968" s="101"/>
      <c r="R1968" s="101"/>
      <c r="S1968" s="101"/>
      <c r="T1968" s="101"/>
      <c r="U1968" s="100" t="s">
        <v>1466</v>
      </c>
      <c r="V1968" s="100" t="s">
        <v>949</v>
      </c>
      <c r="W1968" s="100" t="s">
        <v>280</v>
      </c>
      <c r="X1968" s="100" t="s">
        <v>227</v>
      </c>
      <c r="Y1968" s="99"/>
      <c r="Z1968" s="99"/>
      <c r="AA1968" s="100" t="s">
        <v>1961</v>
      </c>
      <c r="AB1968" s="99" t="s">
        <v>526</v>
      </c>
      <c r="AC1968" s="101">
        <v>2</v>
      </c>
      <c r="AD1968" s="101"/>
      <c r="AE1968" s="101"/>
      <c r="AF1968" s="101"/>
      <c r="AG1968" s="101"/>
      <c r="AH1968" s="99"/>
      <c r="AI1968" s="105"/>
    </row>
    <row r="1969" spans="1:35">
      <c r="A1969" s="98"/>
      <c r="B1969" s="99"/>
      <c r="C1969" s="100" t="s">
        <v>4203</v>
      </c>
      <c r="D1969" s="100" t="s">
        <v>79</v>
      </c>
      <c r="E1969" s="100" t="s">
        <v>80</v>
      </c>
      <c r="F1969" s="100" t="s">
        <v>4286</v>
      </c>
      <c r="G1969" s="100" t="s">
        <v>4292</v>
      </c>
      <c r="H1969" s="100" t="s">
        <v>136</v>
      </c>
      <c r="I1969" s="247">
        <v>29453</v>
      </c>
      <c r="J1969" s="101">
        <v>1</v>
      </c>
      <c r="K1969" s="101"/>
      <c r="L1969" s="101">
        <v>1</v>
      </c>
      <c r="M1969" s="101"/>
      <c r="N1969" s="101">
        <v>1</v>
      </c>
      <c r="O1969" s="101"/>
      <c r="P1969" s="101"/>
      <c r="Q1969" s="101"/>
      <c r="R1969" s="101"/>
      <c r="S1969" s="101"/>
      <c r="T1969" s="101"/>
      <c r="U1969" s="100" t="s">
        <v>1466</v>
      </c>
      <c r="V1969" s="100" t="s">
        <v>949</v>
      </c>
      <c r="W1969" s="100" t="s">
        <v>280</v>
      </c>
      <c r="X1969" s="100" t="s">
        <v>227</v>
      </c>
      <c r="Y1969" s="99"/>
      <c r="Z1969" s="99"/>
      <c r="AA1969" s="100" t="s">
        <v>1961</v>
      </c>
      <c r="AB1969" s="99" t="s">
        <v>526</v>
      </c>
      <c r="AC1969" s="101">
        <v>2</v>
      </c>
      <c r="AD1969" s="101"/>
      <c r="AE1969" s="101"/>
      <c r="AF1969" s="101"/>
      <c r="AG1969" s="101"/>
      <c r="AH1969" s="99"/>
      <c r="AI1969" s="105"/>
    </row>
    <row r="1970" spans="1:35">
      <c r="A1970" s="98"/>
      <c r="B1970" s="99"/>
      <c r="C1970" s="100" t="s">
        <v>4203</v>
      </c>
      <c r="D1970" s="100" t="s">
        <v>79</v>
      </c>
      <c r="E1970" s="100" t="s">
        <v>80</v>
      </c>
      <c r="F1970" s="100" t="s">
        <v>3003</v>
      </c>
      <c r="G1970" s="100" t="s">
        <v>4293</v>
      </c>
      <c r="H1970" s="99"/>
      <c r="I1970" s="247">
        <v>24002</v>
      </c>
      <c r="J1970" s="101">
        <v>1</v>
      </c>
      <c r="K1970" s="101"/>
      <c r="L1970" s="101">
        <v>1</v>
      </c>
      <c r="M1970" s="101"/>
      <c r="N1970" s="101">
        <v>1</v>
      </c>
      <c r="O1970" s="101"/>
      <c r="P1970" s="101"/>
      <c r="Q1970" s="101"/>
      <c r="R1970" s="101"/>
      <c r="S1970" s="101"/>
      <c r="T1970" s="101"/>
      <c r="U1970" s="100" t="s">
        <v>1466</v>
      </c>
      <c r="V1970" s="100" t="s">
        <v>949</v>
      </c>
      <c r="W1970" s="100" t="s">
        <v>280</v>
      </c>
      <c r="X1970" s="100" t="s">
        <v>227</v>
      </c>
      <c r="Y1970" s="99"/>
      <c r="Z1970" s="99"/>
      <c r="AA1970" s="100" t="s">
        <v>1961</v>
      </c>
      <c r="AB1970" s="99" t="s">
        <v>526</v>
      </c>
      <c r="AC1970" s="101">
        <v>2</v>
      </c>
      <c r="AD1970" s="101"/>
      <c r="AE1970" s="101"/>
      <c r="AF1970" s="101"/>
      <c r="AG1970" s="101"/>
      <c r="AH1970" s="99"/>
      <c r="AI1970" s="105"/>
    </row>
    <row r="1971" spans="1:35">
      <c r="A1971" s="98"/>
      <c r="B1971" s="99"/>
      <c r="C1971" s="100" t="s">
        <v>4203</v>
      </c>
      <c r="D1971" s="100" t="s">
        <v>79</v>
      </c>
      <c r="E1971" s="100" t="s">
        <v>80</v>
      </c>
      <c r="F1971" s="100" t="s">
        <v>4294</v>
      </c>
      <c r="G1971" s="100" t="s">
        <v>4295</v>
      </c>
      <c r="H1971" s="100" t="s">
        <v>286</v>
      </c>
      <c r="I1971" s="247"/>
      <c r="J1971" s="101">
        <v>1</v>
      </c>
      <c r="K1971" s="101"/>
      <c r="L1971" s="101">
        <v>1</v>
      </c>
      <c r="M1971" s="101"/>
      <c r="N1971" s="101">
        <v>1</v>
      </c>
      <c r="O1971" s="101"/>
      <c r="P1971" s="101"/>
      <c r="Q1971" s="101"/>
      <c r="R1971" s="101"/>
      <c r="S1971" s="101"/>
      <c r="T1971" s="101"/>
      <c r="U1971" s="100" t="s">
        <v>1466</v>
      </c>
      <c r="V1971" s="100" t="s">
        <v>949</v>
      </c>
      <c r="W1971" s="100" t="s">
        <v>280</v>
      </c>
      <c r="X1971" s="100" t="s">
        <v>227</v>
      </c>
      <c r="Y1971" s="99"/>
      <c r="Z1971" s="99"/>
      <c r="AA1971" s="100" t="s">
        <v>1961</v>
      </c>
      <c r="AB1971" s="99" t="s">
        <v>526</v>
      </c>
      <c r="AC1971" s="101">
        <v>2</v>
      </c>
      <c r="AD1971" s="101"/>
      <c r="AE1971" s="101"/>
      <c r="AF1971" s="101"/>
      <c r="AG1971" s="101"/>
      <c r="AH1971" s="99"/>
      <c r="AI1971" s="105"/>
    </row>
    <row r="1972" spans="1:35">
      <c r="A1972" s="98"/>
      <c r="B1972" s="99"/>
      <c r="C1972" s="100" t="s">
        <v>4203</v>
      </c>
      <c r="D1972" s="100" t="s">
        <v>79</v>
      </c>
      <c r="E1972" s="100" t="s">
        <v>80</v>
      </c>
      <c r="F1972" s="100" t="s">
        <v>3003</v>
      </c>
      <c r="G1972" s="100" t="s">
        <v>4296</v>
      </c>
      <c r="H1972" s="100" t="s">
        <v>136</v>
      </c>
      <c r="I1972" s="247"/>
      <c r="J1972" s="101"/>
      <c r="K1972" s="101">
        <v>1</v>
      </c>
      <c r="L1972" s="101">
        <v>1</v>
      </c>
      <c r="M1972" s="101"/>
      <c r="N1972" s="101">
        <v>1</v>
      </c>
      <c r="O1972" s="101"/>
      <c r="P1972" s="101"/>
      <c r="Q1972" s="101"/>
      <c r="R1972" s="101"/>
      <c r="S1972" s="101"/>
      <c r="T1972" s="101"/>
      <c r="U1972" s="100" t="s">
        <v>1466</v>
      </c>
      <c r="V1972" s="100" t="s">
        <v>949</v>
      </c>
      <c r="W1972" s="100" t="s">
        <v>280</v>
      </c>
      <c r="X1972" s="100" t="s">
        <v>227</v>
      </c>
      <c r="Y1972" s="99"/>
      <c r="Z1972" s="99"/>
      <c r="AA1972" s="100" t="s">
        <v>1961</v>
      </c>
      <c r="AB1972" s="99" t="s">
        <v>526</v>
      </c>
      <c r="AC1972" s="101">
        <v>2</v>
      </c>
      <c r="AD1972" s="101"/>
      <c r="AE1972" s="101"/>
      <c r="AF1972" s="101"/>
      <c r="AG1972" s="101"/>
      <c r="AH1972" s="99"/>
      <c r="AI1972" s="105"/>
    </row>
    <row r="1973" spans="1:35">
      <c r="A1973" s="98"/>
      <c r="B1973" s="99"/>
      <c r="C1973" s="100" t="s">
        <v>4203</v>
      </c>
      <c r="D1973" s="100" t="s">
        <v>79</v>
      </c>
      <c r="E1973" s="100" t="s">
        <v>80</v>
      </c>
      <c r="F1973" s="100" t="s">
        <v>4297</v>
      </c>
      <c r="G1973" s="100" t="s">
        <v>4298</v>
      </c>
      <c r="H1973" s="100" t="s">
        <v>286</v>
      </c>
      <c r="I1973" s="247">
        <v>30310</v>
      </c>
      <c r="J1973" s="101">
        <v>1</v>
      </c>
      <c r="K1973" s="101"/>
      <c r="L1973" s="101">
        <v>1</v>
      </c>
      <c r="M1973" s="101"/>
      <c r="N1973" s="101">
        <v>1</v>
      </c>
      <c r="O1973" s="101"/>
      <c r="P1973" s="101"/>
      <c r="Q1973" s="101"/>
      <c r="R1973" s="101"/>
      <c r="S1973" s="101"/>
      <c r="T1973" s="101"/>
      <c r="U1973" s="100" t="s">
        <v>1466</v>
      </c>
      <c r="V1973" s="100" t="s">
        <v>949</v>
      </c>
      <c r="W1973" s="100" t="s">
        <v>280</v>
      </c>
      <c r="X1973" s="100" t="s">
        <v>227</v>
      </c>
      <c r="Y1973" s="99"/>
      <c r="Z1973" s="99"/>
      <c r="AA1973" s="100" t="s">
        <v>1961</v>
      </c>
      <c r="AB1973" s="99" t="s">
        <v>526</v>
      </c>
      <c r="AC1973" s="101">
        <v>2</v>
      </c>
      <c r="AD1973" s="101"/>
      <c r="AE1973" s="101"/>
      <c r="AF1973" s="101"/>
      <c r="AG1973" s="101"/>
      <c r="AH1973" s="99"/>
      <c r="AI1973" s="105"/>
    </row>
    <row r="1974" spans="1:35">
      <c r="A1974" s="98"/>
      <c r="B1974" s="99"/>
      <c r="C1974" s="100" t="s">
        <v>4203</v>
      </c>
      <c r="D1974" s="100" t="s">
        <v>79</v>
      </c>
      <c r="E1974" s="100" t="s">
        <v>80</v>
      </c>
      <c r="F1974" s="100" t="s">
        <v>4299</v>
      </c>
      <c r="G1974" s="100" t="s">
        <v>4300</v>
      </c>
      <c r="H1974" s="100" t="s">
        <v>136</v>
      </c>
      <c r="I1974" s="247">
        <v>26435</v>
      </c>
      <c r="J1974" s="101">
        <v>1</v>
      </c>
      <c r="K1974" s="101"/>
      <c r="L1974" s="101">
        <v>1</v>
      </c>
      <c r="M1974" s="101"/>
      <c r="N1974" s="101">
        <v>1</v>
      </c>
      <c r="O1974" s="101"/>
      <c r="P1974" s="101"/>
      <c r="Q1974" s="101"/>
      <c r="R1974" s="101"/>
      <c r="S1974" s="101"/>
      <c r="T1974" s="101"/>
      <c r="U1974" s="100" t="s">
        <v>1466</v>
      </c>
      <c r="V1974" s="100" t="s">
        <v>949</v>
      </c>
      <c r="W1974" s="100" t="s">
        <v>280</v>
      </c>
      <c r="X1974" s="100" t="s">
        <v>227</v>
      </c>
      <c r="Y1974" s="99"/>
      <c r="Z1974" s="99"/>
      <c r="AA1974" s="100" t="s">
        <v>1961</v>
      </c>
      <c r="AB1974" s="99" t="s">
        <v>526</v>
      </c>
      <c r="AC1974" s="101">
        <v>2</v>
      </c>
      <c r="AD1974" s="101"/>
      <c r="AE1974" s="101"/>
      <c r="AF1974" s="101"/>
      <c r="AG1974" s="101"/>
      <c r="AH1974" s="99"/>
      <c r="AI1974" s="105"/>
    </row>
    <row r="1975" spans="1:35">
      <c r="A1975" s="98"/>
      <c r="B1975" s="99"/>
      <c r="C1975" s="100" t="s">
        <v>4203</v>
      </c>
      <c r="D1975" s="100" t="s">
        <v>79</v>
      </c>
      <c r="E1975" s="100" t="s">
        <v>80</v>
      </c>
      <c r="F1975" s="100" t="s">
        <v>4289</v>
      </c>
      <c r="G1975" s="100" t="s">
        <v>4301</v>
      </c>
      <c r="H1975" s="100" t="s">
        <v>421</v>
      </c>
      <c r="I1975" s="247">
        <v>28299</v>
      </c>
      <c r="J1975" s="101">
        <v>1</v>
      </c>
      <c r="K1975" s="101"/>
      <c r="L1975" s="101">
        <v>1</v>
      </c>
      <c r="M1975" s="101"/>
      <c r="N1975" s="101">
        <v>1</v>
      </c>
      <c r="O1975" s="101"/>
      <c r="P1975" s="101"/>
      <c r="Q1975" s="101"/>
      <c r="R1975" s="101"/>
      <c r="S1975" s="101"/>
      <c r="T1975" s="101"/>
      <c r="U1975" s="100" t="s">
        <v>1466</v>
      </c>
      <c r="V1975" s="100" t="s">
        <v>949</v>
      </c>
      <c r="W1975" s="100" t="s">
        <v>280</v>
      </c>
      <c r="X1975" s="100" t="s">
        <v>227</v>
      </c>
      <c r="Y1975" s="99"/>
      <c r="Z1975" s="99"/>
      <c r="AA1975" s="100" t="s">
        <v>1961</v>
      </c>
      <c r="AB1975" s="99" t="s">
        <v>526</v>
      </c>
      <c r="AC1975" s="101">
        <v>2</v>
      </c>
      <c r="AD1975" s="101"/>
      <c r="AE1975" s="101"/>
      <c r="AF1975" s="101"/>
      <c r="AG1975" s="101"/>
      <c r="AH1975" s="99"/>
      <c r="AI1975" s="105"/>
    </row>
    <row r="1976" spans="1:35">
      <c r="A1976" s="98"/>
      <c r="B1976" s="99"/>
      <c r="C1976" s="100" t="s">
        <v>4203</v>
      </c>
      <c r="D1976" s="100" t="s">
        <v>79</v>
      </c>
      <c r="E1976" s="100" t="s">
        <v>80</v>
      </c>
      <c r="F1976" s="100" t="s">
        <v>1465</v>
      </c>
      <c r="G1976" s="100" t="s">
        <v>3655</v>
      </c>
      <c r="H1976" s="100" t="s">
        <v>136</v>
      </c>
      <c r="I1976" s="247">
        <v>25282</v>
      </c>
      <c r="J1976" s="101">
        <v>1</v>
      </c>
      <c r="K1976" s="101"/>
      <c r="L1976" s="101">
        <v>1</v>
      </c>
      <c r="M1976" s="101"/>
      <c r="N1976" s="101">
        <v>1</v>
      </c>
      <c r="O1976" s="101"/>
      <c r="P1976" s="101"/>
      <c r="Q1976" s="101"/>
      <c r="R1976" s="101"/>
      <c r="S1976" s="101"/>
      <c r="T1976" s="101"/>
      <c r="U1976" s="100" t="s">
        <v>1466</v>
      </c>
      <c r="V1976" s="100" t="s">
        <v>949</v>
      </c>
      <c r="W1976" s="100" t="s">
        <v>280</v>
      </c>
      <c r="X1976" s="100" t="s">
        <v>227</v>
      </c>
      <c r="Y1976" s="99"/>
      <c r="Z1976" s="99"/>
      <c r="AA1976" s="100" t="s">
        <v>1961</v>
      </c>
      <c r="AB1976" s="99" t="s">
        <v>526</v>
      </c>
      <c r="AC1976" s="101">
        <v>2</v>
      </c>
      <c r="AD1976" s="101"/>
      <c r="AE1976" s="101"/>
      <c r="AF1976" s="101"/>
      <c r="AG1976" s="101"/>
      <c r="AH1976" s="99"/>
      <c r="AI1976" s="105"/>
    </row>
    <row r="1977" spans="1:35">
      <c r="A1977" s="98"/>
      <c r="B1977" s="99"/>
      <c r="C1977" s="100" t="s">
        <v>4203</v>
      </c>
      <c r="D1977" s="100" t="s">
        <v>79</v>
      </c>
      <c r="E1977" s="100" t="s">
        <v>80</v>
      </c>
      <c r="F1977" s="100" t="s">
        <v>4302</v>
      </c>
      <c r="G1977" s="100" t="s">
        <v>4303</v>
      </c>
      <c r="H1977" s="100" t="s">
        <v>1957</v>
      </c>
      <c r="I1977" s="247">
        <v>35014</v>
      </c>
      <c r="J1977" s="101">
        <v>1</v>
      </c>
      <c r="K1977" s="101"/>
      <c r="L1977" s="101">
        <v>1</v>
      </c>
      <c r="M1977" s="101"/>
      <c r="N1977" s="101">
        <v>1</v>
      </c>
      <c r="O1977" s="101"/>
      <c r="P1977" s="101"/>
      <c r="Q1977" s="101"/>
      <c r="R1977" s="101"/>
      <c r="S1977" s="101"/>
      <c r="T1977" s="101"/>
      <c r="U1977" s="100" t="s">
        <v>1466</v>
      </c>
      <c r="V1977" s="100" t="s">
        <v>949</v>
      </c>
      <c r="W1977" s="100" t="s">
        <v>280</v>
      </c>
      <c r="X1977" s="100" t="s">
        <v>227</v>
      </c>
      <c r="Y1977" s="99"/>
      <c r="Z1977" s="99"/>
      <c r="AA1977" s="100" t="s">
        <v>1961</v>
      </c>
      <c r="AB1977" s="99" t="s">
        <v>526</v>
      </c>
      <c r="AC1977" s="101">
        <v>2</v>
      </c>
      <c r="AD1977" s="101"/>
      <c r="AE1977" s="101"/>
      <c r="AF1977" s="101"/>
      <c r="AG1977" s="101"/>
      <c r="AH1977" s="99"/>
      <c r="AI1977" s="105"/>
    </row>
    <row r="1978" spans="1:35">
      <c r="A1978" s="98"/>
      <c r="B1978" s="99"/>
      <c r="C1978" s="100" t="s">
        <v>4203</v>
      </c>
      <c r="D1978" s="100" t="s">
        <v>79</v>
      </c>
      <c r="E1978" s="100" t="s">
        <v>80</v>
      </c>
      <c r="F1978" s="100" t="s">
        <v>1465</v>
      </c>
      <c r="G1978" s="100" t="s">
        <v>994</v>
      </c>
      <c r="H1978" s="100" t="s">
        <v>136</v>
      </c>
      <c r="I1978" s="247">
        <v>26336</v>
      </c>
      <c r="J1978" s="101">
        <v>1</v>
      </c>
      <c r="K1978" s="101"/>
      <c r="L1978" s="101">
        <v>1</v>
      </c>
      <c r="M1978" s="101"/>
      <c r="N1978" s="101">
        <v>1</v>
      </c>
      <c r="O1978" s="101"/>
      <c r="P1978" s="101"/>
      <c r="Q1978" s="101"/>
      <c r="R1978" s="101"/>
      <c r="S1978" s="101"/>
      <c r="T1978" s="101"/>
      <c r="U1978" s="100" t="s">
        <v>1466</v>
      </c>
      <c r="V1978" s="100" t="s">
        <v>949</v>
      </c>
      <c r="W1978" s="100" t="s">
        <v>280</v>
      </c>
      <c r="X1978" s="100" t="s">
        <v>227</v>
      </c>
      <c r="Y1978" s="99"/>
      <c r="Z1978" s="99"/>
      <c r="AA1978" s="100" t="s">
        <v>1961</v>
      </c>
      <c r="AB1978" s="99" t="s">
        <v>526</v>
      </c>
      <c r="AC1978" s="101">
        <v>2</v>
      </c>
      <c r="AD1978" s="101"/>
      <c r="AE1978" s="101"/>
      <c r="AF1978" s="101"/>
      <c r="AG1978" s="101"/>
      <c r="AH1978" s="99"/>
      <c r="AI1978" s="105"/>
    </row>
    <row r="1979" spans="1:35">
      <c r="A1979" s="98"/>
      <c r="B1979" s="99"/>
      <c r="C1979" s="100" t="s">
        <v>4203</v>
      </c>
      <c r="D1979" s="100" t="s">
        <v>79</v>
      </c>
      <c r="E1979" s="100" t="s">
        <v>80</v>
      </c>
      <c r="F1979" s="100" t="s">
        <v>1465</v>
      </c>
      <c r="G1979" s="100" t="s">
        <v>4304</v>
      </c>
      <c r="H1979" s="100" t="s">
        <v>136</v>
      </c>
      <c r="I1979" s="247">
        <v>23844</v>
      </c>
      <c r="J1979" s="101">
        <v>1</v>
      </c>
      <c r="K1979" s="101"/>
      <c r="L1979" s="101">
        <v>1</v>
      </c>
      <c r="M1979" s="101"/>
      <c r="N1979" s="101">
        <v>1</v>
      </c>
      <c r="O1979" s="101"/>
      <c r="P1979" s="101"/>
      <c r="Q1979" s="101"/>
      <c r="R1979" s="101"/>
      <c r="S1979" s="101"/>
      <c r="T1979" s="101"/>
      <c r="U1979" s="100" t="s">
        <v>1466</v>
      </c>
      <c r="V1979" s="100" t="s">
        <v>949</v>
      </c>
      <c r="W1979" s="100" t="s">
        <v>280</v>
      </c>
      <c r="X1979" s="100" t="s">
        <v>227</v>
      </c>
      <c r="Y1979" s="99"/>
      <c r="Z1979" s="99"/>
      <c r="AA1979" s="100" t="s">
        <v>1961</v>
      </c>
      <c r="AB1979" s="99" t="s">
        <v>526</v>
      </c>
      <c r="AC1979" s="101">
        <v>2</v>
      </c>
      <c r="AD1979" s="101"/>
      <c r="AE1979" s="101"/>
      <c r="AF1979" s="101"/>
      <c r="AG1979" s="101"/>
      <c r="AH1979" s="99"/>
      <c r="AI1979" s="105"/>
    </row>
    <row r="1980" spans="1:35">
      <c r="A1980" s="98"/>
      <c r="B1980" s="99"/>
      <c r="C1980" s="100" t="s">
        <v>4203</v>
      </c>
      <c r="D1980" s="100" t="s">
        <v>79</v>
      </c>
      <c r="E1980" s="100" t="s">
        <v>80</v>
      </c>
      <c r="F1980" s="100" t="s">
        <v>4277</v>
      </c>
      <c r="G1980" s="100" t="s">
        <v>4305</v>
      </c>
      <c r="H1980" s="100" t="s">
        <v>283</v>
      </c>
      <c r="I1980" s="247">
        <v>23877</v>
      </c>
      <c r="J1980" s="101">
        <v>1</v>
      </c>
      <c r="K1980" s="101"/>
      <c r="L1980" s="101">
        <v>1</v>
      </c>
      <c r="M1980" s="101"/>
      <c r="N1980" s="101">
        <v>1</v>
      </c>
      <c r="O1980" s="101"/>
      <c r="P1980" s="101"/>
      <c r="Q1980" s="101"/>
      <c r="R1980" s="101"/>
      <c r="S1980" s="101"/>
      <c r="T1980" s="101"/>
      <c r="U1980" s="100" t="s">
        <v>1466</v>
      </c>
      <c r="V1980" s="100" t="s">
        <v>949</v>
      </c>
      <c r="W1980" s="100" t="s">
        <v>280</v>
      </c>
      <c r="X1980" s="100" t="s">
        <v>227</v>
      </c>
      <c r="Y1980" s="99"/>
      <c r="Z1980" s="99"/>
      <c r="AA1980" s="100" t="s">
        <v>1961</v>
      </c>
      <c r="AB1980" s="99" t="s">
        <v>526</v>
      </c>
      <c r="AC1980" s="101">
        <v>2</v>
      </c>
      <c r="AD1980" s="101"/>
      <c r="AE1980" s="101"/>
      <c r="AF1980" s="101"/>
      <c r="AG1980" s="101"/>
      <c r="AH1980" s="99"/>
      <c r="AI1980" s="105"/>
    </row>
    <row r="1981" spans="1:35">
      <c r="A1981" s="98"/>
      <c r="B1981" s="99"/>
      <c r="C1981" s="100" t="s">
        <v>4203</v>
      </c>
      <c r="D1981" s="100" t="s">
        <v>79</v>
      </c>
      <c r="E1981" s="100" t="s">
        <v>80</v>
      </c>
      <c r="F1981" s="100" t="s">
        <v>4306</v>
      </c>
      <c r="G1981" s="100" t="s">
        <v>4307</v>
      </c>
      <c r="H1981" s="100" t="s">
        <v>126</v>
      </c>
      <c r="I1981" s="247">
        <v>30391</v>
      </c>
      <c r="J1981" s="101">
        <v>1</v>
      </c>
      <c r="K1981" s="101"/>
      <c r="L1981" s="101">
        <v>1</v>
      </c>
      <c r="M1981" s="101"/>
      <c r="N1981" s="101">
        <v>1</v>
      </c>
      <c r="O1981" s="101"/>
      <c r="P1981" s="101"/>
      <c r="Q1981" s="101"/>
      <c r="R1981" s="101"/>
      <c r="S1981" s="101"/>
      <c r="T1981" s="101"/>
      <c r="U1981" s="100" t="s">
        <v>1466</v>
      </c>
      <c r="V1981" s="100" t="s">
        <v>949</v>
      </c>
      <c r="W1981" s="100" t="s">
        <v>280</v>
      </c>
      <c r="X1981" s="100" t="s">
        <v>227</v>
      </c>
      <c r="Y1981" s="99"/>
      <c r="Z1981" s="99"/>
      <c r="AA1981" s="100" t="s">
        <v>1961</v>
      </c>
      <c r="AB1981" s="99" t="s">
        <v>526</v>
      </c>
      <c r="AC1981" s="101">
        <v>2</v>
      </c>
      <c r="AD1981" s="101"/>
      <c r="AE1981" s="101"/>
      <c r="AF1981" s="101"/>
      <c r="AG1981" s="101"/>
      <c r="AH1981" s="99"/>
      <c r="AI1981" s="105"/>
    </row>
    <row r="1982" spans="1:35">
      <c r="A1982" s="98"/>
      <c r="B1982" s="99"/>
      <c r="C1982" s="100" t="s">
        <v>4203</v>
      </c>
      <c r="D1982" s="100" t="s">
        <v>79</v>
      </c>
      <c r="E1982" s="100" t="s">
        <v>80</v>
      </c>
      <c r="F1982" s="100" t="s">
        <v>1465</v>
      </c>
      <c r="G1982" s="100" t="s">
        <v>4308</v>
      </c>
      <c r="H1982" s="100" t="s">
        <v>136</v>
      </c>
      <c r="I1982" s="247">
        <v>30030</v>
      </c>
      <c r="J1982" s="101">
        <v>1</v>
      </c>
      <c r="K1982" s="101"/>
      <c r="L1982" s="101">
        <v>1</v>
      </c>
      <c r="M1982" s="101"/>
      <c r="N1982" s="101">
        <v>1</v>
      </c>
      <c r="O1982" s="101"/>
      <c r="P1982" s="101"/>
      <c r="Q1982" s="101"/>
      <c r="R1982" s="101"/>
      <c r="S1982" s="101"/>
      <c r="T1982" s="101"/>
      <c r="U1982" s="100" t="s">
        <v>1466</v>
      </c>
      <c r="V1982" s="100" t="s">
        <v>949</v>
      </c>
      <c r="W1982" s="100" t="s">
        <v>280</v>
      </c>
      <c r="X1982" s="100" t="s">
        <v>227</v>
      </c>
      <c r="Y1982" s="99"/>
      <c r="Z1982" s="99"/>
      <c r="AA1982" s="100" t="s">
        <v>1961</v>
      </c>
      <c r="AB1982" s="99" t="s">
        <v>526</v>
      </c>
      <c r="AC1982" s="101">
        <v>2</v>
      </c>
      <c r="AD1982" s="101"/>
      <c r="AE1982" s="101"/>
      <c r="AF1982" s="101"/>
      <c r="AG1982" s="101"/>
      <c r="AH1982" s="99"/>
      <c r="AI1982" s="105"/>
    </row>
    <row r="1983" spans="1:35">
      <c r="A1983" s="98"/>
      <c r="B1983" s="99"/>
      <c r="C1983" s="100" t="s">
        <v>4203</v>
      </c>
      <c r="D1983" s="100" t="s">
        <v>79</v>
      </c>
      <c r="E1983" s="100" t="s">
        <v>80</v>
      </c>
      <c r="F1983" s="100" t="s">
        <v>4286</v>
      </c>
      <c r="G1983" s="100" t="s">
        <v>4315</v>
      </c>
      <c r="H1983" s="100" t="s">
        <v>117</v>
      </c>
      <c r="I1983" s="247">
        <v>25361</v>
      </c>
      <c r="J1983" s="101">
        <v>1</v>
      </c>
      <c r="K1983" s="101"/>
      <c r="L1983" s="101">
        <v>1</v>
      </c>
      <c r="M1983" s="101"/>
      <c r="N1983" s="101">
        <v>1</v>
      </c>
      <c r="O1983" s="101"/>
      <c r="P1983" s="101"/>
      <c r="Q1983" s="101"/>
      <c r="R1983" s="101"/>
      <c r="S1983" s="101"/>
      <c r="T1983" s="101"/>
      <c r="U1983" s="100" t="s">
        <v>1466</v>
      </c>
      <c r="V1983" s="100" t="s">
        <v>949</v>
      </c>
      <c r="W1983" s="100" t="s">
        <v>280</v>
      </c>
      <c r="X1983" s="100" t="s">
        <v>227</v>
      </c>
      <c r="Y1983" s="99"/>
      <c r="Z1983" s="99"/>
      <c r="AA1983" s="100" t="s">
        <v>1961</v>
      </c>
      <c r="AB1983" s="99" t="s">
        <v>526</v>
      </c>
      <c r="AC1983" s="101">
        <v>2</v>
      </c>
      <c r="AD1983" s="101"/>
      <c r="AE1983" s="101"/>
      <c r="AF1983" s="101"/>
      <c r="AG1983" s="101"/>
      <c r="AH1983" s="99"/>
      <c r="AI1983" s="105"/>
    </row>
    <row r="1984" spans="1:35">
      <c r="A1984" s="98"/>
      <c r="B1984" s="99"/>
      <c r="C1984" s="100" t="s">
        <v>4203</v>
      </c>
      <c r="D1984" s="100" t="s">
        <v>79</v>
      </c>
      <c r="E1984" s="100" t="s">
        <v>80</v>
      </c>
      <c r="F1984" s="100" t="s">
        <v>2019</v>
      </c>
      <c r="G1984" s="100" t="s">
        <v>4314</v>
      </c>
      <c r="H1984" s="100" t="s">
        <v>202</v>
      </c>
      <c r="I1984" s="247">
        <v>25481</v>
      </c>
      <c r="J1984" s="101">
        <v>1</v>
      </c>
      <c r="K1984" s="101"/>
      <c r="L1984" s="101">
        <v>1</v>
      </c>
      <c r="M1984" s="101"/>
      <c r="N1984" s="101">
        <v>1</v>
      </c>
      <c r="O1984" s="101"/>
      <c r="P1984" s="101"/>
      <c r="Q1984" s="101"/>
      <c r="R1984" s="101"/>
      <c r="S1984" s="101"/>
      <c r="T1984" s="101"/>
      <c r="U1984" s="100" t="s">
        <v>1466</v>
      </c>
      <c r="V1984" s="100" t="s">
        <v>949</v>
      </c>
      <c r="W1984" s="100" t="s">
        <v>280</v>
      </c>
      <c r="X1984" s="100" t="s">
        <v>227</v>
      </c>
      <c r="Y1984" s="99"/>
      <c r="Z1984" s="99"/>
      <c r="AA1984" s="100" t="s">
        <v>1961</v>
      </c>
      <c r="AB1984" s="99" t="s">
        <v>526</v>
      </c>
      <c r="AC1984" s="101">
        <v>2</v>
      </c>
      <c r="AD1984" s="101"/>
      <c r="AE1984" s="101"/>
      <c r="AF1984" s="101"/>
      <c r="AG1984" s="101"/>
      <c r="AH1984" s="99"/>
      <c r="AI1984" s="105"/>
    </row>
    <row r="1985" spans="1:35">
      <c r="A1985" s="98"/>
      <c r="B1985" s="99"/>
      <c r="C1985" s="100" t="s">
        <v>4203</v>
      </c>
      <c r="D1985" s="100" t="s">
        <v>79</v>
      </c>
      <c r="E1985" s="100" t="s">
        <v>80</v>
      </c>
      <c r="F1985" s="100" t="s">
        <v>4286</v>
      </c>
      <c r="G1985" s="100" t="s">
        <v>4309</v>
      </c>
      <c r="H1985" s="100" t="s">
        <v>117</v>
      </c>
      <c r="I1985" s="247">
        <v>28960</v>
      </c>
      <c r="J1985" s="101">
        <v>1</v>
      </c>
      <c r="K1985" s="101"/>
      <c r="L1985" s="101">
        <v>1</v>
      </c>
      <c r="M1985" s="101"/>
      <c r="N1985" s="101">
        <v>1</v>
      </c>
      <c r="O1985" s="101"/>
      <c r="P1985" s="101"/>
      <c r="Q1985" s="101"/>
      <c r="R1985" s="101"/>
      <c r="S1985" s="101"/>
      <c r="T1985" s="101"/>
      <c r="U1985" s="100" t="s">
        <v>1466</v>
      </c>
      <c r="V1985" s="100" t="s">
        <v>949</v>
      </c>
      <c r="W1985" s="100" t="s">
        <v>280</v>
      </c>
      <c r="X1985" s="100" t="s">
        <v>227</v>
      </c>
      <c r="Y1985" s="99"/>
      <c r="Z1985" s="99"/>
      <c r="AA1985" s="100" t="s">
        <v>1961</v>
      </c>
      <c r="AB1985" s="99" t="s">
        <v>526</v>
      </c>
      <c r="AC1985" s="101">
        <v>2</v>
      </c>
      <c r="AD1985" s="101"/>
      <c r="AE1985" s="101"/>
      <c r="AF1985" s="101"/>
      <c r="AG1985" s="101"/>
      <c r="AH1985" s="99"/>
      <c r="AI1985" s="105"/>
    </row>
    <row r="1986" spans="1:35">
      <c r="A1986" s="98"/>
      <c r="B1986" s="99"/>
      <c r="C1986" s="100" t="s">
        <v>4203</v>
      </c>
      <c r="D1986" s="100" t="s">
        <v>79</v>
      </c>
      <c r="E1986" s="100" t="s">
        <v>80</v>
      </c>
      <c r="F1986" s="100" t="s">
        <v>1465</v>
      </c>
      <c r="G1986" s="100" t="s">
        <v>891</v>
      </c>
      <c r="H1986" s="100" t="s">
        <v>136</v>
      </c>
      <c r="I1986" s="247">
        <v>30576</v>
      </c>
      <c r="J1986" s="101">
        <v>1</v>
      </c>
      <c r="K1986" s="101"/>
      <c r="L1986" s="101">
        <v>1</v>
      </c>
      <c r="M1986" s="101"/>
      <c r="N1986" s="101">
        <v>1</v>
      </c>
      <c r="O1986" s="101"/>
      <c r="P1986" s="101"/>
      <c r="Q1986" s="101"/>
      <c r="R1986" s="101"/>
      <c r="S1986" s="101"/>
      <c r="T1986" s="101"/>
      <c r="U1986" s="100" t="s">
        <v>1466</v>
      </c>
      <c r="V1986" s="100" t="s">
        <v>949</v>
      </c>
      <c r="W1986" s="100" t="s">
        <v>280</v>
      </c>
      <c r="X1986" s="100" t="s">
        <v>227</v>
      </c>
      <c r="Y1986" s="99"/>
      <c r="Z1986" s="99"/>
      <c r="AA1986" s="100" t="s">
        <v>1961</v>
      </c>
      <c r="AB1986" s="99" t="s">
        <v>526</v>
      </c>
      <c r="AC1986" s="101">
        <v>2</v>
      </c>
      <c r="AD1986" s="101"/>
      <c r="AE1986" s="101"/>
      <c r="AF1986" s="101"/>
      <c r="AG1986" s="101"/>
      <c r="AH1986" s="99"/>
      <c r="AI1986" s="105"/>
    </row>
    <row r="1987" spans="1:35">
      <c r="A1987" s="98"/>
      <c r="B1987" s="99"/>
      <c r="C1987" s="100" t="s">
        <v>4203</v>
      </c>
      <c r="D1987" s="100" t="s">
        <v>79</v>
      </c>
      <c r="E1987" s="100" t="s">
        <v>80</v>
      </c>
      <c r="F1987" s="100" t="s">
        <v>4310</v>
      </c>
      <c r="G1987" s="100" t="s">
        <v>1912</v>
      </c>
      <c r="H1987" s="100" t="s">
        <v>136</v>
      </c>
      <c r="I1987" s="247">
        <v>28434</v>
      </c>
      <c r="J1987" s="101">
        <v>1</v>
      </c>
      <c r="K1987" s="101"/>
      <c r="L1987" s="101">
        <v>1</v>
      </c>
      <c r="M1987" s="101"/>
      <c r="N1987" s="101">
        <v>1</v>
      </c>
      <c r="O1987" s="101"/>
      <c r="P1987" s="101"/>
      <c r="Q1987" s="101"/>
      <c r="R1987" s="101"/>
      <c r="S1987" s="101"/>
      <c r="T1987" s="101"/>
      <c r="U1987" s="100" t="s">
        <v>1466</v>
      </c>
      <c r="V1987" s="100" t="s">
        <v>949</v>
      </c>
      <c r="W1987" s="100" t="s">
        <v>280</v>
      </c>
      <c r="X1987" s="100" t="s">
        <v>227</v>
      </c>
      <c r="Y1987" s="99"/>
      <c r="Z1987" s="99"/>
      <c r="AA1987" s="100" t="s">
        <v>1961</v>
      </c>
      <c r="AB1987" s="99" t="s">
        <v>526</v>
      </c>
      <c r="AC1987" s="101">
        <v>2</v>
      </c>
      <c r="AD1987" s="101"/>
      <c r="AE1987" s="101"/>
      <c r="AF1987" s="101"/>
      <c r="AG1987" s="101"/>
      <c r="AH1987" s="99"/>
      <c r="AI1987" s="105"/>
    </row>
    <row r="1988" spans="1:35">
      <c r="A1988" s="98"/>
      <c r="B1988" s="99"/>
      <c r="C1988" s="100" t="s">
        <v>4203</v>
      </c>
      <c r="D1988" s="100" t="s">
        <v>79</v>
      </c>
      <c r="E1988" s="100" t="s">
        <v>80</v>
      </c>
      <c r="F1988" s="100" t="s">
        <v>3600</v>
      </c>
      <c r="G1988" s="100" t="s">
        <v>4311</v>
      </c>
      <c r="H1988" s="100" t="s">
        <v>115</v>
      </c>
      <c r="I1988" s="247">
        <v>31681</v>
      </c>
      <c r="J1988" s="101">
        <v>1</v>
      </c>
      <c r="K1988" s="101"/>
      <c r="L1988" s="101">
        <v>1</v>
      </c>
      <c r="M1988" s="101"/>
      <c r="N1988" s="101">
        <v>1</v>
      </c>
      <c r="O1988" s="101"/>
      <c r="P1988" s="101"/>
      <c r="Q1988" s="101"/>
      <c r="R1988" s="101"/>
      <c r="S1988" s="101"/>
      <c r="T1988" s="101"/>
      <c r="U1988" s="100" t="s">
        <v>1466</v>
      </c>
      <c r="V1988" s="100" t="s">
        <v>949</v>
      </c>
      <c r="W1988" s="100" t="s">
        <v>280</v>
      </c>
      <c r="X1988" s="100" t="s">
        <v>227</v>
      </c>
      <c r="Y1988" s="99"/>
      <c r="Z1988" s="99"/>
      <c r="AA1988" s="100" t="s">
        <v>1961</v>
      </c>
      <c r="AB1988" s="99" t="s">
        <v>526</v>
      </c>
      <c r="AC1988" s="101">
        <v>2</v>
      </c>
      <c r="AD1988" s="101"/>
      <c r="AE1988" s="101"/>
      <c r="AF1988" s="101"/>
      <c r="AG1988" s="101"/>
      <c r="AH1988" s="99"/>
      <c r="AI1988" s="105"/>
    </row>
    <row r="1989" spans="1:35">
      <c r="A1989" s="98"/>
      <c r="B1989" s="99"/>
      <c r="C1989" s="100" t="s">
        <v>4203</v>
      </c>
      <c r="D1989" s="100" t="s">
        <v>79</v>
      </c>
      <c r="E1989" s="100" t="s">
        <v>80</v>
      </c>
      <c r="F1989" s="100" t="s">
        <v>2651</v>
      </c>
      <c r="G1989" s="100" t="s">
        <v>4312</v>
      </c>
      <c r="H1989" s="100" t="s">
        <v>136</v>
      </c>
      <c r="I1989" s="247">
        <v>19227</v>
      </c>
      <c r="J1989" s="101">
        <v>1</v>
      </c>
      <c r="K1989" s="101"/>
      <c r="L1989" s="101">
        <v>1</v>
      </c>
      <c r="M1989" s="101"/>
      <c r="N1989" s="101">
        <v>1</v>
      </c>
      <c r="O1989" s="101"/>
      <c r="P1989" s="101"/>
      <c r="Q1989" s="101"/>
      <c r="R1989" s="101"/>
      <c r="S1989" s="101"/>
      <c r="T1989" s="101"/>
      <c r="U1989" s="100" t="s">
        <v>1466</v>
      </c>
      <c r="V1989" s="100" t="s">
        <v>949</v>
      </c>
      <c r="W1989" s="100" t="s">
        <v>280</v>
      </c>
      <c r="X1989" s="100" t="s">
        <v>227</v>
      </c>
      <c r="Y1989" s="99"/>
      <c r="Z1989" s="99"/>
      <c r="AA1989" s="100" t="s">
        <v>1961</v>
      </c>
      <c r="AB1989" s="99" t="s">
        <v>526</v>
      </c>
      <c r="AC1989" s="101">
        <v>2</v>
      </c>
      <c r="AD1989" s="101"/>
      <c r="AE1989" s="101"/>
      <c r="AF1989" s="101"/>
      <c r="AG1989" s="101"/>
      <c r="AH1989" s="99"/>
      <c r="AI1989" s="105"/>
    </row>
    <row r="1990" spans="1:35">
      <c r="A1990" s="98"/>
      <c r="B1990" s="99"/>
      <c r="C1990" s="100" t="s">
        <v>4203</v>
      </c>
      <c r="D1990" s="100" t="s">
        <v>79</v>
      </c>
      <c r="E1990" s="100" t="s">
        <v>80</v>
      </c>
      <c r="F1990" s="100" t="s">
        <v>2651</v>
      </c>
      <c r="G1990" s="100" t="s">
        <v>4313</v>
      </c>
      <c r="H1990" s="100" t="s">
        <v>81</v>
      </c>
      <c r="I1990" s="96">
        <v>34401</v>
      </c>
      <c r="J1990" s="101">
        <v>1</v>
      </c>
      <c r="K1990" s="101"/>
      <c r="L1990" s="101">
        <v>1</v>
      </c>
      <c r="M1990" s="101"/>
      <c r="N1990" s="101">
        <v>1</v>
      </c>
      <c r="O1990" s="101"/>
      <c r="P1990" s="101"/>
      <c r="Q1990" s="101"/>
      <c r="R1990" s="101"/>
      <c r="S1990" s="101"/>
      <c r="T1990" s="101"/>
      <c r="U1990" s="100" t="s">
        <v>1466</v>
      </c>
      <c r="V1990" s="100" t="s">
        <v>949</v>
      </c>
      <c r="W1990" s="100" t="s">
        <v>280</v>
      </c>
      <c r="X1990" s="100" t="s">
        <v>227</v>
      </c>
      <c r="Y1990" s="99"/>
      <c r="Z1990" s="99"/>
      <c r="AA1990" s="100" t="s">
        <v>1961</v>
      </c>
      <c r="AB1990" s="99" t="s">
        <v>526</v>
      </c>
      <c r="AC1990" s="101">
        <v>2</v>
      </c>
      <c r="AD1990" s="101"/>
      <c r="AE1990" s="101"/>
      <c r="AF1990" s="101"/>
      <c r="AG1990" s="101"/>
      <c r="AH1990" s="99"/>
      <c r="AI1990" s="105"/>
    </row>
    <row r="1991" spans="1:35">
      <c r="A1991" s="98"/>
      <c r="B1991" s="99"/>
      <c r="C1991" s="100" t="s">
        <v>4203</v>
      </c>
      <c r="D1991" s="100" t="s">
        <v>79</v>
      </c>
      <c r="E1991" s="100" t="s">
        <v>80</v>
      </c>
      <c r="F1991" s="100" t="s">
        <v>4286</v>
      </c>
      <c r="G1991" s="100" t="s">
        <v>4316</v>
      </c>
      <c r="H1991" s="100" t="s">
        <v>421</v>
      </c>
      <c r="I1991" s="96">
        <v>37718</v>
      </c>
      <c r="J1991" s="101">
        <v>1</v>
      </c>
      <c r="K1991" s="101"/>
      <c r="L1991" s="101">
        <v>1</v>
      </c>
      <c r="M1991" s="101"/>
      <c r="N1991" s="101">
        <v>1</v>
      </c>
      <c r="O1991" s="101"/>
      <c r="P1991" s="101"/>
      <c r="Q1991" s="101"/>
      <c r="R1991" s="101"/>
      <c r="S1991" s="101"/>
      <c r="T1991" s="101"/>
      <c r="U1991" s="100" t="s">
        <v>1466</v>
      </c>
      <c r="V1991" s="100" t="s">
        <v>949</v>
      </c>
      <c r="W1991" s="100" t="s">
        <v>280</v>
      </c>
      <c r="X1991" s="100" t="s">
        <v>227</v>
      </c>
      <c r="Y1991" s="99"/>
      <c r="Z1991" s="99"/>
      <c r="AA1991" s="100" t="s">
        <v>1961</v>
      </c>
      <c r="AB1991" s="99" t="s">
        <v>526</v>
      </c>
      <c r="AC1991" s="101">
        <v>2</v>
      </c>
      <c r="AD1991" s="101"/>
      <c r="AE1991" s="101"/>
      <c r="AF1991" s="101"/>
      <c r="AG1991" s="101"/>
      <c r="AH1991" s="99"/>
      <c r="AI1991" s="105"/>
    </row>
    <row r="1992" spans="1:35">
      <c r="A1992" s="98"/>
      <c r="B1992" s="99"/>
      <c r="C1992" s="100" t="s">
        <v>4203</v>
      </c>
      <c r="D1992" s="100" t="s">
        <v>79</v>
      </c>
      <c r="E1992" s="100" t="s">
        <v>80</v>
      </c>
      <c r="F1992" s="100" t="s">
        <v>4286</v>
      </c>
      <c r="G1992" s="100" t="s">
        <v>4317</v>
      </c>
      <c r="H1992" s="100" t="s">
        <v>421</v>
      </c>
      <c r="I1992" s="96">
        <v>39186</v>
      </c>
      <c r="J1992" s="101">
        <v>1</v>
      </c>
      <c r="K1992" s="101"/>
      <c r="L1992" s="101">
        <v>1</v>
      </c>
      <c r="M1992" s="101"/>
      <c r="N1992" s="101">
        <v>1</v>
      </c>
      <c r="O1992" s="101"/>
      <c r="P1992" s="101"/>
      <c r="Q1992" s="101"/>
      <c r="R1992" s="101"/>
      <c r="S1992" s="101"/>
      <c r="T1992" s="101"/>
      <c r="U1992" s="100" t="s">
        <v>1466</v>
      </c>
      <c r="V1992" s="100" t="s">
        <v>949</v>
      </c>
      <c r="W1992" s="100" t="s">
        <v>280</v>
      </c>
      <c r="X1992" s="100" t="s">
        <v>227</v>
      </c>
      <c r="Y1992" s="99"/>
      <c r="Z1992" s="99"/>
      <c r="AA1992" s="100" t="s">
        <v>1961</v>
      </c>
      <c r="AB1992" s="99" t="s">
        <v>526</v>
      </c>
      <c r="AC1992" s="101">
        <v>2</v>
      </c>
      <c r="AD1992" s="101"/>
      <c r="AE1992" s="101"/>
      <c r="AF1992" s="101"/>
      <c r="AG1992" s="101"/>
      <c r="AH1992" s="99"/>
      <c r="AI1992" s="105"/>
    </row>
    <row r="1993" spans="1:35">
      <c r="A1993" s="98"/>
      <c r="B1993" s="99"/>
      <c r="C1993" s="100" t="s">
        <v>4203</v>
      </c>
      <c r="D1993" s="100" t="s">
        <v>79</v>
      </c>
      <c r="E1993" s="100" t="s">
        <v>80</v>
      </c>
      <c r="F1993" s="100" t="s">
        <v>4286</v>
      </c>
      <c r="G1993" s="100" t="s">
        <v>4318</v>
      </c>
      <c r="H1993" s="100" t="s">
        <v>421</v>
      </c>
      <c r="I1993" s="247">
        <v>39904</v>
      </c>
      <c r="J1993" s="101">
        <v>1</v>
      </c>
      <c r="K1993" s="101"/>
      <c r="L1993" s="101">
        <v>1</v>
      </c>
      <c r="M1993" s="101"/>
      <c r="N1993" s="101">
        <v>1</v>
      </c>
      <c r="O1993" s="101"/>
      <c r="P1993" s="101"/>
      <c r="Q1993" s="101"/>
      <c r="R1993" s="101"/>
      <c r="S1993" s="101"/>
      <c r="T1993" s="101"/>
      <c r="U1993" s="100" t="s">
        <v>1466</v>
      </c>
      <c r="V1993" s="100" t="s">
        <v>949</v>
      </c>
      <c r="W1993" s="100" t="s">
        <v>280</v>
      </c>
      <c r="X1993" s="100" t="s">
        <v>227</v>
      </c>
      <c r="Y1993" s="99"/>
      <c r="Z1993" s="99"/>
      <c r="AA1993" s="100" t="s">
        <v>1961</v>
      </c>
      <c r="AB1993" s="99" t="s">
        <v>526</v>
      </c>
      <c r="AC1993" s="101">
        <v>2</v>
      </c>
      <c r="AD1993" s="101"/>
      <c r="AE1993" s="101"/>
      <c r="AF1993" s="101"/>
      <c r="AG1993" s="101"/>
      <c r="AH1993" s="99"/>
      <c r="AI1993" s="105"/>
    </row>
    <row r="1994" spans="1:35">
      <c r="A1994" s="98"/>
      <c r="B1994" s="99"/>
      <c r="C1994" s="100" t="s">
        <v>4203</v>
      </c>
      <c r="D1994" s="100" t="s">
        <v>79</v>
      </c>
      <c r="E1994" s="100" t="s">
        <v>80</v>
      </c>
      <c r="F1994" s="100" t="s">
        <v>2651</v>
      </c>
      <c r="G1994" s="100" t="s">
        <v>4319</v>
      </c>
      <c r="H1994" s="100" t="s">
        <v>421</v>
      </c>
      <c r="I1994" s="247">
        <v>39161</v>
      </c>
      <c r="J1994" s="101">
        <v>1</v>
      </c>
      <c r="K1994" s="101"/>
      <c r="L1994" s="101">
        <v>1</v>
      </c>
      <c r="M1994" s="101"/>
      <c r="N1994" s="101">
        <v>1</v>
      </c>
      <c r="O1994" s="101"/>
      <c r="P1994" s="101"/>
      <c r="Q1994" s="101"/>
      <c r="R1994" s="101"/>
      <c r="S1994" s="101"/>
      <c r="T1994" s="101"/>
      <c r="U1994" s="100" t="s">
        <v>1466</v>
      </c>
      <c r="V1994" s="100" t="s">
        <v>949</v>
      </c>
      <c r="W1994" s="100" t="s">
        <v>280</v>
      </c>
      <c r="X1994" s="100" t="s">
        <v>227</v>
      </c>
      <c r="Y1994" s="99"/>
      <c r="Z1994" s="99"/>
      <c r="AA1994" s="100" t="s">
        <v>1961</v>
      </c>
      <c r="AB1994" s="99" t="s">
        <v>526</v>
      </c>
      <c r="AC1994" s="101">
        <v>2</v>
      </c>
      <c r="AD1994" s="101"/>
      <c r="AE1994" s="101"/>
      <c r="AF1994" s="101"/>
      <c r="AG1994" s="101"/>
      <c r="AH1994" s="99"/>
      <c r="AI1994" s="105"/>
    </row>
    <row r="1995" spans="1:35">
      <c r="A1995" s="98"/>
      <c r="B1995" s="99"/>
      <c r="C1995" s="100" t="s">
        <v>4203</v>
      </c>
      <c r="D1995" s="100" t="s">
        <v>79</v>
      </c>
      <c r="E1995" s="100" t="s">
        <v>80</v>
      </c>
      <c r="F1995" s="100" t="s">
        <v>4286</v>
      </c>
      <c r="G1995" s="100" t="s">
        <v>4320</v>
      </c>
      <c r="H1995" s="100" t="s">
        <v>117</v>
      </c>
      <c r="I1995" s="247">
        <v>37584</v>
      </c>
      <c r="J1995" s="101">
        <v>1</v>
      </c>
      <c r="K1995" s="101"/>
      <c r="L1995" s="101">
        <v>1</v>
      </c>
      <c r="M1995" s="101"/>
      <c r="N1995" s="101">
        <v>1</v>
      </c>
      <c r="O1995" s="101"/>
      <c r="P1995" s="101"/>
      <c r="Q1995" s="101"/>
      <c r="R1995" s="101"/>
      <c r="S1995" s="101"/>
      <c r="T1995" s="101"/>
      <c r="U1995" s="100" t="s">
        <v>1466</v>
      </c>
      <c r="V1995" s="100" t="s">
        <v>949</v>
      </c>
      <c r="W1995" s="100" t="s">
        <v>280</v>
      </c>
      <c r="X1995" s="100" t="s">
        <v>227</v>
      </c>
      <c r="Y1995" s="99"/>
      <c r="Z1995" s="99"/>
      <c r="AA1995" s="100" t="s">
        <v>1961</v>
      </c>
      <c r="AB1995" s="99" t="s">
        <v>526</v>
      </c>
      <c r="AC1995" s="101">
        <v>2</v>
      </c>
      <c r="AD1995" s="101"/>
      <c r="AE1995" s="101"/>
      <c r="AF1995" s="101"/>
      <c r="AG1995" s="101"/>
      <c r="AH1995" s="99"/>
      <c r="AI1995" s="105"/>
    </row>
    <row r="1996" spans="1:35">
      <c r="A1996" s="98"/>
      <c r="B1996" s="99"/>
      <c r="C1996" s="100" t="s">
        <v>4203</v>
      </c>
      <c r="D1996" s="100" t="s">
        <v>79</v>
      </c>
      <c r="E1996" s="100" t="s">
        <v>80</v>
      </c>
      <c r="F1996" s="100" t="s">
        <v>4310</v>
      </c>
      <c r="G1996" s="100" t="s">
        <v>4321</v>
      </c>
      <c r="H1996" s="100" t="s">
        <v>136</v>
      </c>
      <c r="I1996" s="247">
        <v>37957</v>
      </c>
      <c r="J1996" s="101">
        <v>1</v>
      </c>
      <c r="K1996" s="101"/>
      <c r="L1996" s="101">
        <v>1</v>
      </c>
      <c r="M1996" s="101"/>
      <c r="N1996" s="101">
        <v>1</v>
      </c>
      <c r="O1996" s="101"/>
      <c r="P1996" s="101"/>
      <c r="Q1996" s="101"/>
      <c r="R1996" s="101"/>
      <c r="S1996" s="101"/>
      <c r="T1996" s="101"/>
      <c r="U1996" s="100" t="s">
        <v>1466</v>
      </c>
      <c r="V1996" s="100" t="s">
        <v>949</v>
      </c>
      <c r="W1996" s="100" t="s">
        <v>280</v>
      </c>
      <c r="X1996" s="100" t="s">
        <v>227</v>
      </c>
      <c r="Y1996" s="99"/>
      <c r="Z1996" s="99"/>
      <c r="AA1996" s="100" t="s">
        <v>1961</v>
      </c>
      <c r="AB1996" s="99" t="s">
        <v>526</v>
      </c>
      <c r="AC1996" s="101">
        <v>2</v>
      </c>
      <c r="AD1996" s="101"/>
      <c r="AE1996" s="101"/>
      <c r="AF1996" s="101"/>
      <c r="AG1996" s="101"/>
      <c r="AH1996" s="99"/>
      <c r="AI1996" s="105"/>
    </row>
    <row r="1997" spans="1:35">
      <c r="A1997" s="98"/>
      <c r="B1997" s="99"/>
      <c r="C1997" s="100" t="s">
        <v>4203</v>
      </c>
      <c r="D1997" s="100" t="s">
        <v>79</v>
      </c>
      <c r="E1997" s="100" t="s">
        <v>80</v>
      </c>
      <c r="F1997" s="100" t="s">
        <v>4310</v>
      </c>
      <c r="G1997" s="100" t="s">
        <v>4324</v>
      </c>
      <c r="H1997" s="100" t="s">
        <v>136</v>
      </c>
      <c r="I1997" s="247">
        <v>38541</v>
      </c>
      <c r="J1997" s="101">
        <v>1</v>
      </c>
      <c r="K1997" s="101"/>
      <c r="L1997" s="101">
        <v>1</v>
      </c>
      <c r="M1997" s="101"/>
      <c r="N1997" s="101">
        <v>1</v>
      </c>
      <c r="O1997" s="101"/>
      <c r="P1997" s="101"/>
      <c r="Q1997" s="101"/>
      <c r="R1997" s="101"/>
      <c r="S1997" s="101"/>
      <c r="T1997" s="101"/>
      <c r="U1997" s="100" t="s">
        <v>1466</v>
      </c>
      <c r="V1997" s="100" t="s">
        <v>949</v>
      </c>
      <c r="W1997" s="100" t="s">
        <v>280</v>
      </c>
      <c r="X1997" s="100" t="s">
        <v>227</v>
      </c>
      <c r="Y1997" s="99"/>
      <c r="Z1997" s="99"/>
      <c r="AA1997" s="100" t="s">
        <v>1961</v>
      </c>
      <c r="AB1997" s="99" t="s">
        <v>526</v>
      </c>
      <c r="AC1997" s="101">
        <v>2</v>
      </c>
      <c r="AD1997" s="101"/>
      <c r="AE1997" s="101"/>
      <c r="AF1997" s="101"/>
      <c r="AG1997" s="101"/>
      <c r="AH1997" s="99"/>
      <c r="AI1997" s="105"/>
    </row>
    <row r="1998" spans="1:35">
      <c r="A1998" s="98"/>
      <c r="B1998" s="99"/>
      <c r="C1998" s="100" t="s">
        <v>4203</v>
      </c>
      <c r="D1998" s="100" t="s">
        <v>79</v>
      </c>
      <c r="E1998" s="100" t="s">
        <v>80</v>
      </c>
      <c r="F1998" s="100" t="s">
        <v>3003</v>
      </c>
      <c r="G1998" s="100" t="s">
        <v>4322</v>
      </c>
      <c r="H1998" s="99"/>
      <c r="I1998" s="247">
        <v>37842</v>
      </c>
      <c r="J1998" s="101">
        <v>1</v>
      </c>
      <c r="K1998" s="101"/>
      <c r="L1998" s="101">
        <v>1</v>
      </c>
      <c r="M1998" s="101"/>
      <c r="N1998" s="101">
        <v>1</v>
      </c>
      <c r="O1998" s="101"/>
      <c r="P1998" s="101"/>
      <c r="Q1998" s="101"/>
      <c r="R1998" s="101"/>
      <c r="S1998" s="101"/>
      <c r="T1998" s="101"/>
      <c r="U1998" s="100" t="s">
        <v>1466</v>
      </c>
      <c r="V1998" s="100" t="s">
        <v>949</v>
      </c>
      <c r="W1998" s="100" t="s">
        <v>280</v>
      </c>
      <c r="X1998" s="100" t="s">
        <v>227</v>
      </c>
      <c r="Y1998" s="99"/>
      <c r="Z1998" s="99"/>
      <c r="AA1998" s="100" t="s">
        <v>1961</v>
      </c>
      <c r="AB1998" s="99" t="s">
        <v>526</v>
      </c>
      <c r="AC1998" s="101">
        <v>2</v>
      </c>
      <c r="AD1998" s="101"/>
      <c r="AE1998" s="101"/>
      <c r="AF1998" s="101"/>
      <c r="AG1998" s="101"/>
      <c r="AH1998" s="99"/>
      <c r="AI1998" s="105"/>
    </row>
    <row r="1999" spans="1:35">
      <c r="A1999" s="98"/>
      <c r="B1999" s="99"/>
      <c r="C1999" s="100" t="s">
        <v>4203</v>
      </c>
      <c r="D1999" s="100" t="s">
        <v>79</v>
      </c>
      <c r="E1999" s="100" t="s">
        <v>80</v>
      </c>
      <c r="F1999" s="100" t="s">
        <v>4310</v>
      </c>
      <c r="G1999" s="100" t="s">
        <v>4323</v>
      </c>
      <c r="H1999" s="100" t="s">
        <v>136</v>
      </c>
      <c r="I1999" s="247">
        <v>20534</v>
      </c>
      <c r="J1999" s="101"/>
      <c r="K1999" s="101">
        <v>1</v>
      </c>
      <c r="L1999" s="101">
        <v>1</v>
      </c>
      <c r="M1999" s="101"/>
      <c r="N1999" s="101">
        <v>1</v>
      </c>
      <c r="O1999" s="101"/>
      <c r="P1999" s="101"/>
      <c r="Q1999" s="101"/>
      <c r="R1999" s="101"/>
      <c r="S1999" s="101"/>
      <c r="T1999" s="101"/>
      <c r="U1999" s="100" t="s">
        <v>1466</v>
      </c>
      <c r="V1999" s="100" t="s">
        <v>949</v>
      </c>
      <c r="W1999" s="100" t="s">
        <v>280</v>
      </c>
      <c r="X1999" s="100" t="s">
        <v>227</v>
      </c>
      <c r="Y1999" s="99"/>
      <c r="Z1999" s="99"/>
      <c r="AA1999" s="100" t="s">
        <v>1961</v>
      </c>
      <c r="AB1999" s="99" t="s">
        <v>526</v>
      </c>
      <c r="AC1999" s="101">
        <v>2</v>
      </c>
      <c r="AD1999" s="101"/>
      <c r="AE1999" s="101"/>
      <c r="AF1999" s="101"/>
      <c r="AG1999" s="101"/>
      <c r="AH1999" s="99"/>
      <c r="AI1999" s="105"/>
    </row>
    <row r="2000" spans="1:35">
      <c r="A2000" s="98"/>
      <c r="B2000" s="99"/>
      <c r="C2000" s="100" t="s">
        <v>4203</v>
      </c>
      <c r="D2000" s="100" t="s">
        <v>79</v>
      </c>
      <c r="E2000" s="100" t="s">
        <v>80</v>
      </c>
      <c r="F2000" s="100" t="s">
        <v>4284</v>
      </c>
      <c r="G2000" s="100" t="s">
        <v>4303</v>
      </c>
      <c r="H2000" s="100" t="s">
        <v>1957</v>
      </c>
      <c r="I2000" s="247">
        <v>35014</v>
      </c>
      <c r="J2000" s="101">
        <v>1</v>
      </c>
      <c r="K2000" s="101"/>
      <c r="L2000" s="101">
        <v>1</v>
      </c>
      <c r="M2000" s="101"/>
      <c r="N2000" s="101">
        <v>1</v>
      </c>
      <c r="O2000" s="101"/>
      <c r="P2000" s="101"/>
      <c r="Q2000" s="101"/>
      <c r="R2000" s="101"/>
      <c r="S2000" s="101"/>
      <c r="T2000" s="101"/>
      <c r="U2000" s="100" t="s">
        <v>1466</v>
      </c>
      <c r="V2000" s="100" t="s">
        <v>949</v>
      </c>
      <c r="W2000" s="100" t="s">
        <v>280</v>
      </c>
      <c r="X2000" s="100" t="s">
        <v>227</v>
      </c>
      <c r="Y2000" s="99"/>
      <c r="Z2000" s="99"/>
      <c r="AA2000" s="100" t="s">
        <v>1961</v>
      </c>
      <c r="AB2000" s="99" t="s">
        <v>526</v>
      </c>
      <c r="AC2000" s="101">
        <v>2</v>
      </c>
      <c r="AD2000" s="101"/>
      <c r="AE2000" s="101"/>
      <c r="AF2000" s="101"/>
      <c r="AG2000" s="101"/>
      <c r="AH2000" s="99"/>
      <c r="AI2000" s="105"/>
    </row>
    <row r="2001" spans="1:35">
      <c r="A2001" s="98"/>
      <c r="B2001" s="99"/>
      <c r="C2001" s="100" t="s">
        <v>4203</v>
      </c>
      <c r="D2001" s="100" t="s">
        <v>79</v>
      </c>
      <c r="E2001" s="100" t="s">
        <v>80</v>
      </c>
      <c r="F2001" s="100" t="s">
        <v>4325</v>
      </c>
      <c r="G2001" s="100" t="s">
        <v>4326</v>
      </c>
      <c r="H2001" s="100" t="s">
        <v>409</v>
      </c>
      <c r="I2001" s="247"/>
      <c r="J2001" s="101">
        <v>1</v>
      </c>
      <c r="K2001" s="101"/>
      <c r="L2001" s="101">
        <v>1</v>
      </c>
      <c r="M2001" s="101"/>
      <c r="N2001" s="101"/>
      <c r="O2001" s="101"/>
      <c r="P2001" s="101"/>
      <c r="Q2001" s="101"/>
      <c r="R2001" s="101"/>
      <c r="S2001" s="101"/>
      <c r="T2001" s="101"/>
      <c r="U2001" s="100" t="s">
        <v>2214</v>
      </c>
      <c r="V2001" s="100" t="s">
        <v>949</v>
      </c>
      <c r="W2001" s="100" t="s">
        <v>280</v>
      </c>
      <c r="X2001" s="100" t="s">
        <v>227</v>
      </c>
      <c r="Y2001" s="99"/>
      <c r="Z2001" s="99"/>
      <c r="AA2001" s="100" t="s">
        <v>1961</v>
      </c>
      <c r="AB2001" s="99" t="s">
        <v>526</v>
      </c>
      <c r="AC2001" s="101">
        <v>2</v>
      </c>
      <c r="AD2001" s="101"/>
      <c r="AE2001" s="101"/>
      <c r="AF2001" s="101"/>
      <c r="AG2001" s="101"/>
      <c r="AH2001" s="99"/>
      <c r="AI2001" s="105"/>
    </row>
    <row r="2002" spans="1:35">
      <c r="A2002" s="98"/>
      <c r="B2002" s="99"/>
      <c r="C2002" s="100" t="s">
        <v>4203</v>
      </c>
      <c r="D2002" s="100" t="s">
        <v>79</v>
      </c>
      <c r="E2002" s="100" t="s">
        <v>80</v>
      </c>
      <c r="F2002" s="100" t="s">
        <v>4327</v>
      </c>
      <c r="G2002" s="100" t="s">
        <v>4328</v>
      </c>
      <c r="H2002" s="100" t="s">
        <v>202</v>
      </c>
      <c r="I2002" s="247">
        <v>22895</v>
      </c>
      <c r="J2002" s="101">
        <v>1</v>
      </c>
      <c r="K2002" s="101"/>
      <c r="L2002" s="101">
        <v>1</v>
      </c>
      <c r="M2002" s="101"/>
      <c r="N2002" s="101"/>
      <c r="O2002" s="101"/>
      <c r="P2002" s="101"/>
      <c r="Q2002" s="101"/>
      <c r="R2002" s="101"/>
      <c r="S2002" s="101"/>
      <c r="T2002" s="101"/>
      <c r="U2002" s="100" t="s">
        <v>2214</v>
      </c>
      <c r="V2002" s="100" t="s">
        <v>949</v>
      </c>
      <c r="W2002" s="100" t="s">
        <v>280</v>
      </c>
      <c r="X2002" s="100" t="s">
        <v>227</v>
      </c>
      <c r="Y2002" s="99"/>
      <c r="Z2002" s="99"/>
      <c r="AA2002" s="100" t="s">
        <v>1961</v>
      </c>
      <c r="AB2002" s="99" t="s">
        <v>526</v>
      </c>
      <c r="AC2002" s="101">
        <v>2</v>
      </c>
      <c r="AD2002" s="101"/>
      <c r="AE2002" s="101"/>
      <c r="AF2002" s="101"/>
      <c r="AG2002" s="101"/>
      <c r="AH2002" s="99"/>
      <c r="AI2002" s="105"/>
    </row>
    <row r="2003" spans="1:35">
      <c r="A2003" s="98"/>
      <c r="B2003" s="99"/>
      <c r="C2003" s="100" t="s">
        <v>4203</v>
      </c>
      <c r="D2003" s="100" t="s">
        <v>79</v>
      </c>
      <c r="E2003" s="100" t="s">
        <v>80</v>
      </c>
      <c r="F2003" s="100" t="s">
        <v>4329</v>
      </c>
      <c r="G2003" s="100" t="s">
        <v>1304</v>
      </c>
      <c r="H2003" s="100" t="s">
        <v>120</v>
      </c>
      <c r="I2003" s="247">
        <v>21990</v>
      </c>
      <c r="J2003" s="101">
        <v>1</v>
      </c>
      <c r="K2003" s="101"/>
      <c r="L2003" s="101">
        <v>1</v>
      </c>
      <c r="M2003" s="101"/>
      <c r="N2003" s="101"/>
      <c r="O2003" s="101"/>
      <c r="P2003" s="101"/>
      <c r="Q2003" s="101"/>
      <c r="R2003" s="101"/>
      <c r="S2003" s="101"/>
      <c r="T2003" s="101"/>
      <c r="U2003" s="100" t="s">
        <v>2214</v>
      </c>
      <c r="V2003" s="100" t="s">
        <v>949</v>
      </c>
      <c r="W2003" s="100" t="s">
        <v>280</v>
      </c>
      <c r="X2003" s="100" t="s">
        <v>227</v>
      </c>
      <c r="Y2003" s="99"/>
      <c r="Z2003" s="99"/>
      <c r="AA2003" s="100" t="s">
        <v>1961</v>
      </c>
      <c r="AB2003" s="99" t="s">
        <v>526</v>
      </c>
      <c r="AC2003" s="101">
        <v>2</v>
      </c>
      <c r="AD2003" s="101"/>
      <c r="AE2003" s="101"/>
      <c r="AF2003" s="101"/>
      <c r="AG2003" s="101"/>
      <c r="AH2003" s="99"/>
      <c r="AI2003" s="105"/>
    </row>
    <row r="2004" spans="1:35">
      <c r="A2004" s="98"/>
      <c r="B2004" s="99"/>
      <c r="C2004" s="100" t="s">
        <v>4203</v>
      </c>
      <c r="D2004" s="100" t="s">
        <v>79</v>
      </c>
      <c r="E2004" s="100" t="s">
        <v>80</v>
      </c>
      <c r="F2004" s="100" t="s">
        <v>4330</v>
      </c>
      <c r="G2004" s="100" t="s">
        <v>4337</v>
      </c>
      <c r="H2004" s="100" t="s">
        <v>409</v>
      </c>
      <c r="I2004" s="247">
        <v>34800</v>
      </c>
      <c r="J2004" s="101"/>
      <c r="K2004" s="101">
        <v>1</v>
      </c>
      <c r="L2004" s="101">
        <v>1</v>
      </c>
      <c r="M2004" s="101"/>
      <c r="N2004" s="101"/>
      <c r="O2004" s="101"/>
      <c r="P2004" s="101"/>
      <c r="Q2004" s="101"/>
      <c r="R2004" s="101"/>
      <c r="S2004" s="101"/>
      <c r="T2004" s="101"/>
      <c r="U2004" s="100" t="s">
        <v>2214</v>
      </c>
      <c r="V2004" s="100" t="s">
        <v>949</v>
      </c>
      <c r="W2004" s="100" t="s">
        <v>280</v>
      </c>
      <c r="X2004" s="100" t="s">
        <v>227</v>
      </c>
      <c r="Y2004" s="99"/>
      <c r="Z2004" s="99"/>
      <c r="AA2004" s="100" t="s">
        <v>1961</v>
      </c>
      <c r="AB2004" s="99" t="s">
        <v>526</v>
      </c>
      <c r="AC2004" s="101">
        <v>2</v>
      </c>
      <c r="AD2004" s="101"/>
      <c r="AE2004" s="101"/>
      <c r="AF2004" s="101"/>
      <c r="AG2004" s="101"/>
      <c r="AH2004" s="99"/>
      <c r="AI2004" s="105"/>
    </row>
    <row r="2005" spans="1:35">
      <c r="A2005" s="98"/>
      <c r="B2005" s="99"/>
      <c r="C2005" s="100" t="s">
        <v>4203</v>
      </c>
      <c r="D2005" s="100" t="s">
        <v>79</v>
      </c>
      <c r="E2005" s="100" t="s">
        <v>80</v>
      </c>
      <c r="F2005" s="100" t="s">
        <v>3634</v>
      </c>
      <c r="G2005" s="100" t="s">
        <v>2868</v>
      </c>
      <c r="H2005" s="100" t="s">
        <v>126</v>
      </c>
      <c r="I2005" s="247">
        <v>26064</v>
      </c>
      <c r="J2005" s="101">
        <v>1</v>
      </c>
      <c r="K2005" s="101"/>
      <c r="L2005" s="101">
        <v>1</v>
      </c>
      <c r="M2005" s="101"/>
      <c r="N2005" s="101"/>
      <c r="O2005" s="101"/>
      <c r="P2005" s="101"/>
      <c r="Q2005" s="101"/>
      <c r="R2005" s="101"/>
      <c r="S2005" s="101"/>
      <c r="T2005" s="101"/>
      <c r="U2005" s="100" t="s">
        <v>2214</v>
      </c>
      <c r="V2005" s="100" t="s">
        <v>949</v>
      </c>
      <c r="W2005" s="100" t="s">
        <v>280</v>
      </c>
      <c r="X2005" s="100" t="s">
        <v>227</v>
      </c>
      <c r="Y2005" s="99"/>
      <c r="Z2005" s="99"/>
      <c r="AA2005" s="100" t="s">
        <v>1961</v>
      </c>
      <c r="AB2005" s="99" t="s">
        <v>526</v>
      </c>
      <c r="AC2005" s="101">
        <v>2</v>
      </c>
      <c r="AD2005" s="101"/>
      <c r="AE2005" s="101"/>
      <c r="AF2005" s="101"/>
      <c r="AG2005" s="101"/>
      <c r="AH2005" s="99"/>
      <c r="AI2005" s="105"/>
    </row>
    <row r="2006" spans="1:35">
      <c r="A2006" s="98"/>
      <c r="B2006" s="99"/>
      <c r="C2006" s="100" t="s">
        <v>4203</v>
      </c>
      <c r="D2006" s="100" t="s">
        <v>79</v>
      </c>
      <c r="E2006" s="100" t="s">
        <v>80</v>
      </c>
      <c r="F2006" s="100" t="s">
        <v>2221</v>
      </c>
      <c r="G2006" s="100" t="s">
        <v>4331</v>
      </c>
      <c r="H2006" s="100" t="s">
        <v>160</v>
      </c>
      <c r="I2006" s="247">
        <v>28262</v>
      </c>
      <c r="J2006" s="101">
        <v>1</v>
      </c>
      <c r="K2006" s="101"/>
      <c r="L2006" s="101">
        <v>1</v>
      </c>
      <c r="M2006" s="101"/>
      <c r="N2006" s="101"/>
      <c r="O2006" s="101"/>
      <c r="P2006" s="101"/>
      <c r="Q2006" s="101"/>
      <c r="R2006" s="101"/>
      <c r="S2006" s="101"/>
      <c r="T2006" s="101"/>
      <c r="U2006" s="100" t="s">
        <v>2214</v>
      </c>
      <c r="V2006" s="100" t="s">
        <v>949</v>
      </c>
      <c r="W2006" s="100" t="s">
        <v>280</v>
      </c>
      <c r="X2006" s="100" t="s">
        <v>227</v>
      </c>
      <c r="Y2006" s="99"/>
      <c r="Z2006" s="99"/>
      <c r="AA2006" s="100" t="s">
        <v>1961</v>
      </c>
      <c r="AB2006" s="99" t="s">
        <v>526</v>
      </c>
      <c r="AC2006" s="101">
        <v>2</v>
      </c>
      <c r="AD2006" s="101"/>
      <c r="AE2006" s="101"/>
      <c r="AF2006" s="101"/>
      <c r="AG2006" s="101"/>
      <c r="AH2006" s="99"/>
      <c r="AI2006" s="105"/>
    </row>
    <row r="2007" spans="1:35">
      <c r="A2007" s="98"/>
      <c r="B2007" s="99"/>
      <c r="C2007" s="100" t="s">
        <v>4203</v>
      </c>
      <c r="D2007" s="100" t="s">
        <v>79</v>
      </c>
      <c r="E2007" s="100" t="s">
        <v>80</v>
      </c>
      <c r="F2007" s="100" t="s">
        <v>4332</v>
      </c>
      <c r="G2007" s="100" t="s">
        <v>1274</v>
      </c>
      <c r="H2007" s="100" t="s">
        <v>133</v>
      </c>
      <c r="I2007" s="247"/>
      <c r="J2007" s="101">
        <v>1</v>
      </c>
      <c r="K2007" s="101"/>
      <c r="L2007" s="101">
        <v>1</v>
      </c>
      <c r="M2007" s="101"/>
      <c r="N2007" s="101"/>
      <c r="O2007" s="101"/>
      <c r="P2007" s="101"/>
      <c r="Q2007" s="101"/>
      <c r="R2007" s="101"/>
      <c r="S2007" s="101"/>
      <c r="T2007" s="101"/>
      <c r="U2007" s="100" t="s">
        <v>2214</v>
      </c>
      <c r="V2007" s="100" t="s">
        <v>949</v>
      </c>
      <c r="W2007" s="100" t="s">
        <v>280</v>
      </c>
      <c r="X2007" s="100" t="s">
        <v>227</v>
      </c>
      <c r="Y2007" s="99"/>
      <c r="Z2007" s="99"/>
      <c r="AA2007" s="100" t="s">
        <v>1961</v>
      </c>
      <c r="AB2007" s="99" t="s">
        <v>526</v>
      </c>
      <c r="AC2007" s="101">
        <v>2</v>
      </c>
      <c r="AD2007" s="101"/>
      <c r="AE2007" s="101"/>
      <c r="AF2007" s="101"/>
      <c r="AG2007" s="101"/>
      <c r="AH2007" s="99"/>
      <c r="AI2007" s="105"/>
    </row>
    <row r="2008" spans="1:35">
      <c r="A2008" s="98"/>
      <c r="B2008" s="99"/>
      <c r="C2008" s="100" t="s">
        <v>4203</v>
      </c>
      <c r="D2008" s="100" t="s">
        <v>79</v>
      </c>
      <c r="E2008" s="100" t="s">
        <v>80</v>
      </c>
      <c r="F2008" s="100" t="s">
        <v>1463</v>
      </c>
      <c r="G2008" s="100" t="s">
        <v>1464</v>
      </c>
      <c r="H2008" s="100" t="s">
        <v>120</v>
      </c>
      <c r="I2008" s="247">
        <v>28950</v>
      </c>
      <c r="J2008" s="101">
        <v>1</v>
      </c>
      <c r="K2008" s="101"/>
      <c r="L2008" s="101">
        <v>1</v>
      </c>
      <c r="M2008" s="101"/>
      <c r="N2008" s="101"/>
      <c r="O2008" s="101"/>
      <c r="P2008" s="101"/>
      <c r="Q2008" s="101"/>
      <c r="R2008" s="101"/>
      <c r="S2008" s="101"/>
      <c r="T2008" s="101"/>
      <c r="U2008" s="100" t="s">
        <v>2214</v>
      </c>
      <c r="V2008" s="100" t="s">
        <v>949</v>
      </c>
      <c r="W2008" s="100" t="s">
        <v>280</v>
      </c>
      <c r="X2008" s="100" t="s">
        <v>227</v>
      </c>
      <c r="Y2008" s="99"/>
      <c r="Z2008" s="99"/>
      <c r="AA2008" s="100" t="s">
        <v>1961</v>
      </c>
      <c r="AB2008" s="99" t="s">
        <v>526</v>
      </c>
      <c r="AC2008" s="101">
        <v>2</v>
      </c>
      <c r="AD2008" s="101"/>
      <c r="AE2008" s="101"/>
      <c r="AF2008" s="101"/>
      <c r="AG2008" s="101"/>
      <c r="AH2008" s="99"/>
      <c r="AI2008" s="105"/>
    </row>
    <row r="2009" spans="1:35">
      <c r="A2009" s="98"/>
      <c r="B2009" s="99"/>
      <c r="C2009" s="100" t="s">
        <v>4203</v>
      </c>
      <c r="D2009" s="100" t="s">
        <v>79</v>
      </c>
      <c r="E2009" s="100" t="s">
        <v>80</v>
      </c>
      <c r="F2009" s="100" t="s">
        <v>4333</v>
      </c>
      <c r="G2009" s="100" t="s">
        <v>2786</v>
      </c>
      <c r="H2009" s="100" t="s">
        <v>286</v>
      </c>
      <c r="I2009" s="247">
        <v>26471</v>
      </c>
      <c r="J2009" s="101">
        <v>1</v>
      </c>
      <c r="K2009" s="101"/>
      <c r="L2009" s="101">
        <v>1</v>
      </c>
      <c r="M2009" s="101"/>
      <c r="N2009" s="101"/>
      <c r="O2009" s="101"/>
      <c r="P2009" s="101"/>
      <c r="Q2009" s="101"/>
      <c r="R2009" s="101"/>
      <c r="S2009" s="101"/>
      <c r="T2009" s="101"/>
      <c r="U2009" s="100" t="s">
        <v>2214</v>
      </c>
      <c r="V2009" s="100" t="s">
        <v>949</v>
      </c>
      <c r="W2009" s="100" t="s">
        <v>280</v>
      </c>
      <c r="X2009" s="100" t="s">
        <v>227</v>
      </c>
      <c r="Y2009" s="99"/>
      <c r="Z2009" s="99"/>
      <c r="AA2009" s="100" t="s">
        <v>1961</v>
      </c>
      <c r="AB2009" s="99" t="s">
        <v>526</v>
      </c>
      <c r="AC2009" s="101">
        <v>2</v>
      </c>
      <c r="AD2009" s="101"/>
      <c r="AE2009" s="101"/>
      <c r="AF2009" s="101"/>
      <c r="AG2009" s="101"/>
      <c r="AH2009" s="99"/>
      <c r="AI2009" s="105"/>
    </row>
    <row r="2010" spans="1:35">
      <c r="A2010" s="98"/>
      <c r="B2010" s="99"/>
      <c r="C2010" s="100" t="s">
        <v>4203</v>
      </c>
      <c r="D2010" s="100" t="s">
        <v>79</v>
      </c>
      <c r="E2010" s="100" t="s">
        <v>80</v>
      </c>
      <c r="F2010" s="100" t="s">
        <v>4334</v>
      </c>
      <c r="G2010" s="100" t="s">
        <v>4335</v>
      </c>
      <c r="H2010" s="100" t="s">
        <v>126</v>
      </c>
      <c r="I2010" s="247">
        <v>34699</v>
      </c>
      <c r="J2010" s="101">
        <v>1</v>
      </c>
      <c r="K2010" s="101"/>
      <c r="L2010" s="101">
        <v>1</v>
      </c>
      <c r="M2010" s="101"/>
      <c r="N2010" s="101"/>
      <c r="O2010" s="101"/>
      <c r="P2010" s="101"/>
      <c r="Q2010" s="101"/>
      <c r="R2010" s="101"/>
      <c r="S2010" s="101"/>
      <c r="T2010" s="101"/>
      <c r="U2010" s="100" t="s">
        <v>2214</v>
      </c>
      <c r="V2010" s="100" t="s">
        <v>949</v>
      </c>
      <c r="W2010" s="100" t="s">
        <v>280</v>
      </c>
      <c r="X2010" s="100" t="s">
        <v>227</v>
      </c>
      <c r="Y2010" s="99"/>
      <c r="Z2010" s="99"/>
      <c r="AA2010" s="100" t="s">
        <v>1961</v>
      </c>
      <c r="AB2010" s="99" t="s">
        <v>526</v>
      </c>
      <c r="AC2010" s="101">
        <v>2</v>
      </c>
      <c r="AD2010" s="101"/>
      <c r="AE2010" s="101"/>
      <c r="AF2010" s="101"/>
      <c r="AG2010" s="101"/>
      <c r="AH2010" s="99"/>
      <c r="AI2010" s="105"/>
    </row>
    <row r="2011" spans="1:35">
      <c r="A2011" s="98"/>
      <c r="B2011" s="99"/>
      <c r="C2011" s="100" t="s">
        <v>4203</v>
      </c>
      <c r="D2011" s="100" t="s">
        <v>79</v>
      </c>
      <c r="E2011" s="100" t="s">
        <v>80</v>
      </c>
      <c r="F2011" s="100" t="s">
        <v>666</v>
      </c>
      <c r="G2011" s="100" t="s">
        <v>4336</v>
      </c>
      <c r="H2011" s="100" t="s">
        <v>113</v>
      </c>
      <c r="I2011" s="247">
        <v>30253</v>
      </c>
      <c r="J2011" s="101"/>
      <c r="K2011" s="101">
        <v>1</v>
      </c>
      <c r="L2011" s="101">
        <v>1</v>
      </c>
      <c r="M2011" s="101"/>
      <c r="N2011" s="101">
        <v>1</v>
      </c>
      <c r="O2011" s="101"/>
      <c r="P2011" s="101"/>
      <c r="Q2011" s="101"/>
      <c r="R2011" s="101"/>
      <c r="S2011" s="101"/>
      <c r="T2011" s="101"/>
      <c r="U2011" s="100" t="s">
        <v>2214</v>
      </c>
      <c r="V2011" s="100" t="s">
        <v>949</v>
      </c>
      <c r="W2011" s="100" t="s">
        <v>280</v>
      </c>
      <c r="X2011" s="100" t="s">
        <v>227</v>
      </c>
      <c r="Y2011" s="99"/>
      <c r="Z2011" s="99"/>
      <c r="AA2011" s="100" t="s">
        <v>1961</v>
      </c>
      <c r="AB2011" s="99" t="s">
        <v>526</v>
      </c>
      <c r="AC2011" s="101">
        <v>2</v>
      </c>
      <c r="AD2011" s="101"/>
      <c r="AE2011" s="101"/>
      <c r="AF2011" s="101"/>
      <c r="AG2011" s="101"/>
      <c r="AH2011" s="99"/>
      <c r="AI2011" s="105"/>
    </row>
    <row r="2012" spans="1:35">
      <c r="A2012" s="98"/>
      <c r="B2012" s="99"/>
      <c r="C2012" s="100" t="s">
        <v>4203</v>
      </c>
      <c r="D2012" s="100" t="s">
        <v>79</v>
      </c>
      <c r="E2012" s="100" t="s">
        <v>80</v>
      </c>
      <c r="F2012" s="100" t="s">
        <v>4338</v>
      </c>
      <c r="G2012" s="100" t="s">
        <v>4339</v>
      </c>
      <c r="H2012" s="99" t="s">
        <v>742</v>
      </c>
      <c r="I2012" s="247">
        <v>19791</v>
      </c>
      <c r="J2012" s="101">
        <v>1</v>
      </c>
      <c r="K2012" s="101"/>
      <c r="L2012" s="101">
        <v>1</v>
      </c>
      <c r="M2012" s="101"/>
      <c r="N2012" s="101"/>
      <c r="O2012" s="101"/>
      <c r="P2012" s="101"/>
      <c r="Q2012" s="101"/>
      <c r="R2012" s="101"/>
      <c r="S2012" s="101"/>
      <c r="T2012" s="101"/>
      <c r="U2012" s="99"/>
      <c r="V2012" s="100" t="s">
        <v>3539</v>
      </c>
      <c r="W2012" s="100" t="s">
        <v>280</v>
      </c>
      <c r="X2012" s="100" t="s">
        <v>227</v>
      </c>
      <c r="Y2012" s="99"/>
      <c r="Z2012" s="99"/>
      <c r="AA2012" s="100" t="s">
        <v>3198</v>
      </c>
      <c r="AB2012" s="99" t="s">
        <v>526</v>
      </c>
      <c r="AC2012" s="101">
        <v>5</v>
      </c>
      <c r="AD2012" s="101"/>
      <c r="AE2012" s="101"/>
      <c r="AF2012" s="101"/>
      <c r="AG2012" s="101"/>
      <c r="AH2012" s="99"/>
      <c r="AI2012" s="105"/>
    </row>
    <row r="2013" spans="1:35">
      <c r="A2013" s="98"/>
      <c r="B2013" s="99"/>
      <c r="C2013" s="99"/>
      <c r="D2013" s="99"/>
      <c r="E2013" s="99"/>
      <c r="F2013" s="100"/>
      <c r="G2013" s="100"/>
      <c r="H2013" s="99"/>
      <c r="I2013" s="247"/>
      <c r="J2013" s="101"/>
      <c r="K2013" s="101"/>
      <c r="L2013" s="101"/>
      <c r="M2013" s="101"/>
      <c r="N2013" s="101"/>
      <c r="O2013" s="101"/>
      <c r="P2013" s="101"/>
      <c r="Q2013" s="101"/>
      <c r="R2013" s="101"/>
      <c r="S2013" s="101"/>
      <c r="T2013" s="101"/>
      <c r="U2013" s="99"/>
      <c r="V2013" s="100"/>
      <c r="W2013" s="100"/>
      <c r="X2013" s="100"/>
      <c r="Y2013" s="99"/>
      <c r="Z2013" s="99"/>
      <c r="AA2013" s="100" t="s">
        <v>4340</v>
      </c>
      <c r="AB2013" s="99" t="s">
        <v>526</v>
      </c>
      <c r="AC2013" s="101">
        <v>1</v>
      </c>
      <c r="AD2013" s="101"/>
      <c r="AE2013" s="101"/>
      <c r="AF2013" s="101"/>
      <c r="AG2013" s="101"/>
      <c r="AH2013" s="99"/>
      <c r="AI2013" s="105"/>
    </row>
    <row r="2014" spans="1:35">
      <c r="A2014" s="98"/>
      <c r="B2014" s="99"/>
      <c r="C2014" s="99"/>
      <c r="D2014" s="99"/>
      <c r="E2014" s="99"/>
      <c r="F2014" s="100"/>
      <c r="G2014" s="100"/>
      <c r="H2014" s="99"/>
      <c r="I2014" s="247"/>
      <c r="J2014" s="101"/>
      <c r="K2014" s="101"/>
      <c r="L2014" s="101"/>
      <c r="M2014" s="101"/>
      <c r="N2014" s="101"/>
      <c r="O2014" s="101"/>
      <c r="P2014" s="101"/>
      <c r="Q2014" s="101"/>
      <c r="R2014" s="101"/>
      <c r="S2014" s="101"/>
      <c r="T2014" s="101"/>
      <c r="U2014" s="99"/>
      <c r="V2014" s="100"/>
      <c r="W2014" s="100"/>
      <c r="X2014" s="100"/>
      <c r="Y2014" s="99"/>
      <c r="Z2014" s="99"/>
      <c r="AA2014" s="100"/>
      <c r="AB2014" s="99"/>
      <c r="AC2014" s="101"/>
      <c r="AD2014" s="101"/>
      <c r="AE2014" s="101"/>
      <c r="AF2014" s="101"/>
      <c r="AG2014" s="101"/>
      <c r="AH2014" s="99"/>
      <c r="AI2014" s="105"/>
    </row>
    <row r="2015" spans="1:35">
      <c r="A2015" s="98"/>
      <c r="B2015" s="99"/>
      <c r="C2015" s="99"/>
      <c r="D2015" s="99"/>
      <c r="E2015" s="99"/>
      <c r="F2015" s="100"/>
      <c r="G2015" s="100"/>
      <c r="H2015" s="99"/>
      <c r="I2015" s="247"/>
      <c r="J2015" s="101"/>
      <c r="K2015" s="101"/>
      <c r="L2015" s="101"/>
      <c r="M2015" s="101"/>
      <c r="N2015" s="101"/>
      <c r="O2015" s="101"/>
      <c r="P2015" s="101"/>
      <c r="Q2015" s="101"/>
      <c r="R2015" s="101"/>
      <c r="S2015" s="101"/>
      <c r="T2015" s="101"/>
      <c r="U2015" s="99"/>
      <c r="V2015" s="100"/>
      <c r="W2015" s="100"/>
      <c r="X2015" s="100"/>
      <c r="Y2015" s="99"/>
      <c r="Z2015" s="99"/>
      <c r="AA2015" s="100"/>
      <c r="AB2015" s="99"/>
      <c r="AC2015" s="101"/>
      <c r="AD2015" s="101"/>
      <c r="AE2015" s="101"/>
      <c r="AF2015" s="101"/>
      <c r="AG2015" s="101"/>
      <c r="AH2015" s="99"/>
      <c r="AI2015" s="105"/>
    </row>
    <row r="2016" spans="1:35">
      <c r="A2016" s="98"/>
      <c r="B2016" s="99"/>
      <c r="C2016" s="99"/>
      <c r="D2016" s="99"/>
      <c r="E2016" s="99"/>
      <c r="F2016" s="100"/>
      <c r="G2016" s="100"/>
      <c r="H2016" s="99"/>
      <c r="I2016" s="247"/>
      <c r="J2016" s="101"/>
      <c r="K2016" s="101"/>
      <c r="L2016" s="101"/>
      <c r="M2016" s="101"/>
      <c r="N2016" s="101"/>
      <c r="O2016" s="101"/>
      <c r="P2016" s="101"/>
      <c r="Q2016" s="101"/>
      <c r="R2016" s="101"/>
      <c r="S2016" s="101"/>
      <c r="T2016" s="101"/>
      <c r="U2016" s="99"/>
      <c r="V2016" s="100"/>
      <c r="W2016" s="100"/>
      <c r="X2016" s="100"/>
      <c r="Y2016" s="99"/>
      <c r="Z2016" s="99"/>
      <c r="AA2016" s="100"/>
      <c r="AB2016" s="99"/>
      <c r="AC2016" s="101"/>
      <c r="AD2016" s="101"/>
      <c r="AE2016" s="101"/>
      <c r="AF2016" s="101"/>
      <c r="AG2016" s="101"/>
      <c r="AH2016" s="99"/>
      <c r="AI2016" s="105"/>
    </row>
    <row r="2017" spans="1:35">
      <c r="A2017" s="98"/>
      <c r="B2017" s="99"/>
      <c r="C2017" s="99"/>
      <c r="D2017" s="99"/>
      <c r="E2017" s="99"/>
      <c r="F2017" s="100"/>
      <c r="G2017" s="100"/>
      <c r="H2017" s="99"/>
      <c r="I2017" s="247"/>
      <c r="J2017" s="101"/>
      <c r="K2017" s="101"/>
      <c r="L2017" s="101"/>
      <c r="M2017" s="101"/>
      <c r="N2017" s="101"/>
      <c r="O2017" s="101"/>
      <c r="P2017" s="101"/>
      <c r="Q2017" s="101"/>
      <c r="R2017" s="101"/>
      <c r="S2017" s="101"/>
      <c r="T2017" s="101"/>
      <c r="U2017" s="99"/>
      <c r="V2017" s="100"/>
      <c r="W2017" s="100"/>
      <c r="X2017" s="100"/>
      <c r="Y2017" s="99"/>
      <c r="Z2017" s="99"/>
      <c r="AA2017" s="100"/>
      <c r="AB2017" s="99"/>
      <c r="AC2017" s="101"/>
      <c r="AD2017" s="101"/>
      <c r="AE2017" s="101"/>
      <c r="AF2017" s="101"/>
      <c r="AG2017" s="101"/>
      <c r="AH2017" s="99"/>
      <c r="AI2017" s="105"/>
    </row>
    <row r="2018" spans="1:35">
      <c r="A2018" s="98"/>
      <c r="B2018" s="99"/>
      <c r="C2018" s="99"/>
      <c r="D2018" s="99"/>
      <c r="E2018" s="99"/>
      <c r="F2018" s="100"/>
      <c r="G2018" s="100"/>
      <c r="H2018" s="99"/>
      <c r="I2018" s="247"/>
      <c r="J2018" s="101"/>
      <c r="K2018" s="101"/>
      <c r="L2018" s="101"/>
      <c r="M2018" s="101"/>
      <c r="N2018" s="101"/>
      <c r="O2018" s="101"/>
      <c r="P2018" s="101"/>
      <c r="Q2018" s="101"/>
      <c r="R2018" s="101"/>
      <c r="S2018" s="101"/>
      <c r="T2018" s="101"/>
      <c r="U2018" s="99"/>
      <c r="V2018" s="100"/>
      <c r="W2018" s="100"/>
      <c r="X2018" s="100"/>
      <c r="Y2018" s="99"/>
      <c r="Z2018" s="99"/>
      <c r="AA2018" s="100"/>
      <c r="AB2018" s="99"/>
      <c r="AC2018" s="101"/>
      <c r="AD2018" s="101"/>
      <c r="AE2018" s="101"/>
      <c r="AF2018" s="101"/>
      <c r="AG2018" s="101"/>
      <c r="AH2018" s="99"/>
      <c r="AI2018" s="105"/>
    </row>
    <row r="2019" spans="1:35">
      <c r="A2019" s="98"/>
      <c r="B2019" s="99"/>
      <c r="C2019" s="99"/>
      <c r="D2019" s="99"/>
      <c r="E2019" s="99"/>
      <c r="F2019" s="100"/>
      <c r="G2019" s="100"/>
      <c r="H2019" s="99"/>
      <c r="I2019" s="247"/>
      <c r="J2019" s="101"/>
      <c r="K2019" s="101"/>
      <c r="L2019" s="101"/>
      <c r="M2019" s="101"/>
      <c r="N2019" s="101"/>
      <c r="O2019" s="101"/>
      <c r="P2019" s="101"/>
      <c r="Q2019" s="101"/>
      <c r="R2019" s="101"/>
      <c r="S2019" s="101"/>
      <c r="T2019" s="101"/>
      <c r="U2019" s="99"/>
      <c r="V2019" s="100"/>
      <c r="W2019" s="100"/>
      <c r="X2019" s="100"/>
      <c r="Y2019" s="99"/>
      <c r="Z2019" s="99"/>
      <c r="AA2019" s="100"/>
      <c r="AB2019" s="99"/>
      <c r="AC2019" s="101"/>
      <c r="AD2019" s="101"/>
      <c r="AE2019" s="101"/>
      <c r="AF2019" s="101"/>
      <c r="AG2019" s="101"/>
      <c r="AH2019" s="99"/>
      <c r="AI2019" s="105"/>
    </row>
    <row r="2020" spans="1:35">
      <c r="A2020" s="98"/>
      <c r="B2020" s="99"/>
      <c r="C2020" s="99"/>
      <c r="D2020" s="99"/>
      <c r="E2020" s="99"/>
      <c r="F2020" s="100"/>
      <c r="G2020" s="100"/>
      <c r="H2020" s="99"/>
      <c r="I2020" s="247"/>
      <c r="J2020" s="101"/>
      <c r="K2020" s="101"/>
      <c r="L2020" s="101"/>
      <c r="M2020" s="101"/>
      <c r="N2020" s="101"/>
      <c r="O2020" s="101"/>
      <c r="P2020" s="101"/>
      <c r="Q2020" s="101"/>
      <c r="R2020" s="101"/>
      <c r="S2020" s="101"/>
      <c r="T2020" s="101"/>
      <c r="U2020" s="99"/>
      <c r="V2020" s="100"/>
      <c r="W2020" s="100"/>
      <c r="X2020" s="100"/>
      <c r="Y2020" s="99"/>
      <c r="Z2020" s="99"/>
      <c r="AA2020" s="100"/>
      <c r="AB2020" s="99"/>
      <c r="AC2020" s="101"/>
      <c r="AD2020" s="101"/>
      <c r="AE2020" s="101"/>
      <c r="AF2020" s="101"/>
      <c r="AG2020" s="101"/>
      <c r="AH2020" s="99"/>
      <c r="AI2020" s="105"/>
    </row>
    <row r="2021" spans="1:35">
      <c r="A2021" s="98"/>
      <c r="B2021" s="99"/>
      <c r="C2021" s="99"/>
      <c r="D2021" s="99"/>
      <c r="E2021" s="99"/>
      <c r="F2021" s="100"/>
      <c r="G2021" s="100"/>
      <c r="H2021" s="99"/>
      <c r="I2021" s="247"/>
      <c r="J2021" s="101"/>
      <c r="K2021" s="101"/>
      <c r="L2021" s="101"/>
      <c r="M2021" s="101"/>
      <c r="N2021" s="101"/>
      <c r="O2021" s="101"/>
      <c r="P2021" s="101"/>
      <c r="Q2021" s="101"/>
      <c r="R2021" s="101"/>
      <c r="S2021" s="101"/>
      <c r="T2021" s="101"/>
      <c r="U2021" s="99"/>
      <c r="V2021" s="100"/>
      <c r="W2021" s="100"/>
      <c r="X2021" s="100"/>
      <c r="Y2021" s="99"/>
      <c r="Z2021" s="99"/>
      <c r="AA2021" s="100"/>
      <c r="AB2021" s="99"/>
      <c r="AC2021" s="101"/>
      <c r="AD2021" s="101"/>
      <c r="AE2021" s="101"/>
      <c r="AF2021" s="101"/>
      <c r="AG2021" s="101"/>
      <c r="AH2021" s="99"/>
      <c r="AI2021" s="105"/>
    </row>
    <row r="2022" spans="1:35">
      <c r="A2022" s="98"/>
      <c r="B2022" s="99"/>
      <c r="C2022" s="99"/>
      <c r="D2022" s="99"/>
      <c r="E2022" s="99"/>
      <c r="F2022" s="100"/>
      <c r="G2022" s="100"/>
      <c r="H2022" s="99"/>
      <c r="I2022" s="247"/>
      <c r="J2022" s="101"/>
      <c r="K2022" s="101"/>
      <c r="L2022" s="101"/>
      <c r="M2022" s="101"/>
      <c r="N2022" s="101"/>
      <c r="O2022" s="101"/>
      <c r="P2022" s="101"/>
      <c r="Q2022" s="101"/>
      <c r="R2022" s="101"/>
      <c r="S2022" s="101"/>
      <c r="T2022" s="101"/>
      <c r="U2022" s="99"/>
      <c r="V2022" s="100"/>
      <c r="W2022" s="100"/>
      <c r="X2022" s="100"/>
      <c r="Y2022" s="99"/>
      <c r="Z2022" s="99"/>
      <c r="AA2022" s="100"/>
      <c r="AB2022" s="99"/>
      <c r="AC2022" s="101"/>
      <c r="AD2022" s="101"/>
      <c r="AE2022" s="101"/>
      <c r="AF2022" s="101"/>
      <c r="AG2022" s="101"/>
      <c r="AH2022" s="99"/>
      <c r="AI2022" s="105"/>
    </row>
    <row r="2023" spans="1:35">
      <c r="A2023" s="98"/>
      <c r="B2023" s="99"/>
      <c r="C2023" s="99"/>
      <c r="D2023" s="99"/>
      <c r="E2023" s="99"/>
      <c r="F2023" s="100"/>
      <c r="G2023" s="100"/>
      <c r="H2023" s="99"/>
      <c r="I2023" s="247"/>
      <c r="J2023" s="101"/>
      <c r="K2023" s="101"/>
      <c r="L2023" s="101"/>
      <c r="M2023" s="101"/>
      <c r="N2023" s="101"/>
      <c r="O2023" s="101"/>
      <c r="P2023" s="101"/>
      <c r="Q2023" s="101"/>
      <c r="R2023" s="101"/>
      <c r="S2023" s="101"/>
      <c r="T2023" s="101"/>
      <c r="U2023" s="99"/>
      <c r="V2023" s="100"/>
      <c r="W2023" s="100"/>
      <c r="X2023" s="100"/>
      <c r="Y2023" s="99"/>
      <c r="Z2023" s="99"/>
      <c r="AA2023" s="100"/>
      <c r="AB2023" s="99"/>
      <c r="AC2023" s="101"/>
      <c r="AD2023" s="101"/>
      <c r="AE2023" s="101"/>
      <c r="AF2023" s="101"/>
      <c r="AG2023" s="101"/>
      <c r="AH2023" s="99"/>
      <c r="AI2023" s="105"/>
    </row>
    <row r="2024" spans="1:35">
      <c r="A2024" s="98"/>
      <c r="B2024" s="99"/>
      <c r="C2024" s="99"/>
      <c r="D2024" s="99"/>
      <c r="E2024" s="99"/>
      <c r="F2024" s="100"/>
      <c r="G2024" s="100"/>
      <c r="H2024" s="99"/>
      <c r="I2024" s="247"/>
      <c r="J2024" s="101"/>
      <c r="K2024" s="101"/>
      <c r="L2024" s="101"/>
      <c r="M2024" s="101"/>
      <c r="N2024" s="101"/>
      <c r="O2024" s="101"/>
      <c r="P2024" s="101"/>
      <c r="Q2024" s="101"/>
      <c r="R2024" s="101"/>
      <c r="S2024" s="101"/>
      <c r="T2024" s="101"/>
      <c r="U2024" s="99"/>
      <c r="V2024" s="100"/>
      <c r="W2024" s="100"/>
      <c r="X2024" s="100"/>
      <c r="Y2024" s="99"/>
      <c r="Z2024" s="99"/>
      <c r="AA2024" s="100"/>
      <c r="AB2024" s="99"/>
      <c r="AC2024" s="101"/>
      <c r="AD2024" s="101"/>
      <c r="AE2024" s="101"/>
      <c r="AF2024" s="101"/>
      <c r="AG2024" s="101"/>
      <c r="AH2024" s="99"/>
      <c r="AI2024" s="105"/>
    </row>
    <row r="2025" spans="1:35">
      <c r="A2025" s="98"/>
      <c r="B2025" s="99"/>
      <c r="C2025" s="99"/>
      <c r="D2025" s="99"/>
      <c r="E2025" s="99"/>
      <c r="F2025" s="100"/>
      <c r="G2025" s="100"/>
      <c r="H2025" s="99"/>
      <c r="I2025" s="247"/>
      <c r="J2025" s="101"/>
      <c r="K2025" s="101"/>
      <c r="L2025" s="101"/>
      <c r="M2025" s="101"/>
      <c r="N2025" s="101"/>
      <c r="O2025" s="101"/>
      <c r="P2025" s="101"/>
      <c r="Q2025" s="101"/>
      <c r="R2025" s="101"/>
      <c r="S2025" s="101"/>
      <c r="T2025" s="101"/>
      <c r="U2025" s="99"/>
      <c r="V2025" s="100"/>
      <c r="W2025" s="100"/>
      <c r="X2025" s="100"/>
      <c r="Y2025" s="99"/>
      <c r="Z2025" s="99"/>
      <c r="AA2025" s="100"/>
      <c r="AB2025" s="99"/>
      <c r="AC2025" s="101"/>
      <c r="AD2025" s="101"/>
      <c r="AE2025" s="101"/>
      <c r="AF2025" s="101"/>
      <c r="AG2025" s="101"/>
      <c r="AH2025" s="99"/>
      <c r="AI2025" s="105"/>
    </row>
    <row r="2026" spans="1:35">
      <c r="A2026" s="98"/>
      <c r="B2026" s="99"/>
      <c r="C2026" s="99"/>
      <c r="D2026" s="99"/>
      <c r="E2026" s="99"/>
      <c r="F2026" s="100"/>
      <c r="G2026" s="100"/>
      <c r="H2026" s="99"/>
      <c r="I2026" s="247"/>
      <c r="J2026" s="101"/>
      <c r="K2026" s="101"/>
      <c r="L2026" s="101"/>
      <c r="M2026" s="101"/>
      <c r="N2026" s="101"/>
      <c r="O2026" s="101"/>
      <c r="P2026" s="101"/>
      <c r="Q2026" s="101"/>
      <c r="R2026" s="101"/>
      <c r="S2026" s="101"/>
      <c r="T2026" s="101"/>
      <c r="U2026" s="99"/>
      <c r="V2026" s="100"/>
      <c r="W2026" s="100"/>
      <c r="X2026" s="100"/>
      <c r="Y2026" s="99"/>
      <c r="Z2026" s="99"/>
      <c r="AA2026" s="100"/>
      <c r="AB2026" s="99"/>
      <c r="AC2026" s="101"/>
      <c r="AD2026" s="101"/>
      <c r="AE2026" s="101"/>
      <c r="AF2026" s="101"/>
      <c r="AG2026" s="101"/>
      <c r="AH2026" s="99"/>
      <c r="AI2026" s="105"/>
    </row>
    <row r="2027" spans="1:35">
      <c r="A2027" s="98"/>
      <c r="B2027" s="99"/>
      <c r="C2027" s="99"/>
      <c r="D2027" s="99"/>
      <c r="E2027" s="99"/>
      <c r="F2027" s="100"/>
      <c r="G2027" s="100"/>
      <c r="H2027" s="99"/>
      <c r="I2027" s="247"/>
      <c r="J2027" s="101"/>
      <c r="K2027" s="101"/>
      <c r="L2027" s="101"/>
      <c r="M2027" s="101"/>
      <c r="N2027" s="101"/>
      <c r="O2027" s="101"/>
      <c r="P2027" s="101"/>
      <c r="Q2027" s="101"/>
      <c r="R2027" s="101"/>
      <c r="S2027" s="101"/>
      <c r="T2027" s="101"/>
      <c r="U2027" s="99"/>
      <c r="V2027" s="100"/>
      <c r="W2027" s="100"/>
      <c r="X2027" s="100"/>
      <c r="Y2027" s="99"/>
      <c r="Z2027" s="99"/>
      <c r="AA2027" s="100"/>
      <c r="AB2027" s="99"/>
      <c r="AC2027" s="101"/>
      <c r="AD2027" s="101"/>
      <c r="AE2027" s="101"/>
      <c r="AF2027" s="101"/>
      <c r="AG2027" s="101"/>
      <c r="AH2027" s="99"/>
      <c r="AI2027" s="105"/>
    </row>
    <row r="2028" spans="1:35">
      <c r="A2028" s="98"/>
      <c r="B2028" s="99"/>
      <c r="C2028" s="99"/>
      <c r="D2028" s="99"/>
      <c r="E2028" s="99"/>
      <c r="F2028" s="100"/>
      <c r="G2028" s="100"/>
      <c r="H2028" s="99"/>
      <c r="I2028" s="247"/>
      <c r="J2028" s="101"/>
      <c r="K2028" s="101"/>
      <c r="L2028" s="101"/>
      <c r="M2028" s="101"/>
      <c r="N2028" s="101"/>
      <c r="O2028" s="101"/>
      <c r="P2028" s="101"/>
      <c r="Q2028" s="101"/>
      <c r="R2028" s="101"/>
      <c r="S2028" s="101"/>
      <c r="T2028" s="101"/>
      <c r="U2028" s="99"/>
      <c r="V2028" s="100"/>
      <c r="W2028" s="100"/>
      <c r="X2028" s="100"/>
      <c r="Y2028" s="99"/>
      <c r="Z2028" s="99"/>
      <c r="AA2028" s="100"/>
      <c r="AB2028" s="99"/>
      <c r="AC2028" s="101"/>
      <c r="AD2028" s="101"/>
      <c r="AE2028" s="101"/>
      <c r="AF2028" s="101"/>
      <c r="AG2028" s="101"/>
      <c r="AH2028" s="99"/>
      <c r="AI2028" s="105"/>
    </row>
    <row r="2029" spans="1:35">
      <c r="A2029" s="98"/>
      <c r="B2029" s="99"/>
      <c r="C2029" s="99"/>
      <c r="D2029" s="99"/>
      <c r="E2029" s="99"/>
      <c r="F2029" s="100"/>
      <c r="G2029" s="100"/>
      <c r="H2029" s="99"/>
      <c r="I2029" s="247"/>
      <c r="J2029" s="101"/>
      <c r="K2029" s="101"/>
      <c r="L2029" s="101"/>
      <c r="M2029" s="101"/>
      <c r="N2029" s="101"/>
      <c r="O2029" s="101"/>
      <c r="P2029" s="101"/>
      <c r="Q2029" s="101"/>
      <c r="R2029" s="101"/>
      <c r="S2029" s="101"/>
      <c r="T2029" s="101"/>
      <c r="U2029" s="99"/>
      <c r="V2029" s="100"/>
      <c r="W2029" s="100"/>
      <c r="X2029" s="100"/>
      <c r="Y2029" s="99"/>
      <c r="Z2029" s="99"/>
      <c r="AA2029" s="100"/>
      <c r="AB2029" s="99"/>
      <c r="AC2029" s="101"/>
      <c r="AD2029" s="101"/>
      <c r="AE2029" s="101"/>
      <c r="AF2029" s="101"/>
      <c r="AG2029" s="101"/>
      <c r="AH2029" s="99"/>
      <c r="AI2029" s="105"/>
    </row>
    <row r="2030" spans="1:35">
      <c r="A2030" s="98"/>
      <c r="B2030" s="99"/>
      <c r="C2030" s="99"/>
      <c r="D2030" s="99"/>
      <c r="E2030" s="99"/>
      <c r="F2030" s="100"/>
      <c r="G2030" s="100"/>
      <c r="H2030" s="99"/>
      <c r="I2030" s="247"/>
      <c r="J2030" s="101"/>
      <c r="K2030" s="101"/>
      <c r="L2030" s="101"/>
      <c r="M2030" s="101"/>
      <c r="N2030" s="101"/>
      <c r="O2030" s="101"/>
      <c r="P2030" s="101"/>
      <c r="Q2030" s="101"/>
      <c r="R2030" s="101"/>
      <c r="S2030" s="101"/>
      <c r="T2030" s="101"/>
      <c r="U2030" s="99"/>
      <c r="V2030" s="100"/>
      <c r="W2030" s="100"/>
      <c r="X2030" s="100"/>
      <c r="Y2030" s="99"/>
      <c r="Z2030" s="99"/>
      <c r="AA2030" s="100"/>
      <c r="AB2030" s="99"/>
      <c r="AC2030" s="101"/>
      <c r="AD2030" s="101"/>
      <c r="AE2030" s="101"/>
      <c r="AF2030" s="101"/>
      <c r="AG2030" s="101"/>
      <c r="AH2030" s="99"/>
      <c r="AI2030" s="105"/>
    </row>
    <row r="2031" spans="1:35">
      <c r="A2031" s="98"/>
      <c r="B2031" s="99"/>
      <c r="C2031" s="99"/>
      <c r="D2031" s="99"/>
      <c r="E2031" s="99"/>
      <c r="F2031" s="100"/>
      <c r="G2031" s="100"/>
      <c r="H2031" s="99"/>
      <c r="I2031" s="247"/>
      <c r="J2031" s="101"/>
      <c r="K2031" s="101"/>
      <c r="L2031" s="101"/>
      <c r="M2031" s="101"/>
      <c r="N2031" s="101"/>
      <c r="O2031" s="101"/>
      <c r="P2031" s="101"/>
      <c r="Q2031" s="101"/>
      <c r="R2031" s="101"/>
      <c r="S2031" s="101"/>
      <c r="T2031" s="101"/>
      <c r="U2031" s="99"/>
      <c r="V2031" s="100"/>
      <c r="W2031" s="100"/>
      <c r="X2031" s="100"/>
      <c r="Y2031" s="99"/>
      <c r="Z2031" s="99"/>
      <c r="AA2031" s="100"/>
      <c r="AB2031" s="99"/>
      <c r="AC2031" s="101"/>
      <c r="AD2031" s="101"/>
      <c r="AE2031" s="101"/>
      <c r="AF2031" s="101"/>
      <c r="AG2031" s="101"/>
      <c r="AH2031" s="99"/>
      <c r="AI2031" s="105"/>
    </row>
    <row r="2032" spans="1:35">
      <c r="A2032" s="98"/>
      <c r="B2032" s="99"/>
      <c r="C2032" s="99"/>
      <c r="D2032" s="99"/>
      <c r="E2032" s="99"/>
      <c r="F2032" s="100"/>
      <c r="G2032" s="100"/>
      <c r="H2032" s="99"/>
      <c r="I2032" s="247"/>
      <c r="J2032" s="101"/>
      <c r="K2032" s="101"/>
      <c r="L2032" s="101"/>
      <c r="M2032" s="101"/>
      <c r="N2032" s="101"/>
      <c r="O2032" s="101"/>
      <c r="P2032" s="101"/>
      <c r="Q2032" s="101"/>
      <c r="R2032" s="101"/>
      <c r="S2032" s="101"/>
      <c r="T2032" s="101"/>
      <c r="U2032" s="99"/>
      <c r="V2032" s="100"/>
      <c r="W2032" s="100"/>
      <c r="X2032" s="100"/>
      <c r="Y2032" s="99"/>
      <c r="Z2032" s="99"/>
      <c r="AA2032" s="100"/>
      <c r="AB2032" s="99"/>
      <c r="AC2032" s="101"/>
      <c r="AD2032" s="101"/>
      <c r="AE2032" s="101"/>
      <c r="AF2032" s="101"/>
      <c r="AG2032" s="101"/>
      <c r="AH2032" s="99"/>
      <c r="AI2032" s="105"/>
    </row>
    <row r="2033" spans="1:35">
      <c r="A2033" s="98"/>
      <c r="B2033" s="99"/>
      <c r="C2033" s="99"/>
      <c r="D2033" s="99"/>
      <c r="E2033" s="99"/>
      <c r="F2033" s="100"/>
      <c r="G2033" s="100"/>
      <c r="H2033" s="99"/>
      <c r="I2033" s="247"/>
      <c r="J2033" s="101"/>
      <c r="K2033" s="101"/>
      <c r="L2033" s="101"/>
      <c r="M2033" s="101"/>
      <c r="N2033" s="101"/>
      <c r="O2033" s="101"/>
      <c r="P2033" s="101"/>
      <c r="Q2033" s="101"/>
      <c r="R2033" s="101"/>
      <c r="S2033" s="101"/>
      <c r="T2033" s="101"/>
      <c r="U2033" s="99"/>
      <c r="V2033" s="100"/>
      <c r="W2033" s="100"/>
      <c r="X2033" s="100"/>
      <c r="Y2033" s="99"/>
      <c r="Z2033" s="99"/>
      <c r="AA2033" s="100"/>
      <c r="AB2033" s="99"/>
      <c r="AC2033" s="101"/>
      <c r="AD2033" s="101"/>
      <c r="AE2033" s="101"/>
      <c r="AF2033" s="101"/>
      <c r="AG2033" s="101"/>
      <c r="AH2033" s="99"/>
      <c r="AI2033" s="105"/>
    </row>
    <row r="2034" spans="1:35">
      <c r="A2034" s="98"/>
      <c r="B2034" s="99"/>
      <c r="C2034" s="99"/>
      <c r="D2034" s="99"/>
      <c r="E2034" s="99"/>
      <c r="F2034" s="100"/>
      <c r="G2034" s="100"/>
      <c r="H2034" s="99"/>
      <c r="I2034" s="247"/>
      <c r="J2034" s="101"/>
      <c r="K2034" s="101"/>
      <c r="L2034" s="101"/>
      <c r="M2034" s="101"/>
      <c r="N2034" s="101"/>
      <c r="O2034" s="101"/>
      <c r="P2034" s="101"/>
      <c r="Q2034" s="101"/>
      <c r="R2034" s="101"/>
      <c r="S2034" s="101"/>
      <c r="T2034" s="101"/>
      <c r="U2034" s="99"/>
      <c r="V2034" s="100"/>
      <c r="W2034" s="100"/>
      <c r="X2034" s="100"/>
      <c r="Y2034" s="99"/>
      <c r="Z2034" s="99"/>
      <c r="AA2034" s="100"/>
      <c r="AB2034" s="99"/>
      <c r="AC2034" s="101"/>
      <c r="AD2034" s="101"/>
      <c r="AE2034" s="101"/>
      <c r="AF2034" s="101"/>
      <c r="AG2034" s="101"/>
      <c r="AH2034" s="99"/>
      <c r="AI2034" s="105"/>
    </row>
    <row r="2035" spans="1:35">
      <c r="A2035" s="98"/>
      <c r="B2035" s="99"/>
      <c r="C2035" s="99"/>
      <c r="D2035" s="99"/>
      <c r="E2035" s="99"/>
      <c r="F2035" s="100"/>
      <c r="G2035" s="100"/>
      <c r="H2035" s="99"/>
      <c r="I2035" s="247"/>
      <c r="J2035" s="101"/>
      <c r="K2035" s="101"/>
      <c r="L2035" s="101"/>
      <c r="M2035" s="101"/>
      <c r="N2035" s="101"/>
      <c r="O2035" s="101"/>
      <c r="P2035" s="101"/>
      <c r="Q2035" s="101"/>
      <c r="R2035" s="101"/>
      <c r="S2035" s="101"/>
      <c r="T2035" s="101"/>
      <c r="U2035" s="99"/>
      <c r="V2035" s="100"/>
      <c r="W2035" s="100"/>
      <c r="X2035" s="100"/>
      <c r="Y2035" s="99"/>
      <c r="Z2035" s="99"/>
      <c r="AA2035" s="100"/>
      <c r="AB2035" s="99"/>
      <c r="AC2035" s="101"/>
      <c r="AD2035" s="101"/>
      <c r="AE2035" s="101"/>
      <c r="AF2035" s="101"/>
      <c r="AG2035" s="101"/>
      <c r="AH2035" s="99"/>
      <c r="AI2035" s="105"/>
    </row>
    <row r="2036" spans="1:35">
      <c r="A2036" s="98"/>
      <c r="B2036" s="99"/>
      <c r="C2036" s="99"/>
      <c r="D2036" s="99"/>
      <c r="E2036" s="99"/>
      <c r="F2036" s="100"/>
      <c r="G2036" s="100"/>
      <c r="H2036" s="99"/>
      <c r="I2036" s="247"/>
      <c r="J2036" s="101"/>
      <c r="K2036" s="101"/>
      <c r="L2036" s="101"/>
      <c r="M2036" s="101"/>
      <c r="N2036" s="101"/>
      <c r="O2036" s="101"/>
      <c r="P2036" s="101"/>
      <c r="Q2036" s="101"/>
      <c r="R2036" s="101"/>
      <c r="S2036" s="101"/>
      <c r="T2036" s="101"/>
      <c r="U2036" s="99"/>
      <c r="V2036" s="100"/>
      <c r="W2036" s="100"/>
      <c r="X2036" s="100"/>
      <c r="Y2036" s="99"/>
      <c r="Z2036" s="99"/>
      <c r="AA2036" s="100"/>
      <c r="AB2036" s="99"/>
      <c r="AC2036" s="101"/>
      <c r="AD2036" s="101"/>
      <c r="AE2036" s="101"/>
      <c r="AF2036" s="101"/>
      <c r="AG2036" s="101"/>
      <c r="AH2036" s="99"/>
      <c r="AI2036" s="105"/>
    </row>
    <row r="2037" spans="1:35">
      <c r="A2037" s="98"/>
      <c r="B2037" s="99"/>
      <c r="C2037" s="99"/>
      <c r="D2037" s="99"/>
      <c r="E2037" s="99"/>
      <c r="F2037" s="100"/>
      <c r="G2037" s="100"/>
      <c r="H2037" s="99"/>
      <c r="I2037" s="247"/>
      <c r="J2037" s="101"/>
      <c r="K2037" s="101"/>
      <c r="L2037" s="101"/>
      <c r="M2037" s="101"/>
      <c r="N2037" s="101"/>
      <c r="O2037" s="101"/>
      <c r="P2037" s="101"/>
      <c r="Q2037" s="101"/>
      <c r="R2037" s="101"/>
      <c r="S2037" s="101"/>
      <c r="T2037" s="101"/>
      <c r="U2037" s="99"/>
      <c r="V2037" s="100"/>
      <c r="W2037" s="100"/>
      <c r="X2037" s="100"/>
      <c r="Y2037" s="99"/>
      <c r="Z2037" s="99"/>
      <c r="AA2037" s="100"/>
      <c r="AB2037" s="99"/>
      <c r="AC2037" s="101"/>
      <c r="AD2037" s="101"/>
      <c r="AE2037" s="101"/>
      <c r="AF2037" s="101"/>
      <c r="AG2037" s="101"/>
      <c r="AH2037" s="99"/>
      <c r="AI2037" s="105"/>
    </row>
    <row r="2038" spans="1:35">
      <c r="A2038" s="98"/>
      <c r="B2038" s="99"/>
      <c r="C2038" s="99"/>
      <c r="D2038" s="99"/>
      <c r="E2038" s="99"/>
      <c r="F2038" s="100"/>
      <c r="G2038" s="100"/>
      <c r="H2038" s="99"/>
      <c r="I2038" s="247"/>
      <c r="J2038" s="101"/>
      <c r="K2038" s="101"/>
      <c r="L2038" s="101"/>
      <c r="M2038" s="101"/>
      <c r="N2038" s="101"/>
      <c r="O2038" s="101"/>
      <c r="P2038" s="101"/>
      <c r="Q2038" s="101"/>
      <c r="R2038" s="101"/>
      <c r="S2038" s="101"/>
      <c r="T2038" s="101"/>
      <c r="U2038" s="99"/>
      <c r="V2038" s="100"/>
      <c r="W2038" s="100"/>
      <c r="X2038" s="100"/>
      <c r="Y2038" s="99"/>
      <c r="Z2038" s="99"/>
      <c r="AA2038" s="100"/>
      <c r="AB2038" s="99"/>
      <c r="AC2038" s="101"/>
      <c r="AD2038" s="101"/>
      <c r="AE2038" s="101"/>
      <c r="AF2038" s="101"/>
      <c r="AG2038" s="101"/>
      <c r="AH2038" s="99"/>
      <c r="AI2038" s="105"/>
    </row>
    <row r="2039" spans="1:35">
      <c r="A2039" s="98"/>
      <c r="B2039" s="99"/>
      <c r="C2039" s="99"/>
      <c r="D2039" s="99"/>
      <c r="E2039" s="99"/>
      <c r="F2039" s="100"/>
      <c r="G2039" s="100"/>
      <c r="H2039" s="99"/>
      <c r="I2039" s="247"/>
      <c r="J2039" s="101"/>
      <c r="K2039" s="101"/>
      <c r="L2039" s="101"/>
      <c r="M2039" s="101"/>
      <c r="N2039" s="101"/>
      <c r="O2039" s="101"/>
      <c r="P2039" s="101"/>
      <c r="Q2039" s="101"/>
      <c r="R2039" s="101"/>
      <c r="S2039" s="101"/>
      <c r="T2039" s="101"/>
      <c r="U2039" s="99"/>
      <c r="V2039" s="100"/>
      <c r="W2039" s="100"/>
      <c r="X2039" s="100"/>
      <c r="Y2039" s="99"/>
      <c r="Z2039" s="99"/>
      <c r="AA2039" s="100"/>
      <c r="AB2039" s="99"/>
      <c r="AC2039" s="101"/>
      <c r="AD2039" s="101"/>
      <c r="AE2039" s="101"/>
      <c r="AF2039" s="101"/>
      <c r="AG2039" s="101"/>
      <c r="AH2039" s="99"/>
      <c r="AI2039" s="105"/>
    </row>
    <row r="2040" spans="1:35">
      <c r="A2040" s="98"/>
      <c r="B2040" s="99"/>
      <c r="C2040" s="99"/>
      <c r="D2040" s="99"/>
      <c r="E2040" s="99"/>
      <c r="F2040" s="100"/>
      <c r="G2040" s="100"/>
      <c r="H2040" s="99"/>
      <c r="I2040" s="247"/>
      <c r="J2040" s="101"/>
      <c r="K2040" s="101"/>
      <c r="L2040" s="101"/>
      <c r="M2040" s="101"/>
      <c r="N2040" s="101"/>
      <c r="O2040" s="101"/>
      <c r="P2040" s="101"/>
      <c r="Q2040" s="101"/>
      <c r="R2040" s="101"/>
      <c r="S2040" s="101"/>
      <c r="T2040" s="101"/>
      <c r="U2040" s="99"/>
      <c r="V2040" s="100"/>
      <c r="W2040" s="100"/>
      <c r="X2040" s="100"/>
      <c r="Y2040" s="99"/>
      <c r="Z2040" s="99"/>
      <c r="AA2040" s="100"/>
      <c r="AB2040" s="99"/>
      <c r="AC2040" s="101"/>
      <c r="AD2040" s="101"/>
      <c r="AE2040" s="101"/>
      <c r="AF2040" s="101"/>
      <c r="AG2040" s="101"/>
      <c r="AH2040" s="99"/>
      <c r="AI2040" s="105"/>
    </row>
    <row r="2041" spans="1:35">
      <c r="A2041" s="98"/>
      <c r="B2041" s="99"/>
      <c r="C2041" s="99"/>
      <c r="D2041" s="99"/>
      <c r="E2041" s="99"/>
      <c r="F2041" s="100"/>
      <c r="G2041" s="100"/>
      <c r="H2041" s="99"/>
      <c r="I2041" s="247"/>
      <c r="J2041" s="101"/>
      <c r="K2041" s="101"/>
      <c r="L2041" s="101"/>
      <c r="M2041" s="101"/>
      <c r="N2041" s="101"/>
      <c r="O2041" s="101"/>
      <c r="P2041" s="101"/>
      <c r="Q2041" s="101"/>
      <c r="R2041" s="101"/>
      <c r="S2041" s="101"/>
      <c r="T2041" s="101"/>
      <c r="U2041" s="99"/>
      <c r="V2041" s="100"/>
      <c r="W2041" s="100"/>
      <c r="X2041" s="100"/>
      <c r="Y2041" s="99"/>
      <c r="Z2041" s="99"/>
      <c r="AA2041" s="100"/>
      <c r="AB2041" s="99"/>
      <c r="AC2041" s="101"/>
      <c r="AD2041" s="101"/>
      <c r="AE2041" s="101"/>
      <c r="AF2041" s="101"/>
      <c r="AG2041" s="101"/>
      <c r="AH2041" s="99"/>
      <c r="AI2041" s="105"/>
    </row>
    <row r="2042" spans="1:35">
      <c r="A2042" s="98"/>
      <c r="B2042" s="99"/>
      <c r="C2042" s="99"/>
      <c r="D2042" s="99"/>
      <c r="E2042" s="99"/>
      <c r="F2042" s="100"/>
      <c r="G2042" s="100"/>
      <c r="H2042" s="99"/>
      <c r="I2042" s="247"/>
      <c r="J2042" s="101"/>
      <c r="K2042" s="101"/>
      <c r="L2042" s="101"/>
      <c r="M2042" s="101"/>
      <c r="N2042" s="101"/>
      <c r="O2042" s="101"/>
      <c r="P2042" s="101"/>
      <c r="Q2042" s="101"/>
      <c r="R2042" s="101"/>
      <c r="S2042" s="101"/>
      <c r="T2042" s="101"/>
      <c r="U2042" s="99"/>
      <c r="V2042" s="100"/>
      <c r="W2042" s="100"/>
      <c r="X2042" s="100"/>
      <c r="Y2042" s="99"/>
      <c r="Z2042" s="99"/>
      <c r="AA2042" s="100"/>
      <c r="AB2042" s="99"/>
      <c r="AC2042" s="101"/>
      <c r="AD2042" s="101"/>
      <c r="AE2042" s="101"/>
      <c r="AF2042" s="101"/>
      <c r="AG2042" s="101"/>
      <c r="AH2042" s="99"/>
      <c r="AI2042" s="105"/>
    </row>
    <row r="2043" spans="1:35">
      <c r="A2043" s="98"/>
      <c r="B2043" s="99"/>
      <c r="C2043" s="99"/>
      <c r="D2043" s="99"/>
      <c r="E2043" s="99"/>
      <c r="F2043" s="100"/>
      <c r="G2043" s="100"/>
      <c r="H2043" s="99"/>
      <c r="I2043" s="247"/>
      <c r="J2043" s="101"/>
      <c r="K2043" s="101"/>
      <c r="L2043" s="101"/>
      <c r="M2043" s="101"/>
      <c r="N2043" s="101"/>
      <c r="O2043" s="101"/>
      <c r="P2043" s="101"/>
      <c r="Q2043" s="101"/>
      <c r="R2043" s="101"/>
      <c r="S2043" s="101"/>
      <c r="T2043" s="101"/>
      <c r="U2043" s="99"/>
      <c r="V2043" s="100"/>
      <c r="W2043" s="100"/>
      <c r="X2043" s="100"/>
      <c r="Y2043" s="99"/>
      <c r="Z2043" s="99"/>
      <c r="AA2043" s="100"/>
      <c r="AB2043" s="99"/>
      <c r="AC2043" s="101"/>
      <c r="AD2043" s="101"/>
      <c r="AE2043" s="101"/>
      <c r="AF2043" s="101"/>
      <c r="AG2043" s="101"/>
      <c r="AH2043" s="99"/>
      <c r="AI2043" s="105"/>
    </row>
    <row r="2044" spans="1:35">
      <c r="A2044" s="98"/>
      <c r="B2044" s="99"/>
      <c r="C2044" s="99"/>
      <c r="D2044" s="99"/>
      <c r="E2044" s="99"/>
      <c r="F2044" s="100"/>
      <c r="G2044" s="100"/>
      <c r="H2044" s="99"/>
      <c r="I2044" s="247"/>
      <c r="J2044" s="101"/>
      <c r="K2044" s="101"/>
      <c r="L2044" s="101"/>
      <c r="M2044" s="101"/>
      <c r="N2044" s="101"/>
      <c r="O2044" s="101"/>
      <c r="P2044" s="101"/>
      <c r="Q2044" s="101"/>
      <c r="R2044" s="101"/>
      <c r="S2044" s="101"/>
      <c r="T2044" s="101"/>
      <c r="U2044" s="99"/>
      <c r="V2044" s="100"/>
      <c r="W2044" s="100"/>
      <c r="X2044" s="100"/>
      <c r="Y2044" s="99"/>
      <c r="Z2044" s="99"/>
      <c r="AA2044" s="100"/>
      <c r="AB2044" s="99"/>
      <c r="AC2044" s="101"/>
      <c r="AD2044" s="101"/>
      <c r="AE2044" s="101"/>
      <c r="AF2044" s="101"/>
      <c r="AG2044" s="101"/>
      <c r="AH2044" s="99"/>
      <c r="AI2044" s="105"/>
    </row>
    <row r="2045" spans="1:35">
      <c r="A2045" s="98"/>
      <c r="B2045" s="99"/>
      <c r="C2045" s="99"/>
      <c r="D2045" s="99"/>
      <c r="E2045" s="99"/>
      <c r="F2045" s="100"/>
      <c r="G2045" s="100"/>
      <c r="H2045" s="99"/>
      <c r="I2045" s="247"/>
      <c r="J2045" s="101"/>
      <c r="K2045" s="101"/>
      <c r="L2045" s="101"/>
      <c r="M2045" s="101"/>
      <c r="N2045" s="101"/>
      <c r="O2045" s="101"/>
      <c r="P2045" s="101"/>
      <c r="Q2045" s="101"/>
      <c r="R2045" s="101"/>
      <c r="S2045" s="101"/>
      <c r="T2045" s="101"/>
      <c r="U2045" s="99"/>
      <c r="V2045" s="100"/>
      <c r="W2045" s="100"/>
      <c r="X2045" s="100"/>
      <c r="Y2045" s="99"/>
      <c r="Z2045" s="99"/>
      <c r="AA2045" s="100"/>
      <c r="AB2045" s="99"/>
      <c r="AC2045" s="101"/>
      <c r="AD2045" s="101"/>
      <c r="AE2045" s="101"/>
      <c r="AF2045" s="101"/>
      <c r="AG2045" s="101"/>
      <c r="AH2045" s="99"/>
      <c r="AI2045" s="105"/>
    </row>
    <row r="2046" spans="1:35">
      <c r="A2046" s="98"/>
      <c r="B2046" s="99"/>
      <c r="C2046" s="99"/>
      <c r="D2046" s="99"/>
      <c r="E2046" s="99"/>
      <c r="F2046" s="100"/>
      <c r="G2046" s="100"/>
      <c r="H2046" s="99"/>
      <c r="I2046" s="247"/>
      <c r="J2046" s="101"/>
      <c r="K2046" s="101"/>
      <c r="L2046" s="101"/>
      <c r="M2046" s="101"/>
      <c r="N2046" s="101"/>
      <c r="O2046" s="101"/>
      <c r="P2046" s="101"/>
      <c r="Q2046" s="101"/>
      <c r="R2046" s="101"/>
      <c r="S2046" s="101"/>
      <c r="T2046" s="101"/>
      <c r="U2046" s="99"/>
      <c r="V2046" s="100"/>
      <c r="W2046" s="100"/>
      <c r="X2046" s="100"/>
      <c r="Y2046" s="99"/>
      <c r="Z2046" s="99"/>
      <c r="AA2046" s="100"/>
      <c r="AB2046" s="99"/>
      <c r="AC2046" s="101"/>
      <c r="AD2046" s="101"/>
      <c r="AE2046" s="101"/>
      <c r="AF2046" s="101"/>
      <c r="AG2046" s="101"/>
      <c r="AH2046" s="99"/>
      <c r="AI2046" s="105"/>
    </row>
    <row r="2047" spans="1:35">
      <c r="A2047" s="98"/>
      <c r="B2047" s="99"/>
      <c r="C2047" s="99"/>
      <c r="D2047" s="99"/>
      <c r="E2047" s="99"/>
      <c r="F2047" s="100"/>
      <c r="G2047" s="100"/>
      <c r="H2047" s="99"/>
      <c r="I2047" s="247"/>
      <c r="J2047" s="101"/>
      <c r="K2047" s="101"/>
      <c r="L2047" s="101"/>
      <c r="M2047" s="101"/>
      <c r="N2047" s="101"/>
      <c r="O2047" s="101"/>
      <c r="P2047" s="101"/>
      <c r="Q2047" s="101"/>
      <c r="R2047" s="101"/>
      <c r="S2047" s="101"/>
      <c r="T2047" s="101"/>
      <c r="U2047" s="99"/>
      <c r="V2047" s="100"/>
      <c r="W2047" s="100"/>
      <c r="X2047" s="100"/>
      <c r="Y2047" s="99"/>
      <c r="Z2047" s="99"/>
      <c r="AA2047" s="100"/>
      <c r="AB2047" s="99"/>
      <c r="AC2047" s="101"/>
      <c r="AD2047" s="101"/>
      <c r="AE2047" s="101"/>
      <c r="AF2047" s="101"/>
      <c r="AG2047" s="101"/>
      <c r="AH2047" s="99"/>
      <c r="AI2047" s="105"/>
    </row>
    <row r="2048" spans="1:35">
      <c r="A2048" s="98"/>
      <c r="B2048" s="99"/>
      <c r="C2048" s="99"/>
      <c r="D2048" s="99"/>
      <c r="E2048" s="99"/>
      <c r="F2048" s="100"/>
      <c r="G2048" s="100"/>
      <c r="H2048" s="99"/>
      <c r="I2048" s="247"/>
      <c r="J2048" s="101"/>
      <c r="K2048" s="101"/>
      <c r="L2048" s="101"/>
      <c r="M2048" s="101"/>
      <c r="N2048" s="101"/>
      <c r="O2048" s="101"/>
      <c r="P2048" s="101"/>
      <c r="Q2048" s="101"/>
      <c r="R2048" s="101"/>
      <c r="S2048" s="101"/>
      <c r="T2048" s="101"/>
      <c r="U2048" s="99"/>
      <c r="V2048" s="100"/>
      <c r="W2048" s="100"/>
      <c r="X2048" s="100"/>
      <c r="Y2048" s="99"/>
      <c r="Z2048" s="99"/>
      <c r="AA2048" s="100"/>
      <c r="AB2048" s="99"/>
      <c r="AC2048" s="101"/>
      <c r="AD2048" s="101"/>
      <c r="AE2048" s="101"/>
      <c r="AF2048" s="101"/>
      <c r="AG2048" s="101"/>
      <c r="AH2048" s="99"/>
      <c r="AI2048" s="105"/>
    </row>
    <row r="2049" spans="1:35">
      <c r="A2049" s="98"/>
      <c r="B2049" s="99"/>
      <c r="C2049" s="99"/>
      <c r="D2049" s="99"/>
      <c r="E2049" s="99"/>
      <c r="F2049" s="100"/>
      <c r="G2049" s="100"/>
      <c r="H2049" s="99"/>
      <c r="I2049" s="247"/>
      <c r="J2049" s="101"/>
      <c r="K2049" s="101"/>
      <c r="L2049" s="101"/>
      <c r="M2049" s="101"/>
      <c r="N2049" s="101"/>
      <c r="O2049" s="101"/>
      <c r="P2049" s="101"/>
      <c r="Q2049" s="101"/>
      <c r="R2049" s="101"/>
      <c r="S2049" s="101"/>
      <c r="T2049" s="101"/>
      <c r="U2049" s="99"/>
      <c r="V2049" s="100"/>
      <c r="W2049" s="100"/>
      <c r="X2049" s="100"/>
      <c r="Y2049" s="99"/>
      <c r="Z2049" s="99"/>
      <c r="AA2049" s="100"/>
      <c r="AB2049" s="99"/>
      <c r="AC2049" s="101"/>
      <c r="AD2049" s="101"/>
      <c r="AE2049" s="101"/>
      <c r="AF2049" s="101"/>
      <c r="AG2049" s="101"/>
      <c r="AH2049" s="99"/>
      <c r="AI2049" s="105"/>
    </row>
    <row r="2050" spans="1:35">
      <c r="A2050" s="98"/>
      <c r="B2050" s="99"/>
      <c r="C2050" s="99"/>
      <c r="D2050" s="99"/>
      <c r="E2050" s="99"/>
      <c r="F2050" s="100"/>
      <c r="G2050" s="100"/>
      <c r="H2050" s="99"/>
      <c r="I2050" s="247"/>
      <c r="J2050" s="101"/>
      <c r="K2050" s="101"/>
      <c r="L2050" s="101"/>
      <c r="M2050" s="101"/>
      <c r="N2050" s="101"/>
      <c r="O2050" s="101"/>
      <c r="P2050" s="101"/>
      <c r="Q2050" s="101"/>
      <c r="R2050" s="101"/>
      <c r="S2050" s="101"/>
      <c r="T2050" s="101"/>
      <c r="U2050" s="99"/>
      <c r="V2050" s="100"/>
      <c r="W2050" s="100"/>
      <c r="X2050" s="100"/>
      <c r="Y2050" s="99"/>
      <c r="Z2050" s="99"/>
      <c r="AA2050" s="100"/>
      <c r="AB2050" s="99"/>
      <c r="AC2050" s="101"/>
      <c r="AD2050" s="101"/>
      <c r="AE2050" s="101"/>
      <c r="AF2050" s="101"/>
      <c r="AG2050" s="101"/>
      <c r="AH2050" s="99"/>
      <c r="AI2050" s="105"/>
    </row>
    <row r="2051" spans="1:35">
      <c r="A2051" s="98"/>
      <c r="B2051" s="99"/>
      <c r="C2051" s="99"/>
      <c r="D2051" s="99"/>
      <c r="E2051" s="99"/>
      <c r="F2051" s="100"/>
      <c r="G2051" s="100"/>
      <c r="H2051" s="99"/>
      <c r="I2051" s="247"/>
      <c r="J2051" s="101"/>
      <c r="K2051" s="101"/>
      <c r="L2051" s="101"/>
      <c r="M2051" s="101"/>
      <c r="N2051" s="101"/>
      <c r="O2051" s="101"/>
      <c r="P2051" s="101"/>
      <c r="Q2051" s="101"/>
      <c r="R2051" s="101"/>
      <c r="S2051" s="101"/>
      <c r="T2051" s="101"/>
      <c r="U2051" s="99"/>
      <c r="V2051" s="100"/>
      <c r="W2051" s="100"/>
      <c r="X2051" s="100"/>
      <c r="Y2051" s="99"/>
      <c r="Z2051" s="99"/>
      <c r="AA2051" s="100"/>
      <c r="AB2051" s="99"/>
      <c r="AC2051" s="101"/>
      <c r="AD2051" s="101"/>
      <c r="AE2051" s="101"/>
      <c r="AF2051" s="101"/>
      <c r="AG2051" s="101"/>
      <c r="AH2051" s="99"/>
      <c r="AI2051" s="105"/>
    </row>
    <row r="2052" spans="1:35">
      <c r="A2052" s="98"/>
      <c r="B2052" s="99"/>
      <c r="C2052" s="99"/>
      <c r="D2052" s="99"/>
      <c r="E2052" s="99"/>
      <c r="F2052" s="100"/>
      <c r="G2052" s="100"/>
      <c r="H2052" s="99"/>
      <c r="I2052" s="247"/>
      <c r="J2052" s="101"/>
      <c r="K2052" s="101"/>
      <c r="L2052" s="101"/>
      <c r="M2052" s="101"/>
      <c r="N2052" s="101"/>
      <c r="O2052" s="101"/>
      <c r="P2052" s="101"/>
      <c r="Q2052" s="101"/>
      <c r="R2052" s="101"/>
      <c r="S2052" s="101"/>
      <c r="T2052" s="101"/>
      <c r="U2052" s="99"/>
      <c r="V2052" s="100"/>
      <c r="W2052" s="100"/>
      <c r="X2052" s="100"/>
      <c r="Y2052" s="99"/>
      <c r="Z2052" s="99"/>
      <c r="AA2052" s="100"/>
      <c r="AB2052" s="99"/>
      <c r="AC2052" s="101"/>
      <c r="AD2052" s="101"/>
      <c r="AE2052" s="101"/>
      <c r="AF2052" s="101"/>
      <c r="AG2052" s="101"/>
      <c r="AH2052" s="99"/>
      <c r="AI2052" s="105"/>
    </row>
    <row r="2053" spans="1:35">
      <c r="A2053" s="98"/>
      <c r="B2053" s="99"/>
      <c r="C2053" s="99"/>
      <c r="D2053" s="99"/>
      <c r="E2053" s="99"/>
      <c r="F2053" s="100"/>
      <c r="G2053" s="100"/>
      <c r="H2053" s="99"/>
      <c r="I2053" s="247"/>
      <c r="J2053" s="101"/>
      <c r="K2053" s="101"/>
      <c r="L2053" s="101"/>
      <c r="M2053" s="101"/>
      <c r="N2053" s="101"/>
      <c r="O2053" s="101"/>
      <c r="P2053" s="101"/>
      <c r="Q2053" s="101"/>
      <c r="R2053" s="101"/>
      <c r="S2053" s="101"/>
      <c r="T2053" s="101"/>
      <c r="U2053" s="99"/>
      <c r="V2053" s="100"/>
      <c r="W2053" s="100"/>
      <c r="X2053" s="100"/>
      <c r="Y2053" s="99"/>
      <c r="Z2053" s="99"/>
      <c r="AA2053" s="100"/>
      <c r="AB2053" s="99"/>
      <c r="AC2053" s="101"/>
      <c r="AD2053" s="101"/>
      <c r="AE2053" s="101"/>
      <c r="AF2053" s="101"/>
      <c r="AG2053" s="101"/>
      <c r="AH2053" s="99"/>
      <c r="AI2053" s="105"/>
    </row>
    <row r="2054" spans="1:35">
      <c r="A2054" s="98"/>
      <c r="B2054" s="99"/>
      <c r="C2054" s="99"/>
      <c r="D2054" s="99"/>
      <c r="E2054" s="99"/>
      <c r="F2054" s="100"/>
      <c r="G2054" s="100"/>
      <c r="H2054" s="99"/>
      <c r="I2054" s="247"/>
      <c r="J2054" s="101"/>
      <c r="K2054" s="101"/>
      <c r="L2054" s="101"/>
      <c r="M2054" s="101"/>
      <c r="N2054" s="101"/>
      <c r="O2054" s="101"/>
      <c r="P2054" s="101"/>
      <c r="Q2054" s="101"/>
      <c r="R2054" s="101"/>
      <c r="S2054" s="101"/>
      <c r="T2054" s="101"/>
      <c r="U2054" s="99"/>
      <c r="V2054" s="100"/>
      <c r="W2054" s="100"/>
      <c r="X2054" s="100"/>
      <c r="Y2054" s="99"/>
      <c r="Z2054" s="99"/>
      <c r="AA2054" s="100"/>
      <c r="AB2054" s="99"/>
      <c r="AC2054" s="101"/>
      <c r="AD2054" s="101"/>
      <c r="AE2054" s="101"/>
      <c r="AF2054" s="101"/>
      <c r="AG2054" s="101"/>
      <c r="AH2054" s="99"/>
      <c r="AI2054" s="105"/>
    </row>
    <row r="2055" spans="1:35">
      <c r="A2055" s="98"/>
      <c r="B2055" s="99"/>
      <c r="C2055" s="99"/>
      <c r="D2055" s="99"/>
      <c r="E2055" s="99"/>
      <c r="F2055" s="100"/>
      <c r="G2055" s="100"/>
      <c r="H2055" s="99"/>
      <c r="I2055" s="247"/>
      <c r="J2055" s="101"/>
      <c r="K2055" s="101"/>
      <c r="L2055" s="101"/>
      <c r="M2055" s="101"/>
      <c r="N2055" s="101"/>
      <c r="O2055" s="101"/>
      <c r="P2055" s="101"/>
      <c r="Q2055" s="101"/>
      <c r="R2055" s="101"/>
      <c r="S2055" s="101"/>
      <c r="T2055" s="101"/>
      <c r="U2055" s="99"/>
      <c r="V2055" s="100"/>
      <c r="W2055" s="100"/>
      <c r="X2055" s="100"/>
      <c r="Y2055" s="99"/>
      <c r="Z2055" s="99"/>
      <c r="AA2055" s="100"/>
      <c r="AB2055" s="99"/>
      <c r="AC2055" s="101"/>
      <c r="AD2055" s="101"/>
      <c r="AE2055" s="101"/>
      <c r="AF2055" s="101"/>
      <c r="AG2055" s="101"/>
      <c r="AH2055" s="99"/>
      <c r="AI2055" s="105"/>
    </row>
    <row r="2056" spans="1:35">
      <c r="A2056" s="98"/>
      <c r="B2056" s="99"/>
      <c r="C2056" s="99"/>
      <c r="D2056" s="99"/>
      <c r="E2056" s="99"/>
      <c r="F2056" s="100"/>
      <c r="G2056" s="100"/>
      <c r="H2056" s="99"/>
      <c r="I2056" s="247"/>
      <c r="J2056" s="101"/>
      <c r="K2056" s="101"/>
      <c r="L2056" s="101"/>
      <c r="M2056" s="101"/>
      <c r="N2056" s="101"/>
      <c r="O2056" s="101"/>
      <c r="P2056" s="101"/>
      <c r="Q2056" s="101"/>
      <c r="R2056" s="101"/>
      <c r="S2056" s="101"/>
      <c r="T2056" s="101"/>
      <c r="U2056" s="99"/>
      <c r="V2056" s="100"/>
      <c r="W2056" s="100"/>
      <c r="X2056" s="100"/>
      <c r="Y2056" s="99"/>
      <c r="Z2056" s="99"/>
      <c r="AA2056" s="100"/>
      <c r="AB2056" s="99"/>
      <c r="AC2056" s="101"/>
      <c r="AD2056" s="101"/>
      <c r="AE2056" s="101"/>
      <c r="AF2056" s="101"/>
      <c r="AG2056" s="101"/>
      <c r="AH2056" s="99"/>
      <c r="AI2056" s="105"/>
    </row>
    <row r="2057" spans="1:35">
      <c r="A2057" s="98"/>
      <c r="B2057" s="99"/>
      <c r="C2057" s="99"/>
      <c r="D2057" s="99"/>
      <c r="E2057" s="99"/>
      <c r="F2057" s="100"/>
      <c r="G2057" s="100"/>
      <c r="H2057" s="99"/>
      <c r="I2057" s="247"/>
      <c r="J2057" s="101"/>
      <c r="K2057" s="101"/>
      <c r="L2057" s="101"/>
      <c r="M2057" s="101"/>
      <c r="N2057" s="101"/>
      <c r="O2057" s="101"/>
      <c r="P2057" s="101"/>
      <c r="Q2057" s="101"/>
      <c r="R2057" s="101"/>
      <c r="S2057" s="101"/>
      <c r="T2057" s="101"/>
      <c r="U2057" s="99"/>
      <c r="V2057" s="100"/>
      <c r="W2057" s="100"/>
      <c r="X2057" s="100"/>
      <c r="Y2057" s="99"/>
      <c r="Z2057" s="99"/>
      <c r="AA2057" s="100"/>
      <c r="AB2057" s="99"/>
      <c r="AC2057" s="101"/>
      <c r="AD2057" s="101"/>
      <c r="AE2057" s="101"/>
      <c r="AF2057" s="101"/>
      <c r="AG2057" s="101"/>
      <c r="AH2057" s="99"/>
      <c r="AI2057" s="105"/>
    </row>
    <row r="2058" spans="1:35">
      <c r="A2058" s="98"/>
      <c r="B2058" s="99"/>
      <c r="C2058" s="99"/>
      <c r="D2058" s="99"/>
      <c r="E2058" s="99"/>
      <c r="F2058" s="100"/>
      <c r="G2058" s="100"/>
      <c r="H2058" s="99"/>
      <c r="I2058" s="247"/>
      <c r="J2058" s="101"/>
      <c r="K2058" s="101"/>
      <c r="L2058" s="101"/>
      <c r="M2058" s="101"/>
      <c r="N2058" s="101"/>
      <c r="O2058" s="101"/>
      <c r="P2058" s="101"/>
      <c r="Q2058" s="101"/>
      <c r="R2058" s="101"/>
      <c r="S2058" s="101"/>
      <c r="T2058" s="101"/>
      <c r="U2058" s="99"/>
      <c r="V2058" s="100"/>
      <c r="W2058" s="100"/>
      <c r="X2058" s="100"/>
      <c r="Y2058" s="99"/>
      <c r="Z2058" s="99"/>
      <c r="AA2058" s="100"/>
      <c r="AB2058" s="99"/>
      <c r="AC2058" s="101"/>
      <c r="AD2058" s="101"/>
      <c r="AE2058" s="101"/>
      <c r="AF2058" s="101"/>
      <c r="AG2058" s="101"/>
      <c r="AH2058" s="99"/>
      <c r="AI2058" s="105"/>
    </row>
    <row r="2059" spans="1:35">
      <c r="A2059" s="98"/>
      <c r="B2059" s="99"/>
      <c r="C2059" s="99"/>
      <c r="D2059" s="99"/>
      <c r="E2059" s="99"/>
      <c r="F2059" s="100"/>
      <c r="G2059" s="100"/>
      <c r="H2059" s="99"/>
      <c r="I2059" s="247"/>
      <c r="J2059" s="101"/>
      <c r="K2059" s="101"/>
      <c r="L2059" s="101"/>
      <c r="M2059" s="101"/>
      <c r="N2059" s="101"/>
      <c r="O2059" s="101"/>
      <c r="P2059" s="101"/>
      <c r="Q2059" s="101"/>
      <c r="R2059" s="101"/>
      <c r="S2059" s="101"/>
      <c r="T2059" s="101"/>
      <c r="U2059" s="99"/>
      <c r="V2059" s="100"/>
      <c r="W2059" s="100"/>
      <c r="X2059" s="100"/>
      <c r="Y2059" s="99"/>
      <c r="Z2059" s="99"/>
      <c r="AA2059" s="100"/>
      <c r="AB2059" s="99"/>
      <c r="AC2059" s="101"/>
      <c r="AD2059" s="101"/>
      <c r="AE2059" s="101"/>
      <c r="AF2059" s="101"/>
      <c r="AG2059" s="101"/>
      <c r="AH2059" s="99"/>
      <c r="AI2059" s="105"/>
    </row>
    <row r="2060" spans="1:35">
      <c r="A2060" s="98"/>
      <c r="B2060" s="99"/>
      <c r="C2060" s="99"/>
      <c r="D2060" s="99"/>
      <c r="E2060" s="99"/>
      <c r="F2060" s="100"/>
      <c r="G2060" s="100"/>
      <c r="H2060" s="99"/>
      <c r="I2060" s="247"/>
      <c r="J2060" s="101"/>
      <c r="K2060" s="101"/>
      <c r="L2060" s="101"/>
      <c r="M2060" s="101"/>
      <c r="N2060" s="101"/>
      <c r="O2060" s="101"/>
      <c r="P2060" s="101"/>
      <c r="Q2060" s="101"/>
      <c r="R2060" s="101"/>
      <c r="S2060" s="101"/>
      <c r="T2060" s="101"/>
      <c r="U2060" s="99"/>
      <c r="V2060" s="100"/>
      <c r="W2060" s="100"/>
      <c r="X2060" s="100"/>
      <c r="Y2060" s="99"/>
      <c r="Z2060" s="99"/>
      <c r="AA2060" s="100"/>
      <c r="AB2060" s="99"/>
      <c r="AC2060" s="101"/>
      <c r="AD2060" s="101"/>
      <c r="AE2060" s="101"/>
      <c r="AF2060" s="101"/>
      <c r="AG2060" s="101"/>
      <c r="AH2060" s="99"/>
      <c r="AI2060" s="105"/>
    </row>
    <row r="2061" spans="1:35">
      <c r="A2061" s="98"/>
      <c r="B2061" s="99"/>
      <c r="C2061" s="99"/>
      <c r="D2061" s="99"/>
      <c r="E2061" s="99"/>
      <c r="F2061" s="100"/>
      <c r="G2061" s="100"/>
      <c r="H2061" s="99"/>
      <c r="I2061" s="247"/>
      <c r="J2061" s="101"/>
      <c r="K2061" s="101"/>
      <c r="L2061" s="101"/>
      <c r="M2061" s="101"/>
      <c r="N2061" s="101"/>
      <c r="O2061" s="101"/>
      <c r="P2061" s="101"/>
      <c r="Q2061" s="101"/>
      <c r="R2061" s="101"/>
      <c r="S2061" s="101"/>
      <c r="T2061" s="101"/>
      <c r="U2061" s="99"/>
      <c r="V2061" s="100"/>
      <c r="W2061" s="100"/>
      <c r="X2061" s="100"/>
      <c r="Y2061" s="99"/>
      <c r="Z2061" s="99"/>
      <c r="AA2061" s="100"/>
      <c r="AB2061" s="99"/>
      <c r="AC2061" s="101"/>
      <c r="AD2061" s="101"/>
      <c r="AE2061" s="101"/>
      <c r="AF2061" s="101"/>
      <c r="AG2061" s="101"/>
      <c r="AH2061" s="99"/>
      <c r="AI2061" s="105"/>
    </row>
    <row r="2062" spans="1:35">
      <c r="A2062" s="98"/>
      <c r="B2062" s="99"/>
      <c r="C2062" s="99"/>
      <c r="D2062" s="99"/>
      <c r="E2062" s="99"/>
      <c r="F2062" s="100"/>
      <c r="G2062" s="100"/>
      <c r="H2062" s="99"/>
      <c r="I2062" s="247"/>
      <c r="J2062" s="101"/>
      <c r="K2062" s="101"/>
      <c r="L2062" s="101"/>
      <c r="M2062" s="101"/>
      <c r="N2062" s="101"/>
      <c r="O2062" s="101"/>
      <c r="P2062" s="101"/>
      <c r="Q2062" s="101"/>
      <c r="R2062" s="101"/>
      <c r="S2062" s="101"/>
      <c r="T2062" s="101"/>
      <c r="U2062" s="99"/>
      <c r="V2062" s="100"/>
      <c r="W2062" s="100"/>
      <c r="X2062" s="100"/>
      <c r="Y2062" s="99"/>
      <c r="Z2062" s="99"/>
      <c r="AA2062" s="100"/>
      <c r="AB2062" s="99"/>
      <c r="AC2062" s="101"/>
      <c r="AD2062" s="101"/>
      <c r="AE2062" s="101"/>
      <c r="AF2062" s="101"/>
      <c r="AG2062" s="101"/>
      <c r="AH2062" s="99"/>
      <c r="AI2062" s="105"/>
    </row>
    <row r="2063" spans="1:35">
      <c r="A2063" s="98"/>
      <c r="B2063" s="99"/>
      <c r="C2063" s="99"/>
      <c r="D2063" s="99"/>
      <c r="E2063" s="99"/>
      <c r="F2063" s="100"/>
      <c r="G2063" s="100"/>
      <c r="H2063" s="99"/>
      <c r="I2063" s="247"/>
      <c r="J2063" s="101"/>
      <c r="K2063" s="101"/>
      <c r="L2063" s="101"/>
      <c r="M2063" s="101"/>
      <c r="N2063" s="101"/>
      <c r="O2063" s="101"/>
      <c r="P2063" s="101"/>
      <c r="Q2063" s="101"/>
      <c r="R2063" s="101"/>
      <c r="S2063" s="101"/>
      <c r="T2063" s="101"/>
      <c r="U2063" s="99"/>
      <c r="V2063" s="100"/>
      <c r="W2063" s="100"/>
      <c r="X2063" s="100"/>
      <c r="Y2063" s="99"/>
      <c r="Z2063" s="99"/>
      <c r="AA2063" s="100"/>
      <c r="AB2063" s="99"/>
      <c r="AC2063" s="101"/>
      <c r="AD2063" s="101"/>
      <c r="AE2063" s="101"/>
      <c r="AF2063" s="101"/>
      <c r="AG2063" s="101"/>
      <c r="AH2063" s="99"/>
      <c r="AI2063" s="105"/>
    </row>
    <row r="2064" spans="1:35">
      <c r="A2064" s="98"/>
      <c r="B2064" s="99"/>
      <c r="C2064" s="99"/>
      <c r="D2064" s="99"/>
      <c r="E2064" s="99"/>
      <c r="F2064" s="100"/>
      <c r="G2064" s="100"/>
      <c r="H2064" s="99"/>
      <c r="I2064" s="247"/>
      <c r="J2064" s="101"/>
      <c r="K2064" s="101"/>
      <c r="L2064" s="101"/>
      <c r="M2064" s="101"/>
      <c r="N2064" s="101"/>
      <c r="O2064" s="101"/>
      <c r="P2064" s="101"/>
      <c r="Q2064" s="101"/>
      <c r="R2064" s="101"/>
      <c r="S2064" s="101"/>
      <c r="T2064" s="101"/>
      <c r="U2064" s="99"/>
      <c r="V2064" s="100"/>
      <c r="W2064" s="100"/>
      <c r="X2064" s="100"/>
      <c r="Y2064" s="99"/>
      <c r="Z2064" s="99"/>
      <c r="AA2064" s="100"/>
      <c r="AB2064" s="99"/>
      <c r="AC2064" s="101"/>
      <c r="AD2064" s="101"/>
      <c r="AE2064" s="101"/>
      <c r="AF2064" s="101"/>
      <c r="AG2064" s="101"/>
      <c r="AH2064" s="99"/>
      <c r="AI2064" s="105"/>
    </row>
    <row r="2065" spans="1:35">
      <c r="A2065" s="98"/>
      <c r="B2065" s="99"/>
      <c r="C2065" s="99"/>
      <c r="D2065" s="99"/>
      <c r="E2065" s="99"/>
      <c r="F2065" s="100"/>
      <c r="G2065" s="100"/>
      <c r="H2065" s="99"/>
      <c r="I2065" s="247"/>
      <c r="J2065" s="101"/>
      <c r="K2065" s="101"/>
      <c r="L2065" s="101"/>
      <c r="M2065" s="101"/>
      <c r="N2065" s="101"/>
      <c r="O2065" s="101"/>
      <c r="P2065" s="101"/>
      <c r="Q2065" s="101"/>
      <c r="R2065" s="101"/>
      <c r="S2065" s="101"/>
      <c r="T2065" s="101"/>
      <c r="U2065" s="99"/>
      <c r="V2065" s="100"/>
      <c r="W2065" s="100"/>
      <c r="X2065" s="100"/>
      <c r="Y2065" s="99"/>
      <c r="Z2065" s="99"/>
      <c r="AA2065" s="100"/>
      <c r="AB2065" s="99"/>
      <c r="AC2065" s="101"/>
      <c r="AD2065" s="101"/>
      <c r="AE2065" s="101"/>
      <c r="AF2065" s="101"/>
      <c r="AG2065" s="101"/>
      <c r="AH2065" s="99"/>
      <c r="AI2065" s="105"/>
    </row>
    <row r="2066" spans="1:35">
      <c r="A2066" s="98"/>
      <c r="B2066" s="99"/>
      <c r="C2066" s="99"/>
      <c r="D2066" s="99"/>
      <c r="E2066" s="99"/>
      <c r="F2066" s="100"/>
      <c r="G2066" s="100"/>
      <c r="H2066" s="99"/>
      <c r="I2066" s="247"/>
      <c r="J2066" s="101"/>
      <c r="K2066" s="101"/>
      <c r="L2066" s="101"/>
      <c r="M2066" s="101"/>
      <c r="N2066" s="101"/>
      <c r="O2066" s="101"/>
      <c r="P2066" s="101"/>
      <c r="Q2066" s="101"/>
      <c r="R2066" s="101"/>
      <c r="S2066" s="101"/>
      <c r="T2066" s="101"/>
      <c r="U2066" s="99"/>
      <c r="V2066" s="100"/>
      <c r="W2066" s="100"/>
      <c r="X2066" s="100"/>
      <c r="Y2066" s="99"/>
      <c r="Z2066" s="99"/>
      <c r="AA2066" s="100"/>
      <c r="AB2066" s="99"/>
      <c r="AC2066" s="101"/>
      <c r="AD2066" s="101"/>
      <c r="AE2066" s="101"/>
      <c r="AF2066" s="101"/>
      <c r="AG2066" s="101"/>
      <c r="AH2066" s="99"/>
      <c r="AI2066" s="105"/>
    </row>
    <row r="2067" spans="1:35">
      <c r="A2067" s="98"/>
      <c r="B2067" s="99"/>
      <c r="C2067" s="99"/>
      <c r="D2067" s="99"/>
      <c r="E2067" s="99"/>
      <c r="F2067" s="100"/>
      <c r="G2067" s="100"/>
      <c r="H2067" s="99"/>
      <c r="I2067" s="247"/>
      <c r="J2067" s="101"/>
      <c r="K2067" s="101"/>
      <c r="L2067" s="101"/>
      <c r="M2067" s="101"/>
      <c r="N2067" s="101"/>
      <c r="O2067" s="101"/>
      <c r="P2067" s="101"/>
      <c r="Q2067" s="101"/>
      <c r="R2067" s="101"/>
      <c r="S2067" s="101"/>
      <c r="T2067" s="101"/>
      <c r="U2067" s="99"/>
      <c r="V2067" s="100"/>
      <c r="W2067" s="100"/>
      <c r="X2067" s="100"/>
      <c r="Y2067" s="99"/>
      <c r="Z2067" s="99"/>
      <c r="AA2067" s="100"/>
      <c r="AB2067" s="99"/>
      <c r="AC2067" s="101"/>
      <c r="AD2067" s="101"/>
      <c r="AE2067" s="101"/>
      <c r="AF2067" s="101"/>
      <c r="AG2067" s="101"/>
      <c r="AH2067" s="99"/>
      <c r="AI2067" s="105"/>
    </row>
    <row r="2068" spans="1:35">
      <c r="A2068" s="98"/>
      <c r="B2068" s="99"/>
      <c r="C2068" s="99"/>
      <c r="D2068" s="99"/>
      <c r="E2068" s="99"/>
      <c r="F2068" s="100"/>
      <c r="G2068" s="100"/>
      <c r="H2068" s="99"/>
      <c r="I2068" s="247"/>
      <c r="J2068" s="101"/>
      <c r="K2068" s="101"/>
      <c r="L2068" s="101"/>
      <c r="M2068" s="101"/>
      <c r="N2068" s="101"/>
      <c r="O2068" s="101"/>
      <c r="P2068" s="101"/>
      <c r="Q2068" s="101"/>
      <c r="R2068" s="101"/>
      <c r="S2068" s="101"/>
      <c r="T2068" s="101"/>
      <c r="U2068" s="99"/>
      <c r="V2068" s="100"/>
      <c r="W2068" s="100"/>
      <c r="X2068" s="100"/>
      <c r="Y2068" s="99"/>
      <c r="Z2068" s="99"/>
      <c r="AA2068" s="100"/>
      <c r="AB2068" s="99"/>
      <c r="AC2068" s="101"/>
      <c r="AD2068" s="101"/>
      <c r="AE2068" s="101"/>
      <c r="AF2068" s="101"/>
      <c r="AG2068" s="101"/>
      <c r="AH2068" s="99"/>
      <c r="AI2068" s="105"/>
    </row>
    <row r="2069" spans="1:35">
      <c r="A2069" s="98"/>
      <c r="B2069" s="99"/>
      <c r="C2069" s="99"/>
      <c r="D2069" s="99"/>
      <c r="E2069" s="99"/>
      <c r="F2069" s="100"/>
      <c r="G2069" s="100"/>
      <c r="H2069" s="99"/>
      <c r="I2069" s="247"/>
      <c r="J2069" s="101"/>
      <c r="K2069" s="101"/>
      <c r="L2069" s="101"/>
      <c r="M2069" s="101"/>
      <c r="N2069" s="101"/>
      <c r="O2069" s="101"/>
      <c r="P2069" s="101"/>
      <c r="Q2069" s="101"/>
      <c r="R2069" s="101"/>
      <c r="S2069" s="101"/>
      <c r="T2069" s="101"/>
      <c r="U2069" s="99"/>
      <c r="V2069" s="100"/>
      <c r="W2069" s="100"/>
      <c r="X2069" s="100"/>
      <c r="Y2069" s="99"/>
      <c r="Z2069" s="99"/>
      <c r="AA2069" s="100"/>
      <c r="AB2069" s="99"/>
      <c r="AC2069" s="101"/>
      <c r="AD2069" s="101"/>
      <c r="AE2069" s="101"/>
      <c r="AF2069" s="101"/>
      <c r="AG2069" s="101"/>
      <c r="AH2069" s="99"/>
      <c r="AI2069" s="105"/>
    </row>
    <row r="2070" spans="1:35">
      <c r="A2070" s="98"/>
      <c r="B2070" s="99"/>
      <c r="C2070" s="99"/>
      <c r="D2070" s="99"/>
      <c r="E2070" s="99"/>
      <c r="F2070" s="100"/>
      <c r="G2070" s="100"/>
      <c r="H2070" s="99"/>
      <c r="I2070" s="247"/>
      <c r="J2070" s="101"/>
      <c r="K2070" s="101"/>
      <c r="L2070" s="101"/>
      <c r="M2070" s="101"/>
      <c r="N2070" s="101"/>
      <c r="O2070" s="101"/>
      <c r="P2070" s="101"/>
      <c r="Q2070" s="101"/>
      <c r="R2070" s="101"/>
      <c r="S2070" s="101"/>
      <c r="T2070" s="101"/>
      <c r="U2070" s="99"/>
      <c r="V2070" s="100"/>
      <c r="W2070" s="100"/>
      <c r="X2070" s="100"/>
      <c r="Y2070" s="99"/>
      <c r="Z2070" s="99"/>
      <c r="AA2070" s="100"/>
      <c r="AB2070" s="99"/>
      <c r="AC2070" s="101"/>
      <c r="AD2070" s="101"/>
      <c r="AE2070" s="101"/>
      <c r="AF2070" s="101"/>
      <c r="AG2070" s="101"/>
      <c r="AH2070" s="99"/>
      <c r="AI2070" s="105"/>
    </row>
    <row r="2071" spans="1:35">
      <c r="A2071" s="98"/>
      <c r="B2071" s="99"/>
      <c r="C2071" s="99"/>
      <c r="D2071" s="99"/>
      <c r="E2071" s="99"/>
      <c r="F2071" s="100"/>
      <c r="G2071" s="100"/>
      <c r="H2071" s="99"/>
      <c r="I2071" s="247"/>
      <c r="J2071" s="101"/>
      <c r="K2071" s="101"/>
      <c r="L2071" s="101"/>
      <c r="M2071" s="101"/>
      <c r="N2071" s="101"/>
      <c r="O2071" s="101"/>
      <c r="P2071" s="101"/>
      <c r="Q2071" s="101"/>
      <c r="R2071" s="101"/>
      <c r="S2071" s="101"/>
      <c r="T2071" s="101"/>
      <c r="U2071" s="99"/>
      <c r="V2071" s="100"/>
      <c r="W2071" s="100"/>
      <c r="X2071" s="100"/>
      <c r="Y2071" s="99"/>
      <c r="Z2071" s="99"/>
      <c r="AA2071" s="100"/>
      <c r="AB2071" s="99"/>
      <c r="AC2071" s="101"/>
      <c r="AD2071" s="101"/>
      <c r="AE2071" s="101"/>
      <c r="AF2071" s="101"/>
      <c r="AG2071" s="101"/>
      <c r="AH2071" s="99"/>
      <c r="AI2071" s="105"/>
    </row>
    <row r="2072" spans="1:35">
      <c r="A2072" s="98"/>
      <c r="B2072" s="99"/>
      <c r="C2072" s="99"/>
      <c r="D2072" s="99"/>
      <c r="E2072" s="99"/>
      <c r="F2072" s="100"/>
      <c r="G2072" s="100"/>
      <c r="H2072" s="99"/>
      <c r="I2072" s="247"/>
      <c r="J2072" s="101"/>
      <c r="K2072" s="101"/>
      <c r="L2072" s="101"/>
      <c r="M2072" s="101"/>
      <c r="N2072" s="101"/>
      <c r="O2072" s="101"/>
      <c r="P2072" s="101"/>
      <c r="Q2072" s="101"/>
      <c r="R2072" s="101"/>
      <c r="S2072" s="101"/>
      <c r="T2072" s="101"/>
      <c r="U2072" s="99"/>
      <c r="V2072" s="100"/>
      <c r="W2072" s="100"/>
      <c r="X2072" s="100"/>
      <c r="Y2072" s="99"/>
      <c r="Z2072" s="99"/>
      <c r="AA2072" s="100"/>
      <c r="AB2072" s="99"/>
      <c r="AC2072" s="101"/>
      <c r="AD2072" s="101"/>
      <c r="AE2072" s="101"/>
      <c r="AF2072" s="101"/>
      <c r="AG2072" s="101"/>
      <c r="AH2072" s="99"/>
      <c r="AI2072" s="105"/>
    </row>
    <row r="2073" spans="1:35">
      <c r="A2073" s="98"/>
      <c r="B2073" s="99"/>
      <c r="C2073" s="99"/>
      <c r="D2073" s="99"/>
      <c r="E2073" s="99"/>
      <c r="F2073" s="100"/>
      <c r="G2073" s="100"/>
      <c r="H2073" s="99"/>
      <c r="I2073" s="247"/>
      <c r="J2073" s="101"/>
      <c r="K2073" s="101"/>
      <c r="L2073" s="101"/>
      <c r="M2073" s="101"/>
      <c r="N2073" s="101"/>
      <c r="O2073" s="101"/>
      <c r="P2073" s="101"/>
      <c r="Q2073" s="101"/>
      <c r="R2073" s="101"/>
      <c r="S2073" s="101"/>
      <c r="T2073" s="101"/>
      <c r="U2073" s="99"/>
      <c r="V2073" s="100"/>
      <c r="W2073" s="100"/>
      <c r="X2073" s="100"/>
      <c r="Y2073" s="99"/>
      <c r="Z2073" s="99"/>
      <c r="AA2073" s="100"/>
      <c r="AB2073" s="99"/>
      <c r="AC2073" s="101"/>
      <c r="AD2073" s="101"/>
      <c r="AE2073" s="101"/>
      <c r="AF2073" s="101"/>
      <c r="AG2073" s="101"/>
      <c r="AH2073" s="99"/>
      <c r="AI2073" s="105"/>
    </row>
    <row r="2074" spans="1:35">
      <c r="A2074" s="98"/>
      <c r="B2074" s="99"/>
      <c r="C2074" s="99"/>
      <c r="D2074" s="99"/>
      <c r="E2074" s="99"/>
      <c r="F2074" s="100"/>
      <c r="G2074" s="100"/>
      <c r="H2074" s="99"/>
      <c r="I2074" s="247"/>
      <c r="J2074" s="101"/>
      <c r="K2074" s="101"/>
      <c r="L2074" s="101"/>
      <c r="M2074" s="101"/>
      <c r="N2074" s="101"/>
      <c r="O2074" s="101"/>
      <c r="P2074" s="101"/>
      <c r="Q2074" s="101"/>
      <c r="R2074" s="101"/>
      <c r="S2074" s="101"/>
      <c r="T2074" s="101"/>
      <c r="U2074" s="99"/>
      <c r="V2074" s="100"/>
      <c r="W2074" s="100"/>
      <c r="X2074" s="100"/>
      <c r="Y2074" s="99"/>
      <c r="Z2074" s="99"/>
      <c r="AA2074" s="100"/>
      <c r="AB2074" s="99"/>
      <c r="AC2074" s="101"/>
      <c r="AD2074" s="101"/>
      <c r="AE2074" s="101"/>
      <c r="AF2074" s="101"/>
      <c r="AG2074" s="101"/>
      <c r="AH2074" s="99"/>
      <c r="AI2074" s="105"/>
    </row>
    <row r="2075" spans="1:35">
      <c r="A2075" s="98"/>
      <c r="B2075" s="99"/>
      <c r="C2075" s="99"/>
      <c r="D2075" s="99"/>
      <c r="E2075" s="99"/>
      <c r="F2075" s="100"/>
      <c r="G2075" s="100"/>
      <c r="H2075" s="99"/>
      <c r="I2075" s="247"/>
      <c r="J2075" s="101"/>
      <c r="K2075" s="101"/>
      <c r="L2075" s="101"/>
      <c r="M2075" s="101"/>
      <c r="N2075" s="101"/>
      <c r="O2075" s="101"/>
      <c r="P2075" s="101"/>
      <c r="Q2075" s="101"/>
      <c r="R2075" s="101"/>
      <c r="S2075" s="101"/>
      <c r="T2075" s="101"/>
      <c r="U2075" s="99"/>
      <c r="V2075" s="100"/>
      <c r="W2075" s="100"/>
      <c r="X2075" s="100"/>
      <c r="Y2075" s="99"/>
      <c r="Z2075" s="99"/>
      <c r="AA2075" s="100"/>
      <c r="AB2075" s="99"/>
      <c r="AC2075" s="101"/>
      <c r="AD2075" s="101"/>
      <c r="AE2075" s="101"/>
      <c r="AF2075" s="101"/>
      <c r="AG2075" s="101"/>
      <c r="AH2075" s="99"/>
      <c r="AI2075" s="105"/>
    </row>
    <row r="2076" spans="1:35">
      <c r="A2076" s="98"/>
      <c r="B2076" s="99"/>
      <c r="C2076" s="99"/>
      <c r="D2076" s="99"/>
      <c r="E2076" s="99"/>
      <c r="F2076" s="100"/>
      <c r="G2076" s="100"/>
      <c r="H2076" s="99"/>
      <c r="I2076" s="247"/>
      <c r="J2076" s="101"/>
      <c r="K2076" s="101"/>
      <c r="L2076" s="101"/>
      <c r="M2076" s="101"/>
      <c r="N2076" s="101"/>
      <c r="O2076" s="101"/>
      <c r="P2076" s="101"/>
      <c r="Q2076" s="101"/>
      <c r="R2076" s="101"/>
      <c r="S2076" s="101"/>
      <c r="T2076" s="101"/>
      <c r="U2076" s="99"/>
      <c r="V2076" s="100"/>
      <c r="W2076" s="100"/>
      <c r="X2076" s="100"/>
      <c r="Y2076" s="99"/>
      <c r="Z2076" s="99"/>
      <c r="AA2076" s="100"/>
      <c r="AB2076" s="99"/>
      <c r="AC2076" s="101"/>
      <c r="AD2076" s="101"/>
      <c r="AE2076" s="101"/>
      <c r="AF2076" s="101"/>
      <c r="AG2076" s="101"/>
      <c r="AH2076" s="99"/>
      <c r="AI2076" s="105"/>
    </row>
    <row r="2077" spans="1:35">
      <c r="A2077" s="98"/>
      <c r="B2077" s="99"/>
      <c r="C2077" s="99"/>
      <c r="D2077" s="99"/>
      <c r="E2077" s="99"/>
      <c r="F2077" s="100"/>
      <c r="G2077" s="100"/>
      <c r="H2077" s="99"/>
      <c r="I2077" s="247"/>
      <c r="J2077" s="101"/>
      <c r="K2077" s="101"/>
      <c r="L2077" s="101"/>
      <c r="M2077" s="101"/>
      <c r="N2077" s="101"/>
      <c r="O2077" s="101"/>
      <c r="P2077" s="101"/>
      <c r="Q2077" s="101"/>
      <c r="R2077" s="101"/>
      <c r="S2077" s="101"/>
      <c r="T2077" s="101"/>
      <c r="U2077" s="99"/>
      <c r="V2077" s="100"/>
      <c r="W2077" s="100"/>
      <c r="X2077" s="100"/>
      <c r="Y2077" s="99"/>
      <c r="Z2077" s="99"/>
      <c r="AA2077" s="100"/>
      <c r="AB2077" s="99"/>
      <c r="AC2077" s="101"/>
      <c r="AD2077" s="101"/>
      <c r="AE2077" s="101"/>
      <c r="AF2077" s="101"/>
      <c r="AG2077" s="101"/>
      <c r="AH2077" s="99"/>
      <c r="AI2077" s="105"/>
    </row>
    <row r="2078" spans="1:35">
      <c r="A2078" s="98"/>
      <c r="B2078" s="99"/>
      <c r="C2078" s="99"/>
      <c r="D2078" s="99"/>
      <c r="E2078" s="99"/>
      <c r="F2078" s="100"/>
      <c r="G2078" s="100"/>
      <c r="H2078" s="99"/>
      <c r="I2078" s="247"/>
      <c r="J2078" s="101"/>
      <c r="K2078" s="101"/>
      <c r="L2078" s="101"/>
      <c r="M2078" s="101"/>
      <c r="N2078" s="101"/>
      <c r="O2078" s="101"/>
      <c r="P2078" s="101"/>
      <c r="Q2078" s="101"/>
      <c r="R2078" s="101"/>
      <c r="S2078" s="101"/>
      <c r="T2078" s="101"/>
      <c r="U2078" s="99"/>
      <c r="V2078" s="100"/>
      <c r="W2078" s="100"/>
      <c r="X2078" s="100"/>
      <c r="Y2078" s="99"/>
      <c r="Z2078" s="99"/>
      <c r="AA2078" s="100"/>
      <c r="AB2078" s="99"/>
      <c r="AC2078" s="101"/>
      <c r="AD2078" s="101"/>
      <c r="AE2078" s="101"/>
      <c r="AF2078" s="101"/>
      <c r="AG2078" s="101"/>
      <c r="AH2078" s="99"/>
      <c r="AI2078" s="105"/>
    </row>
    <row r="2079" spans="1:35">
      <c r="A2079" s="98"/>
      <c r="B2079" s="99"/>
      <c r="C2079" s="99"/>
      <c r="D2079" s="99"/>
      <c r="E2079" s="99"/>
      <c r="F2079" s="100"/>
      <c r="G2079" s="100"/>
      <c r="H2079" s="99"/>
      <c r="I2079" s="247"/>
      <c r="J2079" s="101"/>
      <c r="K2079" s="101"/>
      <c r="L2079" s="101"/>
      <c r="M2079" s="101"/>
      <c r="N2079" s="101"/>
      <c r="O2079" s="101"/>
      <c r="P2079" s="101"/>
      <c r="Q2079" s="101"/>
      <c r="R2079" s="101"/>
      <c r="S2079" s="101"/>
      <c r="T2079" s="101"/>
      <c r="U2079" s="99"/>
      <c r="V2079" s="100"/>
      <c r="W2079" s="100"/>
      <c r="X2079" s="100"/>
      <c r="Y2079" s="99"/>
      <c r="Z2079" s="99"/>
      <c r="AA2079" s="100"/>
      <c r="AB2079" s="99"/>
      <c r="AC2079" s="101"/>
      <c r="AD2079" s="101"/>
      <c r="AE2079" s="101"/>
      <c r="AF2079" s="101"/>
      <c r="AG2079" s="101"/>
      <c r="AH2079" s="99"/>
      <c r="AI2079" s="105"/>
    </row>
    <row r="2080" spans="1:35">
      <c r="A2080" s="98"/>
      <c r="B2080" s="99"/>
      <c r="C2080" s="99"/>
      <c r="D2080" s="99"/>
      <c r="E2080" s="99"/>
      <c r="F2080" s="100"/>
      <c r="G2080" s="100"/>
      <c r="H2080" s="99"/>
      <c r="I2080" s="247"/>
      <c r="J2080" s="101"/>
      <c r="K2080" s="101"/>
      <c r="L2080" s="101"/>
      <c r="M2080" s="101"/>
      <c r="N2080" s="101"/>
      <c r="O2080" s="101"/>
      <c r="P2080" s="101"/>
      <c r="Q2080" s="101"/>
      <c r="R2080" s="101"/>
      <c r="S2080" s="101"/>
      <c r="T2080" s="101"/>
      <c r="U2080" s="99"/>
      <c r="V2080" s="100"/>
      <c r="W2080" s="100"/>
      <c r="X2080" s="100"/>
      <c r="Y2080" s="99"/>
      <c r="Z2080" s="99"/>
      <c r="AA2080" s="100"/>
      <c r="AB2080" s="99"/>
      <c r="AC2080" s="101"/>
      <c r="AD2080" s="101"/>
      <c r="AE2080" s="101"/>
      <c r="AF2080" s="101"/>
      <c r="AG2080" s="101"/>
      <c r="AH2080" s="99"/>
      <c r="AI2080" s="105"/>
    </row>
    <row r="2081" spans="1:35">
      <c r="A2081" s="98"/>
      <c r="B2081" s="99"/>
      <c r="C2081" s="99"/>
      <c r="D2081" s="99"/>
      <c r="E2081" s="99"/>
      <c r="F2081" s="100"/>
      <c r="G2081" s="100"/>
      <c r="H2081" s="99"/>
      <c r="I2081" s="247"/>
      <c r="J2081" s="101"/>
      <c r="K2081" s="101"/>
      <c r="L2081" s="101"/>
      <c r="M2081" s="101"/>
      <c r="N2081" s="101"/>
      <c r="O2081" s="101"/>
      <c r="P2081" s="101"/>
      <c r="Q2081" s="101"/>
      <c r="R2081" s="101"/>
      <c r="S2081" s="101"/>
      <c r="T2081" s="101"/>
      <c r="U2081" s="99"/>
      <c r="V2081" s="100"/>
      <c r="W2081" s="100"/>
      <c r="X2081" s="100"/>
      <c r="Y2081" s="99"/>
      <c r="Z2081" s="99"/>
      <c r="AA2081" s="100"/>
      <c r="AB2081" s="99"/>
      <c r="AC2081" s="101"/>
      <c r="AD2081" s="101"/>
      <c r="AE2081" s="101"/>
      <c r="AF2081" s="101"/>
      <c r="AG2081" s="101"/>
      <c r="AH2081" s="99"/>
      <c r="AI2081" s="105"/>
    </row>
    <row r="2082" spans="1:35">
      <c r="A2082" s="98"/>
      <c r="B2082" s="99"/>
      <c r="C2082" s="99"/>
      <c r="D2082" s="99"/>
      <c r="E2082" s="99"/>
      <c r="F2082" s="100"/>
      <c r="G2082" s="100"/>
      <c r="H2082" s="99"/>
      <c r="I2082" s="247"/>
      <c r="J2082" s="101"/>
      <c r="K2082" s="101"/>
      <c r="L2082" s="101"/>
      <c r="M2082" s="101"/>
      <c r="N2082" s="101"/>
      <c r="O2082" s="101"/>
      <c r="P2082" s="101"/>
      <c r="Q2082" s="101"/>
      <c r="R2082" s="101"/>
      <c r="S2082" s="101"/>
      <c r="T2082" s="101"/>
      <c r="U2082" s="99"/>
      <c r="V2082" s="100"/>
      <c r="W2082" s="100"/>
      <c r="X2082" s="100"/>
      <c r="Y2082" s="99"/>
      <c r="Z2082" s="99"/>
      <c r="AA2082" s="100"/>
      <c r="AB2082" s="99"/>
      <c r="AC2082" s="101"/>
      <c r="AD2082" s="101"/>
      <c r="AE2082" s="101"/>
      <c r="AF2082" s="101"/>
      <c r="AG2082" s="101"/>
      <c r="AH2082" s="99"/>
      <c r="AI2082" s="105"/>
    </row>
    <row r="2083" spans="1:35">
      <c r="A2083" s="98"/>
      <c r="B2083" s="99"/>
      <c r="C2083" s="99"/>
      <c r="D2083" s="99"/>
      <c r="E2083" s="99"/>
      <c r="F2083" s="100"/>
      <c r="G2083" s="100"/>
      <c r="H2083" s="99"/>
      <c r="I2083" s="247"/>
      <c r="J2083" s="101"/>
      <c r="K2083" s="101"/>
      <c r="L2083" s="101"/>
      <c r="M2083" s="101"/>
      <c r="N2083" s="101"/>
      <c r="O2083" s="101"/>
      <c r="P2083" s="101"/>
      <c r="Q2083" s="101"/>
      <c r="R2083" s="101"/>
      <c r="S2083" s="101"/>
      <c r="T2083" s="101"/>
      <c r="U2083" s="99"/>
      <c r="V2083" s="100"/>
      <c r="W2083" s="100"/>
      <c r="X2083" s="100"/>
      <c r="Y2083" s="99"/>
      <c r="Z2083" s="99"/>
      <c r="AA2083" s="100"/>
      <c r="AB2083" s="99"/>
      <c r="AC2083" s="101"/>
      <c r="AD2083" s="101"/>
      <c r="AE2083" s="101"/>
      <c r="AF2083" s="101"/>
      <c r="AG2083" s="101"/>
      <c r="AH2083" s="99"/>
      <c r="AI2083" s="105"/>
    </row>
    <row r="2084" spans="1:35">
      <c r="A2084" s="98"/>
      <c r="B2084" s="99"/>
      <c r="C2084" s="99"/>
      <c r="D2084" s="99"/>
      <c r="E2084" s="99"/>
      <c r="F2084" s="100"/>
      <c r="G2084" s="100"/>
      <c r="H2084" s="99"/>
      <c r="I2084" s="247"/>
      <c r="J2084" s="101"/>
      <c r="K2084" s="101"/>
      <c r="L2084" s="101"/>
      <c r="M2084" s="101"/>
      <c r="N2084" s="101"/>
      <c r="O2084" s="101"/>
      <c r="P2084" s="101"/>
      <c r="Q2084" s="101"/>
      <c r="R2084" s="101"/>
      <c r="S2084" s="101"/>
      <c r="T2084" s="101"/>
      <c r="U2084" s="99"/>
      <c r="V2084" s="100"/>
      <c r="W2084" s="100"/>
      <c r="X2084" s="100"/>
      <c r="Y2084" s="99"/>
      <c r="Z2084" s="99"/>
      <c r="AA2084" s="100"/>
      <c r="AB2084" s="99"/>
      <c r="AC2084" s="101"/>
      <c r="AD2084" s="101"/>
      <c r="AE2084" s="101"/>
      <c r="AF2084" s="101"/>
      <c r="AG2084" s="101"/>
      <c r="AH2084" s="99"/>
      <c r="AI2084" s="105"/>
    </row>
    <row r="2085" spans="1:35">
      <c r="A2085" s="98"/>
      <c r="B2085" s="99"/>
      <c r="C2085" s="99"/>
      <c r="D2085" s="99"/>
      <c r="E2085" s="99"/>
      <c r="F2085" s="100"/>
      <c r="G2085" s="100"/>
      <c r="H2085" s="99"/>
      <c r="I2085" s="247"/>
      <c r="J2085" s="101"/>
      <c r="K2085" s="101"/>
      <c r="L2085" s="101"/>
      <c r="M2085" s="101"/>
      <c r="N2085" s="101"/>
      <c r="O2085" s="101"/>
      <c r="P2085" s="101"/>
      <c r="Q2085" s="101"/>
      <c r="R2085" s="101"/>
      <c r="S2085" s="101"/>
      <c r="T2085" s="101"/>
      <c r="U2085" s="99"/>
      <c r="V2085" s="100"/>
      <c r="W2085" s="100"/>
      <c r="X2085" s="100"/>
      <c r="Y2085" s="99"/>
      <c r="Z2085" s="99"/>
      <c r="AA2085" s="100"/>
      <c r="AB2085" s="99"/>
      <c r="AC2085" s="101"/>
      <c r="AD2085" s="101"/>
      <c r="AE2085" s="101"/>
      <c r="AF2085" s="101"/>
      <c r="AG2085" s="101"/>
      <c r="AH2085" s="99"/>
      <c r="AI2085" s="105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phoneticPr fontId="31" alignment="center"/>
  <conditionalFormatting sqref="L4:L8">
    <cfRule type="cellIs" dxfId="4046" priority="3774" operator="greaterThan">
      <formula>0</formula>
    </cfRule>
    <cfRule type="cellIs" dxfId="4045" priority="3775" operator="lessThan">
      <formula>0</formula>
    </cfRule>
  </conditionalFormatting>
  <conditionalFormatting sqref="A15:S25 U15:AI25 A53:H88 I53:I86 AD147:AI147 A147:B150 E148:AI149 E150:Z150 AC150:AI150 A151:AI152 A153:Z153 AC153:AI153 A27:AI52 J53:AI88 A89:AI146 AC156:AI168 A156:Z168 A169:AI169 A171:AI215 A216:T216 Y216:AI216 AC267:AI275 AA267:AB286 A260:X260 Z260:AI260 A263:B275 Y263:AI266 Y267:Z275 M307:T314 F309:L310 F313:L314 Y307:Z314 U263:X314 A217:AI259 A261:AI262 F263:T275 C263:E314 A307:B868 AD307:AI868 AC929:AI931 AD932:AI932 AA930:AB931 AA933:AI933 A929:Z934 A935:B935 Y935:Z935 A936:Z936 AA934:AA936 AB934:AI937 A937:B937 AC938:AI938 Y940:Z953 A939:B962 Y955:Z962 C939:X966 AB939:AI966 AA940:AA966 A963:Z967 AA967:AI985 Y986:AI988 Y968:Z985 A968:X988 F1032:J1036 K1033:K1037 U1032:X1036 M1033:T1036 M1037:X1038 M1039:U1041 L989:L1058 M989:AI1018 M1019:Z1028 AD1019:AI1028 Y1033:Z1041 AD1033:AI1041 AA1019:AC1048 W1060 W1062 W1064 W1066 W1068 W1070 W1072 I1076:I1085 K1074:W1087 Y1074:Z1087 AD1074:AI1088 I1095:I1100 K1090:AI1090 K1088:Z1089 AC1089:AI1089 K1091:Z1102 AA1092 AB1091:AI1102 A1094:B1122 I1107:I1117 K1103:AI1117 K1118:K1122 M1118:T1122 Y1118:Z1122 AD1118:AI1122 L1118:L1162 AA1118:AC1148 AC1150 AC1152 AC1154 AC1156 AC1158 AC1160 U1118:X1175 AA1149:AA1175 AC1162:AC1163 AC1165:AC1166 AC1168:AC1169 AC1171:AC1172 AC1174:AC1175 A1208:B1221 I1214:I1220 A989:K1007 A1008:B1028 F1008:K1028 A1033:B1041 F1038:K1041 C1008:E1058 A1074:B1089 F1087:I1089 F1076:H1086 F1074:I1075 C1066:E1089 A1090:I1093 F1107:H1118 F1119:I1122 F1102:I1106 F1094:H1101 C1094:E1177 F1214:H1221 F1208:I1213 C1207:E1221 M1208:T1251 Y1208:Z1251 J1208:K1267 L1252:Z1267 AC1276:AI1288 Y1364:Z1364 V1364:X1366 AC1364:AI1364 A1222:I1267 A1268:Z1288 A1364:U1364 F1550:H1551 I1554:I1555 AD1208:AI1275 AA1207:AA1330 A1289:AA1363 AD1289:AI1363 AA1364:AA1537 AC1252:AC1537 AA1551 AC1551 AA1564 AC1564 AA1580 AC1580 AA1542:AA1543 AA1545:AA1546 AC1553 AA1553 F1553:H1555 AA1552:AC1552 F1552:I1552 AC1555:AC1556 AA1555:AA1556 AC1558:AC1559 AA1558:AA1559 AB1553:AB1564 AC1561:AC1562 AA1561:AA1562 AC1566 AA1566 AA1565:AC1565 AC1568:AC1569 AA1568:AA1569 AC1571:AC1572 AA1571:AA1572 AC1574:AC1575 AA1574:AA1575 AB1566:AB1580 AC1577:AC1578 AA1577:AA1578 AB1207:AB1551 M1539:AA1540 C1539:E1540 K1537:K1546 F1538:I1549 AC1537:AI1549 M1548:AA1549 AA1581:AC1581 F1556:I1584 A1538:B1584 J1524:J1582 L1524:L1582 A1594:I1595 AD1593:AI1598 A1600:I1601 AD1600:AI1601 A1608:L1608 A1617:L1617 A1628:L1628 A1059:AI1059 V1039:X1058 AD1608:AI1611 AD1617:AI1620 AD1628:AI1631 W1553:W1555 AD1746:AI1747 A1747:L1747 AB1697:AC1748 C1542:E1543 A1593:B1593 F1593:I1593 A1597:I1598 A1596:B1596 F1596:I1596 A1610:I1611 A1609:B1609 F1609:I1609 A1619:I1620 A1618:B1618 F1618:I1618 A1630:I1631 A1629:B1629 F1629:I1629 A1746:B1746 F1746:L1746 A154:AI155 AA157:AB158 AA160:AB161 AA163:AB168 M1547:W1547 Y1547:Z1547 A1836:B1837 I1838 A1913:B1918 AD1913:AI1919 I1919:L1919 A1954:B1955 I1955:I1956 F1837:H1837 F1836:I1836 F1954:H1955 F1917:L1917 F1916:I1918 F1915:L1915 F1913:I1914 I1983:I1989 I1993:I1997 A2013:I2036 F1985:H1997 A1985:B2012 F1998:I2012">
    <cfRule type="containsBlanks" dxfId="4044" priority="3776">
      <formula>LEN(TRIM(A15))=0</formula>
    </cfRule>
  </conditionalFormatting>
  <conditionalFormatting sqref="T15:T25">
    <cfRule type="containsBlanks" dxfId="4043" priority="3773">
      <formula>LEN(TRIM(T15))=0</formula>
    </cfRule>
  </conditionalFormatting>
  <conditionalFormatting sqref="C147:AC147">
    <cfRule type="containsBlanks" dxfId="4042" priority="3765">
      <formula>LEN(TRIM(C147))=0</formula>
    </cfRule>
  </conditionalFormatting>
  <conditionalFormatting sqref="F147">
    <cfRule type="duplicateValues" dxfId="4041" priority="3766"/>
  </conditionalFormatting>
  <conditionalFormatting sqref="G147">
    <cfRule type="duplicateValues" dxfId="4040" priority="3767"/>
  </conditionalFormatting>
  <conditionalFormatting sqref="H147">
    <cfRule type="duplicateValues" dxfId="4039" priority="3768"/>
  </conditionalFormatting>
  <conditionalFormatting sqref="C148:D148">
    <cfRule type="containsBlanks" dxfId="4038" priority="3764">
      <formula>LEN(TRIM(C148))=0</formula>
    </cfRule>
  </conditionalFormatting>
  <conditionalFormatting sqref="C149:D149">
    <cfRule type="containsBlanks" dxfId="4037" priority="3763">
      <formula>LEN(TRIM(C149))=0</formula>
    </cfRule>
  </conditionalFormatting>
  <conditionalFormatting sqref="C150:D150">
    <cfRule type="containsBlanks" dxfId="4036" priority="3762">
      <formula>LEN(TRIM(C150))=0</formula>
    </cfRule>
  </conditionalFormatting>
  <conditionalFormatting sqref="AA150:AB150">
    <cfRule type="containsBlanks" dxfId="4035" priority="3761">
      <formula>LEN(TRIM(AA150))=0</formula>
    </cfRule>
  </conditionalFormatting>
  <conditionalFormatting sqref="AA153:AB153">
    <cfRule type="containsBlanks" dxfId="4034" priority="3760">
      <formula>LEN(TRIM(AA153))=0</formula>
    </cfRule>
  </conditionalFormatting>
  <conditionalFormatting sqref="AA156">
    <cfRule type="containsBlanks" dxfId="4033" priority="3759">
      <formula>LEN(TRIM(AA156))=0</formula>
    </cfRule>
  </conditionalFormatting>
  <conditionalFormatting sqref="AB156">
    <cfRule type="containsBlanks" dxfId="4032" priority="3758">
      <formula>LEN(TRIM(AB156))=0</formula>
    </cfRule>
  </conditionalFormatting>
  <conditionalFormatting sqref="AA159">
    <cfRule type="containsBlanks" dxfId="4031" priority="3757">
      <formula>LEN(TRIM(AA159))=0</formula>
    </cfRule>
  </conditionalFormatting>
  <conditionalFormatting sqref="AB159">
    <cfRule type="containsBlanks" dxfId="4030" priority="3756">
      <formula>LEN(TRIM(AB159))=0</formula>
    </cfRule>
  </conditionalFormatting>
  <conditionalFormatting sqref="AA162">
    <cfRule type="containsBlanks" dxfId="4029" priority="3755">
      <formula>LEN(TRIM(AA162))=0</formula>
    </cfRule>
  </conditionalFormatting>
  <conditionalFormatting sqref="AB162">
    <cfRule type="containsBlanks" dxfId="4028" priority="3754">
      <formula>LEN(TRIM(AB162))=0</formula>
    </cfRule>
  </conditionalFormatting>
  <conditionalFormatting sqref="U216:X216">
    <cfRule type="containsBlanks" dxfId="4027" priority="3753">
      <formula>LEN(TRIM(U216))=0</formula>
    </cfRule>
  </conditionalFormatting>
  <conditionalFormatting sqref="A276:B306 AC276:AI286 Y276:Z306 AD287:AI306 F276:T306">
    <cfRule type="containsBlanks" dxfId="4026" priority="3742">
      <formula>LEN(TRIM(A276))=0</formula>
    </cfRule>
  </conditionalFormatting>
  <conditionalFormatting sqref="F276:F306">
    <cfRule type="duplicateValues" dxfId="4025" priority="3743"/>
  </conditionalFormatting>
  <conditionalFormatting sqref="G276:G306">
    <cfRule type="duplicateValues" dxfId="4024" priority="3744"/>
  </conditionalFormatting>
  <conditionalFormatting sqref="H276:H306">
    <cfRule type="duplicateValues" dxfId="4023" priority="3745"/>
  </conditionalFormatting>
  <conditionalFormatting sqref="Y260">
    <cfRule type="containsBlanks" dxfId="4022" priority="3741">
      <formula>LEN(TRIM(Y260))=0</formula>
    </cfRule>
  </conditionalFormatting>
  <conditionalFormatting sqref="F308:L308">
    <cfRule type="containsBlanks" dxfId="4021" priority="3737">
      <formula>LEN(TRIM(F308))=0</formula>
    </cfRule>
  </conditionalFormatting>
  <conditionalFormatting sqref="F308">
    <cfRule type="duplicateValues" dxfId="4020" priority="3738"/>
  </conditionalFormatting>
  <conditionalFormatting sqref="G308">
    <cfRule type="duplicateValues" dxfId="4019" priority="3739"/>
  </conditionalFormatting>
  <conditionalFormatting sqref="H308">
    <cfRule type="duplicateValues" dxfId="4018" priority="3740"/>
  </conditionalFormatting>
  <conditionalFormatting sqref="F307:L307">
    <cfRule type="containsBlanks" dxfId="4017" priority="3733">
      <formula>LEN(TRIM(F307))=0</formula>
    </cfRule>
  </conditionalFormatting>
  <conditionalFormatting sqref="F307">
    <cfRule type="duplicateValues" dxfId="4016" priority="3734"/>
  </conditionalFormatting>
  <conditionalFormatting sqref="G307">
    <cfRule type="duplicateValues" dxfId="4015" priority="3735"/>
  </conditionalFormatting>
  <conditionalFormatting sqref="H307">
    <cfRule type="duplicateValues" dxfId="4014" priority="3736"/>
  </conditionalFormatting>
  <conditionalFormatting sqref="F311:L312">
    <cfRule type="containsBlanks" dxfId="4013" priority="3729">
      <formula>LEN(TRIM(F311))=0</formula>
    </cfRule>
  </conditionalFormatting>
  <conditionalFormatting sqref="F311:F312">
    <cfRule type="duplicateValues" dxfId="4012" priority="3730"/>
  </conditionalFormatting>
  <conditionalFormatting sqref="G311:G312">
    <cfRule type="duplicateValues" dxfId="4011" priority="3731"/>
  </conditionalFormatting>
  <conditionalFormatting sqref="H311:H312">
    <cfRule type="duplicateValues" dxfId="4010" priority="3732"/>
  </conditionalFormatting>
  <conditionalFormatting sqref="AA287:AB314">
    <cfRule type="containsBlanks" dxfId="4009" priority="3728">
      <formula>LEN(TRIM(AA287))=0</formula>
    </cfRule>
  </conditionalFormatting>
  <conditionalFormatting sqref="AC287:AC314">
    <cfRule type="containsBlanks" dxfId="4008" priority="3727">
      <formula>LEN(TRIM(AC287))=0</formula>
    </cfRule>
  </conditionalFormatting>
  <conditionalFormatting sqref="C315:AC868">
    <cfRule type="containsBlanks" dxfId="4007" priority="3708">
      <formula>LEN(TRIM(C315))=0</formula>
    </cfRule>
  </conditionalFormatting>
  <conditionalFormatting sqref="F315:F868">
    <cfRule type="duplicateValues" dxfId="4006" priority="3709"/>
  </conditionalFormatting>
  <conditionalFormatting sqref="G315:G868">
    <cfRule type="duplicateValues" dxfId="4005" priority="3710"/>
  </conditionalFormatting>
  <conditionalFormatting sqref="H315:H868">
    <cfRule type="duplicateValues" dxfId="4004" priority="3711"/>
  </conditionalFormatting>
  <conditionalFormatting sqref="I418">
    <cfRule type="duplicateValues" dxfId="4003" priority="3707"/>
  </conditionalFormatting>
  <conditionalFormatting sqref="I473:I495">
    <cfRule type="duplicateValues" dxfId="4002" priority="3706"/>
  </conditionalFormatting>
  <conditionalFormatting sqref="I529">
    <cfRule type="duplicateValues" dxfId="4001" priority="3705"/>
  </conditionalFormatting>
  <conditionalFormatting sqref="A869:AI924">
    <cfRule type="containsBlanks" dxfId="4000" priority="3689">
      <formula>LEN(TRIM(A869))=0</formula>
    </cfRule>
  </conditionalFormatting>
  <conditionalFormatting sqref="AA927:AB927">
    <cfRule type="containsBlanks" dxfId="3999" priority="3678">
      <formula>LEN(TRIM(AA927))=0</formula>
    </cfRule>
  </conditionalFormatting>
  <conditionalFormatting sqref="F958:T958">
    <cfRule type="containsBlanks" dxfId="3998" priority="3696">
      <formula>LEN(TRIM(F958))=0</formula>
    </cfRule>
  </conditionalFormatting>
  <conditionalFormatting sqref="F958">
    <cfRule type="duplicateValues" dxfId="3997" priority="3697"/>
  </conditionalFormatting>
  <conditionalFormatting sqref="G958">
    <cfRule type="duplicateValues" dxfId="3996" priority="3698"/>
  </conditionalFormatting>
  <conditionalFormatting sqref="H958">
    <cfRule type="duplicateValues" dxfId="3995" priority="3699"/>
  </conditionalFormatting>
  <conditionalFormatting sqref="F869:F924">
    <cfRule type="duplicateValues" dxfId="3994" priority="3690"/>
  </conditionalFormatting>
  <conditionalFormatting sqref="G869:G924">
    <cfRule type="duplicateValues" dxfId="3993" priority="3691"/>
  </conditionalFormatting>
  <conditionalFormatting sqref="H869:H924">
    <cfRule type="duplicateValues" dxfId="3992" priority="3692"/>
  </conditionalFormatting>
  <conditionalFormatting sqref="AC926:AI928 AD925:AI925 A925:B925 A926:Z928">
    <cfRule type="containsBlanks" dxfId="3991" priority="3685">
      <formula>LEN(TRIM(A925))=0</formula>
    </cfRule>
  </conditionalFormatting>
  <conditionalFormatting sqref="F926:F928">
    <cfRule type="duplicateValues" dxfId="3990" priority="3686"/>
  </conditionalFormatting>
  <conditionalFormatting sqref="G926:G928">
    <cfRule type="duplicateValues" dxfId="3989" priority="3687"/>
  </conditionalFormatting>
  <conditionalFormatting sqref="H926:H928">
    <cfRule type="duplicateValues" dxfId="3988" priority="3688"/>
  </conditionalFormatting>
  <conditionalFormatting sqref="C925:AC925">
    <cfRule type="containsBlanks" dxfId="3987" priority="3681">
      <formula>LEN(TRIM(C925))=0</formula>
    </cfRule>
  </conditionalFormatting>
  <conditionalFormatting sqref="F925">
    <cfRule type="duplicateValues" dxfId="3986" priority="3682"/>
  </conditionalFormatting>
  <conditionalFormatting sqref="G925">
    <cfRule type="duplicateValues" dxfId="3985" priority="3683"/>
  </conditionalFormatting>
  <conditionalFormatting sqref="H925">
    <cfRule type="duplicateValues" dxfId="3984" priority="3684"/>
  </conditionalFormatting>
  <conditionalFormatting sqref="AA926">
    <cfRule type="containsBlanks" dxfId="3983" priority="3680">
      <formula>LEN(TRIM(AA926))=0</formula>
    </cfRule>
  </conditionalFormatting>
  <conditionalFormatting sqref="AB926">
    <cfRule type="containsBlanks" dxfId="3982" priority="3679">
      <formula>LEN(TRIM(AB926))=0</formula>
    </cfRule>
  </conditionalFormatting>
  <conditionalFormatting sqref="AA928:AB928">
    <cfRule type="containsBlanks" dxfId="3981" priority="3677">
      <formula>LEN(TRIM(AA928))=0</formula>
    </cfRule>
  </conditionalFormatting>
  <conditionalFormatting sqref="AA929">
    <cfRule type="containsBlanks" dxfId="3980" priority="3676">
      <formula>LEN(TRIM(AA929))=0</formula>
    </cfRule>
  </conditionalFormatting>
  <conditionalFormatting sqref="AB929">
    <cfRule type="containsBlanks" dxfId="3979" priority="3675">
      <formula>LEN(TRIM(AB929))=0</formula>
    </cfRule>
  </conditionalFormatting>
  <conditionalFormatting sqref="U958:X958">
    <cfRule type="containsBlanks" dxfId="3978" priority="3674">
      <formula>LEN(TRIM(U958))=0</formula>
    </cfRule>
  </conditionalFormatting>
  <conditionalFormatting sqref="U959:X959">
    <cfRule type="containsBlanks" dxfId="3977" priority="3673">
      <formula>LEN(TRIM(U959))=0</formula>
    </cfRule>
  </conditionalFormatting>
  <conditionalFormatting sqref="U960:X960">
    <cfRule type="containsBlanks" dxfId="3976" priority="3672">
      <formula>LEN(TRIM(U960))=0</formula>
    </cfRule>
  </conditionalFormatting>
  <conditionalFormatting sqref="U961:X961">
    <cfRule type="containsBlanks" dxfId="3975" priority="3671">
      <formula>LEN(TRIM(U961))=0</formula>
    </cfRule>
  </conditionalFormatting>
  <conditionalFormatting sqref="U962:X962">
    <cfRule type="containsBlanks" dxfId="3974" priority="3670">
      <formula>LEN(TRIM(U962))=0</formula>
    </cfRule>
  </conditionalFormatting>
  <conditionalFormatting sqref="U963:X963">
    <cfRule type="containsBlanks" dxfId="3973" priority="3669">
      <formula>LEN(TRIM(U963))=0</formula>
    </cfRule>
  </conditionalFormatting>
  <conditionalFormatting sqref="U964:X964">
    <cfRule type="containsBlanks" dxfId="3972" priority="3668">
      <formula>LEN(TRIM(U964))=0</formula>
    </cfRule>
  </conditionalFormatting>
  <conditionalFormatting sqref="U965:X965">
    <cfRule type="containsBlanks" dxfId="3971" priority="3667">
      <formula>LEN(TRIM(U965))=0</formula>
    </cfRule>
  </conditionalFormatting>
  <conditionalFormatting sqref="C958:E958">
    <cfRule type="containsBlanks" dxfId="3970" priority="3664">
      <formula>LEN(TRIM(C958))=0</formula>
    </cfRule>
  </conditionalFormatting>
  <conditionalFormatting sqref="C959:E959">
    <cfRule type="containsBlanks" dxfId="3969" priority="3663">
      <formula>LEN(TRIM(C959))=0</formula>
    </cfRule>
  </conditionalFormatting>
  <conditionalFormatting sqref="Y954:Z954">
    <cfRule type="containsBlanks" dxfId="3968" priority="3655">
      <formula>LEN(TRIM(Y954))=0</formula>
    </cfRule>
  </conditionalFormatting>
  <conditionalFormatting sqref="Y950:Z950">
    <cfRule type="containsBlanks" dxfId="3967" priority="3611">
      <formula>LEN(TRIM(Y950))=0</formula>
    </cfRule>
  </conditionalFormatting>
  <conditionalFormatting sqref="C937:AA937 C938 J938:T938 Y939:AA939">
    <cfRule type="containsBlanks" dxfId="3966" priority="3584">
      <formula>LEN(TRIM(C937))=0</formula>
    </cfRule>
  </conditionalFormatting>
  <conditionalFormatting sqref="F980">
    <cfRule type="duplicateValues" dxfId="3965" priority="3580"/>
  </conditionalFormatting>
  <conditionalFormatting sqref="G980">
    <cfRule type="duplicateValues" dxfId="3964" priority="3581"/>
  </conditionalFormatting>
  <conditionalFormatting sqref="H980">
    <cfRule type="duplicateValues" dxfId="3963" priority="3582"/>
  </conditionalFormatting>
  <conditionalFormatting sqref="F981:F986">
    <cfRule type="duplicateValues" dxfId="3962" priority="3577"/>
  </conditionalFormatting>
  <conditionalFormatting sqref="G981:G986">
    <cfRule type="duplicateValues" dxfId="3961" priority="3578"/>
  </conditionalFormatting>
  <conditionalFormatting sqref="H981:H986">
    <cfRule type="duplicateValues" dxfId="3960" priority="3579"/>
  </conditionalFormatting>
  <conditionalFormatting sqref="F987:F992">
    <cfRule type="duplicateValues" dxfId="3959" priority="3574"/>
  </conditionalFormatting>
  <conditionalFormatting sqref="G987:G992">
    <cfRule type="duplicateValues" dxfId="3958" priority="3575"/>
  </conditionalFormatting>
  <conditionalFormatting sqref="H987:H992">
    <cfRule type="duplicateValues" dxfId="3957" priority="3576"/>
  </conditionalFormatting>
  <conditionalFormatting sqref="F993:F998">
    <cfRule type="duplicateValues" dxfId="3956" priority="3571"/>
  </conditionalFormatting>
  <conditionalFormatting sqref="G993:G998">
    <cfRule type="duplicateValues" dxfId="3955" priority="3572"/>
  </conditionalFormatting>
  <conditionalFormatting sqref="H993:H998">
    <cfRule type="duplicateValues" dxfId="3954" priority="3573"/>
  </conditionalFormatting>
  <conditionalFormatting sqref="F999:F1004">
    <cfRule type="duplicateValues" dxfId="3953" priority="3568"/>
  </conditionalFormatting>
  <conditionalFormatting sqref="G999:G1004">
    <cfRule type="duplicateValues" dxfId="3952" priority="3569"/>
  </conditionalFormatting>
  <conditionalFormatting sqref="H999:H1004">
    <cfRule type="duplicateValues" dxfId="3951" priority="3570"/>
  </conditionalFormatting>
  <conditionalFormatting sqref="F1005:F1010">
    <cfRule type="duplicateValues" dxfId="3950" priority="3565"/>
  </conditionalFormatting>
  <conditionalFormatting sqref="G1005:G1010">
    <cfRule type="duplicateValues" dxfId="3949" priority="3566"/>
  </conditionalFormatting>
  <conditionalFormatting sqref="H1005:H1010">
    <cfRule type="duplicateValues" dxfId="3948" priority="3567"/>
  </conditionalFormatting>
  <conditionalFormatting sqref="F1011:F1019">
    <cfRule type="duplicateValues" dxfId="3947" priority="3562"/>
  </conditionalFormatting>
  <conditionalFormatting sqref="G1011:G1019">
    <cfRule type="duplicateValues" dxfId="3946" priority="3563"/>
  </conditionalFormatting>
  <conditionalFormatting sqref="H1011:H1019">
    <cfRule type="duplicateValues" dxfId="3945" priority="3564"/>
  </conditionalFormatting>
  <conditionalFormatting sqref="F1020:F1025">
    <cfRule type="duplicateValues" dxfId="3944" priority="3559"/>
  </conditionalFormatting>
  <conditionalFormatting sqref="G1020:G1025">
    <cfRule type="duplicateValues" dxfId="3943" priority="3560"/>
  </conditionalFormatting>
  <conditionalFormatting sqref="H1020:H1025">
    <cfRule type="duplicateValues" dxfId="3942" priority="3561"/>
  </conditionalFormatting>
  <conditionalFormatting sqref="A1042:B1047 M1042:U1047 Y1042:Z1047 AD1042:AI1047 F1042:K1047">
    <cfRule type="containsBlanks" dxfId="3941" priority="3548">
      <formula>LEN(TRIM(A1042))=0</formula>
    </cfRule>
  </conditionalFormatting>
  <conditionalFormatting sqref="F959">
    <cfRule type="duplicateValues" dxfId="3940" priority="4584"/>
  </conditionalFormatting>
  <conditionalFormatting sqref="G959">
    <cfRule type="duplicateValues" dxfId="3939" priority="4585"/>
  </conditionalFormatting>
  <conditionalFormatting sqref="H959">
    <cfRule type="duplicateValues" dxfId="3938" priority="4586"/>
  </conditionalFormatting>
  <conditionalFormatting sqref="F960:F979 F15:F25 F27:F146 F148:F169 F171:F275 F309:F310 F313:F314 F929:F934 F936:F937 F939:F957">
    <cfRule type="duplicateValues" dxfId="3937" priority="4767"/>
  </conditionalFormatting>
  <conditionalFormatting sqref="G960:G979 G15:G25 G27:G146 G148:G169 G171:G275 G309:G310 G313:G314 G929:G934 G939:G957 G936:G937">
    <cfRule type="duplicateValues" dxfId="3936" priority="4778"/>
  </conditionalFormatting>
  <conditionalFormatting sqref="H960:H979 H15:H25 H27:H146 H148:H169 H171:H275 H309:H310 H313:H314 H929:H934 H939:H957 H936:H937">
    <cfRule type="duplicateValues" dxfId="3935" priority="4789"/>
  </conditionalFormatting>
  <conditionalFormatting sqref="F1032:F1034 F1026:F1028">
    <cfRule type="duplicateValues" dxfId="3934" priority="4800"/>
  </conditionalFormatting>
  <conditionalFormatting sqref="G1032:G1034 G1026:G1028">
    <cfRule type="duplicateValues" dxfId="3933" priority="4802"/>
  </conditionalFormatting>
  <conditionalFormatting sqref="H1032:H1034 H1026:H1028">
    <cfRule type="duplicateValues" dxfId="3932" priority="4804"/>
  </conditionalFormatting>
  <conditionalFormatting sqref="A1029:B1032 Y1032:Z1032 M1032:T1032 M1029:Z1031 AD1029:AI1032 F1029:K1032">
    <cfRule type="containsBlanks" dxfId="3931" priority="3543">
      <formula>LEN(TRIM(A1029))=0</formula>
    </cfRule>
  </conditionalFormatting>
  <conditionalFormatting sqref="F1035:F1041">
    <cfRule type="duplicateValues" dxfId="3930" priority="4819"/>
  </conditionalFormatting>
  <conditionalFormatting sqref="G1035:G1041">
    <cfRule type="duplicateValues" dxfId="3929" priority="4822"/>
  </conditionalFormatting>
  <conditionalFormatting sqref="H1035:H1041">
    <cfRule type="duplicateValues" dxfId="3928" priority="4825"/>
  </conditionalFormatting>
  <conditionalFormatting sqref="F1029:F1031">
    <cfRule type="duplicateValues" dxfId="3927" priority="4828"/>
  </conditionalFormatting>
  <conditionalFormatting sqref="G1029:G1031">
    <cfRule type="duplicateValues" dxfId="3926" priority="4829"/>
  </conditionalFormatting>
  <conditionalFormatting sqref="H1029:H1031">
    <cfRule type="duplicateValues" dxfId="3925" priority="4830"/>
  </conditionalFormatting>
  <conditionalFormatting sqref="F1037:J1037">
    <cfRule type="containsBlanks" dxfId="3924" priority="3542">
      <formula>LEN(TRIM(F1037))=0</formula>
    </cfRule>
  </conditionalFormatting>
  <conditionalFormatting sqref="A1048:B1058 M1048:U1058 Y1048:Z1058 AD1048:AI1058 U1062:U1073 A1060:B1062 Y1060:Z1062 V1060:V1073 W1061 W1063 W1065 W1067 W1069 W1071 W1073 AC1060:AI1061 AD1062:AI1062 X1060:X1087 AC1062:AC1088 AA1060:AB1089 AA1091 F1048:K1058 F1060:U1061 F1062:T1062">
    <cfRule type="containsBlanks" dxfId="3923" priority="3540">
      <formula>LEN(TRIM(A1048))=0</formula>
    </cfRule>
  </conditionalFormatting>
  <conditionalFormatting sqref="Y1063:Z1073 AD1063:AI1073 J1074:J1162 A1063:B1073 F1063:T1073">
    <cfRule type="containsBlanks" dxfId="3922" priority="3539">
      <formula>LEN(TRIM(A1063))=0</formula>
    </cfRule>
  </conditionalFormatting>
  <conditionalFormatting sqref="I1050">
    <cfRule type="duplicateValues" dxfId="3921" priority="3538"/>
  </conditionalFormatting>
  <conditionalFormatting sqref="AA1049:AC1058">
    <cfRule type="containsBlanks" dxfId="3920" priority="3537">
      <formula>LEN(TRIM(AA1049))=0</formula>
    </cfRule>
  </conditionalFormatting>
  <conditionalFormatting sqref="AA1093:AA1102">
    <cfRule type="containsBlanks" dxfId="3919" priority="3536">
      <formula>LEN(TRIM(AA1093))=0</formula>
    </cfRule>
  </conditionalFormatting>
  <conditionalFormatting sqref="AD1123:AI1148 K1123:K1162 M1123:T1162 AB1149:AI1149 AC1151 AC1153 AC1155 AC1157 AC1159 AC1161 Y1123:Z1175 AB1150:AB1175 AD1150:AI1175 AC1164 AC1167 AC1170 AC1173 A1178:AI1178 A1207:B1207 Y1207:Z1207 U1207:X1222 AC1207:AI1207 A1123:B1177 F1176:AI1177 F1163:T1175 F1123:I1162 A1180:AI1180 A1179:B1179 F1179:AI1179 A1182:AI1182 A1181:B1181 F1181:AI1181 A1184:AI1184 A1183:B1183 F1183:AI1183 A1186:AI1186 A1185:B1185 F1185:AI1185 A1188:AI1188 A1187:B1187 F1187:AI1187 A1190:AI1190 A1189:B1189 F1189:AI1189 A1192:AI1192 A1191:B1191 F1191:AI1191 A1194:AI1194 A1193:B1193 F1193:AI1193 A1196:AI1196 A1195:B1195 F1195:AI1195 A1198:AI1198 A1197:B1197 F1197:AI1197 A1200:AI1200 A1199:B1199 F1199:AI1199 A1202:AI1202 A1201:B1201 F1201:AI1201 A1204:AI1204 A1203:B1203 F1203:AI1203 A1206:AI1206 A1205:B1205 F1205:AI1205 F1207:T1207 AC1208:AC1251">
    <cfRule type="containsBlanks" dxfId="3918" priority="3534">
      <formula>LEN(TRIM(A1123))=0</formula>
    </cfRule>
  </conditionalFormatting>
  <conditionalFormatting sqref="A1208:B1209 K1208:K1209 M1208:T1209 Y1208:Z1209 AD1208:AI1209 F1208:I1209">
    <cfRule type="containsBlanks" dxfId="3917" priority="3532">
      <formula>LEN(TRIM(A1208))=0</formula>
    </cfRule>
  </conditionalFormatting>
  <conditionalFormatting sqref="A1211:B1212 K1211:K1212 M1211:T1212 Y1211:Z1212 AD1211:AI1212 F1211:I1212">
    <cfRule type="containsBlanks" dxfId="3916" priority="3531">
      <formula>LEN(TRIM(A1211))=0</formula>
    </cfRule>
  </conditionalFormatting>
  <conditionalFormatting sqref="A1213:B1214 K1213:K1214 M1213:T1214 Y1213:Z1214 AD1213:AI1214 F1213:I1214">
    <cfRule type="containsBlanks" dxfId="3915" priority="3530">
      <formula>LEN(TRIM(A1213))=0</formula>
    </cfRule>
  </conditionalFormatting>
  <conditionalFormatting sqref="A1364:U1364 Y1364:Z1364 AC1364:AI1364">
    <cfRule type="containsBlanks" dxfId="3914" priority="3524">
      <formula>LEN(TRIM(A1364))=0</formula>
    </cfRule>
  </conditionalFormatting>
  <conditionalFormatting sqref="A1365:U1366 Y1365:Z1371 AC1365:AI1371 A1371:U1371 C1368:E1369 A1367:B1370 F1367:U1370">
    <cfRule type="containsBlanks" dxfId="3913" priority="3523">
      <formula>LEN(TRIM(A1365))=0</formula>
    </cfRule>
  </conditionalFormatting>
  <conditionalFormatting sqref="A1365:U1366 Y1365:Z1366 AC1365:AI1366">
    <cfRule type="containsBlanks" dxfId="3912" priority="3522">
      <formula>LEN(TRIM(A1365))=0</formula>
    </cfRule>
  </conditionalFormatting>
  <conditionalFormatting sqref="A1368:B1369 Y1368:Z1369 AC1368:AI1369 F1368:U1369">
    <cfRule type="containsBlanks" dxfId="3911" priority="3521">
      <formula>LEN(TRIM(A1368))=0</formula>
    </cfRule>
  </conditionalFormatting>
  <conditionalFormatting sqref="A1371:U1371 Y1370:Z1371 AC1370:AI1371 A1370:B1370 F1370:U1370">
    <cfRule type="containsBlanks" dxfId="3910" priority="3520">
      <formula>LEN(TRIM(A1370))=0</formula>
    </cfRule>
  </conditionalFormatting>
  <conditionalFormatting sqref="A1372:U1372 Y1372:Z1378 AC1372:AI1378 A1374:U1375 A1373:B1373 F1373:U1373 A1377:U1378 A1376:B1376 F1376:U1376">
    <cfRule type="containsBlanks" dxfId="3909" priority="3519">
      <formula>LEN(TRIM(A1372))=0</formula>
    </cfRule>
  </conditionalFormatting>
  <conditionalFormatting sqref="A1372:U1372 Y1372:Z1373 AC1372:AI1373 A1373:B1373 F1373:U1373">
    <cfRule type="containsBlanks" dxfId="3908" priority="3518">
      <formula>LEN(TRIM(A1372))=0</formula>
    </cfRule>
  </conditionalFormatting>
  <conditionalFormatting sqref="A1375:U1375 Y1375:Z1376 AC1375:AI1376 A1376:B1376 F1376:U1376">
    <cfRule type="containsBlanks" dxfId="3907" priority="3517">
      <formula>LEN(TRIM(A1375))=0</formula>
    </cfRule>
  </conditionalFormatting>
  <conditionalFormatting sqref="A1377:U1378 Y1377:Z1378 AC1377:AI1378">
    <cfRule type="containsBlanks" dxfId="3906" priority="3516">
      <formula>LEN(TRIM(A1377))=0</formula>
    </cfRule>
  </conditionalFormatting>
  <conditionalFormatting sqref="A1380:I1381 M1379:U1385 Y1379:Z1385 AC1379:AI1385 A1379:B1379 F1379:I1379 A1383:I1384 A1382:B1382 F1382:I1382 A1385:B1385 F1385:I1385">
    <cfRule type="containsBlanks" dxfId="3905" priority="3515">
      <formula>LEN(TRIM(A1379))=0</formula>
    </cfRule>
  </conditionalFormatting>
  <conditionalFormatting sqref="A1380:I1380 M1379:U1380 Y1379:Z1380 AC1379:AI1380 A1379:B1379 F1379:I1379">
    <cfRule type="containsBlanks" dxfId="3904" priority="3514">
      <formula>LEN(TRIM(A1379))=0</formula>
    </cfRule>
  </conditionalFormatting>
  <conditionalFormatting sqref="A1383:I1383 M1382:U1383 Y1382:Z1383 AC1382:AI1383 A1382:B1382 F1382:I1382">
    <cfRule type="containsBlanks" dxfId="3903" priority="3513">
      <formula>LEN(TRIM(A1382))=0</formula>
    </cfRule>
  </conditionalFormatting>
  <conditionalFormatting sqref="A1384:I1384 M1384:U1385 Y1384:Z1385 AC1384:AI1385 A1385:B1385 F1385:I1385">
    <cfRule type="containsBlanks" dxfId="3902" priority="3512">
      <formula>LEN(TRIM(A1384))=0</formula>
    </cfRule>
  </conditionalFormatting>
  <conditionalFormatting sqref="A1386:I1387 M1386:U1407 Y1386:Z1407 AC1386:AI1407 A1389:I1390 A1388:B1388 F1388:I1388 A1392:I1393 A1391:B1391 F1391:I1391 A1395:I1396 A1394:B1394 F1394:I1394 A1398:I1399 A1397:B1397 F1397:I1397 A1401:I1402 A1400:B1400 F1400:I1400 A1404:I1405 A1403:B1403 F1403:I1403 A1407:I1407 A1406:B1406 F1406:I1406">
    <cfRule type="containsBlanks" dxfId="3901" priority="3511">
      <formula>LEN(TRIM(A1386))=0</formula>
    </cfRule>
  </conditionalFormatting>
  <conditionalFormatting sqref="A1386:I1387 M1386:U1387 Y1386:Z1387 AC1386:AI1387">
    <cfRule type="containsBlanks" dxfId="3900" priority="3510">
      <formula>LEN(TRIM(A1386))=0</formula>
    </cfRule>
  </conditionalFormatting>
  <conditionalFormatting sqref="A1389:I1390 M1389:U1390 Y1389:Z1390 AC1389:AI1390">
    <cfRule type="containsBlanks" dxfId="3899" priority="3509">
      <formula>LEN(TRIM(A1389))=0</formula>
    </cfRule>
  </conditionalFormatting>
  <conditionalFormatting sqref="A1391:B1391 M1391:U1391 Y1391:Z1391 AC1391:AI1391 F1391:I1391">
    <cfRule type="containsBlanks" dxfId="3898" priority="3508">
      <formula>LEN(TRIM(A1391))=0</formula>
    </cfRule>
  </conditionalFormatting>
  <conditionalFormatting sqref="L1208:L1251">
    <cfRule type="containsBlanks" dxfId="3897" priority="3506">
      <formula>LEN(TRIM(L1208))=0</formula>
    </cfRule>
  </conditionalFormatting>
  <conditionalFormatting sqref="C1060:E1065">
    <cfRule type="containsBlanks" dxfId="3896" priority="3505">
      <formula>LEN(TRIM(C1060))=0</formula>
    </cfRule>
  </conditionalFormatting>
  <conditionalFormatting sqref="C1179:E1179">
    <cfRule type="containsBlanks" dxfId="3895" priority="3504">
      <formula>LEN(TRIM(C1179))=0</formula>
    </cfRule>
  </conditionalFormatting>
  <conditionalFormatting sqref="C1181:E1181">
    <cfRule type="containsBlanks" dxfId="3894" priority="3503">
      <formula>LEN(TRIM(C1181))=0</formula>
    </cfRule>
  </conditionalFormatting>
  <conditionalFormatting sqref="C1183:E1183">
    <cfRule type="containsBlanks" dxfId="3893" priority="3502">
      <formula>LEN(TRIM(C1183))=0</formula>
    </cfRule>
  </conditionalFormatting>
  <conditionalFormatting sqref="C1185:E1185">
    <cfRule type="containsBlanks" dxfId="3892" priority="3501">
      <formula>LEN(TRIM(C1185))=0</formula>
    </cfRule>
  </conditionalFormatting>
  <conditionalFormatting sqref="C1187:E1187">
    <cfRule type="containsBlanks" dxfId="3891" priority="3500">
      <formula>LEN(TRIM(C1187))=0</formula>
    </cfRule>
  </conditionalFormatting>
  <conditionalFormatting sqref="C1189:E1189">
    <cfRule type="containsBlanks" dxfId="3890" priority="3499">
      <formula>LEN(TRIM(C1189))=0</formula>
    </cfRule>
  </conditionalFormatting>
  <conditionalFormatting sqref="C1191:E1191">
    <cfRule type="containsBlanks" dxfId="3889" priority="3498">
      <formula>LEN(TRIM(C1191))=0</formula>
    </cfRule>
  </conditionalFormatting>
  <conditionalFormatting sqref="C1193:E1193">
    <cfRule type="containsBlanks" dxfId="3888" priority="3497">
      <formula>LEN(TRIM(C1193))=0</formula>
    </cfRule>
  </conditionalFormatting>
  <conditionalFormatting sqref="C1195:E1195">
    <cfRule type="containsBlanks" dxfId="3887" priority="3496">
      <formula>LEN(TRIM(C1195))=0</formula>
    </cfRule>
  </conditionalFormatting>
  <conditionalFormatting sqref="C1197:E1197">
    <cfRule type="containsBlanks" dxfId="3886" priority="3495">
      <formula>LEN(TRIM(C1197))=0</formula>
    </cfRule>
  </conditionalFormatting>
  <conditionalFormatting sqref="C1199:E1199">
    <cfRule type="containsBlanks" dxfId="3885" priority="3494">
      <formula>LEN(TRIM(C1199))=0</formula>
    </cfRule>
  </conditionalFormatting>
  <conditionalFormatting sqref="C1201:E1201">
    <cfRule type="containsBlanks" dxfId="3884" priority="3493">
      <formula>LEN(TRIM(C1201))=0</formula>
    </cfRule>
  </conditionalFormatting>
  <conditionalFormatting sqref="C1203:E1203">
    <cfRule type="containsBlanks" dxfId="3883" priority="3492">
      <formula>LEN(TRIM(C1203))=0</formula>
    </cfRule>
  </conditionalFormatting>
  <conditionalFormatting sqref="C1205:E1205">
    <cfRule type="containsBlanks" dxfId="3882" priority="3491">
      <formula>LEN(TRIM(C1205))=0</formula>
    </cfRule>
  </conditionalFormatting>
  <conditionalFormatting sqref="U1223:X1236">
    <cfRule type="containsBlanks" dxfId="3881" priority="3490">
      <formula>LEN(TRIM(U1223))=0</formula>
    </cfRule>
  </conditionalFormatting>
  <conditionalFormatting sqref="U1237:X1251">
    <cfRule type="containsBlanks" dxfId="3880" priority="3489">
      <formula>LEN(TRIM(U1237))=0</formula>
    </cfRule>
  </conditionalFormatting>
  <conditionalFormatting sqref="V1367:X1369">
    <cfRule type="containsBlanks" dxfId="3879" priority="3487">
      <formula>LEN(TRIM(V1367))=0</formula>
    </cfRule>
  </conditionalFormatting>
  <conditionalFormatting sqref="V1370:X1372">
    <cfRule type="containsBlanks" dxfId="3878" priority="3486">
      <formula>LEN(TRIM(V1370))=0</formula>
    </cfRule>
  </conditionalFormatting>
  <conditionalFormatting sqref="V1373:X1375">
    <cfRule type="containsBlanks" dxfId="3877" priority="3485">
      <formula>LEN(TRIM(V1373))=0</formula>
    </cfRule>
  </conditionalFormatting>
  <conditionalFormatting sqref="J1376:L1376">
    <cfRule type="containsBlanks" dxfId="3876" priority="3481">
      <formula>LEN(TRIM(J1376))=0</formula>
    </cfRule>
  </conditionalFormatting>
  <conditionalFormatting sqref="J1378:L1378">
    <cfRule type="containsBlanks" dxfId="3875" priority="3480">
      <formula>LEN(TRIM(J1378))=0</formula>
    </cfRule>
  </conditionalFormatting>
  <conditionalFormatting sqref="J1379:L1381">
    <cfRule type="containsBlanks" dxfId="3874" priority="3479">
      <formula>LEN(TRIM(J1379))=0</formula>
    </cfRule>
  </conditionalFormatting>
  <conditionalFormatting sqref="J1379:L1379">
    <cfRule type="containsBlanks" dxfId="3873" priority="3478">
      <formula>LEN(TRIM(J1379))=0</formula>
    </cfRule>
  </conditionalFormatting>
  <conditionalFormatting sqref="J1381:L1381">
    <cfRule type="containsBlanks" dxfId="3872" priority="3477">
      <formula>LEN(TRIM(J1381))=0</formula>
    </cfRule>
  </conditionalFormatting>
  <conditionalFormatting sqref="J1382:L1384">
    <cfRule type="containsBlanks" dxfId="3871" priority="3476">
      <formula>LEN(TRIM(J1382))=0</formula>
    </cfRule>
  </conditionalFormatting>
  <conditionalFormatting sqref="J1382:L1382">
    <cfRule type="containsBlanks" dxfId="3870" priority="3475">
      <formula>LEN(TRIM(J1382))=0</formula>
    </cfRule>
  </conditionalFormatting>
  <conditionalFormatting sqref="J1384:L1384">
    <cfRule type="containsBlanks" dxfId="3869" priority="3474">
      <formula>LEN(TRIM(J1384))=0</formula>
    </cfRule>
  </conditionalFormatting>
  <conditionalFormatting sqref="J1385:L1387">
    <cfRule type="containsBlanks" dxfId="3868" priority="3473">
      <formula>LEN(TRIM(J1385))=0</formula>
    </cfRule>
  </conditionalFormatting>
  <conditionalFormatting sqref="J1385:L1385">
    <cfRule type="containsBlanks" dxfId="3867" priority="3472">
      <formula>LEN(TRIM(J1385))=0</formula>
    </cfRule>
  </conditionalFormatting>
  <conditionalFormatting sqref="J1387:L1387">
    <cfRule type="containsBlanks" dxfId="3866" priority="3471">
      <formula>LEN(TRIM(J1387))=0</formula>
    </cfRule>
  </conditionalFormatting>
  <conditionalFormatting sqref="J1388:L1390">
    <cfRule type="containsBlanks" dxfId="3865" priority="3470">
      <formula>LEN(TRIM(J1388))=0</formula>
    </cfRule>
  </conditionalFormatting>
  <conditionalFormatting sqref="J1388:L1388">
    <cfRule type="containsBlanks" dxfId="3864" priority="3469">
      <formula>LEN(TRIM(J1388))=0</formula>
    </cfRule>
  </conditionalFormatting>
  <conditionalFormatting sqref="J1390:L1390">
    <cfRule type="containsBlanks" dxfId="3863" priority="3468">
      <formula>LEN(TRIM(J1390))=0</formula>
    </cfRule>
  </conditionalFormatting>
  <conditionalFormatting sqref="J1391:L1391">
    <cfRule type="containsBlanks" dxfId="3862" priority="3467">
      <formula>LEN(TRIM(J1391))=0</formula>
    </cfRule>
  </conditionalFormatting>
  <conditionalFormatting sqref="J1391:L1391">
    <cfRule type="containsBlanks" dxfId="3861" priority="3466">
      <formula>LEN(TRIM(J1391))=0</formula>
    </cfRule>
  </conditionalFormatting>
  <conditionalFormatting sqref="A1392:I1392 M1392:U1392 Y1392:Z1392 AC1392:AI1392">
    <cfRule type="containsBlanks" dxfId="3860" priority="3464">
      <formula>LEN(TRIM(A1392))=0</formula>
    </cfRule>
  </conditionalFormatting>
  <conditionalFormatting sqref="J1392:L1392">
    <cfRule type="containsBlanks" dxfId="3859" priority="3463">
      <formula>LEN(TRIM(J1392))=0</formula>
    </cfRule>
  </conditionalFormatting>
  <conditionalFormatting sqref="A1393:I1393 M1393:U1394 Y1393:Z1394 AC1393:AI1394 A1394:B1394 F1394:I1394">
    <cfRule type="containsBlanks" dxfId="3858" priority="3455">
      <formula>LEN(TRIM(A1393))=0</formula>
    </cfRule>
  </conditionalFormatting>
  <conditionalFormatting sqref="J1393:L1394">
    <cfRule type="containsBlanks" dxfId="3857" priority="3454">
      <formula>LEN(TRIM(J1393))=0</formula>
    </cfRule>
  </conditionalFormatting>
  <conditionalFormatting sqref="J1394:L1394">
    <cfRule type="containsBlanks" dxfId="3856" priority="3453">
      <formula>LEN(TRIM(J1394))=0</formula>
    </cfRule>
  </conditionalFormatting>
  <conditionalFormatting sqref="A1395:I1396 M1395:U1396 Y1395:Z1396 AC1395:AI1396">
    <cfRule type="containsBlanks" dxfId="3855" priority="3452">
      <formula>LEN(TRIM(A1395))=0</formula>
    </cfRule>
  </conditionalFormatting>
  <conditionalFormatting sqref="J1395:L1396">
    <cfRule type="containsBlanks" dxfId="3854" priority="3451">
      <formula>LEN(TRIM(J1395))=0</formula>
    </cfRule>
  </conditionalFormatting>
  <conditionalFormatting sqref="J1396:L1396">
    <cfRule type="containsBlanks" dxfId="3853" priority="3450">
      <formula>LEN(TRIM(J1396))=0</formula>
    </cfRule>
  </conditionalFormatting>
  <conditionalFormatting sqref="A1398:I1398 M1397:U1398 Y1397:Z1398 AC1397:AI1398 A1397:B1397 F1397:I1397">
    <cfRule type="containsBlanks" dxfId="3852" priority="3449">
      <formula>LEN(TRIM(A1397))=0</formula>
    </cfRule>
  </conditionalFormatting>
  <conditionalFormatting sqref="J1397:L1398">
    <cfRule type="containsBlanks" dxfId="3851" priority="3448">
      <formula>LEN(TRIM(J1397))=0</formula>
    </cfRule>
  </conditionalFormatting>
  <conditionalFormatting sqref="J1398:L1398">
    <cfRule type="containsBlanks" dxfId="3850" priority="3447">
      <formula>LEN(TRIM(J1398))=0</formula>
    </cfRule>
  </conditionalFormatting>
  <conditionalFormatting sqref="A1399:I1399 M1399:U1399 Y1399:Z1399 AC1399:AI1399">
    <cfRule type="containsBlanks" dxfId="3849" priority="3446">
      <formula>LEN(TRIM(A1399))=0</formula>
    </cfRule>
  </conditionalFormatting>
  <conditionalFormatting sqref="J1399:L1399">
    <cfRule type="containsBlanks" dxfId="3848" priority="3445">
      <formula>LEN(TRIM(J1399))=0</formula>
    </cfRule>
  </conditionalFormatting>
  <conditionalFormatting sqref="A1400:B1400 M1400:U1400 Y1400:Z1400 AC1400:AI1400 F1400:I1400">
    <cfRule type="containsBlanks" dxfId="3847" priority="3443">
      <formula>LEN(TRIM(A1400))=0</formula>
    </cfRule>
  </conditionalFormatting>
  <conditionalFormatting sqref="J1400:L1400">
    <cfRule type="containsBlanks" dxfId="3846" priority="3442">
      <formula>LEN(TRIM(J1400))=0</formula>
    </cfRule>
  </conditionalFormatting>
  <conditionalFormatting sqref="A1401:I1402 M1401:U1402 Y1401:Z1402 AC1401:AI1402">
    <cfRule type="containsBlanks" dxfId="3845" priority="3441">
      <formula>LEN(TRIM(A1401))=0</formula>
    </cfRule>
  </conditionalFormatting>
  <conditionalFormatting sqref="J1401:L1402">
    <cfRule type="containsBlanks" dxfId="3844" priority="3440">
      <formula>LEN(TRIM(J1401))=0</formula>
    </cfRule>
  </conditionalFormatting>
  <conditionalFormatting sqref="J1402:L1402">
    <cfRule type="containsBlanks" dxfId="3843" priority="3439">
      <formula>LEN(TRIM(J1402))=0</formula>
    </cfRule>
  </conditionalFormatting>
  <conditionalFormatting sqref="A1404:I1404 M1403:U1404 Y1403:Z1404 AC1403:AI1404 A1403:B1403 F1403:I1403">
    <cfRule type="containsBlanks" dxfId="3842" priority="3438">
      <formula>LEN(TRIM(A1403))=0</formula>
    </cfRule>
  </conditionalFormatting>
  <conditionalFormatting sqref="J1403:L1404">
    <cfRule type="containsBlanks" dxfId="3841" priority="3437">
      <formula>LEN(TRIM(J1403))=0</formula>
    </cfRule>
  </conditionalFormatting>
  <conditionalFormatting sqref="J1404:L1404">
    <cfRule type="containsBlanks" dxfId="3840" priority="3436">
      <formula>LEN(TRIM(J1404))=0</formula>
    </cfRule>
  </conditionalFormatting>
  <conditionalFormatting sqref="A1405:I1405 M1405:U1406 Y1405:Z1406 AC1405:AI1406 A1406:B1406 F1406:I1406">
    <cfRule type="containsBlanks" dxfId="3839" priority="3435">
      <formula>LEN(TRIM(A1405))=0</formula>
    </cfRule>
  </conditionalFormatting>
  <conditionalFormatting sqref="J1405:L1406">
    <cfRule type="containsBlanks" dxfId="3838" priority="3434">
      <formula>LEN(TRIM(J1405))=0</formula>
    </cfRule>
  </conditionalFormatting>
  <conditionalFormatting sqref="J1406:L1406">
    <cfRule type="containsBlanks" dxfId="3837" priority="3433">
      <formula>LEN(TRIM(J1406))=0</formula>
    </cfRule>
  </conditionalFormatting>
  <conditionalFormatting sqref="A1407:I1407 M1407:U1407 Y1407:Z1407 AC1407:AI1407">
    <cfRule type="containsBlanks" dxfId="3836" priority="3432">
      <formula>LEN(TRIM(A1407))=0</formula>
    </cfRule>
  </conditionalFormatting>
  <conditionalFormatting sqref="J1407:L1407">
    <cfRule type="containsBlanks" dxfId="3835" priority="3431">
      <formula>LEN(TRIM(J1407))=0</formula>
    </cfRule>
  </conditionalFormatting>
  <conditionalFormatting sqref="A1408:I1408 M1408:U1415 Y1408:Z1415 AC1408:AI1415 A1410:I1411 A1409:B1409 F1409:I1409 A1413:I1414 A1412:B1412 F1412:I1412 A1415:B1415 F1415:I1415">
    <cfRule type="containsBlanks" dxfId="3834" priority="3430">
      <formula>LEN(TRIM(A1408))=0</formula>
    </cfRule>
  </conditionalFormatting>
  <conditionalFormatting sqref="A1408:I1408 M1408:U1408 Y1408:Z1408 AC1408:AI1408">
    <cfRule type="containsBlanks" dxfId="3833" priority="3429">
      <formula>LEN(TRIM(A1408))=0</formula>
    </cfRule>
  </conditionalFormatting>
  <conditionalFormatting sqref="J1408:L1408">
    <cfRule type="containsBlanks" dxfId="3832" priority="3428">
      <formula>LEN(TRIM(J1408))=0</formula>
    </cfRule>
  </conditionalFormatting>
  <conditionalFormatting sqref="A1410:I1410 M1409:U1410 Y1409:Z1410 AC1409:AI1410 A1409:B1409 F1409:I1409">
    <cfRule type="containsBlanks" dxfId="3831" priority="3427">
      <formula>LEN(TRIM(A1409))=0</formula>
    </cfRule>
  </conditionalFormatting>
  <conditionalFormatting sqref="J1409:L1410">
    <cfRule type="containsBlanks" dxfId="3830" priority="3426">
      <formula>LEN(TRIM(J1409))=0</formula>
    </cfRule>
  </conditionalFormatting>
  <conditionalFormatting sqref="J1410:L1410">
    <cfRule type="containsBlanks" dxfId="3829" priority="3425">
      <formula>LEN(TRIM(J1410))=0</formula>
    </cfRule>
  </conditionalFormatting>
  <conditionalFormatting sqref="A1411:I1411 M1411:U1412 Y1411:Z1412 AC1411:AI1412 A1412:B1412 F1412:I1412">
    <cfRule type="containsBlanks" dxfId="3828" priority="3424">
      <formula>LEN(TRIM(A1411))=0</formula>
    </cfRule>
  </conditionalFormatting>
  <conditionalFormatting sqref="J1411:L1412">
    <cfRule type="containsBlanks" dxfId="3827" priority="3423">
      <formula>LEN(TRIM(J1411))=0</formula>
    </cfRule>
  </conditionalFormatting>
  <conditionalFormatting sqref="J1412:L1412">
    <cfRule type="containsBlanks" dxfId="3826" priority="3422">
      <formula>LEN(TRIM(J1412))=0</formula>
    </cfRule>
  </conditionalFormatting>
  <conditionalFormatting sqref="A1413:I1414 M1413:U1414 Y1413:Z1414 AC1413:AI1414">
    <cfRule type="containsBlanks" dxfId="3825" priority="3421">
      <formula>LEN(TRIM(A1413))=0</formula>
    </cfRule>
  </conditionalFormatting>
  <conditionalFormatting sqref="J1413:L1414">
    <cfRule type="containsBlanks" dxfId="3824" priority="3420">
      <formula>LEN(TRIM(J1413))=0</formula>
    </cfRule>
  </conditionalFormatting>
  <conditionalFormatting sqref="J1414:L1414">
    <cfRule type="containsBlanks" dxfId="3823" priority="3419">
      <formula>LEN(TRIM(J1414))=0</formula>
    </cfRule>
  </conditionalFormatting>
  <conditionalFormatting sqref="A1415:B1415 M1415:U1415 Y1415:Z1415 AC1415:AI1415 F1415:I1415">
    <cfRule type="containsBlanks" dxfId="3822" priority="3418">
      <formula>LEN(TRIM(A1415))=0</formula>
    </cfRule>
  </conditionalFormatting>
  <conditionalFormatting sqref="J1415:L1415">
    <cfRule type="containsBlanks" dxfId="3821" priority="3417">
      <formula>LEN(TRIM(J1415))=0</formula>
    </cfRule>
  </conditionalFormatting>
  <conditionalFormatting sqref="A1416:I1417 M1416:U1423 Y1416:Z1423 AC1416:AI1423 A1419:I1419 A1418:B1418 F1418:I1418 A1421:I1421 A1420:B1420 F1420:I1420 A1423:I1423 A1422:B1422 F1422:I1422">
    <cfRule type="containsBlanks" dxfId="3820" priority="3416">
      <formula>LEN(TRIM(A1416))=0</formula>
    </cfRule>
  </conditionalFormatting>
  <conditionalFormatting sqref="A1416:I1416 M1416:U1416 Y1416:Z1416 AC1416:AI1416">
    <cfRule type="containsBlanks" dxfId="3819" priority="3415">
      <formula>LEN(TRIM(A1416))=0</formula>
    </cfRule>
  </conditionalFormatting>
  <conditionalFormatting sqref="J1416:L1416">
    <cfRule type="containsBlanks" dxfId="3818" priority="3414">
      <formula>LEN(TRIM(J1416))=0</formula>
    </cfRule>
  </conditionalFormatting>
  <conditionalFormatting sqref="A1417:I1417 M1417:U1418 Y1417:Z1418 AC1417:AI1418 A1418:B1418 F1418:I1418">
    <cfRule type="containsBlanks" dxfId="3817" priority="3413">
      <formula>LEN(TRIM(A1417))=0</formula>
    </cfRule>
  </conditionalFormatting>
  <conditionalFormatting sqref="J1417:L1418">
    <cfRule type="containsBlanks" dxfId="3816" priority="3412">
      <formula>LEN(TRIM(J1417))=0</formula>
    </cfRule>
  </conditionalFormatting>
  <conditionalFormatting sqref="J1418:L1418">
    <cfRule type="containsBlanks" dxfId="3815" priority="3411">
      <formula>LEN(TRIM(J1418))=0</formula>
    </cfRule>
  </conditionalFormatting>
  <conditionalFormatting sqref="A1419:I1419 M1419:U1420 Y1419:Z1420 AC1419:AI1420 A1420:B1420 F1420:I1420">
    <cfRule type="containsBlanks" dxfId="3814" priority="3410">
      <formula>LEN(TRIM(A1419))=0</formula>
    </cfRule>
  </conditionalFormatting>
  <conditionalFormatting sqref="J1419:L1420">
    <cfRule type="containsBlanks" dxfId="3813" priority="3409">
      <formula>LEN(TRIM(J1419))=0</formula>
    </cfRule>
  </conditionalFormatting>
  <conditionalFormatting sqref="J1420:L1420">
    <cfRule type="containsBlanks" dxfId="3812" priority="3408">
      <formula>LEN(TRIM(J1420))=0</formula>
    </cfRule>
  </conditionalFormatting>
  <conditionalFormatting sqref="A1421:I1421 M1421:U1422 Y1421:Z1422 AC1421:AI1422 A1422:B1422 F1422:I1422">
    <cfRule type="containsBlanks" dxfId="3811" priority="3407">
      <formula>LEN(TRIM(A1421))=0</formula>
    </cfRule>
  </conditionalFormatting>
  <conditionalFormatting sqref="J1421:L1422">
    <cfRule type="containsBlanks" dxfId="3810" priority="3406">
      <formula>LEN(TRIM(J1421))=0</formula>
    </cfRule>
  </conditionalFormatting>
  <conditionalFormatting sqref="J1422:L1422">
    <cfRule type="containsBlanks" dxfId="3809" priority="3405">
      <formula>LEN(TRIM(J1422))=0</formula>
    </cfRule>
  </conditionalFormatting>
  <conditionalFormatting sqref="A1423:I1423 M1423:U1423 Y1423:Z1423 AC1423:AI1423">
    <cfRule type="containsBlanks" dxfId="3808" priority="3404">
      <formula>LEN(TRIM(A1423))=0</formula>
    </cfRule>
  </conditionalFormatting>
  <conditionalFormatting sqref="J1423:L1423">
    <cfRule type="containsBlanks" dxfId="3807" priority="3403">
      <formula>LEN(TRIM(J1423))=0</formula>
    </cfRule>
  </conditionalFormatting>
  <conditionalFormatting sqref="A1425:I1425 M1424:U1431 Y1424:Z1431 AC1424:AI1431 A1424:B1424 F1424:I1424 A1426:B1431 F1426:I1431 C1447:E1447 C1427:E1427 C1429:E1429 C1431:E1431 C1433:E1433 C1449:E1449 C1451:E1451 C1453:E1453 C1455:E1455 C1457:E1457 C1459:E1459 C1461:E1461 C1463:E1463 C1465:E1465 C1467:E1467 C1469:E1469 C1471:E1471 C1473:E1473 C1475:E1475 C1477:E1477 C1479:E1479 C1481:E1481 C1483:E1483 C1485:E1485 C1487:E1487 C1489:E1489 C1491:E1491 C1493:E1493 C1495:E1495 C1497:E1497 C1499:E1499 C1501:E1501 C1503:E1503 C1505:E1505 C1507:E1507">
    <cfRule type="containsBlanks" dxfId="3806" priority="3402">
      <formula>LEN(TRIM(A1424))=0</formula>
    </cfRule>
  </conditionalFormatting>
  <conditionalFormatting sqref="A1424:B1424 M1424:U1424 Y1424:Z1424 AC1424:AI1424 F1424:I1424">
    <cfRule type="containsBlanks" dxfId="3805" priority="3401">
      <formula>LEN(TRIM(A1424))=0</formula>
    </cfRule>
  </conditionalFormatting>
  <conditionalFormatting sqref="J1424:L1424">
    <cfRule type="containsBlanks" dxfId="3804" priority="3400">
      <formula>LEN(TRIM(J1424))=0</formula>
    </cfRule>
  </conditionalFormatting>
  <conditionalFormatting sqref="A1425:I1425 M1425:U1426 Y1425:Z1426 AC1425:AI1426 A1426:B1426 F1426:I1426 C1447:E1447 C1427:E1427 C1429:E1429 C1431:E1431 C1433:E1433 C1449:E1449 C1451:E1451 C1453:E1453 C1455:E1455 C1457:E1457 C1459:E1459 C1461:E1461 C1463:E1463 C1465:E1465 C1467:E1467 C1469:E1469 C1471:E1471 C1473:E1473 C1475:E1475 C1477:E1477 C1479:E1479 C1481:E1481 C1483:E1483 C1485:E1485 C1487:E1487 C1489:E1489 C1491:E1491 C1493:E1493 C1495:E1495 C1497:E1497 C1499:E1499 C1501:E1501 C1503:E1503 C1505:E1505 C1507:E1507">
    <cfRule type="containsBlanks" dxfId="3803" priority="3399">
      <formula>LEN(TRIM(A1425))=0</formula>
    </cfRule>
  </conditionalFormatting>
  <conditionalFormatting sqref="J1425:L1426">
    <cfRule type="containsBlanks" dxfId="3802" priority="3398">
      <formula>LEN(TRIM(J1425))=0</formula>
    </cfRule>
  </conditionalFormatting>
  <conditionalFormatting sqref="J1426:L1426">
    <cfRule type="containsBlanks" dxfId="3801" priority="3397">
      <formula>LEN(TRIM(J1426))=0</formula>
    </cfRule>
  </conditionalFormatting>
  <conditionalFormatting sqref="M1427:U1428 Y1427:Z1428 AC1427:AI1428 A1427:B1428 F1427:I1428">
    <cfRule type="containsBlanks" dxfId="3800" priority="3396">
      <formula>LEN(TRIM(A1427))=0</formula>
    </cfRule>
  </conditionalFormatting>
  <conditionalFormatting sqref="J1427:L1428">
    <cfRule type="containsBlanks" dxfId="3799" priority="3395">
      <formula>LEN(TRIM(J1427))=0</formula>
    </cfRule>
  </conditionalFormatting>
  <conditionalFormatting sqref="J1428:L1428">
    <cfRule type="containsBlanks" dxfId="3798" priority="3394">
      <formula>LEN(TRIM(J1428))=0</formula>
    </cfRule>
  </conditionalFormatting>
  <conditionalFormatting sqref="A1429:B1430 M1429:U1430 Y1429:Z1430 AC1429:AI1430 F1429:I1430">
    <cfRule type="containsBlanks" dxfId="3797" priority="3393">
      <formula>LEN(TRIM(A1429))=0</formula>
    </cfRule>
  </conditionalFormatting>
  <conditionalFormatting sqref="J1429:L1430">
    <cfRule type="containsBlanks" dxfId="3796" priority="3392">
      <formula>LEN(TRIM(J1429))=0</formula>
    </cfRule>
  </conditionalFormatting>
  <conditionalFormatting sqref="J1430:L1430">
    <cfRule type="containsBlanks" dxfId="3795" priority="3391">
      <formula>LEN(TRIM(J1430))=0</formula>
    </cfRule>
  </conditionalFormatting>
  <conditionalFormatting sqref="A1431:B1431 M1431:U1431 Y1431:Z1431 AC1431:AI1431 F1431:I1431">
    <cfRule type="containsBlanks" dxfId="3794" priority="3390">
      <formula>LEN(TRIM(A1431))=0</formula>
    </cfRule>
  </conditionalFormatting>
  <conditionalFormatting sqref="J1431:L1431">
    <cfRule type="containsBlanks" dxfId="3793" priority="3389">
      <formula>LEN(TRIM(J1431))=0</formula>
    </cfRule>
  </conditionalFormatting>
  <conditionalFormatting sqref="M1432:U1439 Y1432:Z1439 AC1432:AI1439 A1432:B1439 F1432:I1439">
    <cfRule type="containsBlanks" dxfId="3792" priority="3388">
      <formula>LEN(TRIM(A1432))=0</formula>
    </cfRule>
  </conditionalFormatting>
  <conditionalFormatting sqref="A1432:B1432 M1432:U1432 Y1432:Z1432 AC1432:AI1432 F1432:I1432">
    <cfRule type="containsBlanks" dxfId="3791" priority="3387">
      <formula>LEN(TRIM(A1432))=0</formula>
    </cfRule>
  </conditionalFormatting>
  <conditionalFormatting sqref="J1432:L1432">
    <cfRule type="containsBlanks" dxfId="3790" priority="3386">
      <formula>LEN(TRIM(J1432))=0</formula>
    </cfRule>
  </conditionalFormatting>
  <conditionalFormatting sqref="A1433:B1434 M1433:U1434 Y1433:Z1434 AC1433:AI1434 F1433:I1434">
    <cfRule type="containsBlanks" dxfId="3789" priority="3385">
      <formula>LEN(TRIM(A1433))=0</formula>
    </cfRule>
  </conditionalFormatting>
  <conditionalFormatting sqref="J1433:L1434">
    <cfRule type="containsBlanks" dxfId="3788" priority="3384">
      <formula>LEN(TRIM(J1433))=0</formula>
    </cfRule>
  </conditionalFormatting>
  <conditionalFormatting sqref="J1434:L1434">
    <cfRule type="containsBlanks" dxfId="3787" priority="3383">
      <formula>LEN(TRIM(J1434))=0</formula>
    </cfRule>
  </conditionalFormatting>
  <conditionalFormatting sqref="A1435:B1436 M1435:U1436 Y1435:Z1436 AC1435:AI1436 F1435:I1436">
    <cfRule type="containsBlanks" dxfId="3786" priority="3382">
      <formula>LEN(TRIM(A1435))=0</formula>
    </cfRule>
  </conditionalFormatting>
  <conditionalFormatting sqref="J1435:L1436">
    <cfRule type="containsBlanks" dxfId="3785" priority="3381">
      <formula>LEN(TRIM(J1435))=0</formula>
    </cfRule>
  </conditionalFormatting>
  <conditionalFormatting sqref="J1436:L1436">
    <cfRule type="containsBlanks" dxfId="3784" priority="3380">
      <formula>LEN(TRIM(J1436))=0</formula>
    </cfRule>
  </conditionalFormatting>
  <conditionalFormatting sqref="A1437:B1438 M1437:U1438 Y1437:Z1438 AC1437:AI1438 F1437:I1438">
    <cfRule type="containsBlanks" dxfId="3783" priority="3379">
      <formula>LEN(TRIM(A1437))=0</formula>
    </cfRule>
  </conditionalFormatting>
  <conditionalFormatting sqref="J1437:L1438">
    <cfRule type="containsBlanks" dxfId="3782" priority="3378">
      <formula>LEN(TRIM(J1437))=0</formula>
    </cfRule>
  </conditionalFormatting>
  <conditionalFormatting sqref="J1438:L1438">
    <cfRule type="containsBlanks" dxfId="3781" priority="3377">
      <formula>LEN(TRIM(J1438))=0</formula>
    </cfRule>
  </conditionalFormatting>
  <conditionalFormatting sqref="A1439:B1439 M1439:U1439 Y1439:Z1439 AC1439:AI1439 F1439:I1439">
    <cfRule type="containsBlanks" dxfId="3780" priority="3376">
      <formula>LEN(TRIM(A1439))=0</formula>
    </cfRule>
  </conditionalFormatting>
  <conditionalFormatting sqref="J1439:L1439">
    <cfRule type="containsBlanks" dxfId="3779" priority="3375">
      <formula>LEN(TRIM(J1439))=0</formula>
    </cfRule>
  </conditionalFormatting>
  <conditionalFormatting sqref="A1440:B1447 M1440:U1447 Y1440:Z1447 AC1440:AI1447 F1440:I1447">
    <cfRule type="containsBlanks" dxfId="3778" priority="3374">
      <formula>LEN(TRIM(A1440))=0</formula>
    </cfRule>
  </conditionalFormatting>
  <conditionalFormatting sqref="A1440:B1440 M1440:U1440 Y1440:Z1440 AC1440:AI1440 F1440:I1440">
    <cfRule type="containsBlanks" dxfId="3777" priority="3373">
      <formula>LEN(TRIM(A1440))=0</formula>
    </cfRule>
  </conditionalFormatting>
  <conditionalFormatting sqref="J1440:L1440">
    <cfRule type="containsBlanks" dxfId="3776" priority="3372">
      <formula>LEN(TRIM(J1440))=0</formula>
    </cfRule>
  </conditionalFormatting>
  <conditionalFormatting sqref="A1441:B1442 M1441:U1442 Y1441:Z1442 AC1441:AI1442 F1441:I1442">
    <cfRule type="containsBlanks" dxfId="3775" priority="3371">
      <formula>LEN(TRIM(A1441))=0</formula>
    </cfRule>
  </conditionalFormatting>
  <conditionalFormatting sqref="J1441:L1442">
    <cfRule type="containsBlanks" dxfId="3774" priority="3370">
      <formula>LEN(TRIM(J1441))=0</formula>
    </cfRule>
  </conditionalFormatting>
  <conditionalFormatting sqref="J1442:L1442">
    <cfRule type="containsBlanks" dxfId="3773" priority="3369">
      <formula>LEN(TRIM(J1442))=0</formula>
    </cfRule>
  </conditionalFormatting>
  <conditionalFormatting sqref="A1443:B1444 M1443:U1444 Y1443:Z1444 AC1443:AI1444 F1443:I1444">
    <cfRule type="containsBlanks" dxfId="3772" priority="3368">
      <formula>LEN(TRIM(A1443))=0</formula>
    </cfRule>
  </conditionalFormatting>
  <conditionalFormatting sqref="J1443:L1444">
    <cfRule type="containsBlanks" dxfId="3771" priority="3367">
      <formula>LEN(TRIM(J1443))=0</formula>
    </cfRule>
  </conditionalFormatting>
  <conditionalFormatting sqref="J1444:L1444">
    <cfRule type="containsBlanks" dxfId="3770" priority="3366">
      <formula>LEN(TRIM(J1444))=0</formula>
    </cfRule>
  </conditionalFormatting>
  <conditionalFormatting sqref="A1445:B1446 M1445:U1446 Y1445:Z1446 AC1445:AI1446 F1445:I1446">
    <cfRule type="containsBlanks" dxfId="3769" priority="3365">
      <formula>LEN(TRIM(A1445))=0</formula>
    </cfRule>
  </conditionalFormatting>
  <conditionalFormatting sqref="J1445:L1446">
    <cfRule type="containsBlanks" dxfId="3768" priority="3364">
      <formula>LEN(TRIM(J1445))=0</formula>
    </cfRule>
  </conditionalFormatting>
  <conditionalFormatting sqref="J1446:L1446">
    <cfRule type="containsBlanks" dxfId="3767" priority="3363">
      <formula>LEN(TRIM(J1446))=0</formula>
    </cfRule>
  </conditionalFormatting>
  <conditionalFormatting sqref="A1447:B1447 M1447:U1447 Y1447:Z1447 AC1447:AI1447 F1447:I1447">
    <cfRule type="containsBlanks" dxfId="3766" priority="3362">
      <formula>LEN(TRIM(A1447))=0</formula>
    </cfRule>
  </conditionalFormatting>
  <conditionalFormatting sqref="J1447:L1447">
    <cfRule type="containsBlanks" dxfId="3765" priority="3361">
      <formula>LEN(TRIM(J1447))=0</formula>
    </cfRule>
  </conditionalFormatting>
  <conditionalFormatting sqref="A1448:B1455 M1449:Z1449 M1448:U1448 Y1448:Z1448 M1451:Z1451 M1450:U1450 Y1450:Z1450 M1453:Z1453 M1452:U1452 Y1452:Z1452 M1455:Z1455 M1454:U1454 Y1454:Z1454 AC1448:AI1455 F1448:I1455">
    <cfRule type="containsBlanks" dxfId="3764" priority="3360">
      <formula>LEN(TRIM(A1448))=0</formula>
    </cfRule>
  </conditionalFormatting>
  <conditionalFormatting sqref="A1448:B1448 M1448:U1448 Y1448:Z1448 AC1448:AI1448 F1448:I1448">
    <cfRule type="containsBlanks" dxfId="3763" priority="3359">
      <formula>LEN(TRIM(A1448))=0</formula>
    </cfRule>
  </conditionalFormatting>
  <conditionalFormatting sqref="J1448:L1448">
    <cfRule type="containsBlanks" dxfId="3762" priority="3358">
      <formula>LEN(TRIM(J1448))=0</formula>
    </cfRule>
  </conditionalFormatting>
  <conditionalFormatting sqref="A1449:B1450 M1449:Z1449 M1450:U1450 Y1450:Z1450 AC1449:AI1450 F1449:I1450">
    <cfRule type="containsBlanks" dxfId="3761" priority="3357">
      <formula>LEN(TRIM(A1449))=0</formula>
    </cfRule>
  </conditionalFormatting>
  <conditionalFormatting sqref="J1449:L1450">
    <cfRule type="containsBlanks" dxfId="3760" priority="3356">
      <formula>LEN(TRIM(J1449))=0</formula>
    </cfRule>
  </conditionalFormatting>
  <conditionalFormatting sqref="J1450:L1450">
    <cfRule type="containsBlanks" dxfId="3759" priority="3355">
      <formula>LEN(TRIM(J1450))=0</formula>
    </cfRule>
  </conditionalFormatting>
  <conditionalFormatting sqref="A1451:B1452 M1451:Z1451 M1452:U1452 Y1452:Z1452 AC1451:AI1452 F1451:I1452">
    <cfRule type="containsBlanks" dxfId="3758" priority="3354">
      <formula>LEN(TRIM(A1451))=0</formula>
    </cfRule>
  </conditionalFormatting>
  <conditionalFormatting sqref="J1451:L1452">
    <cfRule type="containsBlanks" dxfId="3757" priority="3353">
      <formula>LEN(TRIM(J1451))=0</formula>
    </cfRule>
  </conditionalFormatting>
  <conditionalFormatting sqref="J1452:L1452">
    <cfRule type="containsBlanks" dxfId="3756" priority="3352">
      <formula>LEN(TRIM(J1452))=0</formula>
    </cfRule>
  </conditionalFormatting>
  <conditionalFormatting sqref="A1453:B1454 M1453:Z1453 M1454:U1454 Y1454:Z1454 AC1453:AI1454 F1453:I1454">
    <cfRule type="containsBlanks" dxfId="3755" priority="3351">
      <formula>LEN(TRIM(A1453))=0</formula>
    </cfRule>
  </conditionalFormatting>
  <conditionalFormatting sqref="J1453:L1454">
    <cfRule type="containsBlanks" dxfId="3754" priority="3350">
      <formula>LEN(TRIM(J1453))=0</formula>
    </cfRule>
  </conditionalFormatting>
  <conditionalFormatting sqref="J1454:L1454">
    <cfRule type="containsBlanks" dxfId="3753" priority="3349">
      <formula>LEN(TRIM(J1454))=0</formula>
    </cfRule>
  </conditionalFormatting>
  <conditionalFormatting sqref="A1455:B1455 M1455:Z1455 AC1455:AI1455 F1455:I1455">
    <cfRule type="containsBlanks" dxfId="3752" priority="3348">
      <formula>LEN(TRIM(A1455))=0</formula>
    </cfRule>
  </conditionalFormatting>
  <conditionalFormatting sqref="J1455:L1455">
    <cfRule type="containsBlanks" dxfId="3751" priority="3347">
      <formula>LEN(TRIM(J1455))=0</formula>
    </cfRule>
  </conditionalFormatting>
  <conditionalFormatting sqref="A1456:B1463 M1457:Z1457 M1456:U1456 Y1456:Z1456 M1459:Z1459 M1458:U1458 Y1458:Z1458 M1461:Z1461 M1460:U1460 Y1460:Z1460 M1463:Z1463 M1462:U1462 Y1462:Z1462 AC1456:AI1463 F1456:I1463">
    <cfRule type="containsBlanks" dxfId="3750" priority="3346">
      <formula>LEN(TRIM(A1456))=0</formula>
    </cfRule>
  </conditionalFormatting>
  <conditionalFormatting sqref="A1456:B1456 M1456:U1456 Y1456:Z1456 AC1456:AI1456 F1456:I1456">
    <cfRule type="containsBlanks" dxfId="3749" priority="3345">
      <formula>LEN(TRIM(A1456))=0</formula>
    </cfRule>
  </conditionalFormatting>
  <conditionalFormatting sqref="J1456:L1456">
    <cfRule type="containsBlanks" dxfId="3748" priority="3344">
      <formula>LEN(TRIM(J1456))=0</formula>
    </cfRule>
  </conditionalFormatting>
  <conditionalFormatting sqref="A1457:B1458 M1457:Z1457 M1458:U1458 Y1458:Z1458 AC1457:AI1458 F1457:I1458">
    <cfRule type="containsBlanks" dxfId="3747" priority="3343">
      <formula>LEN(TRIM(A1457))=0</formula>
    </cfRule>
  </conditionalFormatting>
  <conditionalFormatting sqref="J1457:L1458">
    <cfRule type="containsBlanks" dxfId="3746" priority="3342">
      <formula>LEN(TRIM(J1457))=0</formula>
    </cfRule>
  </conditionalFormatting>
  <conditionalFormatting sqref="J1458:L1458">
    <cfRule type="containsBlanks" dxfId="3745" priority="3341">
      <formula>LEN(TRIM(J1458))=0</formula>
    </cfRule>
  </conditionalFormatting>
  <conditionalFormatting sqref="A1459:B1460 M1459:Z1459 M1460:U1460 Y1460:Z1460 AC1459:AI1460 F1459:I1460">
    <cfRule type="containsBlanks" dxfId="3744" priority="3340">
      <formula>LEN(TRIM(A1459))=0</formula>
    </cfRule>
  </conditionalFormatting>
  <conditionalFormatting sqref="J1459:L1460">
    <cfRule type="containsBlanks" dxfId="3743" priority="3339">
      <formula>LEN(TRIM(J1459))=0</formula>
    </cfRule>
  </conditionalFormatting>
  <conditionalFormatting sqref="J1460:L1460">
    <cfRule type="containsBlanks" dxfId="3742" priority="3338">
      <formula>LEN(TRIM(J1460))=0</formula>
    </cfRule>
  </conditionalFormatting>
  <conditionalFormatting sqref="A1461:B1462 M1461:Z1461 M1462:U1462 Y1462:Z1462 AC1461:AI1462 F1461:I1462">
    <cfRule type="containsBlanks" dxfId="3741" priority="3337">
      <formula>LEN(TRIM(A1461))=0</formula>
    </cfRule>
  </conditionalFormatting>
  <conditionalFormatting sqref="J1461:L1462">
    <cfRule type="containsBlanks" dxfId="3740" priority="3336">
      <formula>LEN(TRIM(J1461))=0</formula>
    </cfRule>
  </conditionalFormatting>
  <conditionalFormatting sqref="J1462:L1462">
    <cfRule type="containsBlanks" dxfId="3739" priority="3335">
      <formula>LEN(TRIM(J1462))=0</formula>
    </cfRule>
  </conditionalFormatting>
  <conditionalFormatting sqref="A1463:B1463 M1463:Z1463 AC1463:AI1463 F1463:I1463">
    <cfRule type="containsBlanks" dxfId="3738" priority="3334">
      <formula>LEN(TRIM(A1463))=0</formula>
    </cfRule>
  </conditionalFormatting>
  <conditionalFormatting sqref="J1463:L1463">
    <cfRule type="containsBlanks" dxfId="3737" priority="3333">
      <formula>LEN(TRIM(J1463))=0</formula>
    </cfRule>
  </conditionalFormatting>
  <conditionalFormatting sqref="A1464:B1471 M1465:Z1465 M1464:U1464 Y1464:Z1464 M1467:Z1467 M1466:U1466 Y1466:Z1466 M1469:Z1469 M1468:U1468 Y1468:Z1468 M1471:Z1471 M1470:U1470 Y1470:Z1470 AC1464:AI1471 F1464:I1471">
    <cfRule type="containsBlanks" dxfId="3736" priority="3332">
      <formula>LEN(TRIM(A1464))=0</formula>
    </cfRule>
  </conditionalFormatting>
  <conditionalFormatting sqref="A1464:B1464 M1464:U1464 Y1464:Z1464 AC1464:AI1464 F1464:I1464">
    <cfRule type="containsBlanks" dxfId="3735" priority="3331">
      <formula>LEN(TRIM(A1464))=0</formula>
    </cfRule>
  </conditionalFormatting>
  <conditionalFormatting sqref="J1464:L1464">
    <cfRule type="containsBlanks" dxfId="3734" priority="3330">
      <formula>LEN(TRIM(J1464))=0</formula>
    </cfRule>
  </conditionalFormatting>
  <conditionalFormatting sqref="A1465:B1466 M1465:Z1465 M1466:U1466 Y1466:Z1466 AC1465:AI1466 F1465:I1466">
    <cfRule type="containsBlanks" dxfId="3733" priority="3329">
      <formula>LEN(TRIM(A1465))=0</formula>
    </cfRule>
  </conditionalFormatting>
  <conditionalFormatting sqref="J1465:L1466">
    <cfRule type="containsBlanks" dxfId="3732" priority="3328">
      <formula>LEN(TRIM(J1465))=0</formula>
    </cfRule>
  </conditionalFormatting>
  <conditionalFormatting sqref="J1466:L1466">
    <cfRule type="containsBlanks" dxfId="3731" priority="3327">
      <formula>LEN(TRIM(J1466))=0</formula>
    </cfRule>
  </conditionalFormatting>
  <conditionalFormatting sqref="A1467:B1468 M1467:Z1467 M1468:U1468 Y1468:Z1468 AC1467:AI1468 F1467:I1468">
    <cfRule type="containsBlanks" dxfId="3730" priority="3326">
      <formula>LEN(TRIM(A1467))=0</formula>
    </cfRule>
  </conditionalFormatting>
  <conditionalFormatting sqref="J1467:L1468">
    <cfRule type="containsBlanks" dxfId="3729" priority="3325">
      <formula>LEN(TRIM(J1467))=0</formula>
    </cfRule>
  </conditionalFormatting>
  <conditionalFormatting sqref="J1468:L1468">
    <cfRule type="containsBlanks" dxfId="3728" priority="3324">
      <formula>LEN(TRIM(J1468))=0</formula>
    </cfRule>
  </conditionalFormatting>
  <conditionalFormatting sqref="A1469:B1470 M1469:Z1469 M1470:U1470 Y1470:Z1470 AC1469:AI1470 F1469:I1470">
    <cfRule type="containsBlanks" dxfId="3727" priority="3323">
      <formula>LEN(TRIM(A1469))=0</formula>
    </cfRule>
  </conditionalFormatting>
  <conditionalFormatting sqref="J1469:L1470">
    <cfRule type="containsBlanks" dxfId="3726" priority="3322">
      <formula>LEN(TRIM(J1469))=0</formula>
    </cfRule>
  </conditionalFormatting>
  <conditionalFormatting sqref="J1470:L1470">
    <cfRule type="containsBlanks" dxfId="3725" priority="3321">
      <formula>LEN(TRIM(J1470))=0</formula>
    </cfRule>
  </conditionalFormatting>
  <conditionalFormatting sqref="A1471:B1471 M1471:Z1471 AC1471:AI1471 F1471:I1471">
    <cfRule type="containsBlanks" dxfId="3724" priority="3320">
      <formula>LEN(TRIM(A1471))=0</formula>
    </cfRule>
  </conditionalFormatting>
  <conditionalFormatting sqref="J1471:L1471">
    <cfRule type="containsBlanks" dxfId="3723" priority="3319">
      <formula>LEN(TRIM(J1471))=0</formula>
    </cfRule>
  </conditionalFormatting>
  <conditionalFormatting sqref="A1472:B1481 M1473:Z1473 M1472:U1472 Y1472:Z1472 M1475:Z1475 M1474:U1474 Y1474:Z1474 M1477:Z1477 M1476:U1476 Y1476:Z1476 AC1472:AI1481 M1478:U1481 Y1478:Z1481 V1479:X1479 V1481:X1481 V1483:X1483 V1489:X1489 V1495:X1495 V1501:X1501 V1485:X1485 V1491:X1491 V1497:X1497 V1503:X1503 V1487:X1487 V1493:X1493 V1499:X1499 V1505:X1505 F1472:I1481">
    <cfRule type="containsBlanks" dxfId="3722" priority="3318">
      <formula>LEN(TRIM(A1472))=0</formula>
    </cfRule>
  </conditionalFormatting>
  <conditionalFormatting sqref="A1472:B1472 M1472:U1472 Y1472:Z1472 AC1472:AI1472 F1472:I1472">
    <cfRule type="containsBlanks" dxfId="3721" priority="3317">
      <formula>LEN(TRIM(A1472))=0</formula>
    </cfRule>
  </conditionalFormatting>
  <conditionalFormatting sqref="J1472:L1472">
    <cfRule type="containsBlanks" dxfId="3720" priority="3316">
      <formula>LEN(TRIM(J1472))=0</formula>
    </cfRule>
  </conditionalFormatting>
  <conditionalFormatting sqref="A1473:B1474 M1473:Z1473 M1474:U1474 Y1474:Z1474 AC1473:AI1474 F1473:I1474">
    <cfRule type="containsBlanks" dxfId="3719" priority="3315">
      <formula>LEN(TRIM(A1473))=0</formula>
    </cfRule>
  </conditionalFormatting>
  <conditionalFormatting sqref="J1473:L1474">
    <cfRule type="containsBlanks" dxfId="3718" priority="3314">
      <formula>LEN(TRIM(J1473))=0</formula>
    </cfRule>
  </conditionalFormatting>
  <conditionalFormatting sqref="J1474:L1474">
    <cfRule type="containsBlanks" dxfId="3717" priority="3313">
      <formula>LEN(TRIM(J1474))=0</formula>
    </cfRule>
  </conditionalFormatting>
  <conditionalFormatting sqref="A1475:B1476 M1475:Z1475 M1476:U1476 Y1476:Z1476 AC1475:AI1476 F1475:I1476">
    <cfRule type="containsBlanks" dxfId="3716" priority="3312">
      <formula>LEN(TRIM(A1475))=0</formula>
    </cfRule>
  </conditionalFormatting>
  <conditionalFormatting sqref="J1475:L1476">
    <cfRule type="containsBlanks" dxfId="3715" priority="3311">
      <formula>LEN(TRIM(J1475))=0</formula>
    </cfRule>
  </conditionalFormatting>
  <conditionalFormatting sqref="J1476:L1476">
    <cfRule type="containsBlanks" dxfId="3714" priority="3310">
      <formula>LEN(TRIM(J1476))=0</formula>
    </cfRule>
  </conditionalFormatting>
  <conditionalFormatting sqref="A1477:B1480 M1477:Z1477 AC1477:AI1480 M1478:U1480 Y1478:Z1480 V1479:X1479 V1481:X1481 V1483:X1483 V1489:X1489 V1495:X1495 V1501:X1501 V1485:X1485 V1491:X1491 V1497:X1497 V1503:X1503 V1487:X1487 V1493:X1493 V1499:X1499 V1505:X1505 F1477:I1480">
    <cfRule type="containsBlanks" dxfId="3713" priority="3309">
      <formula>LEN(TRIM(A1477))=0</formula>
    </cfRule>
  </conditionalFormatting>
  <conditionalFormatting sqref="J1477:L1477 J1479:L1479">
    <cfRule type="containsBlanks" dxfId="3712" priority="3308">
      <formula>LEN(TRIM(J1477))=0</formula>
    </cfRule>
  </conditionalFormatting>
  <conditionalFormatting sqref="A1481:B1481 M1481:U1481 AC1481:AI1481 Y1481:Z1481 F1481:I1481">
    <cfRule type="containsBlanks" dxfId="3711" priority="3306">
      <formula>LEN(TRIM(A1481))=0</formula>
    </cfRule>
  </conditionalFormatting>
  <conditionalFormatting sqref="J1481:L1481">
    <cfRule type="containsBlanks" dxfId="3710" priority="3305">
      <formula>LEN(TRIM(J1481))=0</formula>
    </cfRule>
  </conditionalFormatting>
  <conditionalFormatting sqref="V1376:X1378">
    <cfRule type="containsBlanks" dxfId="3709" priority="3304">
      <formula>LEN(TRIM(V1376))=0</formula>
    </cfRule>
  </conditionalFormatting>
  <conditionalFormatting sqref="V1379:X1381">
    <cfRule type="containsBlanks" dxfId="3708" priority="3303">
      <formula>LEN(TRIM(V1379))=0</formula>
    </cfRule>
  </conditionalFormatting>
  <conditionalFormatting sqref="V1382:X1384">
    <cfRule type="containsBlanks" dxfId="3707" priority="3302">
      <formula>LEN(TRIM(V1382))=0</formula>
    </cfRule>
  </conditionalFormatting>
  <conditionalFormatting sqref="V1385:X1387">
    <cfRule type="containsBlanks" dxfId="3706" priority="3301">
      <formula>LEN(TRIM(V1385))=0</formula>
    </cfRule>
  </conditionalFormatting>
  <conditionalFormatting sqref="V1388:X1390">
    <cfRule type="containsBlanks" dxfId="3705" priority="3300">
      <formula>LEN(TRIM(V1388))=0</formula>
    </cfRule>
  </conditionalFormatting>
  <conditionalFormatting sqref="V1391:X1393">
    <cfRule type="containsBlanks" dxfId="3704" priority="3299">
      <formula>LEN(TRIM(V1391))=0</formula>
    </cfRule>
  </conditionalFormatting>
  <conditionalFormatting sqref="V1394:X1396">
    <cfRule type="containsBlanks" dxfId="3703" priority="3298">
      <formula>LEN(TRIM(V1394))=0</formula>
    </cfRule>
  </conditionalFormatting>
  <conditionalFormatting sqref="V1397:X1399">
    <cfRule type="containsBlanks" dxfId="3702" priority="3297">
      <formula>LEN(TRIM(V1397))=0</formula>
    </cfRule>
  </conditionalFormatting>
  <conditionalFormatting sqref="V1400:X1402">
    <cfRule type="containsBlanks" dxfId="3701" priority="3296">
      <formula>LEN(TRIM(V1400))=0</formula>
    </cfRule>
  </conditionalFormatting>
  <conditionalFormatting sqref="V1403:X1405">
    <cfRule type="containsBlanks" dxfId="3700" priority="3295">
      <formula>LEN(TRIM(V1403))=0</formula>
    </cfRule>
  </conditionalFormatting>
  <conditionalFormatting sqref="V1406:X1408">
    <cfRule type="containsBlanks" dxfId="3699" priority="3294">
      <formula>LEN(TRIM(V1406))=0</formula>
    </cfRule>
  </conditionalFormatting>
  <conditionalFormatting sqref="V1409:X1411">
    <cfRule type="containsBlanks" dxfId="3698" priority="3293">
      <formula>LEN(TRIM(V1409))=0</formula>
    </cfRule>
  </conditionalFormatting>
  <conditionalFormatting sqref="V1412:X1414">
    <cfRule type="containsBlanks" dxfId="3697" priority="3292">
      <formula>LEN(TRIM(V1412))=0</formula>
    </cfRule>
  </conditionalFormatting>
  <conditionalFormatting sqref="V1415:X1417">
    <cfRule type="containsBlanks" dxfId="3696" priority="3291">
      <formula>LEN(TRIM(V1415))=0</formula>
    </cfRule>
  </conditionalFormatting>
  <conditionalFormatting sqref="V1418:X1419">
    <cfRule type="containsBlanks" dxfId="3695" priority="3272">
      <formula>LEN(TRIM(V1418))=0</formula>
    </cfRule>
  </conditionalFormatting>
  <conditionalFormatting sqref="V1420:X1421">
    <cfRule type="containsBlanks" dxfId="3694" priority="3271">
      <formula>LEN(TRIM(V1420))=0</formula>
    </cfRule>
  </conditionalFormatting>
  <conditionalFormatting sqref="V1422:X1423">
    <cfRule type="containsBlanks" dxfId="3693" priority="3270">
      <formula>LEN(TRIM(V1422))=0</formula>
    </cfRule>
  </conditionalFormatting>
  <conditionalFormatting sqref="V1424:X1425">
    <cfRule type="containsBlanks" dxfId="3692" priority="3269">
      <formula>LEN(TRIM(V1424))=0</formula>
    </cfRule>
  </conditionalFormatting>
  <conditionalFormatting sqref="V1426:X1427">
    <cfRule type="containsBlanks" dxfId="3691" priority="3268">
      <formula>LEN(TRIM(V1426))=0</formula>
    </cfRule>
  </conditionalFormatting>
  <conditionalFormatting sqref="V1428:X1429">
    <cfRule type="containsBlanks" dxfId="3690" priority="3267">
      <formula>LEN(TRIM(V1428))=0</formula>
    </cfRule>
  </conditionalFormatting>
  <conditionalFormatting sqref="V1430:X1431">
    <cfRule type="containsBlanks" dxfId="3689" priority="3266">
      <formula>LEN(TRIM(V1430))=0</formula>
    </cfRule>
  </conditionalFormatting>
  <conditionalFormatting sqref="V1432:X1433">
    <cfRule type="containsBlanks" dxfId="3688" priority="3265">
      <formula>LEN(TRIM(V1432))=0</formula>
    </cfRule>
  </conditionalFormatting>
  <conditionalFormatting sqref="V1434:X1435">
    <cfRule type="containsBlanks" dxfId="3687" priority="3264">
      <formula>LEN(TRIM(V1434))=0</formula>
    </cfRule>
  </conditionalFormatting>
  <conditionalFormatting sqref="V1436:X1437">
    <cfRule type="containsBlanks" dxfId="3686" priority="3263">
      <formula>LEN(TRIM(V1436))=0</formula>
    </cfRule>
  </conditionalFormatting>
  <conditionalFormatting sqref="V1438:X1439">
    <cfRule type="containsBlanks" dxfId="3685" priority="3262">
      <formula>LEN(TRIM(V1438))=0</formula>
    </cfRule>
  </conditionalFormatting>
  <conditionalFormatting sqref="V1440:X1441">
    <cfRule type="containsBlanks" dxfId="3684" priority="3261">
      <formula>LEN(TRIM(V1440))=0</formula>
    </cfRule>
  </conditionalFormatting>
  <conditionalFormatting sqref="V1442:X1443">
    <cfRule type="containsBlanks" dxfId="3683" priority="3260">
      <formula>LEN(TRIM(V1442))=0</formula>
    </cfRule>
  </conditionalFormatting>
  <conditionalFormatting sqref="V1444:X1445">
    <cfRule type="containsBlanks" dxfId="3682" priority="3259">
      <formula>LEN(TRIM(V1444))=0</formula>
    </cfRule>
  </conditionalFormatting>
  <conditionalFormatting sqref="V1446:X1447">
    <cfRule type="containsBlanks" dxfId="3681" priority="3258">
      <formula>LEN(TRIM(V1446))=0</formula>
    </cfRule>
  </conditionalFormatting>
  <conditionalFormatting sqref="V1448:X1448">
    <cfRule type="containsBlanks" dxfId="3680" priority="3248">
      <formula>LEN(TRIM(V1448))=0</formula>
    </cfRule>
  </conditionalFormatting>
  <conditionalFormatting sqref="V1450:X1450">
    <cfRule type="containsBlanks" dxfId="3679" priority="3247">
      <formula>LEN(TRIM(V1450))=0</formula>
    </cfRule>
  </conditionalFormatting>
  <conditionalFormatting sqref="V1452:X1452">
    <cfRule type="containsBlanks" dxfId="3678" priority="3246">
      <formula>LEN(TRIM(V1452))=0</formula>
    </cfRule>
  </conditionalFormatting>
  <conditionalFormatting sqref="V1454:X1454">
    <cfRule type="containsBlanks" dxfId="3677" priority="3245">
      <formula>LEN(TRIM(V1454))=0</formula>
    </cfRule>
  </conditionalFormatting>
  <conditionalFormatting sqref="V1456:X1456">
    <cfRule type="containsBlanks" dxfId="3676" priority="3244">
      <formula>LEN(TRIM(V1456))=0</formula>
    </cfRule>
  </conditionalFormatting>
  <conditionalFormatting sqref="V1458:X1458">
    <cfRule type="containsBlanks" dxfId="3675" priority="3243">
      <formula>LEN(TRIM(V1458))=0</formula>
    </cfRule>
  </conditionalFormatting>
  <conditionalFormatting sqref="V1460:X1460">
    <cfRule type="containsBlanks" dxfId="3674" priority="3242">
      <formula>LEN(TRIM(V1460))=0</formula>
    </cfRule>
  </conditionalFormatting>
  <conditionalFormatting sqref="V1462:X1462">
    <cfRule type="containsBlanks" dxfId="3673" priority="3241">
      <formula>LEN(TRIM(V1462))=0</formula>
    </cfRule>
  </conditionalFormatting>
  <conditionalFormatting sqref="V1464:X1464">
    <cfRule type="containsBlanks" dxfId="3672" priority="3240">
      <formula>LEN(TRIM(V1464))=0</formula>
    </cfRule>
  </conditionalFormatting>
  <conditionalFormatting sqref="V1466:X1466">
    <cfRule type="containsBlanks" dxfId="3671" priority="3239">
      <formula>LEN(TRIM(V1466))=0</formula>
    </cfRule>
  </conditionalFormatting>
  <conditionalFormatting sqref="V1468:X1468">
    <cfRule type="containsBlanks" dxfId="3670" priority="3238">
      <formula>LEN(TRIM(V1468))=0</formula>
    </cfRule>
  </conditionalFormatting>
  <conditionalFormatting sqref="V1470:X1470">
    <cfRule type="containsBlanks" dxfId="3669" priority="3237">
      <formula>LEN(TRIM(V1470))=0</formula>
    </cfRule>
  </conditionalFormatting>
  <conditionalFormatting sqref="V1472:X1472">
    <cfRule type="containsBlanks" dxfId="3668" priority="3236">
      <formula>LEN(TRIM(V1472))=0</formula>
    </cfRule>
  </conditionalFormatting>
  <conditionalFormatting sqref="V1474:X1474">
    <cfRule type="containsBlanks" dxfId="3667" priority="3235">
      <formula>LEN(TRIM(V1474))=0</formula>
    </cfRule>
  </conditionalFormatting>
  <conditionalFormatting sqref="V1476:X1476 V1506:X1506 V1502:X1502 V1504:X1504 V1500:X1500 V1498:X1498 V1496:X1496 V1478:X1478 V1480:X1480 V1482:X1482 V1484:X1484 V1486:X1486 V1488:X1488 V1490:X1490 V1492:X1492 V1494:X1494">
    <cfRule type="containsBlanks" dxfId="3666" priority="3234">
      <formula>LEN(TRIM(V1476))=0</formula>
    </cfRule>
  </conditionalFormatting>
  <conditionalFormatting sqref="A1482:B1485 M1482:U1485 AC1482:AI1485 Y1482:Z1485 F1482:I1485">
    <cfRule type="containsBlanks" dxfId="3665" priority="3189">
      <formula>LEN(TRIM(A1482))=0</formula>
    </cfRule>
  </conditionalFormatting>
  <conditionalFormatting sqref="A1482:B1484 M1482:U1484 AC1482:AI1484 Y1482:Z1484 F1482:I1484">
    <cfRule type="containsBlanks" dxfId="3664" priority="3188">
      <formula>LEN(TRIM(A1482))=0</formula>
    </cfRule>
  </conditionalFormatting>
  <conditionalFormatting sqref="J1483:L1483">
    <cfRule type="containsBlanks" dxfId="3663" priority="3187">
      <formula>LEN(TRIM(J1483))=0</formula>
    </cfRule>
  </conditionalFormatting>
  <conditionalFormatting sqref="A1485:B1485 M1485:U1485 AC1485:AI1485 Y1485:Z1485 F1485:I1485">
    <cfRule type="containsBlanks" dxfId="3662" priority="3185">
      <formula>LEN(TRIM(A1485))=0</formula>
    </cfRule>
  </conditionalFormatting>
  <conditionalFormatting sqref="J1485:L1485">
    <cfRule type="containsBlanks" dxfId="3661" priority="3184">
      <formula>LEN(TRIM(J1485))=0</formula>
    </cfRule>
  </conditionalFormatting>
  <conditionalFormatting sqref="A1486:B1489 M1486:U1489 AC1486:AI1489 Y1486:Z1489 F1486:I1489">
    <cfRule type="containsBlanks" dxfId="3660" priority="3180">
      <formula>LEN(TRIM(A1486))=0</formula>
    </cfRule>
  </conditionalFormatting>
  <conditionalFormatting sqref="A1486:B1488 M1486:U1488 AC1486:AI1488 Y1486:Z1488 F1486:I1488">
    <cfRule type="containsBlanks" dxfId="3659" priority="3179">
      <formula>LEN(TRIM(A1486))=0</formula>
    </cfRule>
  </conditionalFormatting>
  <conditionalFormatting sqref="J1487:L1487">
    <cfRule type="containsBlanks" dxfId="3658" priority="3178">
      <formula>LEN(TRIM(J1487))=0</formula>
    </cfRule>
  </conditionalFormatting>
  <conditionalFormatting sqref="A1489:B1489 M1489:U1489 AC1489:AI1489 Y1489:Z1489 F1489:I1489">
    <cfRule type="containsBlanks" dxfId="3657" priority="3176">
      <formula>LEN(TRIM(A1489))=0</formula>
    </cfRule>
  </conditionalFormatting>
  <conditionalFormatting sqref="J1489:L1489">
    <cfRule type="containsBlanks" dxfId="3656" priority="3175">
      <formula>LEN(TRIM(J1489))=0</formula>
    </cfRule>
  </conditionalFormatting>
  <conditionalFormatting sqref="A1490:B1493 M1490:U1493 AC1490:AI1493 Y1490:Z1493 F1490:I1493">
    <cfRule type="containsBlanks" dxfId="3655" priority="3171">
      <formula>LEN(TRIM(A1490))=0</formula>
    </cfRule>
  </conditionalFormatting>
  <conditionalFormatting sqref="A1490:B1492 M1490:U1492 AC1490:AI1492 Y1490:Z1492 F1490:I1492">
    <cfRule type="containsBlanks" dxfId="3654" priority="3170">
      <formula>LEN(TRIM(A1490))=0</formula>
    </cfRule>
  </conditionalFormatting>
  <conditionalFormatting sqref="J1491:L1491">
    <cfRule type="containsBlanks" dxfId="3653" priority="3169">
      <formula>LEN(TRIM(J1491))=0</formula>
    </cfRule>
  </conditionalFormatting>
  <conditionalFormatting sqref="A1493:B1493 M1493:U1493 AC1493:AI1493 Y1493:Z1493 F1493:I1493">
    <cfRule type="containsBlanks" dxfId="3652" priority="3167">
      <formula>LEN(TRIM(A1493))=0</formula>
    </cfRule>
  </conditionalFormatting>
  <conditionalFormatting sqref="J1493:L1493">
    <cfRule type="containsBlanks" dxfId="3651" priority="3166">
      <formula>LEN(TRIM(J1493))=0</formula>
    </cfRule>
  </conditionalFormatting>
  <conditionalFormatting sqref="A1494:B1497 M1494:U1497 AC1494:AI1497 Y1494:Z1497 F1494:I1497">
    <cfRule type="containsBlanks" dxfId="3650" priority="3162">
      <formula>LEN(TRIM(A1494))=0</formula>
    </cfRule>
  </conditionalFormatting>
  <conditionalFormatting sqref="A1494:B1496 M1494:U1496 AC1494:AI1496 Y1494:Z1496 F1494:I1496">
    <cfRule type="containsBlanks" dxfId="3649" priority="3161">
      <formula>LEN(TRIM(A1494))=0</formula>
    </cfRule>
  </conditionalFormatting>
  <conditionalFormatting sqref="J1494:L1496">
    <cfRule type="containsBlanks" dxfId="3648" priority="3160">
      <formula>LEN(TRIM(J1494))=0</formula>
    </cfRule>
  </conditionalFormatting>
  <conditionalFormatting sqref="J1496:L1496">
    <cfRule type="containsBlanks" dxfId="3647" priority="3159">
      <formula>LEN(TRIM(J1496))=0</formula>
    </cfRule>
  </conditionalFormatting>
  <conditionalFormatting sqref="A1497:B1497 M1497:U1497 AC1497:AI1497 Y1497:Z1497 F1497:I1497">
    <cfRule type="containsBlanks" dxfId="3646" priority="3158">
      <formula>LEN(TRIM(A1497))=0</formula>
    </cfRule>
  </conditionalFormatting>
  <conditionalFormatting sqref="J1497:L1497">
    <cfRule type="containsBlanks" dxfId="3645" priority="3157">
      <formula>LEN(TRIM(J1497))=0</formula>
    </cfRule>
  </conditionalFormatting>
  <conditionalFormatting sqref="A1498:B1501 M1498:U1501 AC1498:AI1501 Y1498:Z1501 F1498:I1501">
    <cfRule type="containsBlanks" dxfId="3644" priority="3153">
      <formula>LEN(TRIM(A1498))=0</formula>
    </cfRule>
  </conditionalFormatting>
  <conditionalFormatting sqref="A1498:B1500 M1498:U1500 AC1498:AI1500 Y1498:Z1500 F1498:I1500">
    <cfRule type="containsBlanks" dxfId="3643" priority="3152">
      <formula>LEN(TRIM(A1498))=0</formula>
    </cfRule>
  </conditionalFormatting>
  <conditionalFormatting sqref="J1498:L1500">
    <cfRule type="containsBlanks" dxfId="3642" priority="3151">
      <formula>LEN(TRIM(J1498))=0</formula>
    </cfRule>
  </conditionalFormatting>
  <conditionalFormatting sqref="J1500:L1500">
    <cfRule type="containsBlanks" dxfId="3641" priority="3150">
      <formula>LEN(TRIM(J1500))=0</formula>
    </cfRule>
  </conditionalFormatting>
  <conditionalFormatting sqref="A1501:B1501 M1501:U1501 AC1501:AI1501 Y1501:Z1501 F1501:I1501">
    <cfRule type="containsBlanks" dxfId="3640" priority="3149">
      <formula>LEN(TRIM(A1501))=0</formula>
    </cfRule>
  </conditionalFormatting>
  <conditionalFormatting sqref="J1501:L1501">
    <cfRule type="containsBlanks" dxfId="3639" priority="3148">
      <formula>LEN(TRIM(J1501))=0</formula>
    </cfRule>
  </conditionalFormatting>
  <conditionalFormatting sqref="A1502:B1505 M1502:U1505 AC1502:AI1505 Y1502:Z1505 F1502:I1505">
    <cfRule type="containsBlanks" dxfId="3638" priority="3144">
      <formula>LEN(TRIM(A1502))=0</formula>
    </cfRule>
  </conditionalFormatting>
  <conditionalFormatting sqref="A1502:B1504 M1502:U1504 AC1502:AI1504 Y1502:Z1504 F1502:I1504">
    <cfRule type="containsBlanks" dxfId="3637" priority="3143">
      <formula>LEN(TRIM(A1502))=0</formula>
    </cfRule>
  </conditionalFormatting>
  <conditionalFormatting sqref="J1502:L1504">
    <cfRule type="containsBlanks" dxfId="3636" priority="3142">
      <formula>LEN(TRIM(J1502))=0</formula>
    </cfRule>
  </conditionalFormatting>
  <conditionalFormatting sqref="J1504:L1504">
    <cfRule type="containsBlanks" dxfId="3635" priority="3141">
      <formula>LEN(TRIM(J1504))=0</formula>
    </cfRule>
  </conditionalFormatting>
  <conditionalFormatting sqref="A1505:B1505 M1505:U1505 AC1505:AI1505 Y1505:Z1505 F1505:I1505">
    <cfRule type="containsBlanks" dxfId="3634" priority="3140">
      <formula>LEN(TRIM(A1505))=0</formula>
    </cfRule>
  </conditionalFormatting>
  <conditionalFormatting sqref="J1505:L1505">
    <cfRule type="containsBlanks" dxfId="3633" priority="3139">
      <formula>LEN(TRIM(J1505))=0</formula>
    </cfRule>
  </conditionalFormatting>
  <conditionalFormatting sqref="A1506:B1506 M1506:U1506 AC1506:AI1506 Y1506:Z1506 F1506:I1506">
    <cfRule type="containsBlanks" dxfId="3632" priority="3135">
      <formula>LEN(TRIM(A1506))=0</formula>
    </cfRule>
  </conditionalFormatting>
  <conditionalFormatting sqref="A1506:B1506 M1506:U1506 AC1506:AI1506 Y1506:Z1506 F1506:I1506">
    <cfRule type="containsBlanks" dxfId="3631" priority="3134">
      <formula>LEN(TRIM(A1506))=0</formula>
    </cfRule>
  </conditionalFormatting>
  <conditionalFormatting sqref="J1506:L1506">
    <cfRule type="containsBlanks" dxfId="3630" priority="3133">
      <formula>LEN(TRIM(J1506))=0</formula>
    </cfRule>
  </conditionalFormatting>
  <conditionalFormatting sqref="AC1507:AI1510 M1507:U1510 Y1507:Z1510 A1507:B1510 F1507:I1510">
    <cfRule type="containsBlanks" dxfId="3629" priority="3131">
      <formula>LEN(TRIM(A1507))=0</formula>
    </cfRule>
  </conditionalFormatting>
  <conditionalFormatting sqref="AC1507:AI1509 M1507:U1509 Y1507:Z1509 A1507:B1509 F1507:I1509">
    <cfRule type="containsBlanks" dxfId="3628" priority="3130">
      <formula>LEN(TRIM(A1507))=0</formula>
    </cfRule>
  </conditionalFormatting>
  <conditionalFormatting sqref="J1507:L1507 K1509 J1508:K1508 L1508:L1522">
    <cfRule type="containsBlanks" dxfId="3627" priority="3129">
      <formula>LEN(TRIM(J1507))=0</formula>
    </cfRule>
  </conditionalFormatting>
  <conditionalFormatting sqref="K1509">
    <cfRule type="containsBlanks" dxfId="3626" priority="3128">
      <formula>LEN(TRIM(K1509))=0</formula>
    </cfRule>
  </conditionalFormatting>
  <conditionalFormatting sqref="A1510:B1510 M1510:U1510 AC1510:AI1510 Y1510:Z1510 F1510:I1510">
    <cfRule type="containsBlanks" dxfId="3625" priority="3127">
      <formula>LEN(TRIM(A1510))=0</formula>
    </cfRule>
  </conditionalFormatting>
  <conditionalFormatting sqref="K1510">
    <cfRule type="containsBlanks" dxfId="3624" priority="3126">
      <formula>LEN(TRIM(K1510))=0</formula>
    </cfRule>
  </conditionalFormatting>
  <conditionalFormatting sqref="A1511:B1514 M1511:U1514 AC1511:AI1514 Y1511:Z1514 F1511:I1514">
    <cfRule type="containsBlanks" dxfId="3623" priority="3122">
      <formula>LEN(TRIM(A1511))=0</formula>
    </cfRule>
  </conditionalFormatting>
  <conditionalFormatting sqref="A1511:B1513 M1511:U1513 AC1511:AI1513 Y1511:Z1513 F1511:I1513">
    <cfRule type="containsBlanks" dxfId="3622" priority="3121">
      <formula>LEN(TRIM(A1511))=0</formula>
    </cfRule>
  </conditionalFormatting>
  <conditionalFormatting sqref="K1511:K1513">
    <cfRule type="containsBlanks" dxfId="3621" priority="3120">
      <formula>LEN(TRIM(K1511))=0</formula>
    </cfRule>
  </conditionalFormatting>
  <conditionalFormatting sqref="K1513">
    <cfRule type="containsBlanks" dxfId="3620" priority="3119">
      <formula>LEN(TRIM(K1513))=0</formula>
    </cfRule>
  </conditionalFormatting>
  <conditionalFormatting sqref="A1514:B1514 M1514:U1514 AC1514:AI1514 Y1514:Z1514 F1514:I1514">
    <cfRule type="containsBlanks" dxfId="3619" priority="3118">
      <formula>LEN(TRIM(A1514))=0</formula>
    </cfRule>
  </conditionalFormatting>
  <conditionalFormatting sqref="K1514">
    <cfRule type="containsBlanks" dxfId="3618" priority="3117">
      <formula>LEN(TRIM(K1514))=0</formula>
    </cfRule>
  </conditionalFormatting>
  <conditionalFormatting sqref="A1515:B1518 M1515:U1518 AC1515:AI1518 Y1515:Z1518 F1515:I1518">
    <cfRule type="containsBlanks" dxfId="3617" priority="3113">
      <formula>LEN(TRIM(A1515))=0</formula>
    </cfRule>
  </conditionalFormatting>
  <conditionalFormatting sqref="A1515:B1517 M1515:U1517 AC1515:AI1517 Y1515:Z1517 F1515:I1517">
    <cfRule type="containsBlanks" dxfId="3616" priority="3112">
      <formula>LEN(TRIM(A1515))=0</formula>
    </cfRule>
  </conditionalFormatting>
  <conditionalFormatting sqref="K1515:K1517">
    <cfRule type="containsBlanks" dxfId="3615" priority="3111">
      <formula>LEN(TRIM(K1515))=0</formula>
    </cfRule>
  </conditionalFormatting>
  <conditionalFormatting sqref="K1517">
    <cfRule type="containsBlanks" dxfId="3614" priority="3110">
      <formula>LEN(TRIM(K1517))=0</formula>
    </cfRule>
  </conditionalFormatting>
  <conditionalFormatting sqref="A1518:B1518 M1518:U1518 AC1518:AI1518 Y1518:Z1518 F1518:I1518">
    <cfRule type="containsBlanks" dxfId="3613" priority="3109">
      <formula>LEN(TRIM(A1518))=0</formula>
    </cfRule>
  </conditionalFormatting>
  <conditionalFormatting sqref="K1518">
    <cfRule type="containsBlanks" dxfId="3612" priority="3108">
      <formula>LEN(TRIM(K1518))=0</formula>
    </cfRule>
  </conditionalFormatting>
  <conditionalFormatting sqref="A1519:B1519 M1519:U1519 AC1519:AI1519 Y1519:Z1519 F1519:I1519">
    <cfRule type="containsBlanks" dxfId="3611" priority="3104">
      <formula>LEN(TRIM(A1519))=0</formula>
    </cfRule>
  </conditionalFormatting>
  <conditionalFormatting sqref="A1519:B1519 M1519:U1519 AC1519:AI1519 Y1519:Z1519 F1519:I1519">
    <cfRule type="containsBlanks" dxfId="3610" priority="3103">
      <formula>LEN(TRIM(A1519))=0</formula>
    </cfRule>
  </conditionalFormatting>
  <conditionalFormatting sqref="K1519">
    <cfRule type="containsBlanks" dxfId="3609" priority="3102">
      <formula>LEN(TRIM(K1519))=0</formula>
    </cfRule>
  </conditionalFormatting>
  <conditionalFormatting sqref="A1520:B1523 M1520:U1523 AC1520:AI1523 Y1520:Z1523 F1520:I1523">
    <cfRule type="containsBlanks" dxfId="3608" priority="3100">
      <formula>LEN(TRIM(A1520))=0</formula>
    </cfRule>
  </conditionalFormatting>
  <conditionalFormatting sqref="A1520:B1522 M1520:U1522 AC1520:AI1522 Y1520:Z1522 F1520:I1522">
    <cfRule type="containsBlanks" dxfId="3607" priority="3099">
      <formula>LEN(TRIM(A1520))=0</formula>
    </cfRule>
  </conditionalFormatting>
  <conditionalFormatting sqref="K1520:K1522">
    <cfRule type="containsBlanks" dxfId="3606" priority="3098">
      <formula>LEN(TRIM(K1520))=0</formula>
    </cfRule>
  </conditionalFormatting>
  <conditionalFormatting sqref="K1522">
    <cfRule type="containsBlanks" dxfId="3605" priority="3097">
      <formula>LEN(TRIM(K1522))=0</formula>
    </cfRule>
  </conditionalFormatting>
  <conditionalFormatting sqref="A1523:B1523 M1523:U1523 AC1523:AI1523 Y1523:Z1523 F1523:I1523">
    <cfRule type="containsBlanks" dxfId="3604" priority="3096">
      <formula>LEN(TRIM(A1523))=0</formula>
    </cfRule>
  </conditionalFormatting>
  <conditionalFormatting sqref="J1523:L1523">
    <cfRule type="containsBlanks" dxfId="3603" priority="3095">
      <formula>LEN(TRIM(J1523))=0</formula>
    </cfRule>
  </conditionalFormatting>
  <conditionalFormatting sqref="A1524:B1527 M1524:U1527 AC1524:AI1527 Y1524:Z1527 F1524:I1527">
    <cfRule type="containsBlanks" dxfId="3602" priority="3091">
      <formula>LEN(TRIM(A1524))=0</formula>
    </cfRule>
  </conditionalFormatting>
  <conditionalFormatting sqref="A1524:B1526 M1524:U1526 AC1524:AI1526 Y1524:Z1526 F1524:I1526">
    <cfRule type="containsBlanks" dxfId="3601" priority="3090">
      <formula>LEN(TRIM(A1524))=0</formula>
    </cfRule>
  </conditionalFormatting>
  <conditionalFormatting sqref="K1524:K1526">
    <cfRule type="containsBlanks" dxfId="3600" priority="3089">
      <formula>LEN(TRIM(K1524))=0</formula>
    </cfRule>
  </conditionalFormatting>
  <conditionalFormatting sqref="K1526">
    <cfRule type="containsBlanks" dxfId="3599" priority="3088">
      <formula>LEN(TRIM(K1526))=0</formula>
    </cfRule>
  </conditionalFormatting>
  <conditionalFormatting sqref="A1527:B1527 M1527:U1527 AC1527:AI1527 Y1527:Z1527 F1527:I1527">
    <cfRule type="containsBlanks" dxfId="3598" priority="3087">
      <formula>LEN(TRIM(A1527))=0</formula>
    </cfRule>
  </conditionalFormatting>
  <conditionalFormatting sqref="K1527">
    <cfRule type="containsBlanks" dxfId="3597" priority="3086">
      <formula>LEN(TRIM(K1527))=0</formula>
    </cfRule>
  </conditionalFormatting>
  <conditionalFormatting sqref="A1528:B1531 M1528:U1531 AC1528:AI1531 Y1528:Z1531 F1528:I1531">
    <cfRule type="containsBlanks" dxfId="3596" priority="3082">
      <formula>LEN(TRIM(A1528))=0</formula>
    </cfRule>
  </conditionalFormatting>
  <conditionalFormatting sqref="A1528:B1530 M1528:U1530 AC1528:AI1530 Y1528:Z1530 F1528:I1530">
    <cfRule type="containsBlanks" dxfId="3595" priority="3081">
      <formula>LEN(TRIM(A1528))=0</formula>
    </cfRule>
  </conditionalFormatting>
  <conditionalFormatting sqref="K1528:K1530">
    <cfRule type="containsBlanks" dxfId="3594" priority="3080">
      <formula>LEN(TRIM(K1528))=0</formula>
    </cfRule>
  </conditionalFormatting>
  <conditionalFormatting sqref="K1530">
    <cfRule type="containsBlanks" dxfId="3593" priority="3079">
      <formula>LEN(TRIM(K1530))=0</formula>
    </cfRule>
  </conditionalFormatting>
  <conditionalFormatting sqref="A1531:B1531 M1531:U1531 AC1531:AI1531 Y1531:Z1531 F1531:I1531">
    <cfRule type="containsBlanks" dxfId="3592" priority="3078">
      <formula>LEN(TRIM(A1531))=0</formula>
    </cfRule>
  </conditionalFormatting>
  <conditionalFormatting sqref="K1531">
    <cfRule type="containsBlanks" dxfId="3591" priority="3077">
      <formula>LEN(TRIM(K1531))=0</formula>
    </cfRule>
  </conditionalFormatting>
  <conditionalFormatting sqref="A1532:B1532 M1532:U1532 AC1532:AI1532 Y1532:Z1532 F1532:I1532">
    <cfRule type="containsBlanks" dxfId="3590" priority="3073">
      <formula>LEN(TRIM(A1532))=0</formula>
    </cfRule>
  </conditionalFormatting>
  <conditionalFormatting sqref="A1532:B1532 M1532:U1532 AC1532:AI1532 Y1532:Z1532 F1532:I1532">
    <cfRule type="containsBlanks" dxfId="3589" priority="3072">
      <formula>LEN(TRIM(A1532))=0</formula>
    </cfRule>
  </conditionalFormatting>
  <conditionalFormatting sqref="K1532">
    <cfRule type="containsBlanks" dxfId="3588" priority="3071">
      <formula>LEN(TRIM(K1532))=0</formula>
    </cfRule>
  </conditionalFormatting>
  <conditionalFormatting sqref="A1533:B1536 M1533:U1536 AC1533:AI1536 Y1533:Z1536 F1533:I1536">
    <cfRule type="containsBlanks" dxfId="3587" priority="3069">
      <formula>LEN(TRIM(A1533))=0</formula>
    </cfRule>
  </conditionalFormatting>
  <conditionalFormatting sqref="A1533:B1535 M1533:U1535 AC1533:AI1535 Y1533:Z1535 F1533:I1535">
    <cfRule type="containsBlanks" dxfId="3586" priority="3068">
      <formula>LEN(TRIM(A1533))=0</formula>
    </cfRule>
  </conditionalFormatting>
  <conditionalFormatting sqref="K1533:K1535">
    <cfRule type="containsBlanks" dxfId="3585" priority="3067">
      <formula>LEN(TRIM(K1533))=0</formula>
    </cfRule>
  </conditionalFormatting>
  <conditionalFormatting sqref="K1535">
    <cfRule type="containsBlanks" dxfId="3584" priority="3066">
      <formula>LEN(TRIM(K1535))=0</formula>
    </cfRule>
  </conditionalFormatting>
  <conditionalFormatting sqref="A1536:B1536 M1536:U1536 AC1536:AI1536 Y1536:Z1536 F1536:I1536">
    <cfRule type="containsBlanks" dxfId="3583" priority="3065">
      <formula>LEN(TRIM(A1536))=0</formula>
    </cfRule>
  </conditionalFormatting>
  <conditionalFormatting sqref="K1536">
    <cfRule type="containsBlanks" dxfId="3582" priority="3064">
      <formula>LEN(TRIM(K1536))=0</formula>
    </cfRule>
  </conditionalFormatting>
  <conditionalFormatting sqref="M1537:U1537 A1537:B1537 F1537:I1537 M1538:W1538 Y1537:Z1538 V1550:V1551 M1541:U1546 Y1541:Z1546 M1552:V1552 AC1552:AI1552 V1558:W1564 M1565:Z1565 AC1565:AI1565 V1566:W1581 V1582:V1680 V1553:V1557 X1552:Z1552">
    <cfRule type="containsBlanks" dxfId="3581" priority="3060">
      <formula>LEN(TRIM(A1537))=0</formula>
    </cfRule>
  </conditionalFormatting>
  <conditionalFormatting sqref="M1537:U1537 A1537:B1537 F1537:I1537 M1538:W1538 Y1537:Z1538 M1541:U1546 Y1541:Z1546">
    <cfRule type="containsBlanks" dxfId="3580" priority="3059">
      <formula>LEN(TRIM(A1537))=0</formula>
    </cfRule>
  </conditionalFormatting>
  <conditionalFormatting sqref="K1541:K1546">
    <cfRule type="containsBlanks" dxfId="3579" priority="3057">
      <formula>LEN(TRIM(K1541))=0</formula>
    </cfRule>
  </conditionalFormatting>
  <conditionalFormatting sqref="V1550:V1551 AD1547:AI1549 M1548:Z1549 V1558:W1564 V1566:W1581 V1582:V1680 V1553:V1557 W1553:W1555 M1547:W1547 Y1547:Z1547">
    <cfRule type="containsBlanks" dxfId="3578" priority="3056">
      <formula>LEN(TRIM(M1547))=0</formula>
    </cfRule>
  </conditionalFormatting>
  <conditionalFormatting sqref="K1547:K1549">
    <cfRule type="containsBlanks" dxfId="3577" priority="3055">
      <formula>LEN(TRIM(K1547))=0</formula>
    </cfRule>
  </conditionalFormatting>
  <conditionalFormatting sqref="V1542:X1543 W1550:W1552 W1556:W1557 V1541:W1541 V1545:X1546 V1544:W1544">
    <cfRule type="containsBlanks" dxfId="3576" priority="3054">
      <formula>LEN(TRIM(V1541))=0</formula>
    </cfRule>
  </conditionalFormatting>
  <conditionalFormatting sqref="AC1538">
    <cfRule type="containsBlanks" dxfId="3575" priority="3053">
      <formula>LEN(TRIM(AC1538))=0</formula>
    </cfRule>
  </conditionalFormatting>
  <conditionalFormatting sqref="Y1557:Z1557 M1550:U1551 X1551:Z1551 AD1550:AI1551 X1553:Z1553 X1558:Z1559 M1553:U1562 AD1553:AI1562 Y1550:Z1550 X1555:Z1556 Y1554:Z1554 X1561:Z1562 Y1560:Z1560">
    <cfRule type="containsBlanks" dxfId="3574" priority="3051">
      <formula>LEN(TRIM(M1550))=0</formula>
    </cfRule>
  </conditionalFormatting>
  <conditionalFormatting sqref="Y1557:Z1557 M1550:U1551 X1551:Z1551 AD1550:AI1551 X1553:Z1553 AD1553:AI1559 M1553:U1559 X1558:Z1559 Y1550:Z1550 X1555:Z1556 Y1554:Z1554">
    <cfRule type="containsBlanks" dxfId="3573" priority="3050">
      <formula>LEN(TRIM(M1550))=0</formula>
    </cfRule>
  </conditionalFormatting>
  <conditionalFormatting sqref="K1550:K1551 K1553:K1559">
    <cfRule type="containsBlanks" dxfId="3572" priority="3049">
      <formula>LEN(TRIM(K1550))=0</formula>
    </cfRule>
  </conditionalFormatting>
  <conditionalFormatting sqref="K1557">
    <cfRule type="containsBlanks" dxfId="3571" priority="3048">
      <formula>LEN(TRIM(K1557))=0</formula>
    </cfRule>
  </conditionalFormatting>
  <conditionalFormatting sqref="M1560:U1560 AD1560:AI1560 Y1560:Z1560">
    <cfRule type="containsBlanks" dxfId="3570" priority="3047">
      <formula>LEN(TRIM(M1560))=0</formula>
    </cfRule>
  </conditionalFormatting>
  <conditionalFormatting sqref="K1560">
    <cfRule type="containsBlanks" dxfId="3569" priority="3046">
      <formula>LEN(TRIM(K1560))=0</formula>
    </cfRule>
  </conditionalFormatting>
  <conditionalFormatting sqref="M1563:U1563 AD1563:AI1563 Y1563:Z1563">
    <cfRule type="containsBlanks" dxfId="3568" priority="3042">
      <formula>LEN(TRIM(M1563))=0</formula>
    </cfRule>
  </conditionalFormatting>
  <conditionalFormatting sqref="M1563:U1563 AD1563:AI1563 Y1563:Z1563">
    <cfRule type="containsBlanks" dxfId="3567" priority="3041">
      <formula>LEN(TRIM(M1563))=0</formula>
    </cfRule>
  </conditionalFormatting>
  <conditionalFormatting sqref="K1563">
    <cfRule type="containsBlanks" dxfId="3566" priority="3040">
      <formula>LEN(TRIM(K1563))=0</formula>
    </cfRule>
  </conditionalFormatting>
  <conditionalFormatting sqref="M1567:U1567 M1576:U1576 M1573:U1573 Y1573:Z1573 AD1567:AI1567 AD1570:AI1570 M1570:U1570 AD1573:AI1573 AD1576:AI1576 Y1570:Z1570 Y1576:Z1576 Y1567:Z1567">
    <cfRule type="containsBlanks" dxfId="3565" priority="3038">
      <formula>LEN(TRIM(M1567))=0</formula>
    </cfRule>
  </conditionalFormatting>
  <conditionalFormatting sqref="M1567:U1567 M1573:U1573 Y1573:Z1573 AD1567:AI1567 AD1570:AI1570 M1570:U1570 AD1573:AI1573 Y1570:Z1570 Y1567:Z1567">
    <cfRule type="containsBlanks" dxfId="3564" priority="3037">
      <formula>LEN(TRIM(M1567))=0</formula>
    </cfRule>
  </conditionalFormatting>
  <conditionalFormatting sqref="K1567 K1570 K1573">
    <cfRule type="containsBlanks" dxfId="3563" priority="3036">
      <formula>LEN(TRIM(K1567))=0</formula>
    </cfRule>
  </conditionalFormatting>
  <conditionalFormatting sqref="K1573">
    <cfRule type="containsBlanks" dxfId="3562" priority="3035">
      <formula>LEN(TRIM(K1573))=0</formula>
    </cfRule>
  </conditionalFormatting>
  <conditionalFormatting sqref="M1576:U1576 AD1576:AI1576 Y1576:Z1576">
    <cfRule type="containsBlanks" dxfId="3561" priority="3034">
      <formula>LEN(TRIM(M1576))=0</formula>
    </cfRule>
  </conditionalFormatting>
  <conditionalFormatting sqref="K1576">
    <cfRule type="containsBlanks" dxfId="3560" priority="3033">
      <formula>LEN(TRIM(K1576))=0</formula>
    </cfRule>
  </conditionalFormatting>
  <conditionalFormatting sqref="J1480:L1480">
    <cfRule type="containsBlanks" dxfId="3559" priority="2965">
      <formula>LEN(TRIM(J1480))=0</formula>
    </cfRule>
  </conditionalFormatting>
  <conditionalFormatting sqref="M1579:U1579 AD1579:AI1579 AD1582:AI1584 M1582:U1584 Y1579:Z1579 W1582 W1584:Z1584 Y1582:Z1583">
    <cfRule type="containsBlanks" dxfId="3558" priority="3029">
      <formula>LEN(TRIM(M1579))=0</formula>
    </cfRule>
  </conditionalFormatting>
  <conditionalFormatting sqref="M1579:U1579 AD1579:AI1579 AD1582:AI1583 M1582:U1583 Y1579:Z1579 W1582 Y1582:Z1583">
    <cfRule type="containsBlanks" dxfId="3557" priority="3028">
      <formula>LEN(TRIM(M1579))=0</formula>
    </cfRule>
  </conditionalFormatting>
  <conditionalFormatting sqref="J1583:L1583 K1579 K1582">
    <cfRule type="containsBlanks" dxfId="3556" priority="3027">
      <formula>LEN(TRIM(J1579))=0</formula>
    </cfRule>
  </conditionalFormatting>
  <conditionalFormatting sqref="J1583:L1583">
    <cfRule type="containsBlanks" dxfId="3555" priority="3026">
      <formula>LEN(TRIM(J1583))=0</formula>
    </cfRule>
  </conditionalFormatting>
  <conditionalFormatting sqref="A1584:B1584 M1584:U1584 AD1584:AI1584 F1584:I1584 W1584:Z1584">
    <cfRule type="containsBlanks" dxfId="3554" priority="3025">
      <formula>LEN(TRIM(A1584))=0</formula>
    </cfRule>
  </conditionalFormatting>
  <conditionalFormatting sqref="J1584:L1584">
    <cfRule type="containsBlanks" dxfId="3553" priority="3024">
      <formula>LEN(TRIM(J1584))=0</formula>
    </cfRule>
  </conditionalFormatting>
  <conditionalFormatting sqref="W1583:X1583">
    <cfRule type="containsBlanks" dxfId="3552" priority="3023">
      <formula>LEN(TRIM(W1583))=0</formula>
    </cfRule>
  </conditionalFormatting>
  <conditionalFormatting sqref="A1585:I1585 M1585:U1587 Y1587:Z1587 AD1585:AI1587 W1586:Z1586 U1588:U1724 U1727 U1730 U1733 U1736 U1739 A1587:I1587 A1586:B1586 F1586:I1586 W1585 Y1585:Z1585">
    <cfRule type="containsBlanks" dxfId="3551" priority="3020">
      <formula>LEN(TRIM(A1585))=0</formula>
    </cfRule>
  </conditionalFormatting>
  <conditionalFormatting sqref="A1585:I1585 M1585:U1587 Y1587:Z1587 AD1585:AI1587 W1586:Z1586 U1588:U1724 U1727 U1730 U1733 U1736 U1739 A1587:I1587 A1586:B1586 F1586:I1586 W1585 Y1585:Z1585">
    <cfRule type="containsBlanks" dxfId="3550" priority="3019">
      <formula>LEN(TRIM(A1585))=0</formula>
    </cfRule>
  </conditionalFormatting>
  <conditionalFormatting sqref="J1585:L1587">
    <cfRule type="containsBlanks" dxfId="3549" priority="3018">
      <formula>LEN(TRIM(J1585))=0</formula>
    </cfRule>
  </conditionalFormatting>
  <conditionalFormatting sqref="J1587:L1587">
    <cfRule type="containsBlanks" dxfId="3548" priority="3017">
      <formula>LEN(TRIM(J1587))=0</formula>
    </cfRule>
  </conditionalFormatting>
  <conditionalFormatting sqref="W1587:X1587">
    <cfRule type="containsBlanks" dxfId="3547" priority="3014">
      <formula>LEN(TRIM(W1587))=0</formula>
    </cfRule>
  </conditionalFormatting>
  <conditionalFormatting sqref="A1588:I1588 M1588:T1588 AD1588:AI1588 W1588 Y1588:Z1588">
    <cfRule type="containsBlanks" dxfId="3546" priority="3011">
      <formula>LEN(TRIM(A1588))=0</formula>
    </cfRule>
  </conditionalFormatting>
  <conditionalFormatting sqref="A1588:I1588 M1588:T1588 AD1588:AI1588 W1588 Y1588:Z1588">
    <cfRule type="containsBlanks" dxfId="3545" priority="3010">
      <formula>LEN(TRIM(A1588))=0</formula>
    </cfRule>
  </conditionalFormatting>
  <conditionalFormatting sqref="J1588:L1588">
    <cfRule type="containsBlanks" dxfId="3544" priority="3009">
      <formula>LEN(TRIM(J1588))=0</formula>
    </cfRule>
  </conditionalFormatting>
  <conditionalFormatting sqref="A1590:I1592 M1589:T1592 Y1591:Z1591 AD1589:AI1592 W1592:Z1592 W1589:Z1590 A1589:B1589 F1589:I1589">
    <cfRule type="containsBlanks" dxfId="3543" priority="3007">
      <formula>LEN(TRIM(A1589))=0</formula>
    </cfRule>
  </conditionalFormatting>
  <conditionalFormatting sqref="A1590:I1591 M1589:T1591 Y1591:Z1591 AD1589:AI1591 W1589:Z1590 A1589:B1589 F1589:I1589">
    <cfRule type="containsBlanks" dxfId="3542" priority="3006">
      <formula>LEN(TRIM(A1589))=0</formula>
    </cfRule>
  </conditionalFormatting>
  <conditionalFormatting sqref="J1589:L1591">
    <cfRule type="containsBlanks" dxfId="3541" priority="3005">
      <formula>LEN(TRIM(J1589))=0</formula>
    </cfRule>
  </conditionalFormatting>
  <conditionalFormatting sqref="J1591:L1591">
    <cfRule type="containsBlanks" dxfId="3540" priority="3004">
      <formula>LEN(TRIM(J1591))=0</formula>
    </cfRule>
  </conditionalFormatting>
  <conditionalFormatting sqref="A1592:I1592 M1592:T1592 AD1592:AI1592 W1592:Z1592">
    <cfRule type="containsBlanks" dxfId="3539" priority="3003">
      <formula>LEN(TRIM(A1592))=0</formula>
    </cfRule>
  </conditionalFormatting>
  <conditionalFormatting sqref="J1592:L1592">
    <cfRule type="containsBlanks" dxfId="3538" priority="3002">
      <formula>LEN(TRIM(J1592))=0</formula>
    </cfRule>
  </conditionalFormatting>
  <conditionalFormatting sqref="W1591">
    <cfRule type="containsBlanks" dxfId="3537" priority="3001">
      <formula>LEN(TRIM(W1591))=0</formula>
    </cfRule>
  </conditionalFormatting>
  <conditionalFormatting sqref="M1593:T1595 W1593:Z1593 W1595:Z1595 W1594 Y1594:Z1594">
    <cfRule type="containsBlanks" dxfId="3536" priority="2998">
      <formula>LEN(TRIM(M1593))=0</formula>
    </cfRule>
  </conditionalFormatting>
  <conditionalFormatting sqref="A1594:I1594 M1593:T1594 AD1593:AI1594 W1593:Z1593 A1593:B1593 F1593:I1593 W1594 Y1594:Z1594">
    <cfRule type="containsBlanks" dxfId="3535" priority="2997">
      <formula>LEN(TRIM(A1593))=0</formula>
    </cfRule>
  </conditionalFormatting>
  <conditionalFormatting sqref="J1593:L1594">
    <cfRule type="containsBlanks" dxfId="3534" priority="2996">
      <formula>LEN(TRIM(J1593))=0</formula>
    </cfRule>
  </conditionalFormatting>
  <conditionalFormatting sqref="A1595:I1595 M1595:T1595 AD1595:AI1595 W1595:Z1595">
    <cfRule type="containsBlanks" dxfId="3533" priority="2994">
      <formula>LEN(TRIM(A1595))=0</formula>
    </cfRule>
  </conditionalFormatting>
  <conditionalFormatting sqref="J1595:L1595">
    <cfRule type="containsBlanks" dxfId="3532" priority="2993">
      <formula>LEN(TRIM(J1595))=0</formula>
    </cfRule>
  </conditionalFormatting>
  <conditionalFormatting sqref="M1596:T1598 W1596:Z1596 W1598:Z1598 W1597 Y1597:Z1597">
    <cfRule type="containsBlanks" dxfId="3531" priority="2989">
      <formula>LEN(TRIM(M1596))=0</formula>
    </cfRule>
  </conditionalFormatting>
  <conditionalFormatting sqref="A1597:I1597 M1596:T1597 AD1596:AI1597 W1596:Z1596 A1596:B1596 F1596:I1596 W1597 Y1597:Z1597">
    <cfRule type="containsBlanks" dxfId="3530" priority="2988">
      <formula>LEN(TRIM(A1596))=0</formula>
    </cfRule>
  </conditionalFormatting>
  <conditionalFormatting sqref="J1596:L1597">
    <cfRule type="containsBlanks" dxfId="3529" priority="2987">
      <formula>LEN(TRIM(J1596))=0</formula>
    </cfRule>
  </conditionalFormatting>
  <conditionalFormatting sqref="A1598:I1598 M1598:T1598 AD1598:AI1598 W1598:Z1598">
    <cfRule type="containsBlanks" dxfId="3528" priority="2985">
      <formula>LEN(TRIM(A1598))=0</formula>
    </cfRule>
  </conditionalFormatting>
  <conditionalFormatting sqref="J1598:L1598">
    <cfRule type="containsBlanks" dxfId="3527" priority="2984">
      <formula>LEN(TRIM(J1598))=0</formula>
    </cfRule>
  </conditionalFormatting>
  <conditionalFormatting sqref="A1599:B1599 M1599:T1599 AD1599:AI1599 W1599:Z1599 F1599:I1599">
    <cfRule type="containsBlanks" dxfId="3526" priority="2980">
      <formula>LEN(TRIM(A1599))=0</formula>
    </cfRule>
  </conditionalFormatting>
  <conditionalFormatting sqref="A1599:B1599 M1599:T1599 AD1599:AI1599 W1599:Z1599 F1599:I1599">
    <cfRule type="containsBlanks" dxfId="3525" priority="2979">
      <formula>LEN(TRIM(A1599))=0</formula>
    </cfRule>
  </conditionalFormatting>
  <conditionalFormatting sqref="J1599:L1599">
    <cfRule type="containsBlanks" dxfId="3524" priority="2978">
      <formula>LEN(TRIM(J1599))=0</formula>
    </cfRule>
  </conditionalFormatting>
  <conditionalFormatting sqref="J1478:L1478">
    <cfRule type="containsBlanks" dxfId="3523" priority="2967">
      <formula>LEN(TRIM(J1478))=0</formula>
    </cfRule>
  </conditionalFormatting>
  <conditionalFormatting sqref="J1478:L1478">
    <cfRule type="containsBlanks" dxfId="3522" priority="2966">
      <formula>LEN(TRIM(J1478))=0</formula>
    </cfRule>
  </conditionalFormatting>
  <conditionalFormatting sqref="J1480:L1480">
    <cfRule type="containsBlanks" dxfId="3521" priority="2964">
      <formula>LEN(TRIM(J1480))=0</formula>
    </cfRule>
  </conditionalFormatting>
  <conditionalFormatting sqref="J1482:L1482">
    <cfRule type="containsBlanks" dxfId="3520" priority="2963">
      <formula>LEN(TRIM(J1482))=0</formula>
    </cfRule>
  </conditionalFormatting>
  <conditionalFormatting sqref="J1482:L1482">
    <cfRule type="containsBlanks" dxfId="3519" priority="2962">
      <formula>LEN(TRIM(J1482))=0</formula>
    </cfRule>
  </conditionalFormatting>
  <conditionalFormatting sqref="J1484:L1484">
    <cfRule type="containsBlanks" dxfId="3518" priority="2961">
      <formula>LEN(TRIM(J1484))=0</formula>
    </cfRule>
  </conditionalFormatting>
  <conditionalFormatting sqref="J1484:L1484">
    <cfRule type="containsBlanks" dxfId="3517" priority="2960">
      <formula>LEN(TRIM(J1484))=0</formula>
    </cfRule>
  </conditionalFormatting>
  <conditionalFormatting sqref="J1486:L1486">
    <cfRule type="containsBlanks" dxfId="3516" priority="2959">
      <formula>LEN(TRIM(J1486))=0</formula>
    </cfRule>
  </conditionalFormatting>
  <conditionalFormatting sqref="J1486:L1486">
    <cfRule type="containsBlanks" dxfId="3515" priority="2958">
      <formula>LEN(TRIM(J1486))=0</formula>
    </cfRule>
  </conditionalFormatting>
  <conditionalFormatting sqref="J1488:L1488">
    <cfRule type="containsBlanks" dxfId="3514" priority="2957">
      <formula>LEN(TRIM(J1488))=0</formula>
    </cfRule>
  </conditionalFormatting>
  <conditionalFormatting sqref="J1488:L1488">
    <cfRule type="containsBlanks" dxfId="3513" priority="2956">
      <formula>LEN(TRIM(J1488))=0</formula>
    </cfRule>
  </conditionalFormatting>
  <conditionalFormatting sqref="J1490:L1490">
    <cfRule type="containsBlanks" dxfId="3512" priority="2955">
      <formula>LEN(TRIM(J1490))=0</formula>
    </cfRule>
  </conditionalFormatting>
  <conditionalFormatting sqref="J1490:L1490">
    <cfRule type="containsBlanks" dxfId="3511" priority="2954">
      <formula>LEN(TRIM(J1490))=0</formula>
    </cfRule>
  </conditionalFormatting>
  <conditionalFormatting sqref="J1492:L1492">
    <cfRule type="containsBlanks" dxfId="3510" priority="2953">
      <formula>LEN(TRIM(J1492))=0</formula>
    </cfRule>
  </conditionalFormatting>
  <conditionalFormatting sqref="J1492:L1492">
    <cfRule type="containsBlanks" dxfId="3509" priority="2952">
      <formula>LEN(TRIM(J1492))=0</formula>
    </cfRule>
  </conditionalFormatting>
  <conditionalFormatting sqref="V1507:X1522">
    <cfRule type="containsBlanks" dxfId="3508" priority="2950">
      <formula>LEN(TRIM(V1507))=0</formula>
    </cfRule>
  </conditionalFormatting>
  <conditionalFormatting sqref="J1509:J1522">
    <cfRule type="containsBlanks" dxfId="3507" priority="2949">
      <formula>LEN(TRIM(J1509))=0</formula>
    </cfRule>
  </conditionalFormatting>
  <conditionalFormatting sqref="V1524:X1537 X1538">
    <cfRule type="containsBlanks" dxfId="3506" priority="2946">
      <formula>LEN(TRIM(V1524))=0</formula>
    </cfRule>
  </conditionalFormatting>
  <conditionalFormatting sqref="V1523:X1523">
    <cfRule type="containsBlanks" dxfId="3505" priority="2945">
      <formula>LEN(TRIM(V1523))=0</formula>
    </cfRule>
  </conditionalFormatting>
  <conditionalFormatting sqref="F1529:F1530">
    <cfRule type="containsBlanks" dxfId="3504" priority="2944">
      <formula>LEN(TRIM(F1529))=0</formula>
    </cfRule>
  </conditionalFormatting>
  <conditionalFormatting sqref="F1529:F1530">
    <cfRule type="containsBlanks" dxfId="3503" priority="2943">
      <formula>LEN(TRIM(F1529))=0</formula>
    </cfRule>
  </conditionalFormatting>
  <conditionalFormatting sqref="C1367:E1367">
    <cfRule type="containsBlanks" dxfId="3502" priority="2940">
      <formula>LEN(TRIM(C1367))=0</formula>
    </cfRule>
  </conditionalFormatting>
  <conditionalFormatting sqref="C1367:E1367">
    <cfRule type="containsBlanks" dxfId="3501" priority="2939">
      <formula>LEN(TRIM(C1367))=0</formula>
    </cfRule>
  </conditionalFormatting>
  <conditionalFormatting sqref="C1368:E1369">
    <cfRule type="containsBlanks" dxfId="3500" priority="2938">
      <formula>LEN(TRIM(C1368))=0</formula>
    </cfRule>
  </conditionalFormatting>
  <conditionalFormatting sqref="C1370:E1370">
    <cfRule type="containsBlanks" dxfId="3499" priority="2937">
      <formula>LEN(TRIM(C1370))=0</formula>
    </cfRule>
  </conditionalFormatting>
  <conditionalFormatting sqref="C1370:E1370">
    <cfRule type="containsBlanks" dxfId="3498" priority="2936">
      <formula>LEN(TRIM(C1370))=0</formula>
    </cfRule>
  </conditionalFormatting>
  <conditionalFormatting sqref="C1373:E1373">
    <cfRule type="containsBlanks" dxfId="3497" priority="2935">
      <formula>LEN(TRIM(C1373))=0</formula>
    </cfRule>
  </conditionalFormatting>
  <conditionalFormatting sqref="C1373:E1373">
    <cfRule type="containsBlanks" dxfId="3496" priority="2934">
      <formula>LEN(TRIM(C1373))=0</formula>
    </cfRule>
  </conditionalFormatting>
  <conditionalFormatting sqref="C1376:E1376">
    <cfRule type="containsBlanks" dxfId="3495" priority="2933">
      <formula>LEN(TRIM(C1376))=0</formula>
    </cfRule>
  </conditionalFormatting>
  <conditionalFormatting sqref="C1376:E1376">
    <cfRule type="containsBlanks" dxfId="3494" priority="2932">
      <formula>LEN(TRIM(C1376))=0</formula>
    </cfRule>
  </conditionalFormatting>
  <conditionalFormatting sqref="C1379:E1379">
    <cfRule type="containsBlanks" dxfId="3493" priority="2931">
      <formula>LEN(TRIM(C1379))=0</formula>
    </cfRule>
  </conditionalFormatting>
  <conditionalFormatting sqref="C1379:E1379">
    <cfRule type="containsBlanks" dxfId="3492" priority="2930">
      <formula>LEN(TRIM(C1379))=0</formula>
    </cfRule>
  </conditionalFormatting>
  <conditionalFormatting sqref="C1382:E1382">
    <cfRule type="containsBlanks" dxfId="3491" priority="2929">
      <formula>LEN(TRIM(C1382))=0</formula>
    </cfRule>
  </conditionalFormatting>
  <conditionalFormatting sqref="C1382:E1382">
    <cfRule type="containsBlanks" dxfId="3490" priority="2928">
      <formula>LEN(TRIM(C1382))=0</formula>
    </cfRule>
  </conditionalFormatting>
  <conditionalFormatting sqref="C1385:E1385">
    <cfRule type="containsBlanks" dxfId="3489" priority="2927">
      <formula>LEN(TRIM(C1385))=0</formula>
    </cfRule>
  </conditionalFormatting>
  <conditionalFormatting sqref="C1385:E1385">
    <cfRule type="containsBlanks" dxfId="3488" priority="2926">
      <formula>LEN(TRIM(C1385))=0</formula>
    </cfRule>
  </conditionalFormatting>
  <conditionalFormatting sqref="C1388:E1388">
    <cfRule type="containsBlanks" dxfId="3487" priority="2925">
      <formula>LEN(TRIM(C1388))=0</formula>
    </cfRule>
  </conditionalFormatting>
  <conditionalFormatting sqref="C1388:E1388">
    <cfRule type="containsBlanks" dxfId="3486" priority="2924">
      <formula>LEN(TRIM(C1388))=0</formula>
    </cfRule>
  </conditionalFormatting>
  <conditionalFormatting sqref="C1391:E1391">
    <cfRule type="containsBlanks" dxfId="3485" priority="2923">
      <formula>LEN(TRIM(C1391))=0</formula>
    </cfRule>
  </conditionalFormatting>
  <conditionalFormatting sqref="C1391:E1391">
    <cfRule type="containsBlanks" dxfId="3484" priority="2922">
      <formula>LEN(TRIM(C1391))=0</formula>
    </cfRule>
  </conditionalFormatting>
  <conditionalFormatting sqref="C1394:E1394">
    <cfRule type="containsBlanks" dxfId="3483" priority="2921">
      <formula>LEN(TRIM(C1394))=0</formula>
    </cfRule>
  </conditionalFormatting>
  <conditionalFormatting sqref="C1394:E1394">
    <cfRule type="containsBlanks" dxfId="3482" priority="2920">
      <formula>LEN(TRIM(C1394))=0</formula>
    </cfRule>
  </conditionalFormatting>
  <conditionalFormatting sqref="C1397:E1397">
    <cfRule type="containsBlanks" dxfId="3481" priority="2919">
      <formula>LEN(TRIM(C1397))=0</formula>
    </cfRule>
  </conditionalFormatting>
  <conditionalFormatting sqref="C1397:E1397">
    <cfRule type="containsBlanks" dxfId="3480" priority="2918">
      <formula>LEN(TRIM(C1397))=0</formula>
    </cfRule>
  </conditionalFormatting>
  <conditionalFormatting sqref="C1400:E1400">
    <cfRule type="containsBlanks" dxfId="3479" priority="2917">
      <formula>LEN(TRIM(C1400))=0</formula>
    </cfRule>
  </conditionalFormatting>
  <conditionalFormatting sqref="C1400:E1400">
    <cfRule type="containsBlanks" dxfId="3478" priority="2916">
      <formula>LEN(TRIM(C1400))=0</formula>
    </cfRule>
  </conditionalFormatting>
  <conditionalFormatting sqref="C1403:E1403">
    <cfRule type="containsBlanks" dxfId="3477" priority="2915">
      <formula>LEN(TRIM(C1403))=0</formula>
    </cfRule>
  </conditionalFormatting>
  <conditionalFormatting sqref="C1403:E1403">
    <cfRule type="containsBlanks" dxfId="3476" priority="2914">
      <formula>LEN(TRIM(C1403))=0</formula>
    </cfRule>
  </conditionalFormatting>
  <conditionalFormatting sqref="C1406:E1406">
    <cfRule type="containsBlanks" dxfId="3475" priority="2913">
      <formula>LEN(TRIM(C1406))=0</formula>
    </cfRule>
  </conditionalFormatting>
  <conditionalFormatting sqref="C1406:E1406">
    <cfRule type="containsBlanks" dxfId="3474" priority="2912">
      <formula>LEN(TRIM(C1406))=0</formula>
    </cfRule>
  </conditionalFormatting>
  <conditionalFormatting sqref="C1409:E1409">
    <cfRule type="containsBlanks" dxfId="3473" priority="2911">
      <formula>LEN(TRIM(C1409))=0</formula>
    </cfRule>
  </conditionalFormatting>
  <conditionalFormatting sqref="C1409:E1409">
    <cfRule type="containsBlanks" dxfId="3472" priority="2910">
      <formula>LEN(TRIM(C1409))=0</formula>
    </cfRule>
  </conditionalFormatting>
  <conditionalFormatting sqref="C1412:E1412">
    <cfRule type="containsBlanks" dxfId="3471" priority="2909">
      <formula>LEN(TRIM(C1412))=0</formula>
    </cfRule>
  </conditionalFormatting>
  <conditionalFormatting sqref="C1412:E1412">
    <cfRule type="containsBlanks" dxfId="3470" priority="2908">
      <formula>LEN(TRIM(C1412))=0</formula>
    </cfRule>
  </conditionalFormatting>
  <conditionalFormatting sqref="C1415:E1415">
    <cfRule type="containsBlanks" dxfId="3469" priority="2907">
      <formula>LEN(TRIM(C1415))=0</formula>
    </cfRule>
  </conditionalFormatting>
  <conditionalFormatting sqref="C1415:E1415">
    <cfRule type="containsBlanks" dxfId="3468" priority="2906">
      <formula>LEN(TRIM(C1415))=0</formula>
    </cfRule>
  </conditionalFormatting>
  <conditionalFormatting sqref="C1418:E1418">
    <cfRule type="containsBlanks" dxfId="3467" priority="2905">
      <formula>LEN(TRIM(C1418))=0</formula>
    </cfRule>
  </conditionalFormatting>
  <conditionalFormatting sqref="C1418:E1418">
    <cfRule type="containsBlanks" dxfId="3466" priority="2904">
      <formula>LEN(TRIM(C1418))=0</formula>
    </cfRule>
  </conditionalFormatting>
  <conditionalFormatting sqref="C1420:E1420">
    <cfRule type="containsBlanks" dxfId="3465" priority="2903">
      <formula>LEN(TRIM(C1420))=0</formula>
    </cfRule>
  </conditionalFormatting>
  <conditionalFormatting sqref="C1420:E1420">
    <cfRule type="containsBlanks" dxfId="3464" priority="2902">
      <formula>LEN(TRIM(C1420))=0</formula>
    </cfRule>
  </conditionalFormatting>
  <conditionalFormatting sqref="C1422:E1422">
    <cfRule type="containsBlanks" dxfId="3463" priority="2901">
      <formula>LEN(TRIM(C1422))=0</formula>
    </cfRule>
  </conditionalFormatting>
  <conditionalFormatting sqref="C1422:E1422">
    <cfRule type="containsBlanks" dxfId="3462" priority="2900">
      <formula>LEN(TRIM(C1422))=0</formula>
    </cfRule>
  </conditionalFormatting>
  <conditionalFormatting sqref="C1424:E1424 C1426:E1426 C1428:E1428 C1430:E1430 C1432:E1432 C1434:E1446 C1448:E1448 C1450:E1450 C1452:E1452 C1454:E1454 C1456:E1456 C1458:E1458 C1460:E1460 C1462:E1462 C1464:E1464 C1466:E1466 C1468:E1468 C1470:E1470 C1472:E1472 C1474:E1474 C1476:E1476 C1478:E1478 C1480:E1480 C1482:E1482 C1484:E1484 C1486:E1486 C1488:E1488 C1490:E1490 C1492:E1492 C1494:E1494 C1496:E1496 C1498:E1498 C1500:E1500 C1502:E1502 C1504:E1504 C1506:E1506">
    <cfRule type="containsBlanks" dxfId="3461" priority="2899">
      <formula>LEN(TRIM(C1424))=0</formula>
    </cfRule>
  </conditionalFormatting>
  <conditionalFormatting sqref="C1424:E1424 C1426:E1426 C1428:E1428 C1430:E1430 C1432:E1432 C1434:E1446 C1448:E1448 C1450:E1450 C1452:E1452 C1454:E1454 C1456:E1456 C1458:E1458 C1460:E1460 C1462:E1462 C1464:E1464 C1466:E1466 C1468:E1468 C1470:E1470 C1472:E1472 C1474:E1474 C1476:E1476 C1478:E1478 C1480:E1480 C1482:E1482 C1484:E1484 C1486:E1486 C1488:E1488 C1490:E1490 C1492:E1492 C1494:E1494 C1496:E1496 C1498:E1498 C1500:E1500 C1502:E1502 C1504:E1504 C1506:E1506">
    <cfRule type="containsBlanks" dxfId="3460" priority="2898">
      <formula>LEN(TRIM(C1424))=0</formula>
    </cfRule>
  </conditionalFormatting>
  <conditionalFormatting sqref="C1508:E1537">
    <cfRule type="containsBlanks" dxfId="3459" priority="2897">
      <formula>LEN(TRIM(C1508))=0</formula>
    </cfRule>
  </conditionalFormatting>
  <conditionalFormatting sqref="C1508:E1537">
    <cfRule type="containsBlanks" dxfId="3458" priority="2896">
      <formula>LEN(TRIM(C1508))=0</formula>
    </cfRule>
  </conditionalFormatting>
  <conditionalFormatting sqref="C1542:E1543">
    <cfRule type="containsBlanks" dxfId="3457" priority="2891">
      <formula>LEN(TRIM(C1542))=0</formula>
    </cfRule>
  </conditionalFormatting>
  <conditionalFormatting sqref="C1545:E1546 C1553:E1553 C1548:E1549 C1551:E1551 C1555:E1556">
    <cfRule type="containsBlanks" dxfId="3456" priority="2890">
      <formula>LEN(TRIM(C1545))=0</formula>
    </cfRule>
  </conditionalFormatting>
  <conditionalFormatting sqref="C1545:E1546 C1553:E1553 C1548:E1549 C1551:E1551">
    <cfRule type="containsBlanks" dxfId="3455" priority="2889">
      <formula>LEN(TRIM(C1545))=0</formula>
    </cfRule>
  </conditionalFormatting>
  <conditionalFormatting sqref="C1555:E1556">
    <cfRule type="containsBlanks" dxfId="3454" priority="2888">
      <formula>LEN(TRIM(C1555))=0</formula>
    </cfRule>
  </conditionalFormatting>
  <conditionalFormatting sqref="C1583:E1584">
    <cfRule type="containsBlanks" dxfId="3453" priority="2879">
      <formula>LEN(TRIM(C1583))=0</formula>
    </cfRule>
  </conditionalFormatting>
  <conditionalFormatting sqref="C1583:E1584">
    <cfRule type="containsBlanks" dxfId="3452" priority="2878">
      <formula>LEN(TRIM(C1583))=0</formula>
    </cfRule>
  </conditionalFormatting>
  <conditionalFormatting sqref="AA1538">
    <cfRule type="containsBlanks" dxfId="3451" priority="2877">
      <formula>LEN(TRIM(AA1538))=0</formula>
    </cfRule>
  </conditionalFormatting>
  <conditionalFormatting sqref="C1558:E1559">
    <cfRule type="containsBlanks" dxfId="3450" priority="2875">
      <formula>LEN(TRIM(C1558))=0</formula>
    </cfRule>
  </conditionalFormatting>
  <conditionalFormatting sqref="C1558:E1559">
    <cfRule type="containsBlanks" dxfId="3449" priority="2874">
      <formula>LEN(TRIM(C1558))=0</formula>
    </cfRule>
  </conditionalFormatting>
  <conditionalFormatting sqref="X1561:Z1562 AD1561:AI1562 M1561:U1562">
    <cfRule type="containsBlanks" dxfId="3448" priority="2873">
      <formula>LEN(TRIM(M1561))=0</formula>
    </cfRule>
  </conditionalFormatting>
  <conditionalFormatting sqref="K1561:K1562">
    <cfRule type="containsBlanks" dxfId="3447" priority="2872">
      <formula>LEN(TRIM(K1561))=0</formula>
    </cfRule>
  </conditionalFormatting>
  <conditionalFormatting sqref="C1561:E1562">
    <cfRule type="containsBlanks" dxfId="3446" priority="2870">
      <formula>LEN(TRIM(C1561))=0</formula>
    </cfRule>
  </conditionalFormatting>
  <conditionalFormatting sqref="C1561:E1562">
    <cfRule type="containsBlanks" dxfId="3445" priority="2869">
      <formula>LEN(TRIM(C1561))=0</formula>
    </cfRule>
  </conditionalFormatting>
  <conditionalFormatting sqref="M1564:U1564 AD1564:AI1564 X1564:Z1564 X1566:Z1566 AD1566:AI1566 M1566:U1566">
    <cfRule type="containsBlanks" dxfId="3444" priority="2868">
      <formula>LEN(TRIM(M1564))=0</formula>
    </cfRule>
  </conditionalFormatting>
  <conditionalFormatting sqref="M1564:U1564 AD1564:AI1564 X1564:Z1564 X1566:Z1566 AD1566:AI1566 M1566:U1566">
    <cfRule type="containsBlanks" dxfId="3443" priority="2867">
      <formula>LEN(TRIM(M1564))=0</formula>
    </cfRule>
  </conditionalFormatting>
  <conditionalFormatting sqref="K1564 K1566">
    <cfRule type="containsBlanks" dxfId="3442" priority="2866">
      <formula>LEN(TRIM(K1564))=0</formula>
    </cfRule>
  </conditionalFormatting>
  <conditionalFormatting sqref="C1564:E1564 C1566:E1566">
    <cfRule type="containsBlanks" dxfId="3441" priority="2864">
      <formula>LEN(TRIM(C1564))=0</formula>
    </cfRule>
  </conditionalFormatting>
  <conditionalFormatting sqref="C1564:E1564 C1566:E1566">
    <cfRule type="containsBlanks" dxfId="3440" priority="2863">
      <formula>LEN(TRIM(C1564))=0</formula>
    </cfRule>
  </conditionalFormatting>
  <conditionalFormatting sqref="X1568:Z1569 AD1568:AI1569 M1568:U1569">
    <cfRule type="containsBlanks" dxfId="3439" priority="2862">
      <formula>LEN(TRIM(M1568))=0</formula>
    </cfRule>
  </conditionalFormatting>
  <conditionalFormatting sqref="X1568:Z1569 AD1568:AI1569 M1568:U1569">
    <cfRule type="containsBlanks" dxfId="3438" priority="2861">
      <formula>LEN(TRIM(M1568))=0</formula>
    </cfRule>
  </conditionalFormatting>
  <conditionalFormatting sqref="K1568:K1569">
    <cfRule type="containsBlanks" dxfId="3437" priority="2860">
      <formula>LEN(TRIM(K1568))=0</formula>
    </cfRule>
  </conditionalFormatting>
  <conditionalFormatting sqref="C1568:E1569">
    <cfRule type="containsBlanks" dxfId="3436" priority="2858">
      <formula>LEN(TRIM(C1568))=0</formula>
    </cfRule>
  </conditionalFormatting>
  <conditionalFormatting sqref="C1568:E1569">
    <cfRule type="containsBlanks" dxfId="3435" priority="2857">
      <formula>LEN(TRIM(C1568))=0</formula>
    </cfRule>
  </conditionalFormatting>
  <conditionalFormatting sqref="X1571:Z1572 AD1571:AI1572 M1571:U1572">
    <cfRule type="containsBlanks" dxfId="3434" priority="2856">
      <formula>LEN(TRIM(M1571))=0</formula>
    </cfRule>
  </conditionalFormatting>
  <conditionalFormatting sqref="X1571:Z1572 AD1571:AI1572 M1571:U1572">
    <cfRule type="containsBlanks" dxfId="3433" priority="2855">
      <formula>LEN(TRIM(M1571))=0</formula>
    </cfRule>
  </conditionalFormatting>
  <conditionalFormatting sqref="K1571:K1572">
    <cfRule type="containsBlanks" dxfId="3432" priority="2854">
      <formula>LEN(TRIM(K1571))=0</formula>
    </cfRule>
  </conditionalFormatting>
  <conditionalFormatting sqref="C1571:E1572">
    <cfRule type="containsBlanks" dxfId="3431" priority="2852">
      <formula>LEN(TRIM(C1571))=0</formula>
    </cfRule>
  </conditionalFormatting>
  <conditionalFormatting sqref="C1571:E1572">
    <cfRule type="containsBlanks" dxfId="3430" priority="2851">
      <formula>LEN(TRIM(C1571))=0</formula>
    </cfRule>
  </conditionalFormatting>
  <conditionalFormatting sqref="X1574:Z1575 AD1574:AI1575 M1574:U1575">
    <cfRule type="containsBlanks" dxfId="3429" priority="2850">
      <formula>LEN(TRIM(M1574))=0</formula>
    </cfRule>
  </conditionalFormatting>
  <conditionalFormatting sqref="X1574:Z1575 AD1574:AI1575 M1574:U1575">
    <cfRule type="containsBlanks" dxfId="3428" priority="2849">
      <formula>LEN(TRIM(M1574))=0</formula>
    </cfRule>
  </conditionalFormatting>
  <conditionalFormatting sqref="K1574:K1575">
    <cfRule type="containsBlanks" dxfId="3427" priority="2848">
      <formula>LEN(TRIM(K1574))=0</formula>
    </cfRule>
  </conditionalFormatting>
  <conditionalFormatting sqref="C1574:E1575">
    <cfRule type="containsBlanks" dxfId="3426" priority="2846">
      <formula>LEN(TRIM(C1574))=0</formula>
    </cfRule>
  </conditionalFormatting>
  <conditionalFormatting sqref="C1574:E1575">
    <cfRule type="containsBlanks" dxfId="3425" priority="2845">
      <formula>LEN(TRIM(C1574))=0</formula>
    </cfRule>
  </conditionalFormatting>
  <conditionalFormatting sqref="X1577:Z1578 AD1577:AI1578 M1577:U1578">
    <cfRule type="containsBlanks" dxfId="3424" priority="2844">
      <formula>LEN(TRIM(M1577))=0</formula>
    </cfRule>
  </conditionalFormatting>
  <conditionalFormatting sqref="X1577:Z1578 AD1577:AI1578 M1577:U1578">
    <cfRule type="containsBlanks" dxfId="3423" priority="2843">
      <formula>LEN(TRIM(M1577))=0</formula>
    </cfRule>
  </conditionalFormatting>
  <conditionalFormatting sqref="K1577:K1578">
    <cfRule type="containsBlanks" dxfId="3422" priority="2842">
      <formula>LEN(TRIM(K1577))=0</formula>
    </cfRule>
  </conditionalFormatting>
  <conditionalFormatting sqref="C1577:E1578">
    <cfRule type="containsBlanks" dxfId="3421" priority="2840">
      <formula>LEN(TRIM(C1577))=0</formula>
    </cfRule>
  </conditionalFormatting>
  <conditionalFormatting sqref="C1577:E1578">
    <cfRule type="containsBlanks" dxfId="3420" priority="2839">
      <formula>LEN(TRIM(C1577))=0</formula>
    </cfRule>
  </conditionalFormatting>
  <conditionalFormatting sqref="X1580:Z1581 AD1580:AI1581 M1580:U1581">
    <cfRule type="containsBlanks" dxfId="3419" priority="2838">
      <formula>LEN(TRIM(M1580))=0</formula>
    </cfRule>
  </conditionalFormatting>
  <conditionalFormatting sqref="X1580:Z1581 AD1580:AI1581 M1580:U1581">
    <cfRule type="containsBlanks" dxfId="3418" priority="2837">
      <formula>LEN(TRIM(M1580))=0</formula>
    </cfRule>
  </conditionalFormatting>
  <conditionalFormatting sqref="K1580:K1581">
    <cfRule type="containsBlanks" dxfId="3417" priority="2836">
      <formula>LEN(TRIM(K1580))=0</formula>
    </cfRule>
  </conditionalFormatting>
  <conditionalFormatting sqref="C1580:E1581">
    <cfRule type="containsBlanks" dxfId="3416" priority="2834">
      <formula>LEN(TRIM(C1580))=0</formula>
    </cfRule>
  </conditionalFormatting>
  <conditionalFormatting sqref="C1580:E1581">
    <cfRule type="containsBlanks" dxfId="3415" priority="2833">
      <formula>LEN(TRIM(C1580))=0</formula>
    </cfRule>
  </conditionalFormatting>
  <conditionalFormatting sqref="AC1541">
    <cfRule type="containsBlanks" dxfId="3414" priority="2832">
      <formula>LEN(TRIM(AC1541))=0</formula>
    </cfRule>
  </conditionalFormatting>
  <conditionalFormatting sqref="AA1541">
    <cfRule type="containsBlanks" dxfId="3413" priority="2831">
      <formula>LEN(TRIM(AA1541))=0</formula>
    </cfRule>
  </conditionalFormatting>
  <conditionalFormatting sqref="AC1544">
    <cfRule type="containsBlanks" dxfId="3412" priority="2830">
      <formula>LEN(TRIM(AC1544))=0</formula>
    </cfRule>
  </conditionalFormatting>
  <conditionalFormatting sqref="AA1544">
    <cfRule type="containsBlanks" dxfId="3411" priority="2829">
      <formula>LEN(TRIM(AA1544))=0</formula>
    </cfRule>
  </conditionalFormatting>
  <conditionalFormatting sqref="AC1547:AC1549">
    <cfRule type="containsBlanks" dxfId="3410" priority="2828">
      <formula>LEN(TRIM(AC1547))=0</formula>
    </cfRule>
  </conditionalFormatting>
  <conditionalFormatting sqref="AC1547">
    <cfRule type="containsBlanks" dxfId="3409" priority="2827">
      <formula>LEN(TRIM(AC1547))=0</formula>
    </cfRule>
  </conditionalFormatting>
  <conditionalFormatting sqref="AA1547">
    <cfRule type="containsBlanks" dxfId="3408" priority="2826">
      <formula>LEN(TRIM(AA1547))=0</formula>
    </cfRule>
  </conditionalFormatting>
  <conditionalFormatting sqref="AC1550:AC1551 AC1553">
    <cfRule type="containsBlanks" dxfId="3407" priority="2825">
      <formula>LEN(TRIM(AC1550))=0</formula>
    </cfRule>
  </conditionalFormatting>
  <conditionalFormatting sqref="AC1550:AC1551 AC1553">
    <cfRule type="containsBlanks" dxfId="3406" priority="2824">
      <formula>LEN(TRIM(AC1550))=0</formula>
    </cfRule>
  </conditionalFormatting>
  <conditionalFormatting sqref="AC1550">
    <cfRule type="containsBlanks" dxfId="3405" priority="2823">
      <formula>LEN(TRIM(AC1550))=0</formula>
    </cfRule>
  </conditionalFormatting>
  <conditionalFormatting sqref="AA1550">
    <cfRule type="containsBlanks" dxfId="3404" priority="2822">
      <formula>LEN(TRIM(AA1550))=0</formula>
    </cfRule>
  </conditionalFormatting>
  <conditionalFormatting sqref="AC1554:AC1556">
    <cfRule type="containsBlanks" dxfId="3403" priority="2821">
      <formula>LEN(TRIM(AC1554))=0</formula>
    </cfRule>
  </conditionalFormatting>
  <conditionalFormatting sqref="AC1554:AC1556">
    <cfRule type="containsBlanks" dxfId="3402" priority="2820">
      <formula>LEN(TRIM(AC1554))=0</formula>
    </cfRule>
  </conditionalFormatting>
  <conditionalFormatting sqref="AC1554">
    <cfRule type="containsBlanks" dxfId="3401" priority="2819">
      <formula>LEN(TRIM(AC1554))=0</formula>
    </cfRule>
  </conditionalFormatting>
  <conditionalFormatting sqref="AA1554">
    <cfRule type="containsBlanks" dxfId="3400" priority="2818">
      <formula>LEN(TRIM(AA1554))=0</formula>
    </cfRule>
  </conditionalFormatting>
  <conditionalFormatting sqref="AC1557:AC1559">
    <cfRule type="containsBlanks" dxfId="3399" priority="2817">
      <formula>LEN(TRIM(AC1557))=0</formula>
    </cfRule>
  </conditionalFormatting>
  <conditionalFormatting sqref="AC1557:AC1559">
    <cfRule type="containsBlanks" dxfId="3398" priority="2816">
      <formula>LEN(TRIM(AC1557))=0</formula>
    </cfRule>
  </conditionalFormatting>
  <conditionalFormatting sqref="AC1557">
    <cfRule type="containsBlanks" dxfId="3397" priority="2815">
      <formula>LEN(TRIM(AC1557))=0</formula>
    </cfRule>
  </conditionalFormatting>
  <conditionalFormatting sqref="AA1557">
    <cfRule type="containsBlanks" dxfId="3396" priority="2814">
      <formula>LEN(TRIM(AA1557))=0</formula>
    </cfRule>
  </conditionalFormatting>
  <conditionalFormatting sqref="AC1560:AC1562">
    <cfRule type="containsBlanks" dxfId="3395" priority="2813">
      <formula>LEN(TRIM(AC1560))=0</formula>
    </cfRule>
  </conditionalFormatting>
  <conditionalFormatting sqref="AC1560:AC1562">
    <cfRule type="containsBlanks" dxfId="3394" priority="2812">
      <formula>LEN(TRIM(AC1560))=0</formula>
    </cfRule>
  </conditionalFormatting>
  <conditionalFormatting sqref="AC1560">
    <cfRule type="containsBlanks" dxfId="3393" priority="2811">
      <formula>LEN(TRIM(AC1560))=0</formula>
    </cfRule>
  </conditionalFormatting>
  <conditionalFormatting sqref="AA1560">
    <cfRule type="containsBlanks" dxfId="3392" priority="2810">
      <formula>LEN(TRIM(AA1560))=0</formula>
    </cfRule>
  </conditionalFormatting>
  <conditionalFormatting sqref="AC1563:AC1564 AC1566">
    <cfRule type="containsBlanks" dxfId="3391" priority="2809">
      <formula>LEN(TRIM(AC1563))=0</formula>
    </cfRule>
  </conditionalFormatting>
  <conditionalFormatting sqref="AC1563:AC1564 AC1566">
    <cfRule type="containsBlanks" dxfId="3390" priority="2808">
      <formula>LEN(TRIM(AC1563))=0</formula>
    </cfRule>
  </conditionalFormatting>
  <conditionalFormatting sqref="AC1563">
    <cfRule type="containsBlanks" dxfId="3389" priority="2807">
      <formula>LEN(TRIM(AC1563))=0</formula>
    </cfRule>
  </conditionalFormatting>
  <conditionalFormatting sqref="AA1563">
    <cfRule type="containsBlanks" dxfId="3388" priority="2806">
      <formula>LEN(TRIM(AA1563))=0</formula>
    </cfRule>
  </conditionalFormatting>
  <conditionalFormatting sqref="AC1567:AC1569">
    <cfRule type="containsBlanks" dxfId="3387" priority="2805">
      <formula>LEN(TRIM(AC1567))=0</formula>
    </cfRule>
  </conditionalFormatting>
  <conditionalFormatting sqref="AC1567:AC1569">
    <cfRule type="containsBlanks" dxfId="3386" priority="2804">
      <formula>LEN(TRIM(AC1567))=0</formula>
    </cfRule>
  </conditionalFormatting>
  <conditionalFormatting sqref="AC1567">
    <cfRule type="containsBlanks" dxfId="3385" priority="2803">
      <formula>LEN(TRIM(AC1567))=0</formula>
    </cfRule>
  </conditionalFormatting>
  <conditionalFormatting sqref="AA1567">
    <cfRule type="containsBlanks" dxfId="3384" priority="2802">
      <formula>LEN(TRIM(AA1567))=0</formula>
    </cfRule>
  </conditionalFormatting>
  <conditionalFormatting sqref="AC1570:AC1572">
    <cfRule type="containsBlanks" dxfId="3383" priority="2801">
      <formula>LEN(TRIM(AC1570))=0</formula>
    </cfRule>
  </conditionalFormatting>
  <conditionalFormatting sqref="AC1570:AC1572">
    <cfRule type="containsBlanks" dxfId="3382" priority="2800">
      <formula>LEN(TRIM(AC1570))=0</formula>
    </cfRule>
  </conditionalFormatting>
  <conditionalFormatting sqref="AC1570">
    <cfRule type="containsBlanks" dxfId="3381" priority="2799">
      <formula>LEN(TRIM(AC1570))=0</formula>
    </cfRule>
  </conditionalFormatting>
  <conditionalFormatting sqref="AA1570">
    <cfRule type="containsBlanks" dxfId="3380" priority="2798">
      <formula>LEN(TRIM(AA1570))=0</formula>
    </cfRule>
  </conditionalFormatting>
  <conditionalFormatting sqref="AC1573:AC1575">
    <cfRule type="containsBlanks" dxfId="3379" priority="2797">
      <formula>LEN(TRIM(AC1573))=0</formula>
    </cfRule>
  </conditionalFormatting>
  <conditionalFormatting sqref="AC1573:AC1575">
    <cfRule type="containsBlanks" dxfId="3378" priority="2796">
      <formula>LEN(TRIM(AC1573))=0</formula>
    </cfRule>
  </conditionalFormatting>
  <conditionalFormatting sqref="AC1573">
    <cfRule type="containsBlanks" dxfId="3377" priority="2795">
      <formula>LEN(TRIM(AC1573))=0</formula>
    </cfRule>
  </conditionalFormatting>
  <conditionalFormatting sqref="AA1573">
    <cfRule type="containsBlanks" dxfId="3376" priority="2794">
      <formula>LEN(TRIM(AA1573))=0</formula>
    </cfRule>
  </conditionalFormatting>
  <conditionalFormatting sqref="AC1576:AC1578">
    <cfRule type="containsBlanks" dxfId="3375" priority="2793">
      <formula>LEN(TRIM(AC1576))=0</formula>
    </cfRule>
  </conditionalFormatting>
  <conditionalFormatting sqref="AC1576:AC1578">
    <cfRule type="containsBlanks" dxfId="3374" priority="2792">
      <formula>LEN(TRIM(AC1576))=0</formula>
    </cfRule>
  </conditionalFormatting>
  <conditionalFormatting sqref="AC1576">
    <cfRule type="containsBlanks" dxfId="3373" priority="2791">
      <formula>LEN(TRIM(AC1576))=0</formula>
    </cfRule>
  </conditionalFormatting>
  <conditionalFormatting sqref="AA1576">
    <cfRule type="containsBlanks" dxfId="3372" priority="2790">
      <formula>LEN(TRIM(AA1576))=0</formula>
    </cfRule>
  </conditionalFormatting>
  <conditionalFormatting sqref="AC1579:AC1583 AC1585">
    <cfRule type="containsBlanks" dxfId="3371" priority="2789">
      <formula>LEN(TRIM(AC1579))=0</formula>
    </cfRule>
  </conditionalFormatting>
  <conditionalFormatting sqref="AC1579:AC1583 AC1585">
    <cfRule type="containsBlanks" dxfId="3370" priority="2788">
      <formula>LEN(TRIM(AC1579))=0</formula>
    </cfRule>
  </conditionalFormatting>
  <conditionalFormatting sqref="AC1579">
    <cfRule type="containsBlanks" dxfId="3369" priority="2787">
      <formula>LEN(TRIM(AC1579))=0</formula>
    </cfRule>
  </conditionalFormatting>
  <conditionalFormatting sqref="AA1579">
    <cfRule type="containsBlanks" dxfId="3368" priority="2786">
      <formula>LEN(TRIM(AA1579))=0</formula>
    </cfRule>
  </conditionalFormatting>
  <conditionalFormatting sqref="M1552:V1552 AC1552:AI1552 X1552:Z1552">
    <cfRule type="containsBlanks" dxfId="3367" priority="2781">
      <formula>LEN(TRIM(M1552))=0</formula>
    </cfRule>
  </conditionalFormatting>
  <conditionalFormatting sqref="K1552">
    <cfRule type="containsBlanks" dxfId="3366" priority="2780">
      <formula>LEN(TRIM(K1552))=0</formula>
    </cfRule>
  </conditionalFormatting>
  <conditionalFormatting sqref="C1552:E1552">
    <cfRule type="containsBlanks" dxfId="3365" priority="2779">
      <formula>LEN(TRIM(C1552))=0</formula>
    </cfRule>
  </conditionalFormatting>
  <conditionalFormatting sqref="M1565:Z1565 AC1565:AI1565">
    <cfRule type="containsBlanks" dxfId="3364" priority="2769">
      <formula>LEN(TRIM(M1565))=0</formula>
    </cfRule>
  </conditionalFormatting>
  <conditionalFormatting sqref="K1565">
    <cfRule type="containsBlanks" dxfId="3363" priority="2768">
      <formula>LEN(TRIM(K1565))=0</formula>
    </cfRule>
  </conditionalFormatting>
  <conditionalFormatting sqref="C1565:E1565">
    <cfRule type="containsBlanks" dxfId="3362" priority="2767">
      <formula>LEN(TRIM(C1565))=0</formula>
    </cfRule>
  </conditionalFormatting>
  <conditionalFormatting sqref="AA1583 AC1583 AB1582:AB1583 AA1584:AC1585">
    <cfRule type="containsBlanks" dxfId="3361" priority="2751">
      <formula>LEN(TRIM(AA1582))=0</formula>
    </cfRule>
  </conditionalFormatting>
  <conditionalFormatting sqref="AC1584">
    <cfRule type="containsBlanks" dxfId="3360" priority="2750">
      <formula>LEN(TRIM(AC1584))=0</formula>
    </cfRule>
  </conditionalFormatting>
  <conditionalFormatting sqref="AC1582">
    <cfRule type="containsBlanks" dxfId="3359" priority="2749">
      <formula>LEN(TRIM(AC1582))=0</formula>
    </cfRule>
  </conditionalFormatting>
  <conditionalFormatting sqref="AA1582">
    <cfRule type="containsBlanks" dxfId="3358" priority="2748">
      <formula>LEN(TRIM(AA1582))=0</formula>
    </cfRule>
  </conditionalFormatting>
  <conditionalFormatting sqref="AC1584">
    <cfRule type="containsBlanks" dxfId="3357" priority="2747">
      <formula>LEN(TRIM(AC1584))=0</formula>
    </cfRule>
  </conditionalFormatting>
  <conditionalFormatting sqref="M1600:T1601 W1601:Z1601 W1600 Y1600:Z1600">
    <cfRule type="containsBlanks" dxfId="3356" priority="2746">
      <formula>LEN(TRIM(M1600))=0</formula>
    </cfRule>
  </conditionalFormatting>
  <conditionalFormatting sqref="A1600:I1600 M1600:T1600 AD1600:AI1600 W1600 Y1600:Z1600">
    <cfRule type="containsBlanks" dxfId="3355" priority="2745">
      <formula>LEN(TRIM(A1600))=0</formula>
    </cfRule>
  </conditionalFormatting>
  <conditionalFormatting sqref="J1600:L1600">
    <cfRule type="containsBlanks" dxfId="3354" priority="2744">
      <formula>LEN(TRIM(J1600))=0</formula>
    </cfRule>
  </conditionalFormatting>
  <conditionalFormatting sqref="A1601:I1601 M1601:T1601 AD1601:AI1601 W1601:Z1601">
    <cfRule type="containsBlanks" dxfId="3353" priority="2742">
      <formula>LEN(TRIM(A1601))=0</formula>
    </cfRule>
  </conditionalFormatting>
  <conditionalFormatting sqref="J1601:L1601">
    <cfRule type="containsBlanks" dxfId="3352" priority="2741">
      <formula>LEN(TRIM(J1601))=0</formula>
    </cfRule>
  </conditionalFormatting>
  <conditionalFormatting sqref="A1603:I1604 M1602:T1604 Y1603:Z1604 AD1602:AI1604 W1602:Z1602 A1602:B1602 F1602:I1602">
    <cfRule type="containsBlanks" dxfId="3351" priority="2737">
      <formula>LEN(TRIM(A1602))=0</formula>
    </cfRule>
  </conditionalFormatting>
  <conditionalFormatting sqref="A1603:I1604 M1602:T1604 Y1603:Z1604 AD1602:AI1604 W1602:Z1602 A1602:B1602 F1602:I1602">
    <cfRule type="containsBlanks" dxfId="3350" priority="2736">
      <formula>LEN(TRIM(A1602))=0</formula>
    </cfRule>
  </conditionalFormatting>
  <conditionalFormatting sqref="J1602:L1604">
    <cfRule type="containsBlanks" dxfId="3349" priority="2735">
      <formula>LEN(TRIM(J1602))=0</formula>
    </cfRule>
  </conditionalFormatting>
  <conditionalFormatting sqref="J1603:L1604">
    <cfRule type="containsBlanks" dxfId="3348" priority="2734">
      <formula>LEN(TRIM(J1603))=0</formula>
    </cfRule>
  </conditionalFormatting>
  <conditionalFormatting sqref="W1604:X1604 W1603">
    <cfRule type="containsBlanks" dxfId="3347" priority="2731">
      <formula>LEN(TRIM(W1603))=0</formula>
    </cfRule>
  </conditionalFormatting>
  <conditionalFormatting sqref="A1605:I1605 M1605:T1607 Y1606:Z1606 AD1605:AI1607 W1607:Z1607 W1605:Z1605 A1607:I1607 A1606:B1606 F1606:I1606">
    <cfRule type="containsBlanks" dxfId="3346" priority="2728">
      <formula>LEN(TRIM(A1605))=0</formula>
    </cfRule>
  </conditionalFormatting>
  <conditionalFormatting sqref="A1605:I1605 M1605:T1606 Y1606:Z1606 AD1605:AI1606 W1605:Z1605 A1606:B1606 F1606:I1606">
    <cfRule type="containsBlanks" dxfId="3345" priority="2727">
      <formula>LEN(TRIM(A1605))=0</formula>
    </cfRule>
  </conditionalFormatting>
  <conditionalFormatting sqref="J1605:L1606">
    <cfRule type="containsBlanks" dxfId="3344" priority="2726">
      <formula>LEN(TRIM(J1605))=0</formula>
    </cfRule>
  </conditionalFormatting>
  <conditionalFormatting sqref="J1606:L1606">
    <cfRule type="containsBlanks" dxfId="3343" priority="2725">
      <formula>LEN(TRIM(J1606))=0</formula>
    </cfRule>
  </conditionalFormatting>
  <conditionalFormatting sqref="A1607:I1607 M1607:T1607 AD1607:AI1607 W1607:Z1607">
    <cfRule type="containsBlanks" dxfId="3342" priority="2724">
      <formula>LEN(TRIM(A1607))=0</formula>
    </cfRule>
  </conditionalFormatting>
  <conditionalFormatting sqref="J1607:L1607">
    <cfRule type="containsBlanks" dxfId="3341" priority="2723">
      <formula>LEN(TRIM(J1607))=0</formula>
    </cfRule>
  </conditionalFormatting>
  <conditionalFormatting sqref="W1606">
    <cfRule type="containsBlanks" dxfId="3340" priority="2722">
      <formula>LEN(TRIM(W1606))=0</formula>
    </cfRule>
  </conditionalFormatting>
  <conditionalFormatting sqref="M1608:T1609 W1609 Y1608:Z1609">
    <cfRule type="containsBlanks" dxfId="3339" priority="2719">
      <formula>LEN(TRIM(M1608))=0</formula>
    </cfRule>
  </conditionalFormatting>
  <conditionalFormatting sqref="M1608:T1608 Y1608:Z1608">
    <cfRule type="containsBlanks" dxfId="3338" priority="2718">
      <formula>LEN(TRIM(M1608))=0</formula>
    </cfRule>
  </conditionalFormatting>
  <conditionalFormatting sqref="J1608:L1608">
    <cfRule type="containsBlanks" dxfId="3337" priority="2716">
      <formula>LEN(TRIM(J1608))=0</formula>
    </cfRule>
  </conditionalFormatting>
  <conditionalFormatting sqref="A1609:B1609 M1609:T1609 AD1609:AI1609 W1609 F1609:I1609 Y1609:Z1609">
    <cfRule type="containsBlanks" dxfId="3336" priority="2715">
      <formula>LEN(TRIM(A1609))=0</formula>
    </cfRule>
  </conditionalFormatting>
  <conditionalFormatting sqref="J1609:L1609">
    <cfRule type="containsBlanks" dxfId="3335" priority="2714">
      <formula>LEN(TRIM(J1609))=0</formula>
    </cfRule>
  </conditionalFormatting>
  <conditionalFormatting sqref="W1608:X1608">
    <cfRule type="containsBlanks" dxfId="3334" priority="2713">
      <formula>LEN(TRIM(W1608))=0</formula>
    </cfRule>
  </conditionalFormatting>
  <conditionalFormatting sqref="M1610:T1611 W1610:Z1611">
    <cfRule type="containsBlanks" dxfId="3333" priority="2710">
      <formula>LEN(TRIM(M1610))=0</formula>
    </cfRule>
  </conditionalFormatting>
  <conditionalFormatting sqref="A1610:I1610 M1610:T1610 AD1610:AI1610 W1610:Z1610">
    <cfRule type="containsBlanks" dxfId="3332" priority="2709">
      <formula>LEN(TRIM(A1610))=0</formula>
    </cfRule>
  </conditionalFormatting>
  <conditionalFormatting sqref="J1610:L1610">
    <cfRule type="containsBlanks" dxfId="3331" priority="2708">
      <formula>LEN(TRIM(J1610))=0</formula>
    </cfRule>
  </conditionalFormatting>
  <conditionalFormatting sqref="A1611:I1611 M1611:T1611 AD1611:AI1611 W1611:Z1611">
    <cfRule type="containsBlanks" dxfId="3330" priority="2706">
      <formula>LEN(TRIM(A1611))=0</formula>
    </cfRule>
  </conditionalFormatting>
  <conditionalFormatting sqref="J1611:L1611">
    <cfRule type="containsBlanks" dxfId="3329" priority="2705">
      <formula>LEN(TRIM(J1611))=0</formula>
    </cfRule>
  </conditionalFormatting>
  <conditionalFormatting sqref="A1613:I1613 M1612:T1613 AD1612:AI1613 W1612 A1612:B1612 F1612:I1612 Y1612:Z1613">
    <cfRule type="containsBlanks" dxfId="3328" priority="2701">
      <formula>LEN(TRIM(A1612))=0</formula>
    </cfRule>
  </conditionalFormatting>
  <conditionalFormatting sqref="A1613:I1613 M1612:T1613 AD1612:AI1613 W1612 A1612:B1612 F1612:I1612 Y1612:Z1613">
    <cfRule type="containsBlanks" dxfId="3327" priority="2700">
      <formula>LEN(TRIM(A1612))=0</formula>
    </cfRule>
  </conditionalFormatting>
  <conditionalFormatting sqref="J1612:L1613">
    <cfRule type="containsBlanks" dxfId="3326" priority="2699">
      <formula>LEN(TRIM(J1612))=0</formula>
    </cfRule>
  </conditionalFormatting>
  <conditionalFormatting sqref="J1613:L1613">
    <cfRule type="containsBlanks" dxfId="3325" priority="2698">
      <formula>LEN(TRIM(J1613))=0</formula>
    </cfRule>
  </conditionalFormatting>
  <conditionalFormatting sqref="W1613:X1613">
    <cfRule type="containsBlanks" dxfId="3324" priority="2695">
      <formula>LEN(TRIM(W1613))=0</formula>
    </cfRule>
  </conditionalFormatting>
  <conditionalFormatting sqref="A1614:I1614 M1614:T1616 Y1615:Z1615 AD1614:AI1616 W1616:Z1616 W1614:Z1614 A1616:I1616 A1615:B1615 F1615:I1615">
    <cfRule type="containsBlanks" dxfId="3323" priority="2692">
      <formula>LEN(TRIM(A1614))=0</formula>
    </cfRule>
  </conditionalFormatting>
  <conditionalFormatting sqref="A1614:I1614 M1614:T1615 Y1615:Z1615 AD1614:AI1615 W1614:Z1614 A1615:B1615 F1615:I1615">
    <cfRule type="containsBlanks" dxfId="3322" priority="2691">
      <formula>LEN(TRIM(A1614))=0</formula>
    </cfRule>
  </conditionalFormatting>
  <conditionalFormatting sqref="J1614:L1615">
    <cfRule type="containsBlanks" dxfId="3321" priority="2690">
      <formula>LEN(TRIM(J1614))=0</formula>
    </cfRule>
  </conditionalFormatting>
  <conditionalFormatting sqref="J1615:L1615">
    <cfRule type="containsBlanks" dxfId="3320" priority="2689">
      <formula>LEN(TRIM(J1615))=0</formula>
    </cfRule>
  </conditionalFormatting>
  <conditionalFormatting sqref="A1616:I1616 M1616:T1616 AD1616:AI1616 W1616:Z1616">
    <cfRule type="containsBlanks" dxfId="3319" priority="2688">
      <formula>LEN(TRIM(A1616))=0</formula>
    </cfRule>
  </conditionalFormatting>
  <conditionalFormatting sqref="J1616:L1616">
    <cfRule type="containsBlanks" dxfId="3318" priority="2687">
      <formula>LEN(TRIM(J1616))=0</formula>
    </cfRule>
  </conditionalFormatting>
  <conditionalFormatting sqref="W1615">
    <cfRule type="containsBlanks" dxfId="3317" priority="2686">
      <formula>LEN(TRIM(W1615))=0</formula>
    </cfRule>
  </conditionalFormatting>
  <conditionalFormatting sqref="M1617:T1618 W1618 Y1617:Z1618">
    <cfRule type="containsBlanks" dxfId="3316" priority="2683">
      <formula>LEN(TRIM(M1617))=0</formula>
    </cfRule>
  </conditionalFormatting>
  <conditionalFormatting sqref="M1617:T1617 Y1617:Z1617">
    <cfRule type="containsBlanks" dxfId="3315" priority="2682">
      <formula>LEN(TRIM(M1617))=0</formula>
    </cfRule>
  </conditionalFormatting>
  <conditionalFormatting sqref="J1617:L1617">
    <cfRule type="containsBlanks" dxfId="3314" priority="2680">
      <formula>LEN(TRIM(J1617))=0</formula>
    </cfRule>
  </conditionalFormatting>
  <conditionalFormatting sqref="A1618:B1618 M1618:T1618 AD1618:AI1618 W1618 F1618:I1618 Y1618:Z1618">
    <cfRule type="containsBlanks" dxfId="3313" priority="2679">
      <formula>LEN(TRIM(A1618))=0</formula>
    </cfRule>
  </conditionalFormatting>
  <conditionalFormatting sqref="J1618:L1618">
    <cfRule type="containsBlanks" dxfId="3312" priority="2678">
      <formula>LEN(TRIM(J1618))=0</formula>
    </cfRule>
  </conditionalFormatting>
  <conditionalFormatting sqref="W1617:X1617">
    <cfRule type="containsBlanks" dxfId="3311" priority="2677">
      <formula>LEN(TRIM(W1617))=0</formula>
    </cfRule>
  </conditionalFormatting>
  <conditionalFormatting sqref="M1619:T1620 W1619:Z1620">
    <cfRule type="containsBlanks" dxfId="3310" priority="2674">
      <formula>LEN(TRIM(M1619))=0</formula>
    </cfRule>
  </conditionalFormatting>
  <conditionalFormatting sqref="A1619:I1619 M1619:T1619 AD1619:AI1619 W1619:Z1619">
    <cfRule type="containsBlanks" dxfId="3309" priority="2673">
      <formula>LEN(TRIM(A1619))=0</formula>
    </cfRule>
  </conditionalFormatting>
  <conditionalFormatting sqref="J1619:L1619">
    <cfRule type="containsBlanks" dxfId="3308" priority="2672">
      <formula>LEN(TRIM(J1619))=0</formula>
    </cfRule>
  </conditionalFormatting>
  <conditionalFormatting sqref="A1620:I1620 M1620:T1620 AD1620:AI1620 W1620:Z1620">
    <cfRule type="containsBlanks" dxfId="3307" priority="2670">
      <formula>LEN(TRIM(A1620))=0</formula>
    </cfRule>
  </conditionalFormatting>
  <conditionalFormatting sqref="J1620:L1620">
    <cfRule type="containsBlanks" dxfId="3306" priority="2669">
      <formula>LEN(TRIM(J1620))=0</formula>
    </cfRule>
  </conditionalFormatting>
  <conditionalFormatting sqref="A1622:I1623 M1621:T1623 AD1621:AI1623 W1623:Z1623 W1621 A1621:B1621 F1621:I1621 Y1621:Z1622">
    <cfRule type="containsBlanks" dxfId="3305" priority="2665">
      <formula>LEN(TRIM(A1621))=0</formula>
    </cfRule>
  </conditionalFormatting>
  <conditionalFormatting sqref="A1622:I1622 M1621:T1622 AD1621:AI1622 W1621 A1621:B1621 F1621:I1621 Y1621:Z1622">
    <cfRule type="containsBlanks" dxfId="3304" priority="2664">
      <formula>LEN(TRIM(A1621))=0</formula>
    </cfRule>
  </conditionalFormatting>
  <conditionalFormatting sqref="J1621:L1622">
    <cfRule type="containsBlanks" dxfId="3303" priority="2663">
      <formula>LEN(TRIM(J1621))=0</formula>
    </cfRule>
  </conditionalFormatting>
  <conditionalFormatting sqref="J1622:L1622">
    <cfRule type="containsBlanks" dxfId="3302" priority="2662">
      <formula>LEN(TRIM(J1622))=0</formula>
    </cfRule>
  </conditionalFormatting>
  <conditionalFormatting sqref="A1623:I1623 M1623:T1623 AD1623:AI1623 W1623:Z1623">
    <cfRule type="containsBlanks" dxfId="3301" priority="2661">
      <formula>LEN(TRIM(A1623))=0</formula>
    </cfRule>
  </conditionalFormatting>
  <conditionalFormatting sqref="J1623:L1623">
    <cfRule type="containsBlanks" dxfId="3300" priority="2660">
      <formula>LEN(TRIM(J1623))=0</formula>
    </cfRule>
  </conditionalFormatting>
  <conditionalFormatting sqref="W1622:X1622">
    <cfRule type="containsBlanks" dxfId="3299" priority="2659">
      <formula>LEN(TRIM(W1622))=0</formula>
    </cfRule>
  </conditionalFormatting>
  <conditionalFormatting sqref="A1624:I1624 M1624:T1627 AD1624:AI1627 W1626:Z1626 W1624 A1626:I1627 A1625:B1625 F1625:I1625 Y1624:Z1625 W1627 Y1627:Z1627">
    <cfRule type="containsBlanks" dxfId="3298" priority="2656">
      <formula>LEN(TRIM(A1624))=0</formula>
    </cfRule>
  </conditionalFormatting>
  <conditionalFormatting sqref="A1624:I1624 M1624:T1625 AD1624:AI1625 W1624 A1625:B1625 F1625:I1625 Y1624:Z1625">
    <cfRule type="containsBlanks" dxfId="3297" priority="2655">
      <formula>LEN(TRIM(A1624))=0</formula>
    </cfRule>
  </conditionalFormatting>
  <conditionalFormatting sqref="J1624:L1625">
    <cfRule type="containsBlanks" dxfId="3296" priority="2654">
      <formula>LEN(TRIM(J1624))=0</formula>
    </cfRule>
  </conditionalFormatting>
  <conditionalFormatting sqref="J1625:L1625">
    <cfRule type="containsBlanks" dxfId="3295" priority="2653">
      <formula>LEN(TRIM(J1625))=0</formula>
    </cfRule>
  </conditionalFormatting>
  <conditionalFormatting sqref="A1626:I1627 M1626:T1627 AD1626:AI1627 W1626:Z1626 W1627 Y1627:Z1627">
    <cfRule type="containsBlanks" dxfId="3294" priority="2652">
      <formula>LEN(TRIM(A1626))=0</formula>
    </cfRule>
  </conditionalFormatting>
  <conditionalFormatting sqref="J1626:L1627">
    <cfRule type="containsBlanks" dxfId="3293" priority="2651">
      <formula>LEN(TRIM(J1626))=0</formula>
    </cfRule>
  </conditionalFormatting>
  <conditionalFormatting sqref="W1625:X1625">
    <cfRule type="containsBlanks" dxfId="3292" priority="2650">
      <formula>LEN(TRIM(W1625))=0</formula>
    </cfRule>
  </conditionalFormatting>
  <conditionalFormatting sqref="M1628:T1629 Y1628:Z1628 W1629:Z1629">
    <cfRule type="containsBlanks" dxfId="3291" priority="2647">
      <formula>LEN(TRIM(M1628))=0</formula>
    </cfRule>
  </conditionalFormatting>
  <conditionalFormatting sqref="M1628:T1628 Y1628:Z1628">
    <cfRule type="containsBlanks" dxfId="3290" priority="2646">
      <formula>LEN(TRIM(M1628))=0</formula>
    </cfRule>
  </conditionalFormatting>
  <conditionalFormatting sqref="J1628:L1628">
    <cfRule type="containsBlanks" dxfId="3289" priority="2644">
      <formula>LEN(TRIM(J1628))=0</formula>
    </cfRule>
  </conditionalFormatting>
  <conditionalFormatting sqref="A1629:B1629 M1629:T1629 AD1629:AI1629 W1629:Z1629 F1629:I1629">
    <cfRule type="containsBlanks" dxfId="3288" priority="2643">
      <formula>LEN(TRIM(A1629))=0</formula>
    </cfRule>
  </conditionalFormatting>
  <conditionalFormatting sqref="J1629:L1629">
    <cfRule type="containsBlanks" dxfId="3287" priority="2642">
      <formula>LEN(TRIM(J1629))=0</formula>
    </cfRule>
  </conditionalFormatting>
  <conditionalFormatting sqref="W1628:X1628">
    <cfRule type="containsBlanks" dxfId="3286" priority="2641">
      <formula>LEN(TRIM(W1628))=0</formula>
    </cfRule>
  </conditionalFormatting>
  <conditionalFormatting sqref="M1630:T1631 W1631:Z1631 W1630 Y1630:Z1630">
    <cfRule type="containsBlanks" dxfId="3285" priority="2638">
      <formula>LEN(TRIM(M1630))=0</formula>
    </cfRule>
  </conditionalFormatting>
  <conditionalFormatting sqref="A1630:I1630 M1630:T1630 AD1630:AI1630 W1630 Y1630:Z1630">
    <cfRule type="containsBlanks" dxfId="3284" priority="2637">
      <formula>LEN(TRIM(A1630))=0</formula>
    </cfRule>
  </conditionalFormatting>
  <conditionalFormatting sqref="J1630:L1630">
    <cfRule type="containsBlanks" dxfId="3283" priority="2636">
      <formula>LEN(TRIM(J1630))=0</formula>
    </cfRule>
  </conditionalFormatting>
  <conditionalFormatting sqref="A1631:I1631 M1631:T1631 AD1631:AI1631 W1631:Z1631">
    <cfRule type="containsBlanks" dxfId="3282" priority="2634">
      <formula>LEN(TRIM(A1631))=0</formula>
    </cfRule>
  </conditionalFormatting>
  <conditionalFormatting sqref="J1631:L1631">
    <cfRule type="containsBlanks" dxfId="3281" priority="2633">
      <formula>LEN(TRIM(J1631))=0</formula>
    </cfRule>
  </conditionalFormatting>
  <conditionalFormatting sqref="A1633:I1634 M1632:T1634 Y1633:Z1633 AD1632:AI1634 W1634:Z1634 W1632:Z1632 A1632:B1632 F1632:I1632">
    <cfRule type="containsBlanks" dxfId="3280" priority="2629">
      <formula>LEN(TRIM(A1632))=0</formula>
    </cfRule>
  </conditionalFormatting>
  <conditionalFormatting sqref="A1633:I1633 M1632:T1633 Y1633:Z1633 AD1632:AI1633 W1632:Z1632 A1632:B1632 F1632:I1632">
    <cfRule type="containsBlanks" dxfId="3279" priority="2628">
      <formula>LEN(TRIM(A1632))=0</formula>
    </cfRule>
  </conditionalFormatting>
  <conditionalFormatting sqref="J1632:L1633">
    <cfRule type="containsBlanks" dxfId="3278" priority="2627">
      <formula>LEN(TRIM(J1632))=0</formula>
    </cfRule>
  </conditionalFormatting>
  <conditionalFormatting sqref="J1633:L1633">
    <cfRule type="containsBlanks" dxfId="3277" priority="2626">
      <formula>LEN(TRIM(J1633))=0</formula>
    </cfRule>
  </conditionalFormatting>
  <conditionalFormatting sqref="A1634:I1634 M1634:T1634 AD1634:AI1634 W1634:Z1634">
    <cfRule type="containsBlanks" dxfId="3276" priority="2625">
      <formula>LEN(TRIM(A1634))=0</formula>
    </cfRule>
  </conditionalFormatting>
  <conditionalFormatting sqref="J1634:L1634">
    <cfRule type="containsBlanks" dxfId="3275" priority="2624">
      <formula>LEN(TRIM(J1634))=0</formula>
    </cfRule>
  </conditionalFormatting>
  <conditionalFormatting sqref="W1633">
    <cfRule type="containsBlanks" dxfId="3274" priority="2623">
      <formula>LEN(TRIM(W1633))=0</formula>
    </cfRule>
  </conditionalFormatting>
  <conditionalFormatting sqref="A1636:I1637 M1635:T1637 Y1636:Z1636 AD1635:AI1637 W1637:Z1637 W1635:Z1635 A1635:B1635 F1635:I1635">
    <cfRule type="containsBlanks" dxfId="3273" priority="2620">
      <formula>LEN(TRIM(A1635))=0</formula>
    </cfRule>
  </conditionalFormatting>
  <conditionalFormatting sqref="A1636:I1636 M1635:T1636 Y1636:Z1636 AD1635:AI1636 W1635:Z1635 A1635:B1635 F1635:I1635">
    <cfRule type="containsBlanks" dxfId="3272" priority="2619">
      <formula>LEN(TRIM(A1635))=0</formula>
    </cfRule>
  </conditionalFormatting>
  <conditionalFormatting sqref="J1635:L1636">
    <cfRule type="containsBlanks" dxfId="3271" priority="2618">
      <formula>LEN(TRIM(J1635))=0</formula>
    </cfRule>
  </conditionalFormatting>
  <conditionalFormatting sqref="J1636:L1636">
    <cfRule type="containsBlanks" dxfId="3270" priority="2617">
      <formula>LEN(TRIM(J1636))=0</formula>
    </cfRule>
  </conditionalFormatting>
  <conditionalFormatting sqref="A1637:I1637 M1637:T1637 AD1637:AI1637 W1637:Z1637">
    <cfRule type="containsBlanks" dxfId="3269" priority="2616">
      <formula>LEN(TRIM(A1637))=0</formula>
    </cfRule>
  </conditionalFormatting>
  <conditionalFormatting sqref="J1637:L1637">
    <cfRule type="containsBlanks" dxfId="3268" priority="2615">
      <formula>LEN(TRIM(J1637))=0</formula>
    </cfRule>
  </conditionalFormatting>
  <conditionalFormatting sqref="W1636">
    <cfRule type="containsBlanks" dxfId="3267" priority="2614">
      <formula>LEN(TRIM(W1636))=0</formula>
    </cfRule>
  </conditionalFormatting>
  <conditionalFormatting sqref="A1639:I1640 M1638:T1640 Y1639:Z1639 AD1638:AI1640 W1640:Z1640 W1638:Z1638 A1638:B1638 F1638:I1638">
    <cfRule type="containsBlanks" dxfId="3266" priority="2611">
      <formula>LEN(TRIM(A1638))=0</formula>
    </cfRule>
  </conditionalFormatting>
  <conditionalFormatting sqref="A1639:I1639 M1638:T1639 Y1639:Z1639 AD1638:AI1639 W1638:Z1638 A1638:B1638 F1638:I1638">
    <cfRule type="containsBlanks" dxfId="3265" priority="2610">
      <formula>LEN(TRIM(A1638))=0</formula>
    </cfRule>
  </conditionalFormatting>
  <conditionalFormatting sqref="J1638:L1639">
    <cfRule type="containsBlanks" dxfId="3264" priority="2609">
      <formula>LEN(TRIM(J1638))=0</formula>
    </cfRule>
  </conditionalFormatting>
  <conditionalFormatting sqref="J1639:L1639">
    <cfRule type="containsBlanks" dxfId="3263" priority="2608">
      <formula>LEN(TRIM(J1639))=0</formula>
    </cfRule>
  </conditionalFormatting>
  <conditionalFormatting sqref="A1640:I1640 M1640:T1640 AD1640:AI1640 W1640:Z1640">
    <cfRule type="containsBlanks" dxfId="3262" priority="2607">
      <formula>LEN(TRIM(A1640))=0</formula>
    </cfRule>
  </conditionalFormatting>
  <conditionalFormatting sqref="J1640:L1640">
    <cfRule type="containsBlanks" dxfId="3261" priority="2606">
      <formula>LEN(TRIM(J1640))=0</formula>
    </cfRule>
  </conditionalFormatting>
  <conditionalFormatting sqref="W1639">
    <cfRule type="containsBlanks" dxfId="3260" priority="2605">
      <formula>LEN(TRIM(W1639))=0</formula>
    </cfRule>
  </conditionalFormatting>
  <conditionalFormatting sqref="A1642:I1643 M1641:T1643 Y1642:Z1642 AD1641:AI1643 A1641:B1641 W1643:Z1643 W1641:Z1641 F1641:H1641">
    <cfRule type="containsBlanks" dxfId="3259" priority="2602">
      <formula>LEN(TRIM(A1641))=0</formula>
    </cfRule>
  </conditionalFormatting>
  <conditionalFormatting sqref="A1642:I1642 M1641:T1642 Y1642:Z1642 AD1641:AI1642 A1641:B1641 W1641:Z1641 F1641:H1641">
    <cfRule type="containsBlanks" dxfId="3258" priority="2601">
      <formula>LEN(TRIM(A1641))=0</formula>
    </cfRule>
  </conditionalFormatting>
  <conditionalFormatting sqref="J1641:L1642">
    <cfRule type="containsBlanks" dxfId="3257" priority="2600">
      <formula>LEN(TRIM(J1641))=0</formula>
    </cfRule>
  </conditionalFormatting>
  <conditionalFormatting sqref="J1642:L1642">
    <cfRule type="containsBlanks" dxfId="3256" priority="2599">
      <formula>LEN(TRIM(J1642))=0</formula>
    </cfRule>
  </conditionalFormatting>
  <conditionalFormatting sqref="A1643:I1643 M1643:T1643 AD1643:AI1643 W1643:Z1643">
    <cfRule type="containsBlanks" dxfId="3255" priority="2598">
      <formula>LEN(TRIM(A1643))=0</formula>
    </cfRule>
  </conditionalFormatting>
  <conditionalFormatting sqref="J1643:L1643">
    <cfRule type="containsBlanks" dxfId="3254" priority="2597">
      <formula>LEN(TRIM(J1643))=0</formula>
    </cfRule>
  </conditionalFormatting>
  <conditionalFormatting sqref="W1642">
    <cfRule type="containsBlanks" dxfId="3253" priority="2596">
      <formula>LEN(TRIM(W1642))=0</formula>
    </cfRule>
  </conditionalFormatting>
  <conditionalFormatting sqref="A1645:I1646 M1644:T1646 Y1645:Z1645 AD1644:AI1646 A1644:B1644 W1646:Z1646 W1644:Z1644 F1644:H1644">
    <cfRule type="containsBlanks" dxfId="3252" priority="2593">
      <formula>LEN(TRIM(A1644))=0</formula>
    </cfRule>
  </conditionalFormatting>
  <conditionalFormatting sqref="A1645:I1645 M1644:T1645 Y1645:Z1645 AD1644:AI1645 A1644:B1644 W1644:Z1644 F1644:H1644">
    <cfRule type="containsBlanks" dxfId="3251" priority="2592">
      <formula>LEN(TRIM(A1644))=0</formula>
    </cfRule>
  </conditionalFormatting>
  <conditionalFormatting sqref="J1644:L1645">
    <cfRule type="containsBlanks" dxfId="3250" priority="2591">
      <formula>LEN(TRIM(J1644))=0</formula>
    </cfRule>
  </conditionalFormatting>
  <conditionalFormatting sqref="J1645:L1645">
    <cfRule type="containsBlanks" dxfId="3249" priority="2590">
      <formula>LEN(TRIM(J1645))=0</formula>
    </cfRule>
  </conditionalFormatting>
  <conditionalFormatting sqref="A1646:I1646 M1646:T1646 AD1646:AI1646 W1646:Z1646">
    <cfRule type="containsBlanks" dxfId="3248" priority="2589">
      <formula>LEN(TRIM(A1646))=0</formula>
    </cfRule>
  </conditionalFormatting>
  <conditionalFormatting sqref="J1646:L1646">
    <cfRule type="containsBlanks" dxfId="3247" priority="2588">
      <formula>LEN(TRIM(J1646))=0</formula>
    </cfRule>
  </conditionalFormatting>
  <conditionalFormatting sqref="W1645">
    <cfRule type="containsBlanks" dxfId="3246" priority="2587">
      <formula>LEN(TRIM(W1645))=0</formula>
    </cfRule>
  </conditionalFormatting>
  <conditionalFormatting sqref="A1648:I1649 M1647:T1649 Y1648:Z1648 AD1647:AI1649 W1649:Z1649 W1647:Z1647 A1647:B1647 F1647:I1647">
    <cfRule type="containsBlanks" dxfId="3245" priority="2584">
      <formula>LEN(TRIM(A1647))=0</formula>
    </cfRule>
  </conditionalFormatting>
  <conditionalFormatting sqref="A1648:I1648 M1647:T1648 Y1648:Z1648 AD1647:AI1648 W1647:Z1647 A1647:B1647 F1647:I1647">
    <cfRule type="containsBlanks" dxfId="3244" priority="2583">
      <formula>LEN(TRIM(A1647))=0</formula>
    </cfRule>
  </conditionalFormatting>
  <conditionalFormatting sqref="J1647:L1648">
    <cfRule type="containsBlanks" dxfId="3243" priority="2582">
      <formula>LEN(TRIM(J1647))=0</formula>
    </cfRule>
  </conditionalFormatting>
  <conditionalFormatting sqref="J1648:L1648">
    <cfRule type="containsBlanks" dxfId="3242" priority="2581">
      <formula>LEN(TRIM(J1648))=0</formula>
    </cfRule>
  </conditionalFormatting>
  <conditionalFormatting sqref="A1649:I1649 M1649:T1649 AD1649:AI1649 W1649:Z1649">
    <cfRule type="containsBlanks" dxfId="3241" priority="2580">
      <formula>LEN(TRIM(A1649))=0</formula>
    </cfRule>
  </conditionalFormatting>
  <conditionalFormatting sqref="J1649:L1649">
    <cfRule type="containsBlanks" dxfId="3240" priority="2579">
      <formula>LEN(TRIM(J1649))=0</formula>
    </cfRule>
  </conditionalFormatting>
  <conditionalFormatting sqref="W1648">
    <cfRule type="containsBlanks" dxfId="3239" priority="2578">
      <formula>LEN(TRIM(W1648))=0</formula>
    </cfRule>
  </conditionalFormatting>
  <conditionalFormatting sqref="A1651:I1652 M1650:T1652 Y1651:Z1651 AD1650:AI1652 W1652:Z1652 W1650:Z1650 A1650:B1650 F1650:I1650">
    <cfRule type="containsBlanks" dxfId="3238" priority="2575">
      <formula>LEN(TRIM(A1650))=0</formula>
    </cfRule>
  </conditionalFormatting>
  <conditionalFormatting sqref="A1651:I1651 M1650:T1651 Y1651:Z1651 AD1650:AI1651 W1650:Z1650 A1650:B1650 F1650:I1650">
    <cfRule type="containsBlanks" dxfId="3237" priority="2574">
      <formula>LEN(TRIM(A1650))=0</formula>
    </cfRule>
  </conditionalFormatting>
  <conditionalFormatting sqref="J1650:L1651">
    <cfRule type="containsBlanks" dxfId="3236" priority="2573">
      <formula>LEN(TRIM(J1650))=0</formula>
    </cfRule>
  </conditionalFormatting>
  <conditionalFormatting sqref="J1651:L1651">
    <cfRule type="containsBlanks" dxfId="3235" priority="2572">
      <formula>LEN(TRIM(J1651))=0</formula>
    </cfRule>
  </conditionalFormatting>
  <conditionalFormatting sqref="A1652:I1652 M1652:T1652 AD1652:AI1652 W1652:Z1652">
    <cfRule type="containsBlanks" dxfId="3234" priority="2571">
      <formula>LEN(TRIM(A1652))=0</formula>
    </cfRule>
  </conditionalFormatting>
  <conditionalFormatting sqref="J1652:L1652">
    <cfRule type="containsBlanks" dxfId="3233" priority="2570">
      <formula>LEN(TRIM(J1652))=0</formula>
    </cfRule>
  </conditionalFormatting>
  <conditionalFormatting sqref="W1651">
    <cfRule type="containsBlanks" dxfId="3232" priority="2569">
      <formula>LEN(TRIM(W1651))=0</formula>
    </cfRule>
  </conditionalFormatting>
  <conditionalFormatting sqref="A1654:I1655 M1653:T1655 Y1654:Z1654 AD1653:AI1655 W1655:Z1655 W1653:Z1653 A1653:B1653 F1653:I1653">
    <cfRule type="containsBlanks" dxfId="3231" priority="2566">
      <formula>LEN(TRIM(A1653))=0</formula>
    </cfRule>
  </conditionalFormatting>
  <conditionalFormatting sqref="A1654:I1654 M1653:T1654 Y1654:Z1654 AD1653:AI1654 W1653:Z1653 A1653:B1653 F1653:I1653">
    <cfRule type="containsBlanks" dxfId="3230" priority="2565">
      <formula>LEN(TRIM(A1653))=0</formula>
    </cfRule>
  </conditionalFormatting>
  <conditionalFormatting sqref="J1653:L1654">
    <cfRule type="containsBlanks" dxfId="3229" priority="2564">
      <formula>LEN(TRIM(J1653))=0</formula>
    </cfRule>
  </conditionalFormatting>
  <conditionalFormatting sqref="J1654:L1654">
    <cfRule type="containsBlanks" dxfId="3228" priority="2563">
      <formula>LEN(TRIM(J1654))=0</formula>
    </cfRule>
  </conditionalFormatting>
  <conditionalFormatting sqref="A1655:I1655 M1655:T1655 AD1655:AI1655 W1655:Z1655">
    <cfRule type="containsBlanks" dxfId="3227" priority="2562">
      <formula>LEN(TRIM(A1655))=0</formula>
    </cfRule>
  </conditionalFormatting>
  <conditionalFormatting sqref="J1655:L1655">
    <cfRule type="containsBlanks" dxfId="3226" priority="2561">
      <formula>LEN(TRIM(J1655))=0</formula>
    </cfRule>
  </conditionalFormatting>
  <conditionalFormatting sqref="W1654">
    <cfRule type="containsBlanks" dxfId="3225" priority="2560">
      <formula>LEN(TRIM(W1654))=0</formula>
    </cfRule>
  </conditionalFormatting>
  <conditionalFormatting sqref="A1657:I1658 M1656:T1658 Y1657:Z1657 AD1656:AI1658 W1658:Z1658 W1656:Z1656 A1656:B1656 F1656:I1656">
    <cfRule type="containsBlanks" dxfId="3224" priority="2557">
      <formula>LEN(TRIM(A1656))=0</formula>
    </cfRule>
  </conditionalFormatting>
  <conditionalFormatting sqref="A1657:I1657 M1656:T1657 Y1657:Z1657 AD1656:AI1657 W1656:Z1656 A1656:B1656 F1656:I1656">
    <cfRule type="containsBlanks" dxfId="3223" priority="2556">
      <formula>LEN(TRIM(A1656))=0</formula>
    </cfRule>
  </conditionalFormatting>
  <conditionalFormatting sqref="J1656:L1657">
    <cfRule type="containsBlanks" dxfId="3222" priority="2555">
      <formula>LEN(TRIM(J1656))=0</formula>
    </cfRule>
  </conditionalFormatting>
  <conditionalFormatting sqref="J1657:L1657">
    <cfRule type="containsBlanks" dxfId="3221" priority="2554">
      <formula>LEN(TRIM(J1657))=0</formula>
    </cfRule>
  </conditionalFormatting>
  <conditionalFormatting sqref="A1658:I1658 M1658:T1658 AD1658:AI1658 W1658:Z1658">
    <cfRule type="containsBlanks" dxfId="3220" priority="2553">
      <formula>LEN(TRIM(A1658))=0</formula>
    </cfRule>
  </conditionalFormatting>
  <conditionalFormatting sqref="J1658:L1658">
    <cfRule type="containsBlanks" dxfId="3219" priority="2552">
      <formula>LEN(TRIM(J1658))=0</formula>
    </cfRule>
  </conditionalFormatting>
  <conditionalFormatting sqref="W1657">
    <cfRule type="containsBlanks" dxfId="3218" priority="2551">
      <formula>LEN(TRIM(W1657))=0</formula>
    </cfRule>
  </conditionalFormatting>
  <conditionalFormatting sqref="A1660:I1661 M1659:T1661 Y1660:Z1660 AD1659:AI1661 W1661:Z1661 W1659:Z1659 A1659:B1659 F1659:I1659">
    <cfRule type="containsBlanks" dxfId="3217" priority="2548">
      <formula>LEN(TRIM(A1659))=0</formula>
    </cfRule>
  </conditionalFormatting>
  <conditionalFormatting sqref="A1660:I1660 M1659:T1660 Y1660:Z1660 AD1659:AI1660 W1659:Z1659 A1659:B1659 F1659:I1659">
    <cfRule type="containsBlanks" dxfId="3216" priority="2547">
      <formula>LEN(TRIM(A1659))=0</formula>
    </cfRule>
  </conditionalFormatting>
  <conditionalFormatting sqref="J1659:L1660">
    <cfRule type="containsBlanks" dxfId="3215" priority="2546">
      <formula>LEN(TRIM(J1659))=0</formula>
    </cfRule>
  </conditionalFormatting>
  <conditionalFormatting sqref="J1660:L1660">
    <cfRule type="containsBlanks" dxfId="3214" priority="2545">
      <formula>LEN(TRIM(J1660))=0</formula>
    </cfRule>
  </conditionalFormatting>
  <conditionalFormatting sqref="A1661:I1661 M1661:T1661 AD1661:AI1661 W1661:Z1661">
    <cfRule type="containsBlanks" dxfId="3213" priority="2544">
      <formula>LEN(TRIM(A1661))=0</formula>
    </cfRule>
  </conditionalFormatting>
  <conditionalFormatting sqref="J1661:L1661">
    <cfRule type="containsBlanks" dxfId="3212" priority="2543">
      <formula>LEN(TRIM(J1661))=0</formula>
    </cfRule>
  </conditionalFormatting>
  <conditionalFormatting sqref="W1660">
    <cfRule type="containsBlanks" dxfId="3211" priority="2542">
      <formula>LEN(TRIM(W1660))=0</formula>
    </cfRule>
  </conditionalFormatting>
  <conditionalFormatting sqref="A1663:I1664 M1662:T1664 Y1663:Z1663 AD1662:AI1664 W1664:Z1664 W1662:Z1662 A1662:B1662 F1662:I1662">
    <cfRule type="containsBlanks" dxfId="3210" priority="2539">
      <formula>LEN(TRIM(A1662))=0</formula>
    </cfRule>
  </conditionalFormatting>
  <conditionalFormatting sqref="A1663:I1663 M1662:T1663 Y1663:Z1663 AD1662:AI1663 W1662:Z1662 A1662:B1662 F1662:I1662">
    <cfRule type="containsBlanks" dxfId="3209" priority="2538">
      <formula>LEN(TRIM(A1662))=0</formula>
    </cfRule>
  </conditionalFormatting>
  <conditionalFormatting sqref="J1662:L1663">
    <cfRule type="containsBlanks" dxfId="3208" priority="2537">
      <formula>LEN(TRIM(J1662))=0</formula>
    </cfRule>
  </conditionalFormatting>
  <conditionalFormatting sqref="J1663:L1663">
    <cfRule type="containsBlanks" dxfId="3207" priority="2536">
      <formula>LEN(TRIM(J1663))=0</formula>
    </cfRule>
  </conditionalFormatting>
  <conditionalFormatting sqref="A1664:I1664 M1664:T1664 AD1664:AI1664 W1664:Z1664">
    <cfRule type="containsBlanks" dxfId="3206" priority="2535">
      <formula>LEN(TRIM(A1664))=0</formula>
    </cfRule>
  </conditionalFormatting>
  <conditionalFormatting sqref="J1664:L1664">
    <cfRule type="containsBlanks" dxfId="3205" priority="2534">
      <formula>LEN(TRIM(J1664))=0</formula>
    </cfRule>
  </conditionalFormatting>
  <conditionalFormatting sqref="W1663">
    <cfRule type="containsBlanks" dxfId="3204" priority="2533">
      <formula>LEN(TRIM(W1663))=0</formula>
    </cfRule>
  </conditionalFormatting>
  <conditionalFormatting sqref="A1666:I1667 M1665:T1667 Y1666:Z1666 AD1665:AI1667 W1667:Z1667 W1665:Z1665 A1665:B1665 F1665:I1665">
    <cfRule type="containsBlanks" dxfId="3203" priority="2530">
      <formula>LEN(TRIM(A1665))=0</formula>
    </cfRule>
  </conditionalFormatting>
  <conditionalFormatting sqref="A1666:I1666 M1665:T1666 Y1666:Z1666 AD1665:AI1666 W1665:Z1665 A1665:B1665 F1665:I1665">
    <cfRule type="containsBlanks" dxfId="3202" priority="2529">
      <formula>LEN(TRIM(A1665))=0</formula>
    </cfRule>
  </conditionalFormatting>
  <conditionalFormatting sqref="J1665:L1666">
    <cfRule type="containsBlanks" dxfId="3201" priority="2528">
      <formula>LEN(TRIM(J1665))=0</formula>
    </cfRule>
  </conditionalFormatting>
  <conditionalFormatting sqref="J1666:L1666">
    <cfRule type="containsBlanks" dxfId="3200" priority="2527">
      <formula>LEN(TRIM(J1666))=0</formula>
    </cfRule>
  </conditionalFormatting>
  <conditionalFormatting sqref="A1667:I1667 M1667:T1667 AD1667:AI1667 W1667:Z1667">
    <cfRule type="containsBlanks" dxfId="3199" priority="2526">
      <formula>LEN(TRIM(A1667))=0</formula>
    </cfRule>
  </conditionalFormatting>
  <conditionalFormatting sqref="J1667:L1667">
    <cfRule type="containsBlanks" dxfId="3198" priority="2525">
      <formula>LEN(TRIM(J1667))=0</formula>
    </cfRule>
  </conditionalFormatting>
  <conditionalFormatting sqref="W1666">
    <cfRule type="containsBlanks" dxfId="3197" priority="2524">
      <formula>LEN(TRIM(W1666))=0</formula>
    </cfRule>
  </conditionalFormatting>
  <conditionalFormatting sqref="A1669:I1670 M1668:T1670 Y1669:Z1669 AD1668:AI1670 W1670:Z1670 W1668:Z1668 A1668:B1668 F1668:I1668">
    <cfRule type="containsBlanks" dxfId="3196" priority="2521">
      <formula>LEN(TRIM(A1668))=0</formula>
    </cfRule>
  </conditionalFormatting>
  <conditionalFormatting sqref="A1669:I1669 M1668:T1669 Y1669:Z1669 AD1668:AI1669 W1668:Z1668 A1668:B1668 F1668:I1668">
    <cfRule type="containsBlanks" dxfId="3195" priority="2520">
      <formula>LEN(TRIM(A1668))=0</formula>
    </cfRule>
  </conditionalFormatting>
  <conditionalFormatting sqref="J1668:L1669">
    <cfRule type="containsBlanks" dxfId="3194" priority="2519">
      <formula>LEN(TRIM(J1668))=0</formula>
    </cfRule>
  </conditionalFormatting>
  <conditionalFormatting sqref="J1669:L1669">
    <cfRule type="containsBlanks" dxfId="3193" priority="2518">
      <formula>LEN(TRIM(J1669))=0</formula>
    </cfRule>
  </conditionalFormatting>
  <conditionalFormatting sqref="A1670:I1670 M1670:T1670 AD1670:AI1670 W1670:Z1670">
    <cfRule type="containsBlanks" dxfId="3192" priority="2517">
      <formula>LEN(TRIM(A1670))=0</formula>
    </cfRule>
  </conditionalFormatting>
  <conditionalFormatting sqref="J1670:L1670">
    <cfRule type="containsBlanks" dxfId="3191" priority="2516">
      <formula>LEN(TRIM(J1670))=0</formula>
    </cfRule>
  </conditionalFormatting>
  <conditionalFormatting sqref="W1669">
    <cfRule type="containsBlanks" dxfId="3190" priority="2515">
      <formula>LEN(TRIM(W1669))=0</formula>
    </cfRule>
  </conditionalFormatting>
  <conditionalFormatting sqref="A1672:I1673 M1671:T1673 Y1672:Z1672 AD1671:AI1673 W1673:Z1673 W1671:Z1671 A1671:B1671 F1671:I1671">
    <cfRule type="containsBlanks" dxfId="3189" priority="2512">
      <formula>LEN(TRIM(A1671))=0</formula>
    </cfRule>
  </conditionalFormatting>
  <conditionalFormatting sqref="A1672:I1672 M1671:T1672 Y1672:Z1672 AD1671:AI1672 W1671:Z1671 A1671:B1671 F1671:I1671">
    <cfRule type="containsBlanks" dxfId="3188" priority="2511">
      <formula>LEN(TRIM(A1671))=0</formula>
    </cfRule>
  </conditionalFormatting>
  <conditionalFormatting sqref="J1671:L1672">
    <cfRule type="containsBlanks" dxfId="3187" priority="2510">
      <formula>LEN(TRIM(J1671))=0</formula>
    </cfRule>
  </conditionalFormatting>
  <conditionalFormatting sqref="J1672:L1672">
    <cfRule type="containsBlanks" dxfId="3186" priority="2509">
      <formula>LEN(TRIM(J1672))=0</formula>
    </cfRule>
  </conditionalFormatting>
  <conditionalFormatting sqref="A1673:I1673 M1673:T1673 AD1673:AI1673 W1673:Z1673">
    <cfRule type="containsBlanks" dxfId="3185" priority="2508">
      <formula>LEN(TRIM(A1673))=0</formula>
    </cfRule>
  </conditionalFormatting>
  <conditionalFormatting sqref="J1673:L1673">
    <cfRule type="containsBlanks" dxfId="3184" priority="2507">
      <formula>LEN(TRIM(J1673))=0</formula>
    </cfRule>
  </conditionalFormatting>
  <conditionalFormatting sqref="W1672">
    <cfRule type="containsBlanks" dxfId="3183" priority="2506">
      <formula>LEN(TRIM(W1672))=0</formula>
    </cfRule>
  </conditionalFormatting>
  <conditionalFormatting sqref="A1675:I1676 M1674:T1676 Y1675:Z1675 AD1674:AI1676 W1676:Z1676 W1674:Z1674 A1674:B1674 F1674:I1674">
    <cfRule type="containsBlanks" dxfId="3182" priority="2503">
      <formula>LEN(TRIM(A1674))=0</formula>
    </cfRule>
  </conditionalFormatting>
  <conditionalFormatting sqref="A1675:I1675 M1674:T1675 Y1675:Z1675 AD1674:AI1675 W1674:Z1674 A1674:B1674 F1674:I1674">
    <cfRule type="containsBlanks" dxfId="3181" priority="2502">
      <formula>LEN(TRIM(A1674))=0</formula>
    </cfRule>
  </conditionalFormatting>
  <conditionalFormatting sqref="J1674:L1675">
    <cfRule type="containsBlanks" dxfId="3180" priority="2501">
      <formula>LEN(TRIM(J1674))=0</formula>
    </cfRule>
  </conditionalFormatting>
  <conditionalFormatting sqref="J1675:L1675">
    <cfRule type="containsBlanks" dxfId="3179" priority="2500">
      <formula>LEN(TRIM(J1675))=0</formula>
    </cfRule>
  </conditionalFormatting>
  <conditionalFormatting sqref="A1676:I1676 M1676:T1676 AD1676:AI1676 W1676:Z1676">
    <cfRule type="containsBlanks" dxfId="3178" priority="2499">
      <formula>LEN(TRIM(A1676))=0</formula>
    </cfRule>
  </conditionalFormatting>
  <conditionalFormatting sqref="J1676:L1676">
    <cfRule type="containsBlanks" dxfId="3177" priority="2498">
      <formula>LEN(TRIM(J1676))=0</formula>
    </cfRule>
  </conditionalFormatting>
  <conditionalFormatting sqref="W1675">
    <cfRule type="containsBlanks" dxfId="3176" priority="2497">
      <formula>LEN(TRIM(W1675))=0</formula>
    </cfRule>
  </conditionalFormatting>
  <conditionalFormatting sqref="A1677:I1677 M1677:T1679 Y1678:Z1678 AD1677:AI1679 W1679:Z1679 W1677:Z1677 A1679:I1679 A1678:B1678 F1678:I1678">
    <cfRule type="containsBlanks" dxfId="3175" priority="2494">
      <formula>LEN(TRIM(A1677))=0</formula>
    </cfRule>
  </conditionalFormatting>
  <conditionalFormatting sqref="A1677:I1677 M1677:T1678 Y1678:Z1678 AD1677:AI1678 W1677:Z1677 A1678:B1678 F1678:I1678">
    <cfRule type="containsBlanks" dxfId="3174" priority="2493">
      <formula>LEN(TRIM(A1677))=0</formula>
    </cfRule>
  </conditionalFormatting>
  <conditionalFormatting sqref="J1677:L1678">
    <cfRule type="containsBlanks" dxfId="3173" priority="2492">
      <formula>LEN(TRIM(J1677))=0</formula>
    </cfRule>
  </conditionalFormatting>
  <conditionalFormatting sqref="J1678:L1678">
    <cfRule type="containsBlanks" dxfId="3172" priority="2491">
      <formula>LEN(TRIM(J1678))=0</formula>
    </cfRule>
  </conditionalFormatting>
  <conditionalFormatting sqref="A1679:I1679 M1679:T1679 AD1679:AI1679 W1679:Z1679">
    <cfRule type="containsBlanks" dxfId="3171" priority="2490">
      <formula>LEN(TRIM(A1679))=0</formula>
    </cfRule>
  </conditionalFormatting>
  <conditionalFormatting sqref="J1679:L1679">
    <cfRule type="containsBlanks" dxfId="3170" priority="2489">
      <formula>LEN(TRIM(J1679))=0</formula>
    </cfRule>
  </conditionalFormatting>
  <conditionalFormatting sqref="W1678">
    <cfRule type="containsBlanks" dxfId="3169" priority="2488">
      <formula>LEN(TRIM(W1678))=0</formula>
    </cfRule>
  </conditionalFormatting>
  <conditionalFormatting sqref="A1680:I1681 M1680:T1682 AD1680:AI1682 V1682 W1680:Z1680 V1685 V1688 V1691 V1694 V1697 V1700 V1703 V1706 V1709:V1710 V1712:V1713 V1715:V1716 V1718:V1719 V1721:V1722 V1724 Y1681:Z1682 V1727 V1730 V1733 V1736 V1739 A1682:B1682 F1682:I1682">
    <cfRule type="containsBlanks" dxfId="3168" priority="2485">
      <formula>LEN(TRIM(A1680))=0</formula>
    </cfRule>
  </conditionalFormatting>
  <conditionalFormatting sqref="A1680:I1681 M1680:T1681 Y1681:Z1681 AD1680:AI1681 W1680:Z1680">
    <cfRule type="containsBlanks" dxfId="3167" priority="2484">
      <formula>LEN(TRIM(A1680))=0</formula>
    </cfRule>
  </conditionalFormatting>
  <conditionalFormatting sqref="J1680:L1681">
    <cfRule type="containsBlanks" dxfId="3166" priority="2483">
      <formula>LEN(TRIM(J1680))=0</formula>
    </cfRule>
  </conditionalFormatting>
  <conditionalFormatting sqref="J1681:L1681">
    <cfRule type="containsBlanks" dxfId="3165" priority="2482">
      <formula>LEN(TRIM(J1681))=0</formula>
    </cfRule>
  </conditionalFormatting>
  <conditionalFormatting sqref="A1682:B1682 M1682:T1682 AD1682:AI1682 V1682 V1685 V1688 V1691 V1694 V1697 V1700 V1703 V1706 V1709:V1710 V1712:V1713 V1715:V1716 V1718:V1719 V1721:V1722 V1724 Y1682:Z1682 V1727 V1730 V1733 V1736 V1739 F1682:I1682">
    <cfRule type="containsBlanks" dxfId="3164" priority="2481">
      <formula>LEN(TRIM(A1682))=0</formula>
    </cfRule>
  </conditionalFormatting>
  <conditionalFormatting sqref="J1682:L1682">
    <cfRule type="containsBlanks" dxfId="3163" priority="2480">
      <formula>LEN(TRIM(J1682))=0</formula>
    </cfRule>
  </conditionalFormatting>
  <conditionalFormatting sqref="V1681:X1681">
    <cfRule type="containsBlanks" dxfId="3162" priority="2479">
      <formula>LEN(TRIM(V1681))=0</formula>
    </cfRule>
  </conditionalFormatting>
  <conditionalFormatting sqref="A1683:I1684 M1683:T1685 Y1684:Z1685 V1683:Z1683 V1686 V1689 V1692 V1695 V1698 V1701 V1704 V1707 V1711 V1714 V1717 V1720 V1723 AD1683:AI1685 A1685:B1685 F1685:I1685">
    <cfRule type="containsBlanks" dxfId="3161" priority="2476">
      <formula>LEN(TRIM(A1683))=0</formula>
    </cfRule>
  </conditionalFormatting>
  <conditionalFormatting sqref="A1683:I1684 M1683:T1684 Y1684:Z1684 AD1683:AI1684 V1683:Z1683 V1686 V1689 V1692 V1695 V1698 V1701 V1704 V1707 V1711 V1714 V1717 V1720 V1723">
    <cfRule type="containsBlanks" dxfId="3160" priority="2475">
      <formula>LEN(TRIM(A1683))=0</formula>
    </cfRule>
  </conditionalFormatting>
  <conditionalFormatting sqref="J1683:L1684">
    <cfRule type="containsBlanks" dxfId="3159" priority="2474">
      <formula>LEN(TRIM(J1683))=0</formula>
    </cfRule>
  </conditionalFormatting>
  <conditionalFormatting sqref="J1684:L1684">
    <cfRule type="containsBlanks" dxfId="3158" priority="2473">
      <formula>LEN(TRIM(J1684))=0</formula>
    </cfRule>
  </conditionalFormatting>
  <conditionalFormatting sqref="A1685:B1685 M1685:T1685 AD1685:AI1685 Y1685:Z1685 F1685:I1685">
    <cfRule type="containsBlanks" dxfId="3157" priority="2472">
      <formula>LEN(TRIM(A1685))=0</formula>
    </cfRule>
  </conditionalFormatting>
  <conditionalFormatting sqref="J1685:L1685">
    <cfRule type="containsBlanks" dxfId="3156" priority="2471">
      <formula>LEN(TRIM(J1685))=0</formula>
    </cfRule>
  </conditionalFormatting>
  <conditionalFormatting sqref="V1684:X1684 V1687 V1690 V1693 V1696 V1699 V1702 V1705 V1708">
    <cfRule type="containsBlanks" dxfId="3155" priority="2470">
      <formula>LEN(TRIM(V1684))=0</formula>
    </cfRule>
  </conditionalFormatting>
  <conditionalFormatting sqref="A1686:I1687 M1686:T1688 Y1687:Z1688 W1686:Z1686 AD1686:AI1688 A1688:B1688 F1688:I1688">
    <cfRule type="containsBlanks" dxfId="3154" priority="2467">
      <formula>LEN(TRIM(A1686))=0</formula>
    </cfRule>
  </conditionalFormatting>
  <conditionalFormatting sqref="A1686:I1687 M1686:T1687 Y1687:Z1687 AD1686:AI1687 W1686:Z1686">
    <cfRule type="containsBlanks" dxfId="3153" priority="2466">
      <formula>LEN(TRIM(A1686))=0</formula>
    </cfRule>
  </conditionalFormatting>
  <conditionalFormatting sqref="J1686:L1687">
    <cfRule type="containsBlanks" dxfId="3152" priority="2465">
      <formula>LEN(TRIM(J1686))=0</formula>
    </cfRule>
  </conditionalFormatting>
  <conditionalFormatting sqref="J1687:L1687">
    <cfRule type="containsBlanks" dxfId="3151" priority="2464">
      <formula>LEN(TRIM(J1687))=0</formula>
    </cfRule>
  </conditionalFormatting>
  <conditionalFormatting sqref="A1688:B1688 M1688:T1688 AD1688:AI1688 Y1688:Z1688 F1688:I1688">
    <cfRule type="containsBlanks" dxfId="3150" priority="2463">
      <formula>LEN(TRIM(A1688))=0</formula>
    </cfRule>
  </conditionalFormatting>
  <conditionalFormatting sqref="J1688:L1688">
    <cfRule type="containsBlanks" dxfId="3149" priority="2462">
      <formula>LEN(TRIM(J1688))=0</formula>
    </cfRule>
  </conditionalFormatting>
  <conditionalFormatting sqref="W1687:X1687">
    <cfRule type="containsBlanks" dxfId="3148" priority="2461">
      <formula>LEN(TRIM(W1687))=0</formula>
    </cfRule>
  </conditionalFormatting>
  <conditionalFormatting sqref="A1689:I1690 M1689:T1691 Y1690:Z1691 W1689:Z1689 AD1689:AI1691 A1691:B1691 F1691:I1691">
    <cfRule type="containsBlanks" dxfId="3147" priority="2458">
      <formula>LEN(TRIM(A1689))=0</formula>
    </cfRule>
  </conditionalFormatting>
  <conditionalFormatting sqref="A1689:I1690 M1689:T1690 Y1690:Z1690 AD1689:AI1690 W1689:Z1689">
    <cfRule type="containsBlanks" dxfId="3146" priority="2457">
      <formula>LEN(TRIM(A1689))=0</formula>
    </cfRule>
  </conditionalFormatting>
  <conditionalFormatting sqref="J1689:L1690">
    <cfRule type="containsBlanks" dxfId="3145" priority="2456">
      <formula>LEN(TRIM(J1689))=0</formula>
    </cfRule>
  </conditionalFormatting>
  <conditionalFormatting sqref="J1690:L1690">
    <cfRule type="containsBlanks" dxfId="3144" priority="2455">
      <formula>LEN(TRIM(J1690))=0</formula>
    </cfRule>
  </conditionalFormatting>
  <conditionalFormatting sqref="A1691:B1691 M1691:T1691 AD1691:AI1691 Y1691:Z1691 F1691:I1691">
    <cfRule type="containsBlanks" dxfId="3143" priority="2454">
      <formula>LEN(TRIM(A1691))=0</formula>
    </cfRule>
  </conditionalFormatting>
  <conditionalFormatting sqref="J1691:L1691">
    <cfRule type="containsBlanks" dxfId="3142" priority="2453">
      <formula>LEN(TRIM(J1691))=0</formula>
    </cfRule>
  </conditionalFormatting>
  <conditionalFormatting sqref="W1690:X1690">
    <cfRule type="containsBlanks" dxfId="3141" priority="2452">
      <formula>LEN(TRIM(W1690))=0</formula>
    </cfRule>
  </conditionalFormatting>
  <conditionalFormatting sqref="A1692:I1693 M1692:T1694 Y1693:Z1694 W1692:Z1692 AD1692:AI1694 A1694:B1694 F1694:I1694">
    <cfRule type="containsBlanks" dxfId="3140" priority="2449">
      <formula>LEN(TRIM(A1692))=0</formula>
    </cfRule>
  </conditionalFormatting>
  <conditionalFormatting sqref="A1692:I1693 M1692:T1693 Y1693:Z1693 AD1692:AI1693 W1692:Z1692">
    <cfRule type="containsBlanks" dxfId="3139" priority="2448">
      <formula>LEN(TRIM(A1692))=0</formula>
    </cfRule>
  </conditionalFormatting>
  <conditionalFormatting sqref="J1692:L1693">
    <cfRule type="containsBlanks" dxfId="3138" priority="2447">
      <formula>LEN(TRIM(J1692))=0</formula>
    </cfRule>
  </conditionalFormatting>
  <conditionalFormatting sqref="J1693:L1693">
    <cfRule type="containsBlanks" dxfId="3137" priority="2446">
      <formula>LEN(TRIM(J1693))=0</formula>
    </cfRule>
  </conditionalFormatting>
  <conditionalFormatting sqref="A1694:B1694 M1694:T1694 AD1694:AI1694 Y1694:Z1694 F1694:I1694">
    <cfRule type="containsBlanks" dxfId="3136" priority="2445">
      <formula>LEN(TRIM(A1694))=0</formula>
    </cfRule>
  </conditionalFormatting>
  <conditionalFormatting sqref="J1694:L1694">
    <cfRule type="containsBlanks" dxfId="3135" priority="2444">
      <formula>LEN(TRIM(J1694))=0</formula>
    </cfRule>
  </conditionalFormatting>
  <conditionalFormatting sqref="W1693:X1693">
    <cfRule type="containsBlanks" dxfId="3134" priority="2443">
      <formula>LEN(TRIM(W1693))=0</formula>
    </cfRule>
  </conditionalFormatting>
  <conditionalFormatting sqref="A1695:I1696 M1695:T1697 Y1696:Z1697 W1695:Z1695 AD1695:AI1697 A1697:B1697 F1697:I1697">
    <cfRule type="containsBlanks" dxfId="3133" priority="2440">
      <formula>LEN(TRIM(A1695))=0</formula>
    </cfRule>
  </conditionalFormatting>
  <conditionalFormatting sqref="A1695:I1696 M1695:T1696 Y1696:Z1696 AD1695:AI1696 W1695:Z1695">
    <cfRule type="containsBlanks" dxfId="3132" priority="2439">
      <formula>LEN(TRIM(A1695))=0</formula>
    </cfRule>
  </conditionalFormatting>
  <conditionalFormatting sqref="J1695:L1696">
    <cfRule type="containsBlanks" dxfId="3131" priority="2438">
      <formula>LEN(TRIM(J1695))=0</formula>
    </cfRule>
  </conditionalFormatting>
  <conditionalFormatting sqref="J1696:L1696">
    <cfRule type="containsBlanks" dxfId="3130" priority="2437">
      <formula>LEN(TRIM(J1696))=0</formula>
    </cfRule>
  </conditionalFormatting>
  <conditionalFormatting sqref="A1697:B1697 M1697:T1697 AD1697:AI1697 Y1697:Z1697 F1697:I1697">
    <cfRule type="containsBlanks" dxfId="3129" priority="2436">
      <formula>LEN(TRIM(A1697))=0</formula>
    </cfRule>
  </conditionalFormatting>
  <conditionalFormatting sqref="J1697:L1697">
    <cfRule type="containsBlanks" dxfId="3128" priority="2435">
      <formula>LEN(TRIM(J1697))=0</formula>
    </cfRule>
  </conditionalFormatting>
  <conditionalFormatting sqref="W1696:X1696">
    <cfRule type="containsBlanks" dxfId="3127" priority="2434">
      <formula>LEN(TRIM(W1696))=0</formula>
    </cfRule>
  </conditionalFormatting>
  <conditionalFormatting sqref="A1698:I1699 M1698:T1700 Y1699:Z1700 W1698:Z1698 AD1698:AI1700 A1700:B1700 F1700:I1700">
    <cfRule type="containsBlanks" dxfId="3126" priority="2431">
      <formula>LEN(TRIM(A1698))=0</formula>
    </cfRule>
  </conditionalFormatting>
  <conditionalFormatting sqref="A1698:I1699 M1698:T1699 Y1699:Z1699 AD1698:AI1699 W1698:Z1698">
    <cfRule type="containsBlanks" dxfId="3125" priority="2430">
      <formula>LEN(TRIM(A1698))=0</formula>
    </cfRule>
  </conditionalFormatting>
  <conditionalFormatting sqref="J1698:L1699">
    <cfRule type="containsBlanks" dxfId="3124" priority="2429">
      <formula>LEN(TRIM(J1698))=0</formula>
    </cfRule>
  </conditionalFormatting>
  <conditionalFormatting sqref="J1699:L1699">
    <cfRule type="containsBlanks" dxfId="3123" priority="2428">
      <formula>LEN(TRIM(J1699))=0</formula>
    </cfRule>
  </conditionalFormatting>
  <conditionalFormatting sqref="A1700:B1700 M1700:T1700 AD1700:AI1700 Y1700:Z1700 F1700:I1700">
    <cfRule type="containsBlanks" dxfId="3122" priority="2427">
      <formula>LEN(TRIM(A1700))=0</formula>
    </cfRule>
  </conditionalFormatting>
  <conditionalFormatting sqref="J1700:L1700">
    <cfRule type="containsBlanks" dxfId="3121" priority="2426">
      <formula>LEN(TRIM(J1700))=0</formula>
    </cfRule>
  </conditionalFormatting>
  <conditionalFormatting sqref="W1699:X1699">
    <cfRule type="containsBlanks" dxfId="3120" priority="2425">
      <formula>LEN(TRIM(W1699))=0</formula>
    </cfRule>
  </conditionalFormatting>
  <conditionalFormatting sqref="A1701:I1702 M1701:T1703 Y1702:Z1703 W1701:Z1701 AD1701:AI1703 A1703:B1703 F1703:I1703">
    <cfRule type="containsBlanks" dxfId="3119" priority="2422">
      <formula>LEN(TRIM(A1701))=0</formula>
    </cfRule>
  </conditionalFormatting>
  <conditionalFormatting sqref="A1701:I1702 M1701:T1702 Y1702:Z1702 AD1701:AI1702 W1701:Z1701">
    <cfRule type="containsBlanks" dxfId="3118" priority="2421">
      <formula>LEN(TRIM(A1701))=0</formula>
    </cfRule>
  </conditionalFormatting>
  <conditionalFormatting sqref="J1701:L1702">
    <cfRule type="containsBlanks" dxfId="3117" priority="2420">
      <formula>LEN(TRIM(J1701))=0</formula>
    </cfRule>
  </conditionalFormatting>
  <conditionalFormatting sqref="J1702:L1702">
    <cfRule type="containsBlanks" dxfId="3116" priority="2419">
      <formula>LEN(TRIM(J1702))=0</formula>
    </cfRule>
  </conditionalFormatting>
  <conditionalFormatting sqref="A1703:B1703 M1703:T1703 AD1703:AI1703 Y1703:Z1703 F1703:I1703">
    <cfRule type="containsBlanks" dxfId="3115" priority="2418">
      <formula>LEN(TRIM(A1703))=0</formula>
    </cfRule>
  </conditionalFormatting>
  <conditionalFormatting sqref="J1703:L1703">
    <cfRule type="containsBlanks" dxfId="3114" priority="2417">
      <formula>LEN(TRIM(J1703))=0</formula>
    </cfRule>
  </conditionalFormatting>
  <conditionalFormatting sqref="W1702:X1702">
    <cfRule type="containsBlanks" dxfId="3113" priority="2416">
      <formula>LEN(TRIM(W1702))=0</formula>
    </cfRule>
  </conditionalFormatting>
  <conditionalFormatting sqref="A1704:I1705 M1704:T1706 Y1705:Z1706 W1704:Z1704 AD1704:AI1706 A1706:B1706 F1706:I1706">
    <cfRule type="containsBlanks" dxfId="3112" priority="2413">
      <formula>LEN(TRIM(A1704))=0</formula>
    </cfRule>
  </conditionalFormatting>
  <conditionalFormatting sqref="A1704:I1705 M1704:T1705 Y1705:Z1705 AD1704:AI1705 W1704:Z1704">
    <cfRule type="containsBlanks" dxfId="3111" priority="2412">
      <formula>LEN(TRIM(A1704))=0</formula>
    </cfRule>
  </conditionalFormatting>
  <conditionalFormatting sqref="J1704:L1705">
    <cfRule type="containsBlanks" dxfId="3110" priority="2411">
      <formula>LEN(TRIM(J1704))=0</formula>
    </cfRule>
  </conditionalFormatting>
  <conditionalFormatting sqref="J1705:L1705">
    <cfRule type="containsBlanks" dxfId="3109" priority="2410">
      <formula>LEN(TRIM(J1705))=0</formula>
    </cfRule>
  </conditionalFormatting>
  <conditionalFormatting sqref="A1706:B1706 M1706:T1706 AD1706:AI1706 Y1706:Z1706 F1706:I1706">
    <cfRule type="containsBlanks" dxfId="3108" priority="2409">
      <formula>LEN(TRIM(A1706))=0</formula>
    </cfRule>
  </conditionalFormatting>
  <conditionalFormatting sqref="J1706:L1706">
    <cfRule type="containsBlanks" dxfId="3107" priority="2408">
      <formula>LEN(TRIM(J1706))=0</formula>
    </cfRule>
  </conditionalFormatting>
  <conditionalFormatting sqref="W1705:X1705">
    <cfRule type="containsBlanks" dxfId="3106" priority="2407">
      <formula>LEN(TRIM(W1705))=0</formula>
    </cfRule>
  </conditionalFormatting>
  <conditionalFormatting sqref="A1707:I1708 M1707:T1709 Y1708:Z1709 W1707:Z1707 AD1707:AI1709 A1709:B1709 F1709:I1709">
    <cfRule type="containsBlanks" dxfId="3105" priority="2404">
      <formula>LEN(TRIM(A1707))=0</formula>
    </cfRule>
  </conditionalFormatting>
  <conditionalFormatting sqref="A1707:I1708 M1707:T1708 Y1708:Z1708 AD1707:AI1708 W1707:Z1707">
    <cfRule type="containsBlanks" dxfId="3104" priority="2403">
      <formula>LEN(TRIM(A1707))=0</formula>
    </cfRule>
  </conditionalFormatting>
  <conditionalFormatting sqref="J1707:L1708">
    <cfRule type="containsBlanks" dxfId="3103" priority="2402">
      <formula>LEN(TRIM(J1707))=0</formula>
    </cfRule>
  </conditionalFormatting>
  <conditionalFormatting sqref="J1708:L1708">
    <cfRule type="containsBlanks" dxfId="3102" priority="2401">
      <formula>LEN(TRIM(J1708))=0</formula>
    </cfRule>
  </conditionalFormatting>
  <conditionalFormatting sqref="A1709:B1709 M1709:T1709 AD1709:AI1709 Y1709:Z1709 F1709:I1709">
    <cfRule type="containsBlanks" dxfId="3101" priority="2400">
      <formula>LEN(TRIM(A1709))=0</formula>
    </cfRule>
  </conditionalFormatting>
  <conditionalFormatting sqref="J1709:L1709">
    <cfRule type="containsBlanks" dxfId="3100" priority="2399">
      <formula>LEN(TRIM(J1709))=0</formula>
    </cfRule>
  </conditionalFormatting>
  <conditionalFormatting sqref="W1708:X1708">
    <cfRule type="containsBlanks" dxfId="3099" priority="2398">
      <formula>LEN(TRIM(W1708))=0</formula>
    </cfRule>
  </conditionalFormatting>
  <conditionalFormatting sqref="A1710:I1711 M1710:T1712 Y1711:Z1712 W1710:Z1710 AD1710:AI1712 A1712:B1712 F1712:I1712">
    <cfRule type="containsBlanks" dxfId="3098" priority="2395">
      <formula>LEN(TRIM(A1710))=0</formula>
    </cfRule>
  </conditionalFormatting>
  <conditionalFormatting sqref="A1710:I1711 M1710:T1711 Y1711:Z1711 AD1710:AI1711 W1710:Z1710">
    <cfRule type="containsBlanks" dxfId="3097" priority="2394">
      <formula>LEN(TRIM(A1710))=0</formula>
    </cfRule>
  </conditionalFormatting>
  <conditionalFormatting sqref="J1710:L1711">
    <cfRule type="containsBlanks" dxfId="3096" priority="2393">
      <formula>LEN(TRIM(J1710))=0</formula>
    </cfRule>
  </conditionalFormatting>
  <conditionalFormatting sqref="J1711:L1711">
    <cfRule type="containsBlanks" dxfId="3095" priority="2392">
      <formula>LEN(TRIM(J1711))=0</formula>
    </cfRule>
  </conditionalFormatting>
  <conditionalFormatting sqref="A1712:B1712 M1712:T1712 AD1712:AI1712 Y1712:Z1712 F1712:I1712">
    <cfRule type="containsBlanks" dxfId="3094" priority="2391">
      <formula>LEN(TRIM(A1712))=0</formula>
    </cfRule>
  </conditionalFormatting>
  <conditionalFormatting sqref="J1712:L1712">
    <cfRule type="containsBlanks" dxfId="3093" priority="2390">
      <formula>LEN(TRIM(J1712))=0</formula>
    </cfRule>
  </conditionalFormatting>
  <conditionalFormatting sqref="W1711:X1711">
    <cfRule type="containsBlanks" dxfId="3092" priority="2389">
      <formula>LEN(TRIM(W1711))=0</formula>
    </cfRule>
  </conditionalFormatting>
  <conditionalFormatting sqref="A1713:I1714 M1713:T1715 W1713:Z1713 Y1714:Z1715 AD1713:AI1715 A1715:B1715 F1715:I1715">
    <cfRule type="containsBlanks" dxfId="3091" priority="2386">
      <formula>LEN(TRIM(A1713))=0</formula>
    </cfRule>
  </conditionalFormatting>
  <conditionalFormatting sqref="A1713:I1714 M1713:T1714 Y1714:Z1714 AD1713:AI1714 W1713:Z1713">
    <cfRule type="containsBlanks" dxfId="3090" priority="2385">
      <formula>LEN(TRIM(A1713))=0</formula>
    </cfRule>
  </conditionalFormatting>
  <conditionalFormatting sqref="J1713:L1714">
    <cfRule type="containsBlanks" dxfId="3089" priority="2384">
      <formula>LEN(TRIM(J1713))=0</formula>
    </cfRule>
  </conditionalFormatting>
  <conditionalFormatting sqref="J1714:L1714">
    <cfRule type="containsBlanks" dxfId="3088" priority="2383">
      <formula>LEN(TRIM(J1714))=0</formula>
    </cfRule>
  </conditionalFormatting>
  <conditionalFormatting sqref="A1715:B1715 M1715:T1715 AD1715:AI1715 Y1715:Z1715 F1715:I1715">
    <cfRule type="containsBlanks" dxfId="3087" priority="2382">
      <formula>LEN(TRIM(A1715))=0</formula>
    </cfRule>
  </conditionalFormatting>
  <conditionalFormatting sqref="J1715:L1715">
    <cfRule type="containsBlanks" dxfId="3086" priority="2381">
      <formula>LEN(TRIM(J1715))=0</formula>
    </cfRule>
  </conditionalFormatting>
  <conditionalFormatting sqref="W1714:X1714">
    <cfRule type="containsBlanks" dxfId="3085" priority="2380">
      <formula>LEN(TRIM(W1714))=0</formula>
    </cfRule>
  </conditionalFormatting>
  <conditionalFormatting sqref="A1716:I1717 M1716:T1718 Y1717:Z1718 W1716:Z1716 AD1716:AI1718 A1718:B1718 F1718:I1718">
    <cfRule type="containsBlanks" dxfId="3084" priority="2377">
      <formula>LEN(TRIM(A1716))=0</formula>
    </cfRule>
  </conditionalFormatting>
  <conditionalFormatting sqref="A1716:I1717 M1716:T1717 Y1717:Z1717 AD1716:AI1717 W1716:Z1716">
    <cfRule type="containsBlanks" dxfId="3083" priority="2376">
      <formula>LEN(TRIM(A1716))=0</formula>
    </cfRule>
  </conditionalFormatting>
  <conditionalFormatting sqref="J1716:L1717">
    <cfRule type="containsBlanks" dxfId="3082" priority="2375">
      <formula>LEN(TRIM(J1716))=0</formula>
    </cfRule>
  </conditionalFormatting>
  <conditionalFormatting sqref="J1717:L1717">
    <cfRule type="containsBlanks" dxfId="3081" priority="2374">
      <formula>LEN(TRIM(J1717))=0</formula>
    </cfRule>
  </conditionalFormatting>
  <conditionalFormatting sqref="A1718:B1718 M1718:T1718 AD1718:AI1718 Y1718:Z1718 F1718:I1718">
    <cfRule type="containsBlanks" dxfId="3080" priority="2373">
      <formula>LEN(TRIM(A1718))=0</formula>
    </cfRule>
  </conditionalFormatting>
  <conditionalFormatting sqref="J1718:L1718">
    <cfRule type="containsBlanks" dxfId="3079" priority="2372">
      <formula>LEN(TRIM(J1718))=0</formula>
    </cfRule>
  </conditionalFormatting>
  <conditionalFormatting sqref="W1717:X1717">
    <cfRule type="containsBlanks" dxfId="3078" priority="2371">
      <formula>LEN(TRIM(W1717))=0</formula>
    </cfRule>
  </conditionalFormatting>
  <conditionalFormatting sqref="A1719:I1720 M1719:T1721 Y1720:Z1721 W1719:Z1719 AD1719:AI1721 A1721:B1721 F1721:I1721">
    <cfRule type="containsBlanks" dxfId="3077" priority="2368">
      <formula>LEN(TRIM(A1719))=0</formula>
    </cfRule>
  </conditionalFormatting>
  <conditionalFormatting sqref="A1719:I1720 M1719:T1720 Y1720:Z1720 AD1719:AI1720 W1719:Z1719">
    <cfRule type="containsBlanks" dxfId="3076" priority="2367">
      <formula>LEN(TRIM(A1719))=0</formula>
    </cfRule>
  </conditionalFormatting>
  <conditionalFormatting sqref="J1719:L1720">
    <cfRule type="containsBlanks" dxfId="3075" priority="2366">
      <formula>LEN(TRIM(J1719))=0</formula>
    </cfRule>
  </conditionalFormatting>
  <conditionalFormatting sqref="J1720:L1720">
    <cfRule type="containsBlanks" dxfId="3074" priority="2365">
      <formula>LEN(TRIM(J1720))=0</formula>
    </cfRule>
  </conditionalFormatting>
  <conditionalFormatting sqref="A1721:B1721 M1721:T1721 AD1721:AI1721 Y1721:Z1721 F1721:I1721">
    <cfRule type="containsBlanks" dxfId="3073" priority="2364">
      <formula>LEN(TRIM(A1721))=0</formula>
    </cfRule>
  </conditionalFormatting>
  <conditionalFormatting sqref="J1721:L1721">
    <cfRule type="containsBlanks" dxfId="3072" priority="2363">
      <formula>LEN(TRIM(J1721))=0</formula>
    </cfRule>
  </conditionalFormatting>
  <conditionalFormatting sqref="W1720:X1720">
    <cfRule type="containsBlanks" dxfId="3071" priority="2362">
      <formula>LEN(TRIM(W1720))=0</formula>
    </cfRule>
  </conditionalFormatting>
  <conditionalFormatting sqref="A1722:I1723 M1722:T1724 Y1723:Z1724 W1722:Z1722 AD1722:AI1724 A1724:B1724 F1724:I1724">
    <cfRule type="containsBlanks" dxfId="3070" priority="2359">
      <formula>LEN(TRIM(A1722))=0</formula>
    </cfRule>
  </conditionalFormatting>
  <conditionalFormatting sqref="A1722:I1723 M1722:T1723 Y1723:Z1723 AD1722:AI1723 W1722:Z1722">
    <cfRule type="containsBlanks" dxfId="3069" priority="2358">
      <formula>LEN(TRIM(A1722))=0</formula>
    </cfRule>
  </conditionalFormatting>
  <conditionalFormatting sqref="J1722:L1723">
    <cfRule type="containsBlanks" dxfId="3068" priority="2357">
      <formula>LEN(TRIM(J1722))=0</formula>
    </cfRule>
  </conditionalFormatting>
  <conditionalFormatting sqref="J1723:L1723">
    <cfRule type="containsBlanks" dxfId="3067" priority="2356">
      <formula>LEN(TRIM(J1723))=0</formula>
    </cfRule>
  </conditionalFormatting>
  <conditionalFormatting sqref="A1724:B1724 M1724:T1724 AD1724:AI1724 Y1724:Z1724 F1724:I1724">
    <cfRule type="containsBlanks" dxfId="3066" priority="2355">
      <formula>LEN(TRIM(A1724))=0</formula>
    </cfRule>
  </conditionalFormatting>
  <conditionalFormatting sqref="J1724:L1724">
    <cfRule type="containsBlanks" dxfId="3065" priority="2354">
      <formula>LEN(TRIM(J1724))=0</formula>
    </cfRule>
  </conditionalFormatting>
  <conditionalFormatting sqref="W1723:X1723">
    <cfRule type="containsBlanks" dxfId="3064" priority="2353">
      <formula>LEN(TRIM(W1723))=0</formula>
    </cfRule>
  </conditionalFormatting>
  <conditionalFormatting sqref="A1725:I1726 M1725:Z1725 M1727:T1727 M1726:U1726 AD1725:AI1727 Y1726:Z1727 U1729 U1732 U1735 U1738 U1741 U1728:W1728 U1731:W1731 U1734:W1734 U1737:W1737 U1740:W1740 A1727:B1727 F1727:I1727">
    <cfRule type="containsBlanks" dxfId="3063" priority="2350">
      <formula>LEN(TRIM(A1725))=0</formula>
    </cfRule>
  </conditionalFormatting>
  <conditionalFormatting sqref="A1725:I1726 M1725:Z1725 M1726:U1726 Y1726:Z1726 AD1725:AI1726 U1729 U1732 U1735 U1738 U1741 U1728:W1728 U1731:W1731 U1734:W1734 U1737:W1737 U1740:W1740">
    <cfRule type="containsBlanks" dxfId="3062" priority="2349">
      <formula>LEN(TRIM(A1725))=0</formula>
    </cfRule>
  </conditionalFormatting>
  <conditionalFormatting sqref="J1725:L1726">
    <cfRule type="containsBlanks" dxfId="3061" priority="2348">
      <formula>LEN(TRIM(J1725))=0</formula>
    </cfRule>
  </conditionalFormatting>
  <conditionalFormatting sqref="J1726:L1726">
    <cfRule type="containsBlanks" dxfId="3060" priority="2347">
      <formula>LEN(TRIM(J1726))=0</formula>
    </cfRule>
  </conditionalFormatting>
  <conditionalFormatting sqref="A1727:B1727 M1727:T1727 AD1727:AI1727 Y1727:Z1727 F1727:I1727">
    <cfRule type="containsBlanks" dxfId="3059" priority="2346">
      <formula>LEN(TRIM(A1727))=0</formula>
    </cfRule>
  </conditionalFormatting>
  <conditionalFormatting sqref="J1727:L1727">
    <cfRule type="containsBlanks" dxfId="3058" priority="2345">
      <formula>LEN(TRIM(J1727))=0</formula>
    </cfRule>
  </conditionalFormatting>
  <conditionalFormatting sqref="V1726:X1726 V1729:W1729 V1732:W1732 V1735:W1735 V1738:W1738 V1741:W1741">
    <cfRule type="containsBlanks" dxfId="3057" priority="2344">
      <formula>LEN(TRIM(V1726))=0</formula>
    </cfRule>
  </conditionalFormatting>
  <conditionalFormatting sqref="A1728:I1729 M1728:T1730 AD1728:AI1730 Y1729:Z1730 X1728:Z1728 A1730:B1730 F1730:I1730">
    <cfRule type="containsBlanks" dxfId="3056" priority="2341">
      <formula>LEN(TRIM(A1728))=0</formula>
    </cfRule>
  </conditionalFormatting>
  <conditionalFormatting sqref="A1728:I1729 M1728:T1729 Y1729:Z1729 AD1728:AI1729 X1728:Z1728">
    <cfRule type="containsBlanks" dxfId="3055" priority="2340">
      <formula>LEN(TRIM(A1728))=0</formula>
    </cfRule>
  </conditionalFormatting>
  <conditionalFormatting sqref="J1728:L1729">
    <cfRule type="containsBlanks" dxfId="3054" priority="2339">
      <formula>LEN(TRIM(J1728))=0</formula>
    </cfRule>
  </conditionalFormatting>
  <conditionalFormatting sqref="J1729:L1729">
    <cfRule type="containsBlanks" dxfId="3053" priority="2338">
      <formula>LEN(TRIM(J1729))=0</formula>
    </cfRule>
  </conditionalFormatting>
  <conditionalFormatting sqref="A1730:B1730 M1730:T1730 AD1730:AI1730 Y1730:Z1730 F1730:I1730">
    <cfRule type="containsBlanks" dxfId="3052" priority="2337">
      <formula>LEN(TRIM(A1730))=0</formula>
    </cfRule>
  </conditionalFormatting>
  <conditionalFormatting sqref="J1730:L1730">
    <cfRule type="containsBlanks" dxfId="3051" priority="2336">
      <formula>LEN(TRIM(J1730))=0</formula>
    </cfRule>
  </conditionalFormatting>
  <conditionalFormatting sqref="X1729">
    <cfRule type="containsBlanks" dxfId="3050" priority="2335">
      <formula>LEN(TRIM(X1729))=0</formula>
    </cfRule>
  </conditionalFormatting>
  <conditionalFormatting sqref="A1731:I1732 M1731:T1733 AD1731:AI1733 Y1732:Z1733 X1731:Z1731 A1733:B1733 F1733:I1733">
    <cfRule type="containsBlanks" dxfId="3049" priority="2332">
      <formula>LEN(TRIM(A1731))=0</formula>
    </cfRule>
  </conditionalFormatting>
  <conditionalFormatting sqref="A1731:I1732 M1731:T1732 Y1732:Z1732 AD1731:AI1732 X1731:Z1731">
    <cfRule type="containsBlanks" dxfId="3048" priority="2331">
      <formula>LEN(TRIM(A1731))=0</formula>
    </cfRule>
  </conditionalFormatting>
  <conditionalFormatting sqref="J1731:L1732">
    <cfRule type="containsBlanks" dxfId="3047" priority="2330">
      <formula>LEN(TRIM(J1731))=0</formula>
    </cfRule>
  </conditionalFormatting>
  <conditionalFormatting sqref="J1732:L1732">
    <cfRule type="containsBlanks" dxfId="3046" priority="2329">
      <formula>LEN(TRIM(J1732))=0</formula>
    </cfRule>
  </conditionalFormatting>
  <conditionalFormatting sqref="A1733:B1733 M1733:T1733 AD1733:AI1733 Y1733:Z1733 F1733:I1733">
    <cfRule type="containsBlanks" dxfId="3045" priority="2328">
      <formula>LEN(TRIM(A1733))=0</formula>
    </cfRule>
  </conditionalFormatting>
  <conditionalFormatting sqref="J1733:L1733">
    <cfRule type="containsBlanks" dxfId="3044" priority="2327">
      <formula>LEN(TRIM(J1733))=0</formula>
    </cfRule>
  </conditionalFormatting>
  <conditionalFormatting sqref="X1732">
    <cfRule type="containsBlanks" dxfId="3043" priority="2326">
      <formula>LEN(TRIM(X1732))=0</formula>
    </cfRule>
  </conditionalFormatting>
  <conditionalFormatting sqref="A1734:I1735 M1734:T1736 AD1734:AI1736 Y1735:Z1736 X1734:Z1734 A1736:B1736 F1736:I1736">
    <cfRule type="containsBlanks" dxfId="3042" priority="2323">
      <formula>LEN(TRIM(A1734))=0</formula>
    </cfRule>
  </conditionalFormatting>
  <conditionalFormatting sqref="A1734:I1735 M1734:T1735 Y1735:Z1735 AD1734:AI1735 X1734:Z1734">
    <cfRule type="containsBlanks" dxfId="3041" priority="2322">
      <formula>LEN(TRIM(A1734))=0</formula>
    </cfRule>
  </conditionalFormatting>
  <conditionalFormatting sqref="J1734:L1735">
    <cfRule type="containsBlanks" dxfId="3040" priority="2321">
      <formula>LEN(TRIM(J1734))=0</formula>
    </cfRule>
  </conditionalFormatting>
  <conditionalFormatting sqref="J1735:L1735">
    <cfRule type="containsBlanks" dxfId="3039" priority="2320">
      <formula>LEN(TRIM(J1735))=0</formula>
    </cfRule>
  </conditionalFormatting>
  <conditionalFormatting sqref="A1736:B1736 M1736:T1736 AD1736:AI1736 Y1736:Z1736 F1736:I1736">
    <cfRule type="containsBlanks" dxfId="3038" priority="2319">
      <formula>LEN(TRIM(A1736))=0</formula>
    </cfRule>
  </conditionalFormatting>
  <conditionalFormatting sqref="J1736:L1736">
    <cfRule type="containsBlanks" dxfId="3037" priority="2318">
      <formula>LEN(TRIM(J1736))=0</formula>
    </cfRule>
  </conditionalFormatting>
  <conditionalFormatting sqref="X1735">
    <cfRule type="containsBlanks" dxfId="3036" priority="2317">
      <formula>LEN(TRIM(X1735))=0</formula>
    </cfRule>
  </conditionalFormatting>
  <conditionalFormatting sqref="C1539:C1540 C1542:C1543 C1545:C1546 C1548:C1549 C1551:C1553 C1555:C1556 C1558:C1559 C1561:C1562 C1564:C1566 C1568:C1569 C1571:C1572 C1574:C1575 C1577:C1578 C1580:C1581 C1583:C1584">
    <cfRule type="duplicateValues" dxfId="3035" priority="5075"/>
  </conditionalFormatting>
  <conditionalFormatting sqref="D1539:D1540 D1542:D1543 D1545:D1546 D1548:D1549 D1551:D1553 D1555:D1556 D1558:D1559 D1561:D1562 D1564:D1566 D1568:D1569 D1571:D1572 D1574:D1575 D1577:D1578 D1580:D1581 D1583:D1584">
    <cfRule type="duplicateValues" dxfId="3034" priority="5077"/>
  </conditionalFormatting>
  <conditionalFormatting sqref="E1539:E1540 E1542:E1543 E1545:E1546 E1548:E1549 E1551:E1553 E1555:E1556 E1558:E1559 E1561:E1562 E1564:E1566 E1568:E1569 E1571:E1572 E1574:E1575 E1577:E1578 E1580:E1581 E1583:E1584">
    <cfRule type="duplicateValues" dxfId="3033" priority="5079"/>
  </conditionalFormatting>
  <conditionalFormatting sqref="AB1586:AB1588 AC1587:AC1588 AA1587:AA1588">
    <cfRule type="containsBlanks" dxfId="3032" priority="2314">
      <formula>LEN(TRIM(AA1586))=0</formula>
    </cfRule>
  </conditionalFormatting>
  <conditionalFormatting sqref="AC1586:AC1588">
    <cfRule type="containsBlanks" dxfId="3031" priority="2313">
      <formula>LEN(TRIM(AC1586))=0</formula>
    </cfRule>
  </conditionalFormatting>
  <conditionalFormatting sqref="AC1586:AC1588">
    <cfRule type="containsBlanks" dxfId="3030" priority="2312">
      <formula>LEN(TRIM(AC1586))=0</formula>
    </cfRule>
  </conditionalFormatting>
  <conditionalFormatting sqref="AC1586">
    <cfRule type="containsBlanks" dxfId="3029" priority="2311">
      <formula>LEN(TRIM(AC1586))=0</formula>
    </cfRule>
  </conditionalFormatting>
  <conditionalFormatting sqref="AA1586">
    <cfRule type="containsBlanks" dxfId="3028" priority="2310">
      <formula>LEN(TRIM(AA1586))=0</formula>
    </cfRule>
  </conditionalFormatting>
  <conditionalFormatting sqref="AC1589:AC1590 AC1592">
    <cfRule type="containsBlanks" dxfId="3027" priority="2309">
      <formula>LEN(TRIM(AC1589))=0</formula>
    </cfRule>
  </conditionalFormatting>
  <conditionalFormatting sqref="AC1589:AC1590 AC1592">
    <cfRule type="containsBlanks" dxfId="3026" priority="2308">
      <formula>LEN(TRIM(AC1589))=0</formula>
    </cfRule>
  </conditionalFormatting>
  <conditionalFormatting sqref="AA1590 AC1590 AB1589:AB1590 AA1591:AC1592">
    <cfRule type="containsBlanks" dxfId="3025" priority="2307">
      <formula>LEN(TRIM(AA1589))=0</formula>
    </cfRule>
  </conditionalFormatting>
  <conditionalFormatting sqref="AC1591">
    <cfRule type="containsBlanks" dxfId="3024" priority="2306">
      <formula>LEN(TRIM(AC1591))=0</formula>
    </cfRule>
  </conditionalFormatting>
  <conditionalFormatting sqref="AC1589">
    <cfRule type="containsBlanks" dxfId="3023" priority="2305">
      <formula>LEN(TRIM(AC1589))=0</formula>
    </cfRule>
  </conditionalFormatting>
  <conditionalFormatting sqref="AA1589">
    <cfRule type="containsBlanks" dxfId="3022" priority="2304">
      <formula>LEN(TRIM(AA1589))=0</formula>
    </cfRule>
  </conditionalFormatting>
  <conditionalFormatting sqref="AC1591">
    <cfRule type="containsBlanks" dxfId="3021" priority="2303">
      <formula>LEN(TRIM(AC1591))=0</formula>
    </cfRule>
  </conditionalFormatting>
  <conditionalFormatting sqref="AC1594:AC1595 AA1594:AA1595 AC1597:AC1598 AA1597:AA1598 AC1600:AC1601 AA1600:AA1601 AB1593:AB1601">
    <cfRule type="containsBlanks" dxfId="3020" priority="2302">
      <formula>LEN(TRIM(AA1593))=0</formula>
    </cfRule>
  </conditionalFormatting>
  <conditionalFormatting sqref="AC1593:AC1601">
    <cfRule type="containsBlanks" dxfId="3019" priority="2301">
      <formula>LEN(TRIM(AC1593))=0</formula>
    </cfRule>
  </conditionalFormatting>
  <conditionalFormatting sqref="AC1593:AC1601">
    <cfRule type="containsBlanks" dxfId="3018" priority="2300">
      <formula>LEN(TRIM(AC1593))=0</formula>
    </cfRule>
  </conditionalFormatting>
  <conditionalFormatting sqref="AC1593">
    <cfRule type="containsBlanks" dxfId="3017" priority="2299">
      <formula>LEN(TRIM(AC1593))=0</formula>
    </cfRule>
  </conditionalFormatting>
  <conditionalFormatting sqref="AA1593">
    <cfRule type="containsBlanks" dxfId="3016" priority="2298">
      <formula>LEN(TRIM(AA1593))=0</formula>
    </cfRule>
  </conditionalFormatting>
  <conditionalFormatting sqref="AC1596">
    <cfRule type="containsBlanks" dxfId="3015" priority="2297">
      <formula>LEN(TRIM(AC1596))=0</formula>
    </cfRule>
  </conditionalFormatting>
  <conditionalFormatting sqref="AA1596">
    <cfRule type="containsBlanks" dxfId="3014" priority="2296">
      <formula>LEN(TRIM(AA1596))=0</formula>
    </cfRule>
  </conditionalFormatting>
  <conditionalFormatting sqref="AC1599">
    <cfRule type="containsBlanks" dxfId="3013" priority="2295">
      <formula>LEN(TRIM(AC1599))=0</formula>
    </cfRule>
  </conditionalFormatting>
  <conditionalFormatting sqref="AA1599">
    <cfRule type="containsBlanks" dxfId="3012" priority="2294">
      <formula>LEN(TRIM(AA1599))=0</formula>
    </cfRule>
  </conditionalFormatting>
  <conditionalFormatting sqref="AC1602:AC1603 AC1605">
    <cfRule type="containsBlanks" dxfId="3011" priority="2293">
      <formula>LEN(TRIM(AC1602))=0</formula>
    </cfRule>
  </conditionalFormatting>
  <conditionalFormatting sqref="AC1602:AC1603 AC1605">
    <cfRule type="containsBlanks" dxfId="3010" priority="2292">
      <formula>LEN(TRIM(AC1602))=0</formula>
    </cfRule>
  </conditionalFormatting>
  <conditionalFormatting sqref="AA1603 AC1603 AB1602:AB1603 AA1604:AC1605">
    <cfRule type="containsBlanks" dxfId="3009" priority="2291">
      <formula>LEN(TRIM(AA1602))=0</formula>
    </cfRule>
  </conditionalFormatting>
  <conditionalFormatting sqref="AC1604">
    <cfRule type="containsBlanks" dxfId="3008" priority="2290">
      <formula>LEN(TRIM(AC1604))=0</formula>
    </cfRule>
  </conditionalFormatting>
  <conditionalFormatting sqref="AC1602">
    <cfRule type="containsBlanks" dxfId="3007" priority="2289">
      <formula>LEN(TRIM(AC1602))=0</formula>
    </cfRule>
  </conditionalFormatting>
  <conditionalFormatting sqref="AA1602">
    <cfRule type="containsBlanks" dxfId="3006" priority="2288">
      <formula>LEN(TRIM(AA1602))=0</formula>
    </cfRule>
  </conditionalFormatting>
  <conditionalFormatting sqref="AC1604">
    <cfRule type="containsBlanks" dxfId="3005" priority="2287">
      <formula>LEN(TRIM(AC1604))=0</formula>
    </cfRule>
  </conditionalFormatting>
  <conditionalFormatting sqref="AC1607:AC1608 AA1607:AA1608 AB1606:AB1608">
    <cfRule type="containsBlanks" dxfId="3004" priority="2286">
      <formula>LEN(TRIM(AA1606))=0</formula>
    </cfRule>
  </conditionalFormatting>
  <conditionalFormatting sqref="AC1606:AC1608">
    <cfRule type="containsBlanks" dxfId="3003" priority="2285">
      <formula>LEN(TRIM(AC1606))=0</formula>
    </cfRule>
  </conditionalFormatting>
  <conditionalFormatting sqref="AC1606:AC1608">
    <cfRule type="containsBlanks" dxfId="3002" priority="2284">
      <formula>LEN(TRIM(AC1606))=0</formula>
    </cfRule>
  </conditionalFormatting>
  <conditionalFormatting sqref="AC1606">
    <cfRule type="containsBlanks" dxfId="3001" priority="2283">
      <formula>LEN(TRIM(AC1606))=0</formula>
    </cfRule>
  </conditionalFormatting>
  <conditionalFormatting sqref="AA1606">
    <cfRule type="containsBlanks" dxfId="3000" priority="2282">
      <formula>LEN(TRIM(AA1606))=0</formula>
    </cfRule>
  </conditionalFormatting>
  <conditionalFormatting sqref="AC1610:AC1611 AA1610:AA1611 AB1609:AB1611">
    <cfRule type="containsBlanks" dxfId="2999" priority="2281">
      <formula>LEN(TRIM(AA1609))=0</formula>
    </cfRule>
  </conditionalFormatting>
  <conditionalFormatting sqref="AC1609:AC1611">
    <cfRule type="containsBlanks" dxfId="2998" priority="2280">
      <formula>LEN(TRIM(AC1609))=0</formula>
    </cfRule>
  </conditionalFormatting>
  <conditionalFormatting sqref="AC1609:AC1611">
    <cfRule type="containsBlanks" dxfId="2997" priority="2279">
      <formula>LEN(TRIM(AC1609))=0</formula>
    </cfRule>
  </conditionalFormatting>
  <conditionalFormatting sqref="AC1609">
    <cfRule type="containsBlanks" dxfId="2996" priority="2278">
      <formula>LEN(TRIM(AC1609))=0</formula>
    </cfRule>
  </conditionalFormatting>
  <conditionalFormatting sqref="AA1609">
    <cfRule type="containsBlanks" dxfId="2995" priority="2277">
      <formula>LEN(TRIM(AA1609))=0</formula>
    </cfRule>
  </conditionalFormatting>
  <conditionalFormatting sqref="AC1613:AC1614 AA1613:AA1614 AB1612:AB1614">
    <cfRule type="containsBlanks" dxfId="2994" priority="2276">
      <formula>LEN(TRIM(AA1612))=0</formula>
    </cfRule>
  </conditionalFormatting>
  <conditionalFormatting sqref="AC1612:AC1614">
    <cfRule type="containsBlanks" dxfId="2993" priority="2275">
      <formula>LEN(TRIM(AC1612))=0</formula>
    </cfRule>
  </conditionalFormatting>
  <conditionalFormatting sqref="AC1612:AC1614">
    <cfRule type="containsBlanks" dxfId="2992" priority="2274">
      <formula>LEN(TRIM(AC1612))=0</formula>
    </cfRule>
  </conditionalFormatting>
  <conditionalFormatting sqref="AC1612">
    <cfRule type="containsBlanks" dxfId="2991" priority="2273">
      <formula>LEN(TRIM(AC1612))=0</formula>
    </cfRule>
  </conditionalFormatting>
  <conditionalFormatting sqref="AA1612">
    <cfRule type="containsBlanks" dxfId="2990" priority="2272">
      <formula>LEN(TRIM(AA1612))=0</formula>
    </cfRule>
  </conditionalFormatting>
  <conditionalFormatting sqref="AC1616:AC1617 AA1616:AA1617 AB1615:AB1617">
    <cfRule type="containsBlanks" dxfId="2989" priority="2271">
      <formula>LEN(TRIM(AA1615))=0</formula>
    </cfRule>
  </conditionalFormatting>
  <conditionalFormatting sqref="AC1615:AC1617">
    <cfRule type="containsBlanks" dxfId="2988" priority="2270">
      <formula>LEN(TRIM(AC1615))=0</formula>
    </cfRule>
  </conditionalFormatting>
  <conditionalFormatting sqref="AC1615:AC1617">
    <cfRule type="containsBlanks" dxfId="2987" priority="2269">
      <formula>LEN(TRIM(AC1615))=0</formula>
    </cfRule>
  </conditionalFormatting>
  <conditionalFormatting sqref="AC1615">
    <cfRule type="containsBlanks" dxfId="2986" priority="2268">
      <formula>LEN(TRIM(AC1615))=0</formula>
    </cfRule>
  </conditionalFormatting>
  <conditionalFormatting sqref="AA1615">
    <cfRule type="containsBlanks" dxfId="2985" priority="2267">
      <formula>LEN(TRIM(AA1615))=0</formula>
    </cfRule>
  </conditionalFormatting>
  <conditionalFormatting sqref="AC1619:AC1620 AA1619:AA1620 AB1618:AB1620">
    <cfRule type="containsBlanks" dxfId="2984" priority="2266">
      <formula>LEN(TRIM(AA1618))=0</formula>
    </cfRule>
  </conditionalFormatting>
  <conditionalFormatting sqref="AC1618:AC1620">
    <cfRule type="containsBlanks" dxfId="2983" priority="2265">
      <formula>LEN(TRIM(AC1618))=0</formula>
    </cfRule>
  </conditionalFormatting>
  <conditionalFormatting sqref="AC1618:AC1620">
    <cfRule type="containsBlanks" dxfId="2982" priority="2264">
      <formula>LEN(TRIM(AC1618))=0</formula>
    </cfRule>
  </conditionalFormatting>
  <conditionalFormatting sqref="AC1618">
    <cfRule type="containsBlanks" dxfId="2981" priority="2263">
      <formula>LEN(TRIM(AC1618))=0</formula>
    </cfRule>
  </conditionalFormatting>
  <conditionalFormatting sqref="AA1618">
    <cfRule type="containsBlanks" dxfId="2980" priority="2262">
      <formula>LEN(TRIM(AA1618))=0</formula>
    </cfRule>
  </conditionalFormatting>
  <conditionalFormatting sqref="AC1621:AC1622 AC1624:AC1626 AC1628">
    <cfRule type="containsBlanks" dxfId="2979" priority="2261">
      <formula>LEN(TRIM(AC1621))=0</formula>
    </cfRule>
  </conditionalFormatting>
  <conditionalFormatting sqref="AC1621:AC1622 AC1624:AC1626 AC1628">
    <cfRule type="containsBlanks" dxfId="2978" priority="2260">
      <formula>LEN(TRIM(AC1621))=0</formula>
    </cfRule>
  </conditionalFormatting>
  <conditionalFormatting sqref="AA1622 AC1622 AB1621:AB1622 AA1623:AC1624">
    <cfRule type="containsBlanks" dxfId="2977" priority="2259">
      <formula>LEN(TRIM(AA1621))=0</formula>
    </cfRule>
  </conditionalFormatting>
  <conditionalFormatting sqref="AC1623">
    <cfRule type="containsBlanks" dxfId="2976" priority="2258">
      <formula>LEN(TRIM(AC1623))=0</formula>
    </cfRule>
  </conditionalFormatting>
  <conditionalFormatting sqref="AC1621">
    <cfRule type="containsBlanks" dxfId="2975" priority="2257">
      <formula>LEN(TRIM(AC1621))=0</formula>
    </cfRule>
  </conditionalFormatting>
  <conditionalFormatting sqref="AA1621">
    <cfRule type="containsBlanks" dxfId="2974" priority="2256">
      <formula>LEN(TRIM(AA1621))=0</formula>
    </cfRule>
  </conditionalFormatting>
  <conditionalFormatting sqref="AC1623">
    <cfRule type="containsBlanks" dxfId="2973" priority="2255">
      <formula>LEN(TRIM(AC1623))=0</formula>
    </cfRule>
  </conditionalFormatting>
  <conditionalFormatting sqref="AA1626 AC1626 AB1625:AB1626 AA1627:AC1628">
    <cfRule type="containsBlanks" dxfId="2972" priority="2254">
      <formula>LEN(TRIM(AA1625))=0</formula>
    </cfRule>
  </conditionalFormatting>
  <conditionalFormatting sqref="AC1627">
    <cfRule type="containsBlanks" dxfId="2971" priority="2253">
      <formula>LEN(TRIM(AC1627))=0</formula>
    </cfRule>
  </conditionalFormatting>
  <conditionalFormatting sqref="AC1625">
    <cfRule type="containsBlanks" dxfId="2970" priority="2252">
      <formula>LEN(TRIM(AC1625))=0</formula>
    </cfRule>
  </conditionalFormatting>
  <conditionalFormatting sqref="AA1625">
    <cfRule type="containsBlanks" dxfId="2969" priority="2251">
      <formula>LEN(TRIM(AA1625))=0</formula>
    </cfRule>
  </conditionalFormatting>
  <conditionalFormatting sqref="AC1627">
    <cfRule type="containsBlanks" dxfId="2968" priority="2250">
      <formula>LEN(TRIM(AC1627))=0</formula>
    </cfRule>
  </conditionalFormatting>
  <conditionalFormatting sqref="AC1630:AC1631 AA1630:AA1631 AB1629:AB1631">
    <cfRule type="containsBlanks" dxfId="2967" priority="2249">
      <formula>LEN(TRIM(AA1629))=0</formula>
    </cfRule>
  </conditionalFormatting>
  <conditionalFormatting sqref="AC1629:AC1631">
    <cfRule type="containsBlanks" dxfId="2966" priority="2248">
      <formula>LEN(TRIM(AC1629))=0</formula>
    </cfRule>
  </conditionalFormatting>
  <conditionalFormatting sqref="AC1629:AC1631">
    <cfRule type="containsBlanks" dxfId="2965" priority="2247">
      <formula>LEN(TRIM(AC1629))=0</formula>
    </cfRule>
  </conditionalFormatting>
  <conditionalFormatting sqref="AC1629">
    <cfRule type="containsBlanks" dxfId="2964" priority="2246">
      <formula>LEN(TRIM(AC1629))=0</formula>
    </cfRule>
  </conditionalFormatting>
  <conditionalFormatting sqref="AA1629">
    <cfRule type="containsBlanks" dxfId="2963" priority="2245">
      <formula>LEN(TRIM(AA1629))=0</formula>
    </cfRule>
  </conditionalFormatting>
  <conditionalFormatting sqref="AC1633:AC1634 AA1633:AA1634 AC1636:AC1637 AA1636:AA1637 AC1639:AC1640 AA1639:AA1640 AC1642:AC1643 AA1642:AA1643 AC1645:AC1646 AA1645:AA1646 AC1648:AC1649 AA1648:AA1649 AC1651:AC1652 AA1651:AA1652 AC1654:AC1655 AA1654:AA1655 AC1657:AC1658 AA1657:AA1658 AC1660:AC1661 AA1660:AA1661 AC1663:AC1664 AA1663:AA1664 AC1666:AC1667 AA1666:AA1667 AC1669:AC1670 AA1669:AA1670 AC1672:AC1673 AA1672:AA1673 AB1632:AB1673">
    <cfRule type="containsBlanks" dxfId="2962" priority="2244">
      <formula>LEN(TRIM(AA1632))=0</formula>
    </cfRule>
  </conditionalFormatting>
  <conditionalFormatting sqref="AC1632:AC1673">
    <cfRule type="containsBlanks" dxfId="2961" priority="2243">
      <formula>LEN(TRIM(AC1632))=0</formula>
    </cfRule>
  </conditionalFormatting>
  <conditionalFormatting sqref="AC1632:AC1673">
    <cfRule type="containsBlanks" dxfId="2960" priority="2242">
      <formula>LEN(TRIM(AC1632))=0</formula>
    </cfRule>
  </conditionalFormatting>
  <conditionalFormatting sqref="AC1632">
    <cfRule type="containsBlanks" dxfId="2959" priority="2241">
      <formula>LEN(TRIM(AC1632))=0</formula>
    </cfRule>
  </conditionalFormatting>
  <conditionalFormatting sqref="AA1632">
    <cfRule type="containsBlanks" dxfId="2958" priority="2240">
      <formula>LEN(TRIM(AA1632))=0</formula>
    </cfRule>
  </conditionalFormatting>
  <conditionalFormatting sqref="I1641">
    <cfRule type="containsBlanks" dxfId="2957" priority="2239">
      <formula>LEN(TRIM(I1641))=0</formula>
    </cfRule>
  </conditionalFormatting>
  <conditionalFormatting sqref="I1641">
    <cfRule type="containsBlanks" dxfId="2956" priority="2238">
      <formula>LEN(TRIM(I1641))=0</formula>
    </cfRule>
  </conditionalFormatting>
  <conditionalFormatting sqref="I1644">
    <cfRule type="containsBlanks" dxfId="2955" priority="2237">
      <formula>LEN(TRIM(I1644))=0</formula>
    </cfRule>
  </conditionalFormatting>
  <conditionalFormatting sqref="I1644">
    <cfRule type="containsBlanks" dxfId="2954" priority="2236">
      <formula>LEN(TRIM(I1644))=0</formula>
    </cfRule>
  </conditionalFormatting>
  <conditionalFormatting sqref="AC1635">
    <cfRule type="containsBlanks" dxfId="2953" priority="2235">
      <formula>LEN(TRIM(AC1635))=0</formula>
    </cfRule>
  </conditionalFormatting>
  <conditionalFormatting sqref="AA1635">
    <cfRule type="containsBlanks" dxfId="2952" priority="2234">
      <formula>LEN(TRIM(AA1635))=0</formula>
    </cfRule>
  </conditionalFormatting>
  <conditionalFormatting sqref="AC1638">
    <cfRule type="containsBlanks" dxfId="2951" priority="2233">
      <formula>LEN(TRIM(AC1638))=0</formula>
    </cfRule>
  </conditionalFormatting>
  <conditionalFormatting sqref="AA1638">
    <cfRule type="containsBlanks" dxfId="2950" priority="2232">
      <formula>LEN(TRIM(AA1638))=0</formula>
    </cfRule>
  </conditionalFormatting>
  <conditionalFormatting sqref="AC1641">
    <cfRule type="containsBlanks" dxfId="2949" priority="2231">
      <formula>LEN(TRIM(AC1641))=0</formula>
    </cfRule>
  </conditionalFormatting>
  <conditionalFormatting sqref="AA1641">
    <cfRule type="containsBlanks" dxfId="2948" priority="2230">
      <formula>LEN(TRIM(AA1641))=0</formula>
    </cfRule>
  </conditionalFormatting>
  <conditionalFormatting sqref="AC1644">
    <cfRule type="containsBlanks" dxfId="2947" priority="2229">
      <formula>LEN(TRIM(AC1644))=0</formula>
    </cfRule>
  </conditionalFormatting>
  <conditionalFormatting sqref="AA1644">
    <cfRule type="containsBlanks" dxfId="2946" priority="2228">
      <formula>LEN(TRIM(AA1644))=0</formula>
    </cfRule>
  </conditionalFormatting>
  <conditionalFormatting sqref="AC1647">
    <cfRule type="containsBlanks" dxfId="2945" priority="2227">
      <formula>LEN(TRIM(AC1647))=0</formula>
    </cfRule>
  </conditionalFormatting>
  <conditionalFormatting sqref="AA1647">
    <cfRule type="containsBlanks" dxfId="2944" priority="2226">
      <formula>LEN(TRIM(AA1647))=0</formula>
    </cfRule>
  </conditionalFormatting>
  <conditionalFormatting sqref="AC1650">
    <cfRule type="containsBlanks" dxfId="2943" priority="2225">
      <formula>LEN(TRIM(AC1650))=0</formula>
    </cfRule>
  </conditionalFormatting>
  <conditionalFormatting sqref="AA1650">
    <cfRule type="containsBlanks" dxfId="2942" priority="2224">
      <formula>LEN(TRIM(AA1650))=0</formula>
    </cfRule>
  </conditionalFormatting>
  <conditionalFormatting sqref="AC1653">
    <cfRule type="containsBlanks" dxfId="2941" priority="2223">
      <formula>LEN(TRIM(AC1653))=0</formula>
    </cfRule>
  </conditionalFormatting>
  <conditionalFormatting sqref="AA1653">
    <cfRule type="containsBlanks" dxfId="2940" priority="2222">
      <formula>LEN(TRIM(AA1653))=0</formula>
    </cfRule>
  </conditionalFormatting>
  <conditionalFormatting sqref="AC1656">
    <cfRule type="containsBlanks" dxfId="2939" priority="2221">
      <formula>LEN(TRIM(AC1656))=0</formula>
    </cfRule>
  </conditionalFormatting>
  <conditionalFormatting sqref="AA1656">
    <cfRule type="containsBlanks" dxfId="2938" priority="2220">
      <formula>LEN(TRIM(AA1656))=0</formula>
    </cfRule>
  </conditionalFormatting>
  <conditionalFormatting sqref="AC1659">
    <cfRule type="containsBlanks" dxfId="2937" priority="2219">
      <formula>LEN(TRIM(AC1659))=0</formula>
    </cfRule>
  </conditionalFormatting>
  <conditionalFormatting sqref="AA1659">
    <cfRule type="containsBlanks" dxfId="2936" priority="2218">
      <formula>LEN(TRIM(AA1659))=0</formula>
    </cfRule>
  </conditionalFormatting>
  <conditionalFormatting sqref="AC1662">
    <cfRule type="containsBlanks" dxfId="2935" priority="2217">
      <formula>LEN(TRIM(AC1662))=0</formula>
    </cfRule>
  </conditionalFormatting>
  <conditionalFormatting sqref="AA1662">
    <cfRule type="containsBlanks" dxfId="2934" priority="2216">
      <formula>LEN(TRIM(AA1662))=0</formula>
    </cfRule>
  </conditionalFormatting>
  <conditionalFormatting sqref="AC1665">
    <cfRule type="containsBlanks" dxfId="2933" priority="2215">
      <formula>LEN(TRIM(AC1665))=0</formula>
    </cfRule>
  </conditionalFormatting>
  <conditionalFormatting sqref="AA1665">
    <cfRule type="containsBlanks" dxfId="2932" priority="2214">
      <formula>LEN(TRIM(AA1665))=0</formula>
    </cfRule>
  </conditionalFormatting>
  <conditionalFormatting sqref="AC1668">
    <cfRule type="containsBlanks" dxfId="2931" priority="2213">
      <formula>LEN(TRIM(AC1668))=0</formula>
    </cfRule>
  </conditionalFormatting>
  <conditionalFormatting sqref="AA1668">
    <cfRule type="containsBlanks" dxfId="2930" priority="2212">
      <formula>LEN(TRIM(AA1668))=0</formula>
    </cfRule>
  </conditionalFormatting>
  <conditionalFormatting sqref="AC1671">
    <cfRule type="containsBlanks" dxfId="2929" priority="2211">
      <formula>LEN(TRIM(AC1671))=0</formula>
    </cfRule>
  </conditionalFormatting>
  <conditionalFormatting sqref="AA1671">
    <cfRule type="containsBlanks" dxfId="2928" priority="2210">
      <formula>LEN(TRIM(AA1671))=0</formula>
    </cfRule>
  </conditionalFormatting>
  <conditionalFormatting sqref="AC1674:AC1675 AC1677">
    <cfRule type="containsBlanks" dxfId="2927" priority="2209">
      <formula>LEN(TRIM(AC1674))=0</formula>
    </cfRule>
  </conditionalFormatting>
  <conditionalFormatting sqref="AC1674:AC1675 AC1677">
    <cfRule type="containsBlanks" dxfId="2926" priority="2208">
      <formula>LEN(TRIM(AC1674))=0</formula>
    </cfRule>
  </conditionalFormatting>
  <conditionalFormatting sqref="AA1675 AC1675 AB1674:AB1675 AA1676:AC1677">
    <cfRule type="containsBlanks" dxfId="2925" priority="2207">
      <formula>LEN(TRIM(AA1674))=0</formula>
    </cfRule>
  </conditionalFormatting>
  <conditionalFormatting sqref="AC1676">
    <cfRule type="containsBlanks" dxfId="2924" priority="2206">
      <formula>LEN(TRIM(AC1676))=0</formula>
    </cfRule>
  </conditionalFormatting>
  <conditionalFormatting sqref="AC1674">
    <cfRule type="containsBlanks" dxfId="2923" priority="2205">
      <formula>LEN(TRIM(AC1674))=0</formula>
    </cfRule>
  </conditionalFormatting>
  <conditionalFormatting sqref="AA1674">
    <cfRule type="containsBlanks" dxfId="2922" priority="2204">
      <formula>LEN(TRIM(AA1674))=0</formula>
    </cfRule>
  </conditionalFormatting>
  <conditionalFormatting sqref="AC1676">
    <cfRule type="containsBlanks" dxfId="2921" priority="2203">
      <formula>LEN(TRIM(AC1676))=0</formula>
    </cfRule>
  </conditionalFormatting>
  <conditionalFormatting sqref="AC1678:AC1679 AC1681">
    <cfRule type="containsBlanks" dxfId="2920" priority="2202">
      <formula>LEN(TRIM(AC1678))=0</formula>
    </cfRule>
  </conditionalFormatting>
  <conditionalFormatting sqref="AC1678:AC1679 AC1681">
    <cfRule type="containsBlanks" dxfId="2919" priority="2201">
      <formula>LEN(TRIM(AC1678))=0</formula>
    </cfRule>
  </conditionalFormatting>
  <conditionalFormatting sqref="AA1679 AC1679 AB1678:AB1679 AA1680:AC1681">
    <cfRule type="containsBlanks" dxfId="2918" priority="2200">
      <formula>LEN(TRIM(AA1678))=0</formula>
    </cfRule>
  </conditionalFormatting>
  <conditionalFormatting sqref="AC1680">
    <cfRule type="containsBlanks" dxfId="2917" priority="2199">
      <formula>LEN(TRIM(AC1680))=0</formula>
    </cfRule>
  </conditionalFormatting>
  <conditionalFormatting sqref="AC1678">
    <cfRule type="containsBlanks" dxfId="2916" priority="2198">
      <formula>LEN(TRIM(AC1678))=0</formula>
    </cfRule>
  </conditionalFormatting>
  <conditionalFormatting sqref="AA1678">
    <cfRule type="containsBlanks" dxfId="2915" priority="2197">
      <formula>LEN(TRIM(AA1678))=0</formula>
    </cfRule>
  </conditionalFormatting>
  <conditionalFormatting sqref="AC1680">
    <cfRule type="containsBlanks" dxfId="2914" priority="2196">
      <formula>LEN(TRIM(AC1680))=0</formula>
    </cfRule>
  </conditionalFormatting>
  <conditionalFormatting sqref="W1682">
    <cfRule type="containsBlanks" dxfId="2913" priority="2195">
      <formula>LEN(TRIM(W1682))=0</formula>
    </cfRule>
  </conditionalFormatting>
  <conditionalFormatting sqref="W1685">
    <cfRule type="containsBlanks" dxfId="2912" priority="2194">
      <formula>LEN(TRIM(W1685))=0</formula>
    </cfRule>
  </conditionalFormatting>
  <conditionalFormatting sqref="W1688">
    <cfRule type="containsBlanks" dxfId="2911" priority="2193">
      <formula>LEN(TRIM(W1688))=0</formula>
    </cfRule>
  </conditionalFormatting>
  <conditionalFormatting sqref="W1691">
    <cfRule type="containsBlanks" dxfId="2910" priority="2192">
      <formula>LEN(TRIM(W1691))=0</formula>
    </cfRule>
  </conditionalFormatting>
  <conditionalFormatting sqref="W1694">
    <cfRule type="containsBlanks" dxfId="2909" priority="2191">
      <formula>LEN(TRIM(W1694))=0</formula>
    </cfRule>
  </conditionalFormatting>
  <conditionalFormatting sqref="W1697">
    <cfRule type="containsBlanks" dxfId="2908" priority="2190">
      <formula>LEN(TRIM(W1697))=0</formula>
    </cfRule>
  </conditionalFormatting>
  <conditionalFormatting sqref="W1700">
    <cfRule type="containsBlanks" dxfId="2907" priority="2189">
      <formula>LEN(TRIM(W1700))=0</formula>
    </cfRule>
  </conditionalFormatting>
  <conditionalFormatting sqref="W1703">
    <cfRule type="containsBlanks" dxfId="2906" priority="2188">
      <formula>LEN(TRIM(W1703))=0</formula>
    </cfRule>
  </conditionalFormatting>
  <conditionalFormatting sqref="W1706">
    <cfRule type="containsBlanks" dxfId="2905" priority="2187">
      <formula>LEN(TRIM(W1706))=0</formula>
    </cfRule>
  </conditionalFormatting>
  <conditionalFormatting sqref="W1709">
    <cfRule type="containsBlanks" dxfId="2904" priority="2186">
      <formula>LEN(TRIM(W1709))=0</formula>
    </cfRule>
  </conditionalFormatting>
  <conditionalFormatting sqref="W1712">
    <cfRule type="containsBlanks" dxfId="2903" priority="2185">
      <formula>LEN(TRIM(W1712))=0</formula>
    </cfRule>
  </conditionalFormatting>
  <conditionalFormatting sqref="W1715">
    <cfRule type="containsBlanks" dxfId="2902" priority="2184">
      <formula>LEN(TRIM(W1715))=0</formula>
    </cfRule>
  </conditionalFormatting>
  <conditionalFormatting sqref="W1718">
    <cfRule type="containsBlanks" dxfId="2901" priority="2183">
      <formula>LEN(TRIM(W1718))=0</formula>
    </cfRule>
  </conditionalFormatting>
  <conditionalFormatting sqref="W1721">
    <cfRule type="containsBlanks" dxfId="2900" priority="2182">
      <formula>LEN(TRIM(W1721))=0</formula>
    </cfRule>
  </conditionalFormatting>
  <conditionalFormatting sqref="W1724">
    <cfRule type="containsBlanks" dxfId="2899" priority="2181">
      <formula>LEN(TRIM(W1724))=0</formula>
    </cfRule>
  </conditionalFormatting>
  <conditionalFormatting sqref="A1737:I1738 M1737:T1738 Y1737:Z1737 AD1737:AI1738 X1738:Z1738">
    <cfRule type="containsBlanks" dxfId="2898" priority="2180">
      <formula>LEN(TRIM(A1737))=0</formula>
    </cfRule>
  </conditionalFormatting>
  <conditionalFormatting sqref="A1737:I1737 M1737:T1737 Y1737:Z1737 AD1737:AI1737">
    <cfRule type="containsBlanks" dxfId="2897" priority="2179">
      <formula>LEN(TRIM(A1737))=0</formula>
    </cfRule>
  </conditionalFormatting>
  <conditionalFormatting sqref="J1737:L1737">
    <cfRule type="containsBlanks" dxfId="2896" priority="2178">
      <formula>LEN(TRIM(J1737))=0</formula>
    </cfRule>
  </conditionalFormatting>
  <conditionalFormatting sqref="J1737:L1737">
    <cfRule type="containsBlanks" dxfId="2895" priority="2177">
      <formula>LEN(TRIM(J1737))=0</formula>
    </cfRule>
  </conditionalFormatting>
  <conditionalFormatting sqref="A1738:I1738 M1738:T1738 AD1738:AI1738 X1738:Z1738">
    <cfRule type="containsBlanks" dxfId="2894" priority="2176">
      <formula>LEN(TRIM(A1738))=0</formula>
    </cfRule>
  </conditionalFormatting>
  <conditionalFormatting sqref="J1738:L1738">
    <cfRule type="containsBlanks" dxfId="2893" priority="2175">
      <formula>LEN(TRIM(J1738))=0</formula>
    </cfRule>
  </conditionalFormatting>
  <conditionalFormatting sqref="X1737">
    <cfRule type="containsBlanks" dxfId="2892" priority="2174">
      <formula>LEN(TRIM(X1737))=0</formula>
    </cfRule>
  </conditionalFormatting>
  <conditionalFormatting sqref="A1740:I1741 M1739:T1741 AD1739:AI1741 X1741:Z1741 Y1739:Z1740 A1739:B1739 F1739:I1739">
    <cfRule type="containsBlanks" dxfId="2891" priority="2172">
      <formula>LEN(TRIM(A1739))=0</formula>
    </cfRule>
  </conditionalFormatting>
  <conditionalFormatting sqref="A1740:I1740 M1739:T1740 AD1739:AI1740 Y1739:Z1740 A1739:B1739 F1739:I1739">
    <cfRule type="containsBlanks" dxfId="2890" priority="2171">
      <formula>LEN(TRIM(A1739))=0</formula>
    </cfRule>
  </conditionalFormatting>
  <conditionalFormatting sqref="J1739:L1740">
    <cfRule type="containsBlanks" dxfId="2889" priority="2170">
      <formula>LEN(TRIM(J1739))=0</formula>
    </cfRule>
  </conditionalFormatting>
  <conditionalFormatting sqref="J1740:L1740">
    <cfRule type="containsBlanks" dxfId="2888" priority="2169">
      <formula>LEN(TRIM(J1740))=0</formula>
    </cfRule>
  </conditionalFormatting>
  <conditionalFormatting sqref="A1741:I1741 M1741:T1741 AD1741:AI1741 X1741:Z1741">
    <cfRule type="containsBlanks" dxfId="2887" priority="2168">
      <formula>LEN(TRIM(A1741))=0</formula>
    </cfRule>
  </conditionalFormatting>
  <conditionalFormatting sqref="J1741:L1741">
    <cfRule type="containsBlanks" dxfId="2886" priority="2167">
      <formula>LEN(TRIM(J1741))=0</formula>
    </cfRule>
  </conditionalFormatting>
  <conditionalFormatting sqref="X1740">
    <cfRule type="containsBlanks" dxfId="2885" priority="2166">
      <formula>LEN(TRIM(X1740))=0</formula>
    </cfRule>
  </conditionalFormatting>
  <conditionalFormatting sqref="A1743:I1745 M1742:T1742 M1745:Z1745 M1743:U1744 AD1742:AI1745 Y1742:Z1744 A1742:B1742 F1742:I1742">
    <cfRule type="containsBlanks" dxfId="2884" priority="2163">
      <formula>LEN(TRIM(A1742))=0</formula>
    </cfRule>
  </conditionalFormatting>
  <conditionalFormatting sqref="A1743:I1744 M1742:T1742 M1743:U1744 AD1742:AI1744 Y1742:Z1744 A1742:B1742 F1742:I1742">
    <cfRule type="containsBlanks" dxfId="2883" priority="2162">
      <formula>LEN(TRIM(A1742))=0</formula>
    </cfRule>
  </conditionalFormatting>
  <conditionalFormatting sqref="J1742:L1744">
    <cfRule type="containsBlanks" dxfId="2882" priority="2161">
      <formula>LEN(TRIM(J1742))=0</formula>
    </cfRule>
  </conditionalFormatting>
  <conditionalFormatting sqref="J1743:L1744">
    <cfRule type="containsBlanks" dxfId="2881" priority="2160">
      <formula>LEN(TRIM(J1743))=0</formula>
    </cfRule>
  </conditionalFormatting>
  <conditionalFormatting sqref="A1745:I1745 M1745:Z1745 AD1745:AI1745">
    <cfRule type="containsBlanks" dxfId="2880" priority="2159">
      <formula>LEN(TRIM(A1745))=0</formula>
    </cfRule>
  </conditionalFormatting>
  <conditionalFormatting sqref="J1745:L1745">
    <cfRule type="containsBlanks" dxfId="2879" priority="2158">
      <formula>LEN(TRIM(J1745))=0</formula>
    </cfRule>
  </conditionalFormatting>
  <conditionalFormatting sqref="V1743:V1744 X1743:X1744">
    <cfRule type="containsBlanks" dxfId="2878" priority="2157">
      <formula>LEN(TRIM(V1743))=0</formula>
    </cfRule>
  </conditionalFormatting>
  <conditionalFormatting sqref="M1747:U1747 Y1746:Z1747 M1746:T1746 U1750 U1753 U1756 U1759 U1762 U1765">
    <cfRule type="containsBlanks" dxfId="2877" priority="2154">
      <formula>LEN(TRIM(M1746))=0</formula>
    </cfRule>
  </conditionalFormatting>
  <conditionalFormatting sqref="M1747:U1747 Y1746:Z1747 M1746:T1746 U1750 U1753 U1756 U1759 U1762 U1765">
    <cfRule type="containsBlanks" dxfId="2876" priority="2153">
      <formula>LEN(TRIM(M1746))=0</formula>
    </cfRule>
  </conditionalFormatting>
  <conditionalFormatting sqref="J1746:L1747">
    <cfRule type="containsBlanks" dxfId="2875" priority="2151">
      <formula>LEN(TRIM(J1746))=0</formula>
    </cfRule>
  </conditionalFormatting>
  <conditionalFormatting sqref="V1747 V1750 V1753 V1756 V1759 V1762 V1765 X1747">
    <cfRule type="containsBlanks" dxfId="2874" priority="2148">
      <formula>LEN(TRIM(V1747))=0</formula>
    </cfRule>
  </conditionalFormatting>
  <conditionalFormatting sqref="A1748:I1748 M1749:T1749 M1748:U1748 AD1748:AI1749 Y1748:Z1749 U1751 U1754 U1757 U1760 U1763 U1766 A1749:B1749 F1749:I1749">
    <cfRule type="containsBlanks" dxfId="2873" priority="2145">
      <formula>LEN(TRIM(A1748))=0</formula>
    </cfRule>
  </conditionalFormatting>
  <conditionalFormatting sqref="A1748:I1748 M1748:U1748 Y1748:Z1748 AD1748:AI1748 U1751 U1754 U1757 U1760 U1763 U1766">
    <cfRule type="containsBlanks" dxfId="2872" priority="2144">
      <formula>LEN(TRIM(A1748))=0</formula>
    </cfRule>
  </conditionalFormatting>
  <conditionalFormatting sqref="J1748:L1748">
    <cfRule type="containsBlanks" dxfId="2871" priority="2143">
      <formula>LEN(TRIM(J1748))=0</formula>
    </cfRule>
  </conditionalFormatting>
  <conditionalFormatting sqref="J1748:L1748">
    <cfRule type="containsBlanks" dxfId="2870" priority="2142">
      <formula>LEN(TRIM(J1748))=0</formula>
    </cfRule>
  </conditionalFormatting>
  <conditionalFormatting sqref="A1749:B1749 M1749:T1749 AD1749:AI1749 Y1749:Z1749 F1749:I1749">
    <cfRule type="containsBlanks" dxfId="2869" priority="2141">
      <formula>LEN(TRIM(A1749))=0</formula>
    </cfRule>
  </conditionalFormatting>
  <conditionalFormatting sqref="J1749:L1749">
    <cfRule type="containsBlanks" dxfId="2868" priority="2140">
      <formula>LEN(TRIM(J1749))=0</formula>
    </cfRule>
  </conditionalFormatting>
  <conditionalFormatting sqref="V1748 V1751 V1754 V1757 V1760 V1763 V1766 X1748">
    <cfRule type="containsBlanks" dxfId="2867" priority="2139">
      <formula>LEN(TRIM(V1748))=0</formula>
    </cfRule>
  </conditionalFormatting>
  <conditionalFormatting sqref="A1750:I1751 M1750:T1752 AD1750:AI1752 Y1751:Z1752 X1750:Z1750 A1752:B1752 F1752:I1752">
    <cfRule type="containsBlanks" dxfId="2866" priority="2137">
      <formula>LEN(TRIM(A1750))=0</formula>
    </cfRule>
  </conditionalFormatting>
  <conditionalFormatting sqref="A1750:I1751 M1750:T1751 Y1751:Z1751 AD1750:AI1751 X1750:Z1750">
    <cfRule type="containsBlanks" dxfId="2865" priority="2136">
      <formula>LEN(TRIM(A1750))=0</formula>
    </cfRule>
  </conditionalFormatting>
  <conditionalFormatting sqref="J1750:L1751">
    <cfRule type="containsBlanks" dxfId="2864" priority="2135">
      <formula>LEN(TRIM(J1750))=0</formula>
    </cfRule>
  </conditionalFormatting>
  <conditionalFormatting sqref="J1751:L1751">
    <cfRule type="containsBlanks" dxfId="2863" priority="2134">
      <formula>LEN(TRIM(J1751))=0</formula>
    </cfRule>
  </conditionalFormatting>
  <conditionalFormatting sqref="A1752:B1752 M1752:T1752 AD1752:AI1752 Y1752:Z1752 F1752:I1752">
    <cfRule type="containsBlanks" dxfId="2862" priority="2133">
      <formula>LEN(TRIM(A1752))=0</formula>
    </cfRule>
  </conditionalFormatting>
  <conditionalFormatting sqref="J1752:L1752">
    <cfRule type="containsBlanks" dxfId="2861" priority="2132">
      <formula>LEN(TRIM(J1752))=0</formula>
    </cfRule>
  </conditionalFormatting>
  <conditionalFormatting sqref="X1751">
    <cfRule type="containsBlanks" dxfId="2860" priority="2131">
      <formula>LEN(TRIM(X1751))=0</formula>
    </cfRule>
  </conditionalFormatting>
  <conditionalFormatting sqref="A1753:I1754 M1753:T1755 AD1753:AI1755 Y1754:Z1755 X1753:Z1753 A1755:B1755 F1755:I1755">
    <cfRule type="containsBlanks" dxfId="2859" priority="2128">
      <formula>LEN(TRIM(A1753))=0</formula>
    </cfRule>
  </conditionalFormatting>
  <conditionalFormatting sqref="A1753:I1754 M1753:T1754 Y1754:Z1754 AD1753:AI1754 X1753:Z1753">
    <cfRule type="containsBlanks" dxfId="2858" priority="2127">
      <formula>LEN(TRIM(A1753))=0</formula>
    </cfRule>
  </conditionalFormatting>
  <conditionalFormatting sqref="J1753:L1754">
    <cfRule type="containsBlanks" dxfId="2857" priority="2126">
      <formula>LEN(TRIM(J1753))=0</formula>
    </cfRule>
  </conditionalFormatting>
  <conditionalFormatting sqref="J1754:L1754">
    <cfRule type="containsBlanks" dxfId="2856" priority="2125">
      <formula>LEN(TRIM(J1754))=0</formula>
    </cfRule>
  </conditionalFormatting>
  <conditionalFormatting sqref="A1755:B1755 M1755:T1755 AD1755:AI1755 Y1755:Z1755 F1755:I1755">
    <cfRule type="containsBlanks" dxfId="2855" priority="2124">
      <formula>LEN(TRIM(A1755))=0</formula>
    </cfRule>
  </conditionalFormatting>
  <conditionalFormatting sqref="J1755:L1755">
    <cfRule type="containsBlanks" dxfId="2854" priority="2123">
      <formula>LEN(TRIM(J1755))=0</formula>
    </cfRule>
  </conditionalFormatting>
  <conditionalFormatting sqref="X1754">
    <cfRule type="containsBlanks" dxfId="2853" priority="2122">
      <formula>LEN(TRIM(X1754))=0</formula>
    </cfRule>
  </conditionalFormatting>
  <conditionalFormatting sqref="A1756:I1757 M1756:T1758 AD1756:AI1758 Y1757:Z1758 W1756:Z1756 A1758:B1758 F1758:I1758">
    <cfRule type="containsBlanks" dxfId="2852" priority="2119">
      <formula>LEN(TRIM(A1756))=0</formula>
    </cfRule>
  </conditionalFormatting>
  <conditionalFormatting sqref="A1756:I1757 M1756:T1757 Y1757:Z1757 AD1756:AI1757 W1756:Z1756">
    <cfRule type="containsBlanks" dxfId="2851" priority="2118">
      <formula>LEN(TRIM(A1756))=0</formula>
    </cfRule>
  </conditionalFormatting>
  <conditionalFormatting sqref="J1756:L1757">
    <cfRule type="containsBlanks" dxfId="2850" priority="2117">
      <formula>LEN(TRIM(J1756))=0</formula>
    </cfRule>
  </conditionalFormatting>
  <conditionalFormatting sqref="J1757:L1757">
    <cfRule type="containsBlanks" dxfId="2849" priority="2116">
      <formula>LEN(TRIM(J1757))=0</formula>
    </cfRule>
  </conditionalFormatting>
  <conditionalFormatting sqref="A1758:B1758 M1758:T1758 AD1758:AI1758 Y1758:Z1758 F1758:I1758">
    <cfRule type="containsBlanks" dxfId="2848" priority="2115">
      <formula>LEN(TRIM(A1758))=0</formula>
    </cfRule>
  </conditionalFormatting>
  <conditionalFormatting sqref="J1758:L1758">
    <cfRule type="containsBlanks" dxfId="2847" priority="2114">
      <formula>LEN(TRIM(J1758))=0</formula>
    </cfRule>
  </conditionalFormatting>
  <conditionalFormatting sqref="W1757:X1757">
    <cfRule type="containsBlanks" dxfId="2846" priority="2113">
      <formula>LEN(TRIM(W1757))=0</formula>
    </cfRule>
  </conditionalFormatting>
  <conditionalFormatting sqref="A1759:I1760 M1759:T1760 Y1759:Z1759 AD1759:AI1760 W1760:Z1760">
    <cfRule type="containsBlanks" dxfId="2845" priority="2110">
      <formula>LEN(TRIM(A1759))=0</formula>
    </cfRule>
  </conditionalFormatting>
  <conditionalFormatting sqref="A1759:I1759 M1759:T1759 Y1759:Z1759 AD1759:AI1759">
    <cfRule type="containsBlanks" dxfId="2844" priority="2109">
      <formula>LEN(TRIM(A1759))=0</formula>
    </cfRule>
  </conditionalFormatting>
  <conditionalFormatting sqref="J1759:L1759">
    <cfRule type="containsBlanks" dxfId="2843" priority="2108">
      <formula>LEN(TRIM(J1759))=0</formula>
    </cfRule>
  </conditionalFormatting>
  <conditionalFormatting sqref="J1759:L1759">
    <cfRule type="containsBlanks" dxfId="2842" priority="2107">
      <formula>LEN(TRIM(J1759))=0</formula>
    </cfRule>
  </conditionalFormatting>
  <conditionalFormatting sqref="A1760:I1760 M1760:T1760 AD1760:AI1760 W1760:Z1760">
    <cfRule type="containsBlanks" dxfId="2841" priority="2106">
      <formula>LEN(TRIM(A1760))=0</formula>
    </cfRule>
  </conditionalFormatting>
  <conditionalFormatting sqref="J1760:L1760">
    <cfRule type="containsBlanks" dxfId="2840" priority="2105">
      <formula>LEN(TRIM(J1760))=0</formula>
    </cfRule>
  </conditionalFormatting>
  <conditionalFormatting sqref="W1759:X1759">
    <cfRule type="containsBlanks" dxfId="2839" priority="2104">
      <formula>LEN(TRIM(W1759))=0</formula>
    </cfRule>
  </conditionalFormatting>
  <conditionalFormatting sqref="A1762:I1763 M1761:T1763 AD1761:AI1763 W1763:Z1763 Y1761:Z1762 A1761:B1761 F1761:I1761">
    <cfRule type="containsBlanks" dxfId="2838" priority="2102">
      <formula>LEN(TRIM(A1761))=0</formula>
    </cfRule>
  </conditionalFormatting>
  <conditionalFormatting sqref="A1762:I1762 M1761:T1762 AD1761:AI1762 Y1761:Z1762 A1761:B1761 F1761:I1761">
    <cfRule type="containsBlanks" dxfId="2837" priority="2101">
      <formula>LEN(TRIM(A1761))=0</formula>
    </cfRule>
  </conditionalFormatting>
  <conditionalFormatting sqref="J1761:L1762">
    <cfRule type="containsBlanks" dxfId="2836" priority="2100">
      <formula>LEN(TRIM(J1761))=0</formula>
    </cfRule>
  </conditionalFormatting>
  <conditionalFormatting sqref="J1762:L1762">
    <cfRule type="containsBlanks" dxfId="2835" priority="2099">
      <formula>LEN(TRIM(J1762))=0</formula>
    </cfRule>
  </conditionalFormatting>
  <conditionalFormatting sqref="A1763:I1763 M1763:T1763 AD1763:AI1763 W1763:Z1763">
    <cfRule type="containsBlanks" dxfId="2834" priority="2098">
      <formula>LEN(TRIM(A1763))=0</formula>
    </cfRule>
  </conditionalFormatting>
  <conditionalFormatting sqref="J1763:L1763">
    <cfRule type="containsBlanks" dxfId="2833" priority="2097">
      <formula>LEN(TRIM(J1763))=0</formula>
    </cfRule>
  </conditionalFormatting>
  <conditionalFormatting sqref="W1762:X1762">
    <cfRule type="containsBlanks" dxfId="2832" priority="2096">
      <formula>LEN(TRIM(W1762))=0</formula>
    </cfRule>
  </conditionalFormatting>
  <conditionalFormatting sqref="A1765:I1766 M1764:T1766 AD1764:AI1766 W1766:Z1766 Y1764:Z1765 A1764:B1764 F1764:I1764">
    <cfRule type="containsBlanks" dxfId="2831" priority="2093">
      <formula>LEN(TRIM(A1764))=0</formula>
    </cfRule>
  </conditionalFormatting>
  <conditionalFormatting sqref="A1765:I1765 M1764:T1765 AD1764:AI1765 Y1764:Z1765 A1764:B1764 F1764:I1764">
    <cfRule type="containsBlanks" dxfId="2830" priority="2092">
      <formula>LEN(TRIM(A1764))=0</formula>
    </cfRule>
  </conditionalFormatting>
  <conditionalFormatting sqref="J1764:L1765">
    <cfRule type="containsBlanks" dxfId="2829" priority="2091">
      <formula>LEN(TRIM(J1764))=0</formula>
    </cfRule>
  </conditionalFormatting>
  <conditionalFormatting sqref="J1765:L1765">
    <cfRule type="containsBlanks" dxfId="2828" priority="2090">
      <formula>LEN(TRIM(J1765))=0</formula>
    </cfRule>
  </conditionalFormatting>
  <conditionalFormatting sqref="A1766:I1766 M1766:T1766 AD1766:AI1766 W1766:Z1766">
    <cfRule type="containsBlanks" dxfId="2827" priority="2089">
      <formula>LEN(TRIM(A1766))=0</formula>
    </cfRule>
  </conditionalFormatting>
  <conditionalFormatting sqref="J1766:L1766">
    <cfRule type="containsBlanks" dxfId="2826" priority="2088">
      <formula>LEN(TRIM(J1766))=0</formula>
    </cfRule>
  </conditionalFormatting>
  <conditionalFormatting sqref="W1765:X1765">
    <cfRule type="containsBlanks" dxfId="2825" priority="2087">
      <formula>LEN(TRIM(W1765))=0</formula>
    </cfRule>
  </conditionalFormatting>
  <conditionalFormatting sqref="A1767:B1769 M1767:T1767 M1769 M1768:U1768 AC1767:AI1768 O1769:U1769 N1769:N1781 Y1767:Z1769 AD1769:AI1769 AC1769:AC1811 F1767:I1769">
    <cfRule type="containsBlanks" dxfId="2824" priority="2084">
      <formula>LEN(TRIM(A1767))=0</formula>
    </cfRule>
  </conditionalFormatting>
  <conditionalFormatting sqref="A1767:B1768 M1767:T1767 M1768:U1768 AC1767:AI1768 Y1767:Z1768 N1769:N1781 AC1769:AC1811 F1767:I1768">
    <cfRule type="containsBlanks" dxfId="2823" priority="2083">
      <formula>LEN(TRIM(A1767))=0</formula>
    </cfRule>
  </conditionalFormatting>
  <conditionalFormatting sqref="J1767:L1768">
    <cfRule type="containsBlanks" dxfId="2822" priority="2082">
      <formula>LEN(TRIM(J1767))=0</formula>
    </cfRule>
  </conditionalFormatting>
  <conditionalFormatting sqref="J1768:L1768">
    <cfRule type="containsBlanks" dxfId="2821" priority="2081">
      <formula>LEN(TRIM(J1768))=0</formula>
    </cfRule>
  </conditionalFormatting>
  <conditionalFormatting sqref="A1769:B1769 M1769 AD1769:AI1769 O1769:U1769 Y1769:Z1769 F1769:I1769">
    <cfRule type="containsBlanks" dxfId="2820" priority="2080">
      <formula>LEN(TRIM(A1769))=0</formula>
    </cfRule>
  </conditionalFormatting>
  <conditionalFormatting sqref="J1769:L1769">
    <cfRule type="containsBlanks" dxfId="2819" priority="2079">
      <formula>LEN(TRIM(J1769))=0</formula>
    </cfRule>
  </conditionalFormatting>
  <conditionalFormatting sqref="V1768:W1768 V1770:W1770 V1772:W1772 V1774:W1774 V1776:W1776 V1778:W1778 V1780:W1780 W1782 W1784 W1786 W1788 W1790 W1792 W1794 W1796 W1798 W1800 W1802 W1804 W1806 W1808 W1810">
    <cfRule type="containsBlanks" dxfId="2818" priority="2078">
      <formula>LEN(TRIM(V1768))=0</formula>
    </cfRule>
  </conditionalFormatting>
  <conditionalFormatting sqref="AA1767:AB1767 AA1768 AA1769:AB1769 AA1771:AB1771 AA1773:AB1773 AA1775:AB1775 AA1777:AB1777 AA1779:AB1779 AA1781:AB1781 AA1770 AA1772 AA1774 AA1776 AA1778 AA1780 AA1783:AB1783 AA1785:AB1785 AA1787:AB1787 AA1789:AB1789 AA1791:AB1791 AA1793:AB1793 AA1795:AB1795 AA1782 AA1784 AA1786 AA1788 AA1790 AA1792 AA1794 AA1796">
    <cfRule type="containsBlanks" dxfId="2817" priority="2077">
      <formula>LEN(TRIM(AA1767))=0</formula>
    </cfRule>
  </conditionalFormatting>
  <conditionalFormatting sqref="AB1768 AB1770 AB1772 AB1774 AB1776 AB1778 AB1780 AB1782 AB1784 AB1786 AB1788 AB1790 AB1792 AB1794 AB1796">
    <cfRule type="containsBlanks" dxfId="2816" priority="2076">
      <formula>LEN(TRIM(AB1768))=0</formula>
    </cfRule>
  </conditionalFormatting>
  <conditionalFormatting sqref="A1770:B1771 M1770:M1771 AD1770:AI1771 O1770:U1771 Y1770:Z1771 F1770:I1771">
    <cfRule type="containsBlanks" dxfId="2815" priority="2075">
      <formula>LEN(TRIM(A1770))=0</formula>
    </cfRule>
  </conditionalFormatting>
  <conditionalFormatting sqref="A1770:B1770 M1770 Y1770:Z1770 AD1770:AI1770 O1770:U1770 F1770:I1770">
    <cfRule type="containsBlanks" dxfId="2814" priority="2074">
      <formula>LEN(TRIM(A1770))=0</formula>
    </cfRule>
  </conditionalFormatting>
  <conditionalFormatting sqref="J1770:L1770">
    <cfRule type="containsBlanks" dxfId="2813" priority="2073">
      <formula>LEN(TRIM(J1770))=0</formula>
    </cfRule>
  </conditionalFormatting>
  <conditionalFormatting sqref="J1770:L1770">
    <cfRule type="containsBlanks" dxfId="2812" priority="2072">
      <formula>LEN(TRIM(J1770))=0</formula>
    </cfRule>
  </conditionalFormatting>
  <conditionalFormatting sqref="A1771:B1771 M1771 AD1771:AI1771 O1771:U1771 Y1771:Z1771 F1771:I1771">
    <cfRule type="containsBlanks" dxfId="2811" priority="2071">
      <formula>LEN(TRIM(A1771))=0</formula>
    </cfRule>
  </conditionalFormatting>
  <conditionalFormatting sqref="J1771:L1771">
    <cfRule type="containsBlanks" dxfId="2810" priority="2070">
      <formula>LEN(TRIM(J1771))=0</formula>
    </cfRule>
  </conditionalFormatting>
  <conditionalFormatting sqref="A1772:B1773 M1772:M1773 AD1772:AI1773 O1772:T1773 Y1772:Z1773 F1772:I1773">
    <cfRule type="containsBlanks" dxfId="2809" priority="2066">
      <formula>LEN(TRIM(A1772))=0</formula>
    </cfRule>
  </conditionalFormatting>
  <conditionalFormatting sqref="A1772:B1774 M1772:M1774 AD1772:AI1774 O1772:U1774 Y1772:Z1774 F1772:I1774">
    <cfRule type="containsBlanks" dxfId="2808" priority="2067">
      <formula>LEN(TRIM(A1772))=0</formula>
    </cfRule>
  </conditionalFormatting>
  <conditionalFormatting sqref="J1772:L1773">
    <cfRule type="containsBlanks" dxfId="2807" priority="2065">
      <formula>LEN(TRIM(J1772))=0</formula>
    </cfRule>
  </conditionalFormatting>
  <conditionalFormatting sqref="J1773:L1773">
    <cfRule type="containsBlanks" dxfId="2806" priority="2064">
      <formula>LEN(TRIM(J1773))=0</formula>
    </cfRule>
  </conditionalFormatting>
  <conditionalFormatting sqref="A1774:B1774 M1774 AD1774:AI1774 O1774:T1774 Y1774:Z1774 U1772:U1774 F1774:I1774">
    <cfRule type="containsBlanks" dxfId="2805" priority="2063">
      <formula>LEN(TRIM(A1772))=0</formula>
    </cfRule>
  </conditionalFormatting>
  <conditionalFormatting sqref="J1774:L1774">
    <cfRule type="containsBlanks" dxfId="2804" priority="2062">
      <formula>LEN(TRIM(J1774))=0</formula>
    </cfRule>
  </conditionalFormatting>
  <conditionalFormatting sqref="A1775:B1777 M1775:M1777 AD1775:AI1777 O1775:T1777 Y1775:Z1777 F1775:I1777">
    <cfRule type="containsBlanks" dxfId="2803" priority="2058">
      <formula>LEN(TRIM(A1775))=0</formula>
    </cfRule>
  </conditionalFormatting>
  <conditionalFormatting sqref="A1775:B1776 M1775:M1776 AD1775:AI1776 O1775:T1776 Y1775:Z1776 F1775:I1776">
    <cfRule type="containsBlanks" dxfId="2802" priority="2057">
      <formula>LEN(TRIM(A1775))=0</formula>
    </cfRule>
  </conditionalFormatting>
  <conditionalFormatting sqref="J1775:L1776">
    <cfRule type="containsBlanks" dxfId="2801" priority="2056">
      <formula>LEN(TRIM(J1775))=0</formula>
    </cfRule>
  </conditionalFormatting>
  <conditionalFormatting sqref="J1776:L1776">
    <cfRule type="containsBlanks" dxfId="2800" priority="2055">
      <formula>LEN(TRIM(J1776))=0</formula>
    </cfRule>
  </conditionalFormatting>
  <conditionalFormatting sqref="A1777:B1777 M1777 AD1777:AI1777 O1777:T1777 Y1777:Z1777 F1777:I1777">
    <cfRule type="containsBlanks" dxfId="2799" priority="2054">
      <formula>LEN(TRIM(A1777))=0</formula>
    </cfRule>
  </conditionalFormatting>
  <conditionalFormatting sqref="J1777:L1777">
    <cfRule type="containsBlanks" dxfId="2798" priority="2053">
      <formula>LEN(TRIM(J1777))=0</formula>
    </cfRule>
  </conditionalFormatting>
  <conditionalFormatting sqref="A1778:B1780 M1778:M1780 AD1778:AI1780 O1778:T1780 Y1778:Z1780 F1778:I1780">
    <cfRule type="containsBlanks" dxfId="2797" priority="2049">
      <formula>LEN(TRIM(A1778))=0</formula>
    </cfRule>
  </conditionalFormatting>
  <conditionalFormatting sqref="A1778:B1779 M1778:M1779 AD1778:AI1779 O1778:T1779 Y1778:Z1779 F1778:I1779">
    <cfRule type="containsBlanks" dxfId="2796" priority="2048">
      <formula>LEN(TRIM(A1778))=0</formula>
    </cfRule>
  </conditionalFormatting>
  <conditionalFormatting sqref="J1778:L1779">
    <cfRule type="containsBlanks" dxfId="2795" priority="2047">
      <formula>LEN(TRIM(J1778))=0</formula>
    </cfRule>
  </conditionalFormatting>
  <conditionalFormatting sqref="J1779:L1779">
    <cfRule type="containsBlanks" dxfId="2794" priority="2046">
      <formula>LEN(TRIM(J1779))=0</formula>
    </cfRule>
  </conditionalFormatting>
  <conditionalFormatting sqref="A1780:B1780 M1780 AD1780:AI1780 O1780:T1780 Y1780:Z1780 F1780:I1780">
    <cfRule type="containsBlanks" dxfId="2793" priority="2045">
      <formula>LEN(TRIM(A1780))=0</formula>
    </cfRule>
  </conditionalFormatting>
  <conditionalFormatting sqref="J1780:L1780">
    <cfRule type="containsBlanks" dxfId="2792" priority="2044">
      <formula>LEN(TRIM(J1780))=0</formula>
    </cfRule>
  </conditionalFormatting>
  <conditionalFormatting sqref="A1781:B1782 M1782:U1782 M1781 O1781:U1781 U1775:U1780 AD1781:AI1782 Y1781:Z1782 F1781:I1782">
    <cfRule type="containsBlanks" dxfId="2791" priority="2040">
      <formula>LEN(TRIM(A1775))=0</formula>
    </cfRule>
  </conditionalFormatting>
  <conditionalFormatting sqref="A1781:B1781 M1781 Y1781:Z1781 AD1781:AI1781 O1781:U1781 U1775:U1780 F1781:I1781">
    <cfRule type="containsBlanks" dxfId="2790" priority="2039">
      <formula>LEN(TRIM(A1775))=0</formula>
    </cfRule>
  </conditionalFormatting>
  <conditionalFormatting sqref="J1781:L1781">
    <cfRule type="containsBlanks" dxfId="2789" priority="2038">
      <formula>LEN(TRIM(J1781))=0</formula>
    </cfRule>
  </conditionalFormatting>
  <conditionalFormatting sqref="J1781:L1781">
    <cfRule type="containsBlanks" dxfId="2788" priority="2037">
      <formula>LEN(TRIM(J1781))=0</formula>
    </cfRule>
  </conditionalFormatting>
  <conditionalFormatting sqref="A1782:B1782 M1782:U1782 AD1782:AI1782 Y1782:Z1782 F1782:I1782">
    <cfRule type="containsBlanks" dxfId="2787" priority="2036">
      <formula>LEN(TRIM(A1782))=0</formula>
    </cfRule>
  </conditionalFormatting>
  <conditionalFormatting sqref="J1782:L1782">
    <cfRule type="containsBlanks" dxfId="2786" priority="2035">
      <formula>LEN(TRIM(J1782))=0</formula>
    </cfRule>
  </conditionalFormatting>
  <conditionalFormatting sqref="A1783:B1784 M1783:U1784 AD1783:AI1784 Y1783:Z1784 F1783:I1784">
    <cfRule type="containsBlanks" dxfId="2785" priority="2031">
      <formula>LEN(TRIM(A1783))=0</formula>
    </cfRule>
  </conditionalFormatting>
  <conditionalFormatting sqref="A1783:B1785 M1783:U1785 AD1783:AI1785 Y1783:Z1785 F1783:I1785">
    <cfRule type="containsBlanks" dxfId="2784" priority="2032">
      <formula>LEN(TRIM(A1783))=0</formula>
    </cfRule>
  </conditionalFormatting>
  <conditionalFormatting sqref="J1783:L1784">
    <cfRule type="containsBlanks" dxfId="2783" priority="2030">
      <formula>LEN(TRIM(J1783))=0</formula>
    </cfRule>
  </conditionalFormatting>
  <conditionalFormatting sqref="J1784:L1784">
    <cfRule type="containsBlanks" dxfId="2782" priority="2029">
      <formula>LEN(TRIM(J1784))=0</formula>
    </cfRule>
  </conditionalFormatting>
  <conditionalFormatting sqref="A1785:B1785 M1785:U1785 AD1785:AI1785 Y1785:Z1785 F1785:I1785">
    <cfRule type="containsBlanks" dxfId="2781" priority="2028">
      <formula>LEN(TRIM(A1785))=0</formula>
    </cfRule>
  </conditionalFormatting>
  <conditionalFormatting sqref="J1785:L1785">
    <cfRule type="containsBlanks" dxfId="2780" priority="2027">
      <formula>LEN(TRIM(J1785))=0</formula>
    </cfRule>
  </conditionalFormatting>
  <conditionalFormatting sqref="A1786:B1788 M1786:U1788 AD1786:AI1788 Y1786:Z1788 F1786:I1788">
    <cfRule type="containsBlanks" dxfId="2779" priority="2023">
      <formula>LEN(TRIM(A1786))=0</formula>
    </cfRule>
  </conditionalFormatting>
  <conditionalFormatting sqref="A1786:B1787 M1786:U1787 AD1786:AI1787 Y1786:Z1787 F1786:I1787">
    <cfRule type="containsBlanks" dxfId="2778" priority="2022">
      <formula>LEN(TRIM(A1786))=0</formula>
    </cfRule>
  </conditionalFormatting>
  <conditionalFormatting sqref="J1786:L1787">
    <cfRule type="containsBlanks" dxfId="2777" priority="2021">
      <formula>LEN(TRIM(J1786))=0</formula>
    </cfRule>
  </conditionalFormatting>
  <conditionalFormatting sqref="J1787:L1787">
    <cfRule type="containsBlanks" dxfId="2776" priority="2020">
      <formula>LEN(TRIM(J1787))=0</formula>
    </cfRule>
  </conditionalFormatting>
  <conditionalFormatting sqref="A1788:B1788 M1788:U1788 AD1788:AI1788 Y1788:Z1788 F1788:I1788">
    <cfRule type="containsBlanks" dxfId="2775" priority="2019">
      <formula>LEN(TRIM(A1788))=0</formula>
    </cfRule>
  </conditionalFormatting>
  <conditionalFormatting sqref="J1788:L1788">
    <cfRule type="containsBlanks" dxfId="2774" priority="2018">
      <formula>LEN(TRIM(J1788))=0</formula>
    </cfRule>
  </conditionalFormatting>
  <conditionalFormatting sqref="A1789:B1790 M1789:U1790 AD1789:AI1790 Y1789:Z1790 F1789:I1790">
    <cfRule type="containsBlanks" dxfId="2773" priority="2014">
      <formula>LEN(TRIM(A1789))=0</formula>
    </cfRule>
  </conditionalFormatting>
  <conditionalFormatting sqref="A1789:B1790 M1789:U1790 AD1789:AI1790 Y1789:Z1790 F1789:I1790">
    <cfRule type="containsBlanks" dxfId="2772" priority="2013">
      <formula>LEN(TRIM(A1789))=0</formula>
    </cfRule>
  </conditionalFormatting>
  <conditionalFormatting sqref="J1789:L1790">
    <cfRule type="containsBlanks" dxfId="2771" priority="2012">
      <formula>LEN(TRIM(J1789))=0</formula>
    </cfRule>
  </conditionalFormatting>
  <conditionalFormatting sqref="J1790:L1790">
    <cfRule type="containsBlanks" dxfId="2770" priority="2011">
      <formula>LEN(TRIM(J1790))=0</formula>
    </cfRule>
  </conditionalFormatting>
  <conditionalFormatting sqref="A1791:B1792 M1791:U1792 AD1791:AI1792 Y1791:Z1792 F1791:I1792">
    <cfRule type="containsBlanks" dxfId="2769" priority="2007">
      <formula>LEN(TRIM(A1791))=0</formula>
    </cfRule>
  </conditionalFormatting>
  <conditionalFormatting sqref="A1791:B1791 M1791:U1791 Y1791:Z1791 AD1791:AI1791 F1791:I1791">
    <cfRule type="containsBlanks" dxfId="2768" priority="2006">
      <formula>LEN(TRIM(A1791))=0</formula>
    </cfRule>
  </conditionalFormatting>
  <conditionalFormatting sqref="J1791:L1791">
    <cfRule type="containsBlanks" dxfId="2767" priority="2005">
      <formula>LEN(TRIM(J1791))=0</formula>
    </cfRule>
  </conditionalFormatting>
  <conditionalFormatting sqref="J1791:L1791">
    <cfRule type="containsBlanks" dxfId="2766" priority="2004">
      <formula>LEN(TRIM(J1791))=0</formula>
    </cfRule>
  </conditionalFormatting>
  <conditionalFormatting sqref="A1792:B1792 M1792:U1792 AD1792:AI1792 Y1792:Z1792 F1792:I1792">
    <cfRule type="containsBlanks" dxfId="2765" priority="2003">
      <formula>LEN(TRIM(A1792))=0</formula>
    </cfRule>
  </conditionalFormatting>
  <conditionalFormatting sqref="J1792:L1792">
    <cfRule type="containsBlanks" dxfId="2764" priority="2002">
      <formula>LEN(TRIM(J1792))=0</formula>
    </cfRule>
  </conditionalFormatting>
  <conditionalFormatting sqref="A1793:B1794 M1793:U1794 AD1793:AI1794 Y1793:Z1794 F1793:I1794">
    <cfRule type="containsBlanks" dxfId="2763" priority="1998">
      <formula>LEN(TRIM(A1793))=0</formula>
    </cfRule>
  </conditionalFormatting>
  <conditionalFormatting sqref="A1793:B1795 M1793:U1795 AD1793:AI1795 Y1793:Z1795 F1793:I1795">
    <cfRule type="containsBlanks" dxfId="2762" priority="1999">
      <formula>LEN(TRIM(A1793))=0</formula>
    </cfRule>
  </conditionalFormatting>
  <conditionalFormatting sqref="J1793:L1794">
    <cfRule type="containsBlanks" dxfId="2761" priority="1997">
      <formula>LEN(TRIM(J1793))=0</formula>
    </cfRule>
  </conditionalFormatting>
  <conditionalFormatting sqref="J1794:L1794">
    <cfRule type="containsBlanks" dxfId="2760" priority="1996">
      <formula>LEN(TRIM(J1794))=0</formula>
    </cfRule>
  </conditionalFormatting>
  <conditionalFormatting sqref="A1795:B1795 M1795:U1795 AD1795:AI1795 Y1795:Z1795 F1795:I1795">
    <cfRule type="containsBlanks" dxfId="2759" priority="1995">
      <formula>LEN(TRIM(A1795))=0</formula>
    </cfRule>
  </conditionalFormatting>
  <conditionalFormatting sqref="J1795:L1795">
    <cfRule type="containsBlanks" dxfId="2758" priority="1994">
      <formula>LEN(TRIM(J1795))=0</formula>
    </cfRule>
  </conditionalFormatting>
  <conditionalFormatting sqref="A1796:B1798 M1796:U1798 AD1796:AI1798 Y1796:Z1798 F1796:I1798">
    <cfRule type="containsBlanks" dxfId="2757" priority="1990">
      <formula>LEN(TRIM(A1796))=0</formula>
    </cfRule>
  </conditionalFormatting>
  <conditionalFormatting sqref="A1796:B1797 M1796:U1797 Y1796:Z1797 AD1796:AI1797 F1796:I1797">
    <cfRule type="containsBlanks" dxfId="2756" priority="1989">
      <formula>LEN(TRIM(A1796))=0</formula>
    </cfRule>
  </conditionalFormatting>
  <conditionalFormatting sqref="J1796:L1796 K1797 J1797:J1806 L1797:L1811">
    <cfRule type="containsBlanks" dxfId="2755" priority="1988">
      <formula>LEN(TRIM(J1796))=0</formula>
    </cfRule>
  </conditionalFormatting>
  <conditionalFormatting sqref="K1797">
    <cfRule type="containsBlanks" dxfId="2754" priority="1987">
      <formula>LEN(TRIM(K1797))=0</formula>
    </cfRule>
  </conditionalFormatting>
  <conditionalFormatting sqref="A1798:B1798 M1798:U1798 AD1798:AI1798 Y1798:Z1798 F1798:I1798">
    <cfRule type="containsBlanks" dxfId="2753" priority="1986">
      <formula>LEN(TRIM(A1798))=0</formula>
    </cfRule>
  </conditionalFormatting>
  <conditionalFormatting sqref="K1798">
    <cfRule type="containsBlanks" dxfId="2752" priority="1985">
      <formula>LEN(TRIM(K1798))=0</formula>
    </cfRule>
  </conditionalFormatting>
  <conditionalFormatting sqref="A1799:B1801 M1799:U1801 AD1799:AI1801 Y1799:Z1801 F1799:I1801">
    <cfRule type="containsBlanks" dxfId="2751" priority="1981">
      <formula>LEN(TRIM(A1799))=0</formula>
    </cfRule>
  </conditionalFormatting>
  <conditionalFormatting sqref="A1799:B1800 M1799:U1800 AD1799:AI1800 Y1799:Z1800 F1799:I1800">
    <cfRule type="containsBlanks" dxfId="2750" priority="1980">
      <formula>LEN(TRIM(A1799))=0</formula>
    </cfRule>
  </conditionalFormatting>
  <conditionalFormatting sqref="K1799:K1800">
    <cfRule type="containsBlanks" dxfId="2749" priority="1979">
      <formula>LEN(TRIM(K1799))=0</formula>
    </cfRule>
  </conditionalFormatting>
  <conditionalFormatting sqref="K1800">
    <cfRule type="containsBlanks" dxfId="2748" priority="1978">
      <formula>LEN(TRIM(K1800))=0</formula>
    </cfRule>
  </conditionalFormatting>
  <conditionalFormatting sqref="A1801:B1801 M1801:U1801 AD1801:AI1801 Y1801:Z1801 F1801:I1801">
    <cfRule type="containsBlanks" dxfId="2747" priority="1977">
      <formula>LEN(TRIM(A1801))=0</formula>
    </cfRule>
  </conditionalFormatting>
  <conditionalFormatting sqref="K1801">
    <cfRule type="containsBlanks" dxfId="2746" priority="1976">
      <formula>LEN(TRIM(K1801))=0</formula>
    </cfRule>
  </conditionalFormatting>
  <conditionalFormatting sqref="A1802:B1803 M1802:U1803 AD1802:AI1803 Y1802:Z1803 F1802:I1803">
    <cfRule type="containsBlanks" dxfId="2745" priority="1972">
      <formula>LEN(TRIM(A1802))=0</formula>
    </cfRule>
  </conditionalFormatting>
  <conditionalFormatting sqref="A1802:B1802 M1802:U1802 Y1802:Z1802 AD1802:AI1802 F1802:I1802">
    <cfRule type="containsBlanks" dxfId="2744" priority="1971">
      <formula>LEN(TRIM(A1802))=0</formula>
    </cfRule>
  </conditionalFormatting>
  <conditionalFormatting sqref="K1802">
    <cfRule type="containsBlanks" dxfId="2743" priority="1970">
      <formula>LEN(TRIM(K1802))=0</formula>
    </cfRule>
  </conditionalFormatting>
  <conditionalFormatting sqref="K1802">
    <cfRule type="containsBlanks" dxfId="2742" priority="1969">
      <formula>LEN(TRIM(K1802))=0</formula>
    </cfRule>
  </conditionalFormatting>
  <conditionalFormatting sqref="A1803:B1803 M1803:U1803 AD1803:AI1803 Y1803:Z1803 F1803:I1803">
    <cfRule type="containsBlanks" dxfId="2741" priority="1968">
      <formula>LEN(TRIM(A1803))=0</formula>
    </cfRule>
  </conditionalFormatting>
  <conditionalFormatting sqref="K1803">
    <cfRule type="containsBlanks" dxfId="2740" priority="1967">
      <formula>LEN(TRIM(K1803))=0</formula>
    </cfRule>
  </conditionalFormatting>
  <conditionalFormatting sqref="A1804:B1805 M1804:U1805 AD1804:AI1805 Y1804:Z1805 F1804:I1805">
    <cfRule type="containsBlanks" dxfId="2739" priority="1963">
      <formula>LEN(TRIM(A1804))=0</formula>
    </cfRule>
  </conditionalFormatting>
  <conditionalFormatting sqref="A1804:B1806 M1804:U1806 AD1804:AI1806 Y1804:Z1806 F1804:I1806">
    <cfRule type="containsBlanks" dxfId="2738" priority="1964">
      <formula>LEN(TRIM(A1804))=0</formula>
    </cfRule>
  </conditionalFormatting>
  <conditionalFormatting sqref="K1804:K1805">
    <cfRule type="containsBlanks" dxfId="2737" priority="1962">
      <formula>LEN(TRIM(K1804))=0</formula>
    </cfRule>
  </conditionalFormatting>
  <conditionalFormatting sqref="K1805">
    <cfRule type="containsBlanks" dxfId="2736" priority="1961">
      <formula>LEN(TRIM(K1805))=0</formula>
    </cfRule>
  </conditionalFormatting>
  <conditionalFormatting sqref="A1806:B1806 M1806:U1806 AD1806:AI1806 Y1806:Z1806 F1806:I1806">
    <cfRule type="containsBlanks" dxfId="2735" priority="1960">
      <formula>LEN(TRIM(A1806))=0</formula>
    </cfRule>
  </conditionalFormatting>
  <conditionalFormatting sqref="K1806">
    <cfRule type="containsBlanks" dxfId="2734" priority="1959">
      <formula>LEN(TRIM(K1806))=0</formula>
    </cfRule>
  </conditionalFormatting>
  <conditionalFormatting sqref="A1807:B1809 M1807:U1809 AD1807:AI1809 Y1807:Z1809 F1807:I1809">
    <cfRule type="containsBlanks" dxfId="2733" priority="1955">
      <formula>LEN(TRIM(A1807))=0</formula>
    </cfRule>
  </conditionalFormatting>
  <conditionalFormatting sqref="A1807:B1808 M1807:U1808 AD1807:AI1808 Y1807:Z1808 F1807:I1808">
    <cfRule type="containsBlanks" dxfId="2732" priority="1954">
      <formula>LEN(TRIM(A1807))=0</formula>
    </cfRule>
  </conditionalFormatting>
  <conditionalFormatting sqref="J1807:K1808">
    <cfRule type="containsBlanks" dxfId="2731" priority="1953">
      <formula>LEN(TRIM(J1807))=0</formula>
    </cfRule>
  </conditionalFormatting>
  <conditionalFormatting sqref="J1808:K1808">
    <cfRule type="containsBlanks" dxfId="2730" priority="1952">
      <formula>LEN(TRIM(J1808))=0</formula>
    </cfRule>
  </conditionalFormatting>
  <conditionalFormatting sqref="A1809:B1809 M1809:U1809 AD1809:AI1809 Y1809:Z1809 F1809:I1809">
    <cfRule type="containsBlanks" dxfId="2729" priority="1951">
      <formula>LEN(TRIM(A1809))=0</formula>
    </cfRule>
  </conditionalFormatting>
  <conditionalFormatting sqref="J1809:K1809">
    <cfRule type="containsBlanks" dxfId="2728" priority="1950">
      <formula>LEN(TRIM(J1809))=0</formula>
    </cfRule>
  </conditionalFormatting>
  <conditionalFormatting sqref="A1812:I1812 M1812:W1812 M1810:U1811 AC1812:AI1812 AD1810:AI1811 A1810:B1811 F1810:I1811 Y1810:Z1812">
    <cfRule type="containsBlanks" dxfId="2727" priority="1946">
      <formula>LEN(TRIM(A1810))=0</formula>
    </cfRule>
  </conditionalFormatting>
  <conditionalFormatting sqref="A1810:B1811 M1810:U1811 AD1810:AI1811 Y1810:Z1811 F1810:I1811">
    <cfRule type="containsBlanks" dxfId="2726" priority="1945">
      <formula>LEN(TRIM(A1810))=0</formula>
    </cfRule>
  </conditionalFormatting>
  <conditionalFormatting sqref="J1810:K1811">
    <cfRule type="containsBlanks" dxfId="2725" priority="1944">
      <formula>LEN(TRIM(J1810))=0</formula>
    </cfRule>
  </conditionalFormatting>
  <conditionalFormatting sqref="J1811:K1811">
    <cfRule type="containsBlanks" dxfId="2724" priority="1943">
      <formula>LEN(TRIM(J1811))=0</formula>
    </cfRule>
  </conditionalFormatting>
  <conditionalFormatting sqref="A1812:I1812 M1812:W1812 AC1812:AI1812 Y1812:Z1812">
    <cfRule type="containsBlanks" dxfId="2723" priority="1942">
      <formula>LEN(TRIM(A1812))=0</formula>
    </cfRule>
  </conditionalFormatting>
  <conditionalFormatting sqref="J1812:L1812">
    <cfRule type="containsBlanks" dxfId="2722" priority="1941">
      <formula>LEN(TRIM(J1812))=0</formula>
    </cfRule>
  </conditionalFormatting>
  <conditionalFormatting sqref="A1813:I1813 M1814:T1814 M1813:U1813 AC1813:AI1813 AD1814:AI1814 Y1813:Z1814 A1814:B1814 F1814:I1814">
    <cfRule type="containsBlanks" dxfId="2721" priority="1937">
      <formula>LEN(TRIM(A1813))=0</formula>
    </cfRule>
  </conditionalFormatting>
  <conditionalFormatting sqref="AB1812">
    <cfRule type="containsBlanks" dxfId="2720" priority="1938">
      <formula>LEN(TRIM(AB1812))=0</formula>
    </cfRule>
  </conditionalFormatting>
  <conditionalFormatting sqref="A1813:I1813 M1813:U1813 Y1813:Z1813 AC1813:AI1813">
    <cfRule type="containsBlanks" dxfId="2719" priority="1936">
      <formula>LEN(TRIM(A1813))=0</formula>
    </cfRule>
  </conditionalFormatting>
  <conditionalFormatting sqref="J1813:L1813">
    <cfRule type="containsBlanks" dxfId="2718" priority="1935">
      <formula>LEN(TRIM(J1813))=0</formula>
    </cfRule>
  </conditionalFormatting>
  <conditionalFormatting sqref="J1813:L1813">
    <cfRule type="containsBlanks" dxfId="2717" priority="1934">
      <formula>LEN(TRIM(J1813))=0</formula>
    </cfRule>
  </conditionalFormatting>
  <conditionalFormatting sqref="A1814:B1814 M1814:T1814 AD1814:AI1814 Y1814:Z1814 F1814:I1814">
    <cfRule type="containsBlanks" dxfId="2716" priority="1933">
      <formula>LEN(TRIM(A1814))=0</formula>
    </cfRule>
  </conditionalFormatting>
  <conditionalFormatting sqref="J1814:L1814">
    <cfRule type="containsBlanks" dxfId="2715" priority="1932">
      <formula>LEN(TRIM(J1814))=0</formula>
    </cfRule>
  </conditionalFormatting>
  <conditionalFormatting sqref="V1813:X1813">
    <cfRule type="containsBlanks" dxfId="2714" priority="1931">
      <formula>LEN(TRIM(V1813))=0</formula>
    </cfRule>
  </conditionalFormatting>
  <conditionalFormatting sqref="AB1813">
    <cfRule type="containsBlanks" dxfId="2713" priority="1930">
      <formula>LEN(TRIM(AB1813))=0</formula>
    </cfRule>
  </conditionalFormatting>
  <conditionalFormatting sqref="A1815:I1815 M1815:Z1815 M1817:Z1817 M1816:T1816 Y1816:Z1816 AD1815:AI1817 A1817:I1817 A1816:B1816 F1816:I1816">
    <cfRule type="containsBlanks" dxfId="2712" priority="1929">
      <formula>LEN(TRIM(A1815))=0</formula>
    </cfRule>
  </conditionalFormatting>
  <conditionalFormatting sqref="A1815:I1815 M1815:Z1815 M1816:T1816 Y1816:Z1816 AD1815:AI1816 A1816:B1816 F1816:I1816">
    <cfRule type="containsBlanks" dxfId="2711" priority="1928">
      <formula>LEN(TRIM(A1815))=0</formula>
    </cfRule>
  </conditionalFormatting>
  <conditionalFormatting sqref="J1815:L1816">
    <cfRule type="containsBlanks" dxfId="2710" priority="1927">
      <formula>LEN(TRIM(J1815))=0</formula>
    </cfRule>
  </conditionalFormatting>
  <conditionalFormatting sqref="J1816:L1816">
    <cfRule type="containsBlanks" dxfId="2709" priority="1926">
      <formula>LEN(TRIM(J1816))=0</formula>
    </cfRule>
  </conditionalFormatting>
  <conditionalFormatting sqref="A1817:I1817 M1817:Z1817 AD1817:AI1817">
    <cfRule type="containsBlanks" dxfId="2708" priority="1925">
      <formula>LEN(TRIM(A1817))=0</formula>
    </cfRule>
  </conditionalFormatting>
  <conditionalFormatting sqref="J1817:L1817">
    <cfRule type="containsBlanks" dxfId="2707" priority="1924">
      <formula>LEN(TRIM(J1817))=0</formula>
    </cfRule>
  </conditionalFormatting>
  <conditionalFormatting sqref="A1819:I1819 M1818:T1818 M1820:T1820 M1819:U1819 AD1818:AI1820 Y1818:Z1820 A1818:B1818 F1818:I1818 A1820:B1820 F1820:I1820">
    <cfRule type="containsBlanks" dxfId="2706" priority="1920">
      <formula>LEN(TRIM(A1818))=0</formula>
    </cfRule>
  </conditionalFormatting>
  <conditionalFormatting sqref="A1819:I1819 M1818:T1818 M1819:U1819 AD1818:AI1819 Y1818:Z1819 A1818:B1818 F1818:I1818">
    <cfRule type="containsBlanks" dxfId="2705" priority="1919">
      <formula>LEN(TRIM(A1818))=0</formula>
    </cfRule>
  </conditionalFormatting>
  <conditionalFormatting sqref="J1818:L1819">
    <cfRule type="containsBlanks" dxfId="2704" priority="1918">
      <formula>LEN(TRIM(J1818))=0</formula>
    </cfRule>
  </conditionalFormatting>
  <conditionalFormatting sqref="J1819:L1819">
    <cfRule type="containsBlanks" dxfId="2703" priority="1917">
      <formula>LEN(TRIM(J1819))=0</formula>
    </cfRule>
  </conditionalFormatting>
  <conditionalFormatting sqref="A1820:B1820 M1820:T1820 AD1820:AI1820 Y1820:Z1820 F1820:I1820">
    <cfRule type="containsBlanks" dxfId="2702" priority="1916">
      <formula>LEN(TRIM(A1820))=0</formula>
    </cfRule>
  </conditionalFormatting>
  <conditionalFormatting sqref="J1820:L1820">
    <cfRule type="containsBlanks" dxfId="2701" priority="1915">
      <formula>LEN(TRIM(J1820))=0</formula>
    </cfRule>
  </conditionalFormatting>
  <conditionalFormatting sqref="V1819:X1819">
    <cfRule type="containsBlanks" dxfId="2700" priority="1914">
      <formula>LEN(TRIM(V1819))=0</formula>
    </cfRule>
  </conditionalFormatting>
  <conditionalFormatting sqref="A1821:I1821 M1821:Z1821 M1822:T1822 Y1822:Z1822 AD1821:AI1822 A1822:B1822 F1822:I1822">
    <cfRule type="containsBlanks" dxfId="2699" priority="1911">
      <formula>LEN(TRIM(A1821))=0</formula>
    </cfRule>
  </conditionalFormatting>
  <conditionalFormatting sqref="A1821:I1821 M1821:Z1821 M1822:T1822 Y1822:Z1822 AD1821:AI1822 A1822:B1822 F1822:I1822">
    <cfRule type="containsBlanks" dxfId="2698" priority="1910">
      <formula>LEN(TRIM(A1821))=0</formula>
    </cfRule>
  </conditionalFormatting>
  <conditionalFormatting sqref="J1821:L1822">
    <cfRule type="containsBlanks" dxfId="2697" priority="1909">
      <formula>LEN(TRIM(J1821))=0</formula>
    </cfRule>
  </conditionalFormatting>
  <conditionalFormatting sqref="J1822:L1822">
    <cfRule type="containsBlanks" dxfId="2696" priority="1908">
      <formula>LEN(TRIM(J1822))=0</formula>
    </cfRule>
  </conditionalFormatting>
  <conditionalFormatting sqref="A1823:B1824 M1824:T1824 M1823:U1823 AD1823:AI1824 Y1823:Z1824 F1823:I1824">
    <cfRule type="containsBlanks" dxfId="2695" priority="1904">
      <formula>LEN(TRIM(A1823))=0</formula>
    </cfRule>
  </conditionalFormatting>
  <conditionalFormatting sqref="A1823:B1823 M1823:U1823 Y1823:Z1823 AD1823:AI1823 F1823:I1823">
    <cfRule type="containsBlanks" dxfId="2694" priority="1903">
      <formula>LEN(TRIM(A1823))=0</formula>
    </cfRule>
  </conditionalFormatting>
  <conditionalFormatting sqref="J1823:L1823">
    <cfRule type="containsBlanks" dxfId="2693" priority="1902">
      <formula>LEN(TRIM(J1823))=0</formula>
    </cfRule>
  </conditionalFormatting>
  <conditionalFormatting sqref="J1823:L1823">
    <cfRule type="containsBlanks" dxfId="2692" priority="1901">
      <formula>LEN(TRIM(J1823))=0</formula>
    </cfRule>
  </conditionalFormatting>
  <conditionalFormatting sqref="A1824:B1824 M1824:T1824 AD1824:AI1824 Y1824:Z1824 F1824:I1824">
    <cfRule type="containsBlanks" dxfId="2691" priority="1900">
      <formula>LEN(TRIM(A1824))=0</formula>
    </cfRule>
  </conditionalFormatting>
  <conditionalFormatting sqref="J1824:L1824">
    <cfRule type="containsBlanks" dxfId="2690" priority="1899">
      <formula>LEN(TRIM(J1824))=0</formula>
    </cfRule>
  </conditionalFormatting>
  <conditionalFormatting sqref="V1823:X1823">
    <cfRule type="containsBlanks" dxfId="2689" priority="1898">
      <formula>LEN(TRIM(V1823))=0</formula>
    </cfRule>
  </conditionalFormatting>
  <conditionalFormatting sqref="A1825:B1827 M1825:Z1825 M1827:Z1827 M1826:T1826 Y1826:Z1826 AD1825:AI1827 F1825:I1827">
    <cfRule type="containsBlanks" dxfId="2688" priority="1896">
      <formula>LEN(TRIM(A1825))=0</formula>
    </cfRule>
  </conditionalFormatting>
  <conditionalFormatting sqref="A1825:B1826 M1825:Z1825 M1826:T1826 Y1826:Z1826 AD1825:AI1826 F1825:I1826">
    <cfRule type="containsBlanks" dxfId="2687" priority="1895">
      <formula>LEN(TRIM(A1825))=0</formula>
    </cfRule>
  </conditionalFormatting>
  <conditionalFormatting sqref="J1825:L1826">
    <cfRule type="containsBlanks" dxfId="2686" priority="1894">
      <formula>LEN(TRIM(J1825))=0</formula>
    </cfRule>
  </conditionalFormatting>
  <conditionalFormatting sqref="J1826:L1826">
    <cfRule type="containsBlanks" dxfId="2685" priority="1893">
      <formula>LEN(TRIM(J1826))=0</formula>
    </cfRule>
  </conditionalFormatting>
  <conditionalFormatting sqref="A1827:B1827 M1827:Z1827 AD1827:AI1827 F1827:I1827">
    <cfRule type="containsBlanks" dxfId="2684" priority="1892">
      <formula>LEN(TRIM(A1827))=0</formula>
    </cfRule>
  </conditionalFormatting>
  <conditionalFormatting sqref="J1827:L1827">
    <cfRule type="containsBlanks" dxfId="2683" priority="1891">
      <formula>LEN(TRIM(J1827))=0</formula>
    </cfRule>
  </conditionalFormatting>
  <conditionalFormatting sqref="A1828:B1830 M1828:T1828 M1830:T1830 M1829:U1829 AD1828:AI1830 Y1828:Z1830 F1828:I1830">
    <cfRule type="containsBlanks" dxfId="2682" priority="1887">
      <formula>LEN(TRIM(A1828))=0</formula>
    </cfRule>
  </conditionalFormatting>
  <conditionalFormatting sqref="A1828:B1829 M1828:T1828 M1829:U1829 AD1828:AI1829 Y1828:Z1829 F1828:I1829">
    <cfRule type="containsBlanks" dxfId="2681" priority="1886">
      <formula>LEN(TRIM(A1828))=0</formula>
    </cfRule>
  </conditionalFormatting>
  <conditionalFormatting sqref="J1828:L1829">
    <cfRule type="containsBlanks" dxfId="2680" priority="1885">
      <formula>LEN(TRIM(J1828))=0</formula>
    </cfRule>
  </conditionalFormatting>
  <conditionalFormatting sqref="J1829:L1829">
    <cfRule type="containsBlanks" dxfId="2679" priority="1884">
      <formula>LEN(TRIM(J1829))=0</formula>
    </cfRule>
  </conditionalFormatting>
  <conditionalFormatting sqref="A1830:B1830 M1830:T1830 AD1830:AI1830 Y1830:Z1830 F1830:I1830">
    <cfRule type="containsBlanks" dxfId="2678" priority="1883">
      <formula>LEN(TRIM(A1830))=0</formula>
    </cfRule>
  </conditionalFormatting>
  <conditionalFormatting sqref="J1830:L1830">
    <cfRule type="containsBlanks" dxfId="2677" priority="1882">
      <formula>LEN(TRIM(J1830))=0</formula>
    </cfRule>
  </conditionalFormatting>
  <conditionalFormatting sqref="V1829:X1829">
    <cfRule type="containsBlanks" dxfId="2676" priority="1881">
      <formula>LEN(TRIM(V1829))=0</formula>
    </cfRule>
  </conditionalFormatting>
  <conditionalFormatting sqref="A1831:B1833 M1831:Z1831 M1833:Z1833 M1832:T1832 Y1832:Z1832 AD1831:AI1833 F1831:I1833">
    <cfRule type="containsBlanks" dxfId="2675" priority="1878">
      <formula>LEN(TRIM(A1831))=0</formula>
    </cfRule>
  </conditionalFormatting>
  <conditionalFormatting sqref="A1831:B1832 M1831:Z1831 M1832:T1832 Y1832:Z1832 AD1831:AI1832 F1831:I1832">
    <cfRule type="containsBlanks" dxfId="2674" priority="1877">
      <formula>LEN(TRIM(A1831))=0</formula>
    </cfRule>
  </conditionalFormatting>
  <conditionalFormatting sqref="J1831:L1832">
    <cfRule type="containsBlanks" dxfId="2673" priority="1876">
      <formula>LEN(TRIM(J1831))=0</formula>
    </cfRule>
  </conditionalFormatting>
  <conditionalFormatting sqref="J1832:L1832">
    <cfRule type="containsBlanks" dxfId="2672" priority="1875">
      <formula>LEN(TRIM(J1832))=0</formula>
    </cfRule>
  </conditionalFormatting>
  <conditionalFormatting sqref="A1833:B1833 M1833:Z1833 AD1833:AI1833 F1833:I1833">
    <cfRule type="containsBlanks" dxfId="2671" priority="1874">
      <formula>LEN(TRIM(A1833))=0</formula>
    </cfRule>
  </conditionalFormatting>
  <conditionalFormatting sqref="J1833:L1833">
    <cfRule type="containsBlanks" dxfId="2670" priority="1873">
      <formula>LEN(TRIM(J1833))=0</formula>
    </cfRule>
  </conditionalFormatting>
  <conditionalFormatting sqref="A1834:B1835 M1835:Z1835 M1834:T1834 Y1834:Z1834 AD1834:AI1835 F1834:I1835">
    <cfRule type="containsBlanks" dxfId="2669" priority="1869">
      <formula>LEN(TRIM(A1834))=0</formula>
    </cfRule>
  </conditionalFormatting>
  <conditionalFormatting sqref="A1834:B1834 M1834:T1834 Y1834:Z1834 AD1834:AI1834 F1834:I1834">
    <cfRule type="containsBlanks" dxfId="2668" priority="1868">
      <formula>LEN(TRIM(A1834))=0</formula>
    </cfRule>
  </conditionalFormatting>
  <conditionalFormatting sqref="J1834:L1834">
    <cfRule type="containsBlanks" dxfId="2667" priority="1867">
      <formula>LEN(TRIM(J1834))=0</formula>
    </cfRule>
  </conditionalFormatting>
  <conditionalFormatting sqref="J1834:L1834">
    <cfRule type="containsBlanks" dxfId="2666" priority="1866">
      <formula>LEN(TRIM(J1834))=0</formula>
    </cfRule>
  </conditionalFormatting>
  <conditionalFormatting sqref="A1835:B1835 M1835:Z1835 AD1835:AI1835 F1835:I1835">
    <cfRule type="containsBlanks" dxfId="2665" priority="1865">
      <formula>LEN(TRIM(A1835))=0</formula>
    </cfRule>
  </conditionalFormatting>
  <conditionalFormatting sqref="J1835:L1835">
    <cfRule type="containsBlanks" dxfId="2664" priority="1864">
      <formula>LEN(TRIM(J1835))=0</formula>
    </cfRule>
  </conditionalFormatting>
  <conditionalFormatting sqref="M1836:T1836 M1838:T1838 M1837:U1837 A1838:B1838 AD1836:AI1838 Y1836:Z1838 F1838:H1838">
    <cfRule type="containsBlanks" dxfId="2663" priority="1861">
      <formula>LEN(TRIM(A1836))=0</formula>
    </cfRule>
  </conditionalFormatting>
  <conditionalFormatting sqref="M1836:T1836 M1837:U1837 AD1836:AI1837 Y1836:Z1837">
    <cfRule type="containsBlanks" dxfId="2662" priority="1860">
      <formula>LEN(TRIM(M1836))=0</formula>
    </cfRule>
  </conditionalFormatting>
  <conditionalFormatting sqref="J1836:L1837">
    <cfRule type="containsBlanks" dxfId="2661" priority="1859">
      <formula>LEN(TRIM(J1836))=0</formula>
    </cfRule>
  </conditionalFormatting>
  <conditionalFormatting sqref="J1837:L1837">
    <cfRule type="containsBlanks" dxfId="2660" priority="1858">
      <formula>LEN(TRIM(J1837))=0</formula>
    </cfRule>
  </conditionalFormatting>
  <conditionalFormatting sqref="A1838:B1838 M1838:T1838 AD1838:AI1838 Y1838:Z1838 F1838:H1838">
    <cfRule type="containsBlanks" dxfId="2659" priority="1857">
      <formula>LEN(TRIM(A1838))=0</formula>
    </cfRule>
  </conditionalFormatting>
  <conditionalFormatting sqref="J1838:L1838">
    <cfRule type="containsBlanks" dxfId="2658" priority="1856">
      <formula>LEN(TRIM(J1838))=0</formula>
    </cfRule>
  </conditionalFormatting>
  <conditionalFormatting sqref="V1837:X1837">
    <cfRule type="containsBlanks" dxfId="2657" priority="1855">
      <formula>LEN(TRIM(V1837))=0</formula>
    </cfRule>
  </conditionalFormatting>
  <conditionalFormatting sqref="A1839:B1841 M1839:Z1839 M1841:Z1841 M1840:T1840 Y1840:Z1840 AD1839:AI1841 F1839:I1841">
    <cfRule type="containsBlanks" dxfId="2656" priority="1852">
      <formula>LEN(TRIM(A1839))=0</formula>
    </cfRule>
  </conditionalFormatting>
  <conditionalFormatting sqref="A1839:B1840 M1839:Z1839 M1840:T1840 Y1840:Z1840 AD1839:AI1840 F1839:I1840">
    <cfRule type="containsBlanks" dxfId="2655" priority="1851">
      <formula>LEN(TRIM(A1839))=0</formula>
    </cfRule>
  </conditionalFormatting>
  <conditionalFormatting sqref="J1839:L1840">
    <cfRule type="containsBlanks" dxfId="2654" priority="1850">
      <formula>LEN(TRIM(J1839))=0</formula>
    </cfRule>
  </conditionalFormatting>
  <conditionalFormatting sqref="J1840:L1840">
    <cfRule type="containsBlanks" dxfId="2653" priority="1849">
      <formula>LEN(TRIM(J1840))=0</formula>
    </cfRule>
  </conditionalFormatting>
  <conditionalFormatting sqref="A1841:B1841 M1841:Z1841 AD1841:AI1841 F1841:I1841">
    <cfRule type="containsBlanks" dxfId="2652" priority="1848">
      <formula>LEN(TRIM(A1841))=0</formula>
    </cfRule>
  </conditionalFormatting>
  <conditionalFormatting sqref="J1841:L1841">
    <cfRule type="containsBlanks" dxfId="2651" priority="1847">
      <formula>LEN(TRIM(J1841))=0</formula>
    </cfRule>
  </conditionalFormatting>
  <conditionalFormatting sqref="A1842:B1844 M1842:T1844 AD1842:AI1844 F1842:I1844">
    <cfRule type="containsBlanks" dxfId="2650" priority="1843">
      <formula>LEN(TRIM(A1842))=0</formula>
    </cfRule>
  </conditionalFormatting>
  <conditionalFormatting sqref="A1842:B1843 M1842:T1843 AD1842:AI1843 F1842:I1843">
    <cfRule type="containsBlanks" dxfId="2649" priority="1842">
      <formula>LEN(TRIM(A1842))=0</formula>
    </cfRule>
  </conditionalFormatting>
  <conditionalFormatting sqref="J1842:L1843">
    <cfRule type="containsBlanks" dxfId="2648" priority="1841">
      <formula>LEN(TRIM(J1842))=0</formula>
    </cfRule>
  </conditionalFormatting>
  <conditionalFormatting sqref="J1843:L1843">
    <cfRule type="containsBlanks" dxfId="2647" priority="1840">
      <formula>LEN(TRIM(J1843))=0</formula>
    </cfRule>
  </conditionalFormatting>
  <conditionalFormatting sqref="A1844:B1844 M1844:T1844 AD1844:AI1844 F1844:I1844">
    <cfRule type="containsBlanks" dxfId="2646" priority="1839">
      <formula>LEN(TRIM(A1844))=0</formula>
    </cfRule>
  </conditionalFormatting>
  <conditionalFormatting sqref="J1844:L1844">
    <cfRule type="containsBlanks" dxfId="2645" priority="1838">
      <formula>LEN(TRIM(J1844))=0</formula>
    </cfRule>
  </conditionalFormatting>
  <conditionalFormatting sqref="AC1759:AC1760 AA1759:AA1760">
    <cfRule type="containsBlanks" dxfId="2644" priority="1403">
      <formula>LEN(TRIM(AA1759))=0</formula>
    </cfRule>
  </conditionalFormatting>
  <conditionalFormatting sqref="AC1758">
    <cfRule type="containsBlanks" dxfId="2643" priority="1402">
      <formula>LEN(TRIM(AC1758))=0</formula>
    </cfRule>
  </conditionalFormatting>
  <conditionalFormatting sqref="AC1750:AC1751 AA1750:AA1751">
    <cfRule type="containsBlanks" dxfId="2642" priority="1415">
      <formula>LEN(TRIM(AA1750))=0</formula>
    </cfRule>
  </conditionalFormatting>
  <conditionalFormatting sqref="A1845:B1846 M1845:T1846 AD1845:AI1846 F1845:I1846">
    <cfRule type="containsBlanks" dxfId="2641" priority="1834">
      <formula>LEN(TRIM(A1845))=0</formula>
    </cfRule>
  </conditionalFormatting>
  <conditionalFormatting sqref="A1845:B1845 M1845:T1845 AD1845:AI1845 F1845:I1845">
    <cfRule type="containsBlanks" dxfId="2640" priority="1833">
      <formula>LEN(TRIM(A1845))=0</formula>
    </cfRule>
  </conditionalFormatting>
  <conditionalFormatting sqref="J1845:L1845">
    <cfRule type="containsBlanks" dxfId="2639" priority="1832">
      <formula>LEN(TRIM(J1845))=0</formula>
    </cfRule>
  </conditionalFormatting>
  <conditionalFormatting sqref="J1845:L1845">
    <cfRule type="containsBlanks" dxfId="2638" priority="1831">
      <formula>LEN(TRIM(J1845))=0</formula>
    </cfRule>
  </conditionalFormatting>
  <conditionalFormatting sqref="A1846:B1846 M1846:T1846 AD1846:AI1846 F1846:I1846">
    <cfRule type="containsBlanks" dxfId="2637" priority="1830">
      <formula>LEN(TRIM(A1846))=0</formula>
    </cfRule>
  </conditionalFormatting>
  <conditionalFormatting sqref="J1846:L1846">
    <cfRule type="containsBlanks" dxfId="2636" priority="1829">
      <formula>LEN(TRIM(J1846))=0</formula>
    </cfRule>
  </conditionalFormatting>
  <conditionalFormatting sqref="AB1755:AC1757">
    <cfRule type="containsBlanks" dxfId="2635" priority="1408">
      <formula>LEN(TRIM(AB1755))=0</formula>
    </cfRule>
  </conditionalFormatting>
  <conditionalFormatting sqref="AA1736">
    <cfRule type="containsBlanks" dxfId="2634" priority="1421">
      <formula>LEN(TRIM(AA1736))=0</formula>
    </cfRule>
  </conditionalFormatting>
  <conditionalFormatting sqref="A1847:B1849 M1847:T1849 AD1847:AI1849 F1847:I1849">
    <cfRule type="containsBlanks" dxfId="2633" priority="1826">
      <formula>LEN(TRIM(A1847))=0</formula>
    </cfRule>
  </conditionalFormatting>
  <conditionalFormatting sqref="A1847:B1848 M1847:T1848 AD1847:AI1848 F1847:I1848">
    <cfRule type="containsBlanks" dxfId="2632" priority="1825">
      <formula>LEN(TRIM(A1847))=0</formula>
    </cfRule>
  </conditionalFormatting>
  <conditionalFormatting sqref="J1847:L1848">
    <cfRule type="containsBlanks" dxfId="2631" priority="1824">
      <formula>LEN(TRIM(J1847))=0</formula>
    </cfRule>
  </conditionalFormatting>
  <conditionalFormatting sqref="J1848:L1848">
    <cfRule type="containsBlanks" dxfId="2630" priority="1823">
      <formula>LEN(TRIM(J1848))=0</formula>
    </cfRule>
  </conditionalFormatting>
  <conditionalFormatting sqref="A1849:B1849 M1849:T1849 AD1849:AI1849 F1849:I1849">
    <cfRule type="containsBlanks" dxfId="2629" priority="1822">
      <formula>LEN(TRIM(A1849))=0</formula>
    </cfRule>
  </conditionalFormatting>
  <conditionalFormatting sqref="J1849:L1849">
    <cfRule type="containsBlanks" dxfId="2628" priority="1821">
      <formula>LEN(TRIM(J1849))=0</formula>
    </cfRule>
  </conditionalFormatting>
  <conditionalFormatting sqref="AC1727">
    <cfRule type="containsBlanks" dxfId="2627" priority="1428">
      <formula>LEN(TRIM(AC1727))=0</formula>
    </cfRule>
  </conditionalFormatting>
  <conditionalFormatting sqref="AA1749">
    <cfRule type="containsBlanks" dxfId="2626" priority="1413">
      <formula>LEN(TRIM(AA1749))=0</formula>
    </cfRule>
  </conditionalFormatting>
  <conditionalFormatting sqref="AC1730">
    <cfRule type="containsBlanks" dxfId="2625" priority="1426">
      <formula>LEN(TRIM(AC1730))=0</formula>
    </cfRule>
  </conditionalFormatting>
  <conditionalFormatting sqref="A1850:B1852 M1850:T1852 AD1850:AI1852 F1850:I1852">
    <cfRule type="containsBlanks" dxfId="2624" priority="1817">
      <formula>LEN(TRIM(A1850))=0</formula>
    </cfRule>
  </conditionalFormatting>
  <conditionalFormatting sqref="A1850:B1851 M1850:T1851 AD1850:AI1851 F1850:I1851">
    <cfRule type="containsBlanks" dxfId="2623" priority="1816">
      <formula>LEN(TRIM(A1850))=0</formula>
    </cfRule>
  </conditionalFormatting>
  <conditionalFormatting sqref="J1850:L1851">
    <cfRule type="containsBlanks" dxfId="2622" priority="1815">
      <formula>LEN(TRIM(J1850))=0</formula>
    </cfRule>
  </conditionalFormatting>
  <conditionalFormatting sqref="J1851:L1851">
    <cfRule type="containsBlanks" dxfId="2621" priority="1814">
      <formula>LEN(TRIM(J1851))=0</formula>
    </cfRule>
  </conditionalFormatting>
  <conditionalFormatting sqref="A1852:B1852 M1852:T1852 AD1852:AI1852 F1852:I1852">
    <cfRule type="containsBlanks" dxfId="2620" priority="1813">
      <formula>LEN(TRIM(A1852))=0</formula>
    </cfRule>
  </conditionalFormatting>
  <conditionalFormatting sqref="J1852:L1852">
    <cfRule type="containsBlanks" dxfId="2619" priority="1812">
      <formula>LEN(TRIM(J1852))=0</formula>
    </cfRule>
  </conditionalFormatting>
  <conditionalFormatting sqref="AA1724">
    <cfRule type="containsBlanks" dxfId="2618" priority="1445">
      <formula>LEN(TRIM(AA1724))=0</formula>
    </cfRule>
  </conditionalFormatting>
  <conditionalFormatting sqref="A1853:B1854 M1853:T1854 AD1853:AI1854 F1853:I1854">
    <cfRule type="containsBlanks" dxfId="2617" priority="1808">
      <formula>LEN(TRIM(A1853))=0</formula>
    </cfRule>
  </conditionalFormatting>
  <conditionalFormatting sqref="A1853:B1854 M1853:T1854 AD1853:AI1854 F1853:I1854">
    <cfRule type="containsBlanks" dxfId="2616" priority="1807">
      <formula>LEN(TRIM(A1853))=0</formula>
    </cfRule>
  </conditionalFormatting>
  <conditionalFormatting sqref="J1853:L1854">
    <cfRule type="containsBlanks" dxfId="2615" priority="1806">
      <formula>LEN(TRIM(J1853))=0</formula>
    </cfRule>
  </conditionalFormatting>
  <conditionalFormatting sqref="J1854:L1854">
    <cfRule type="containsBlanks" dxfId="2614" priority="1805">
      <formula>LEN(TRIM(J1854))=0</formula>
    </cfRule>
  </conditionalFormatting>
  <conditionalFormatting sqref="AC1712">
    <cfRule type="containsBlanks" dxfId="2613" priority="1454">
      <formula>LEN(TRIM(AC1712))=0</formula>
    </cfRule>
  </conditionalFormatting>
  <conditionalFormatting sqref="AC1715">
    <cfRule type="containsBlanks" dxfId="2612" priority="1452">
      <formula>LEN(TRIM(AC1715))=0</formula>
    </cfRule>
  </conditionalFormatting>
  <conditionalFormatting sqref="A1855:B1856 M1855:T1856 AD1855:AI1856 F1855:I1856">
    <cfRule type="containsBlanks" dxfId="2611" priority="1801">
      <formula>LEN(TRIM(A1855))=0</formula>
    </cfRule>
  </conditionalFormatting>
  <conditionalFormatting sqref="A1855:B1855 M1855:T1855 AD1855:AI1855 F1855:I1855">
    <cfRule type="containsBlanks" dxfId="2610" priority="1800">
      <formula>LEN(TRIM(A1855))=0</formula>
    </cfRule>
  </conditionalFormatting>
  <conditionalFormatting sqref="J1855:L1855">
    <cfRule type="containsBlanks" dxfId="2609" priority="1799">
      <formula>LEN(TRIM(J1855))=0</formula>
    </cfRule>
  </conditionalFormatting>
  <conditionalFormatting sqref="J1855:L1855">
    <cfRule type="containsBlanks" dxfId="2608" priority="1798">
      <formula>LEN(TRIM(J1855))=0</formula>
    </cfRule>
  </conditionalFormatting>
  <conditionalFormatting sqref="A1856:B1856 M1856:T1856 AD1856:AI1856 F1856:I1856">
    <cfRule type="containsBlanks" dxfId="2607" priority="1797">
      <formula>LEN(TRIM(A1856))=0</formula>
    </cfRule>
  </conditionalFormatting>
  <conditionalFormatting sqref="J1856:L1856">
    <cfRule type="containsBlanks" dxfId="2606" priority="1796">
      <formula>LEN(TRIM(J1856))=0</formula>
    </cfRule>
  </conditionalFormatting>
  <conditionalFormatting sqref="AC1706">
    <cfRule type="containsBlanks" dxfId="2605" priority="1458">
      <formula>LEN(TRIM(AC1706))=0</formula>
    </cfRule>
  </conditionalFormatting>
  <conditionalFormatting sqref="A1857:B1859 M1857:T1859 AD1857:AI1859 F1857:I1859">
    <cfRule type="containsBlanks" dxfId="2604" priority="1793">
      <formula>LEN(TRIM(A1857))=0</formula>
    </cfRule>
  </conditionalFormatting>
  <conditionalFormatting sqref="A1857:B1858 M1857:T1858 AD1857:AI1858 F1857:I1858">
    <cfRule type="containsBlanks" dxfId="2603" priority="1792">
      <formula>LEN(TRIM(A1857))=0</formula>
    </cfRule>
  </conditionalFormatting>
  <conditionalFormatting sqref="J1857:L1858">
    <cfRule type="containsBlanks" dxfId="2602" priority="1791">
      <formula>LEN(TRIM(J1857))=0</formula>
    </cfRule>
  </conditionalFormatting>
  <conditionalFormatting sqref="J1858:L1858">
    <cfRule type="containsBlanks" dxfId="2601" priority="1790">
      <formula>LEN(TRIM(J1858))=0</formula>
    </cfRule>
  </conditionalFormatting>
  <conditionalFormatting sqref="A1859:B1859 M1859:T1859 AD1859:AI1859 F1859:I1859">
    <cfRule type="containsBlanks" dxfId="2600" priority="1789">
      <formula>LEN(TRIM(A1859))=0</formula>
    </cfRule>
  </conditionalFormatting>
  <conditionalFormatting sqref="J1859:L1859">
    <cfRule type="containsBlanks" dxfId="2599" priority="1788">
      <formula>LEN(TRIM(J1859))=0</formula>
    </cfRule>
  </conditionalFormatting>
  <conditionalFormatting sqref="AC1718">
    <cfRule type="containsBlanks" dxfId="2598" priority="1450">
      <formula>LEN(TRIM(AC1718))=0</formula>
    </cfRule>
  </conditionalFormatting>
  <conditionalFormatting sqref="AA1697">
    <cfRule type="containsBlanks" dxfId="2597" priority="1463">
      <formula>LEN(TRIM(AA1697))=0</formula>
    </cfRule>
  </conditionalFormatting>
  <conditionalFormatting sqref="A1860:B1862 M1860:T1862 AD1860:AI1862 F1860:I1862">
    <cfRule type="containsBlanks" dxfId="2596" priority="1784">
      <formula>LEN(TRIM(A1860))=0</formula>
    </cfRule>
  </conditionalFormatting>
  <conditionalFormatting sqref="A1860:B1861 M1860:T1861 AD1860:AI1861 F1860:I1861">
    <cfRule type="containsBlanks" dxfId="2595" priority="1783">
      <formula>LEN(TRIM(A1860))=0</formula>
    </cfRule>
  </conditionalFormatting>
  <conditionalFormatting sqref="J1860:L1861">
    <cfRule type="containsBlanks" dxfId="2594" priority="1782">
      <formula>LEN(TRIM(J1860))=0</formula>
    </cfRule>
  </conditionalFormatting>
  <conditionalFormatting sqref="J1861:L1861">
    <cfRule type="containsBlanks" dxfId="2593" priority="1781">
      <formula>LEN(TRIM(J1861))=0</formula>
    </cfRule>
  </conditionalFormatting>
  <conditionalFormatting sqref="A1862:B1862 M1862:T1862 AD1862:AI1862 F1862:I1862">
    <cfRule type="containsBlanks" dxfId="2592" priority="1780">
      <formula>LEN(TRIM(A1862))=0</formula>
    </cfRule>
  </conditionalFormatting>
  <conditionalFormatting sqref="J1862:L1862">
    <cfRule type="containsBlanks" dxfId="2591" priority="1779">
      <formula>LEN(TRIM(J1862))=0</formula>
    </cfRule>
  </conditionalFormatting>
  <conditionalFormatting sqref="AC1694:AC1696">
    <cfRule type="containsBlanks" dxfId="2590" priority="1470">
      <formula>LEN(TRIM(AC1694))=0</formula>
    </cfRule>
  </conditionalFormatting>
  <conditionalFormatting sqref="AC1694">
    <cfRule type="containsBlanks" dxfId="2589" priority="1469">
      <formula>LEN(TRIM(AC1694))=0</formula>
    </cfRule>
  </conditionalFormatting>
  <conditionalFormatting sqref="AC1689:AC1690 AA1689:AA1690 AB1688:AB1690">
    <cfRule type="containsBlanks" dxfId="2588" priority="1482">
      <formula>LEN(TRIM(AA1688))=0</formula>
    </cfRule>
  </conditionalFormatting>
  <conditionalFormatting sqref="A1863:B1865 M1863:T1865 AD1863:AI1865 F1863:I1865">
    <cfRule type="containsBlanks" dxfId="2587" priority="1775">
      <formula>LEN(TRIM(A1863))=0</formula>
    </cfRule>
  </conditionalFormatting>
  <conditionalFormatting sqref="A1863:B1864 M1863:T1864 AD1863:AI1864 F1863:I1864">
    <cfRule type="containsBlanks" dxfId="2586" priority="1774">
      <formula>LEN(TRIM(A1863))=0</formula>
    </cfRule>
  </conditionalFormatting>
  <conditionalFormatting sqref="J1863:L1864">
    <cfRule type="containsBlanks" dxfId="2585" priority="1773">
      <formula>LEN(TRIM(J1863))=0</formula>
    </cfRule>
  </conditionalFormatting>
  <conditionalFormatting sqref="J1864:L1864">
    <cfRule type="containsBlanks" dxfId="2584" priority="1772">
      <formula>LEN(TRIM(J1864))=0</formula>
    </cfRule>
  </conditionalFormatting>
  <conditionalFormatting sqref="A1865:B1865 M1865:T1865 AD1865:AI1865 F1865:I1865">
    <cfRule type="containsBlanks" dxfId="2583" priority="1771">
      <formula>LEN(TRIM(A1865))=0</formula>
    </cfRule>
  </conditionalFormatting>
  <conditionalFormatting sqref="J1865:L1865">
    <cfRule type="containsBlanks" dxfId="2582" priority="1770">
      <formula>LEN(TRIM(J1865))=0</formula>
    </cfRule>
  </conditionalFormatting>
  <conditionalFormatting sqref="AC1682">
    <cfRule type="containsBlanks" dxfId="2581" priority="1489">
      <formula>LEN(TRIM(AC1682))=0</formula>
    </cfRule>
  </conditionalFormatting>
  <conditionalFormatting sqref="AC1691">
    <cfRule type="containsBlanks" dxfId="2580" priority="1474">
      <formula>LEN(TRIM(AC1691))=0</formula>
    </cfRule>
  </conditionalFormatting>
  <conditionalFormatting sqref="AC1686:AC1687 AA1686:AA1687 AB1685:AB1687">
    <cfRule type="containsBlanks" dxfId="2579" priority="1487">
      <formula>LEN(TRIM(AA1685))=0</formula>
    </cfRule>
  </conditionalFormatting>
  <conditionalFormatting sqref="A1866:B1867 M1866:T1867 AD1866:AI1867 F1866:I1867">
    <cfRule type="containsBlanks" dxfId="2578" priority="1766">
      <formula>LEN(TRIM(A1866))=0</formula>
    </cfRule>
  </conditionalFormatting>
  <conditionalFormatting sqref="A1866:B1866 M1866:T1866 AD1866:AI1866 F1866:I1866">
    <cfRule type="containsBlanks" dxfId="2577" priority="1765">
      <formula>LEN(TRIM(A1866))=0</formula>
    </cfRule>
  </conditionalFormatting>
  <conditionalFormatting sqref="J1866:L1866">
    <cfRule type="containsBlanks" dxfId="2576" priority="1764">
      <formula>LEN(TRIM(J1866))=0</formula>
    </cfRule>
  </conditionalFormatting>
  <conditionalFormatting sqref="J1866:L1866">
    <cfRule type="containsBlanks" dxfId="2575" priority="1763">
      <formula>LEN(TRIM(J1866))=0</formula>
    </cfRule>
  </conditionalFormatting>
  <conditionalFormatting sqref="A1867:B1867 M1867:T1867 AD1867:AI1867 F1867:I1867">
    <cfRule type="containsBlanks" dxfId="2574" priority="1762">
      <formula>LEN(TRIM(A1867))=0</formula>
    </cfRule>
  </conditionalFormatting>
  <conditionalFormatting sqref="J1867:L1867">
    <cfRule type="containsBlanks" dxfId="2573" priority="1761">
      <formula>LEN(TRIM(J1867))=0</formula>
    </cfRule>
  </conditionalFormatting>
  <conditionalFormatting sqref="X1718">
    <cfRule type="containsBlanks" dxfId="2572" priority="1154">
      <formula>LEN(TRIM(X1718))=0</formula>
    </cfRule>
  </conditionalFormatting>
  <conditionalFormatting sqref="X1721">
    <cfRule type="containsBlanks" dxfId="2571" priority="1153">
      <formula>LEN(TRIM(X1721))=0</formula>
    </cfRule>
  </conditionalFormatting>
  <conditionalFormatting sqref="A1868:B1870 M1868:T1870 AD1868:AI1870 F1868:I1870">
    <cfRule type="containsBlanks" dxfId="2570" priority="1758">
      <formula>LEN(TRIM(A1868))=0</formula>
    </cfRule>
  </conditionalFormatting>
  <conditionalFormatting sqref="A1868:B1869 M1868:T1869 AD1868:AI1869 F1868:I1869">
    <cfRule type="containsBlanks" dxfId="2569" priority="1757">
      <formula>LEN(TRIM(A1868))=0</formula>
    </cfRule>
  </conditionalFormatting>
  <conditionalFormatting sqref="J1868:L1869">
    <cfRule type="containsBlanks" dxfId="2568" priority="1756">
      <formula>LEN(TRIM(J1868))=0</formula>
    </cfRule>
  </conditionalFormatting>
  <conditionalFormatting sqref="J1869:L1869">
    <cfRule type="containsBlanks" dxfId="2567" priority="1755">
      <formula>LEN(TRIM(J1869))=0</formula>
    </cfRule>
  </conditionalFormatting>
  <conditionalFormatting sqref="A1870:B1870 M1870:T1870 AD1870:AI1870 F1870:I1870">
    <cfRule type="containsBlanks" dxfId="2566" priority="1754">
      <formula>LEN(TRIM(A1870))=0</formula>
    </cfRule>
  </conditionalFormatting>
  <conditionalFormatting sqref="J1870:L1870">
    <cfRule type="containsBlanks" dxfId="2565" priority="1753">
      <formula>LEN(TRIM(J1870))=0</formula>
    </cfRule>
  </conditionalFormatting>
  <conditionalFormatting sqref="X1700">
    <cfRule type="containsBlanks" dxfId="2564" priority="1160">
      <formula>LEN(TRIM(X1700))=0</formula>
    </cfRule>
  </conditionalFormatting>
  <conditionalFormatting sqref="X1703">
    <cfRule type="containsBlanks" dxfId="2563" priority="1159">
      <formula>LEN(TRIM(X1703))=0</formula>
    </cfRule>
  </conditionalFormatting>
  <conditionalFormatting sqref="X1691">
    <cfRule type="containsBlanks" dxfId="2562" priority="1163">
      <formula>LEN(TRIM(X1691))=0</formula>
    </cfRule>
  </conditionalFormatting>
  <conditionalFormatting sqref="A1871:B1873 M1871:T1873 AD1871:AI1873 F1871:I1873">
    <cfRule type="containsBlanks" dxfId="2561" priority="1749">
      <formula>LEN(TRIM(A1871))=0</formula>
    </cfRule>
  </conditionalFormatting>
  <conditionalFormatting sqref="A1871:B1872 M1871:T1872 AD1871:AI1872 F1871:I1872">
    <cfRule type="containsBlanks" dxfId="2560" priority="1748">
      <formula>LEN(TRIM(A1871))=0</formula>
    </cfRule>
  </conditionalFormatting>
  <conditionalFormatting sqref="J1871:L1872">
    <cfRule type="containsBlanks" dxfId="2559" priority="1747">
      <formula>LEN(TRIM(J1871))=0</formula>
    </cfRule>
  </conditionalFormatting>
  <conditionalFormatting sqref="J1872:L1872">
    <cfRule type="containsBlanks" dxfId="2558" priority="1746">
      <formula>LEN(TRIM(J1872))=0</formula>
    </cfRule>
  </conditionalFormatting>
  <conditionalFormatting sqref="A1873:B1873 M1873:T1873 AD1873:AI1873 F1873:I1873">
    <cfRule type="containsBlanks" dxfId="2557" priority="1745">
      <formula>LEN(TRIM(A1873))=0</formula>
    </cfRule>
  </conditionalFormatting>
  <conditionalFormatting sqref="J1873:L1873">
    <cfRule type="containsBlanks" dxfId="2556" priority="1744">
      <formula>LEN(TRIM(J1873))=0</formula>
    </cfRule>
  </conditionalFormatting>
  <conditionalFormatting sqref="X1688">
    <cfRule type="containsBlanks" dxfId="2555" priority="1164">
      <formula>LEN(TRIM(X1688))=0</formula>
    </cfRule>
  </conditionalFormatting>
  <conditionalFormatting sqref="X1675">
    <cfRule type="containsBlanks" dxfId="2554" priority="1168">
      <formula>LEN(TRIM(X1675))=0</formula>
    </cfRule>
  </conditionalFormatting>
  <conditionalFormatting sqref="A1874:B1876 M1874:T1876 AD1874:AI1876 F1874:I1876">
    <cfRule type="containsBlanks" dxfId="2553" priority="1740">
      <formula>LEN(TRIM(A1874))=0</formula>
    </cfRule>
  </conditionalFormatting>
  <conditionalFormatting sqref="A1874:B1875 M1874:T1875 AD1874:AI1875 F1874:I1875">
    <cfRule type="containsBlanks" dxfId="2552" priority="1739">
      <formula>LEN(TRIM(A1874))=0</formula>
    </cfRule>
  </conditionalFormatting>
  <conditionalFormatting sqref="J1874:L1875">
    <cfRule type="containsBlanks" dxfId="2551" priority="1738">
      <formula>LEN(TRIM(J1874))=0</formula>
    </cfRule>
  </conditionalFormatting>
  <conditionalFormatting sqref="J1875:L1875">
    <cfRule type="containsBlanks" dxfId="2550" priority="1737">
      <formula>LEN(TRIM(J1875))=0</formula>
    </cfRule>
  </conditionalFormatting>
  <conditionalFormatting sqref="A1876:B1876 M1876:T1876 AD1876:AI1876 F1876:I1876">
    <cfRule type="containsBlanks" dxfId="2549" priority="1736">
      <formula>LEN(TRIM(A1876))=0</formula>
    </cfRule>
  </conditionalFormatting>
  <conditionalFormatting sqref="J1876:L1876">
    <cfRule type="containsBlanks" dxfId="2548" priority="1735">
      <formula>LEN(TRIM(J1876))=0</formula>
    </cfRule>
  </conditionalFormatting>
  <conditionalFormatting sqref="A1931:B1931 M1931:T1931 Y1931:Z1931 AD1931:AI1931 F1931:I1931">
    <cfRule type="containsBlanks" dxfId="2547" priority="1524">
      <formula>LEN(TRIM(A1931))=0</formula>
    </cfRule>
  </conditionalFormatting>
  <conditionalFormatting sqref="J1931:L1931">
    <cfRule type="containsBlanks" dxfId="2546" priority="1523">
      <formula>LEN(TRIM(J1931))=0</formula>
    </cfRule>
  </conditionalFormatting>
  <conditionalFormatting sqref="A1877:B1878 M1877:T1878 AD1877:AI1878 F1877:I1878">
    <cfRule type="containsBlanks" dxfId="2545" priority="1731">
      <formula>LEN(TRIM(A1877))=0</formula>
    </cfRule>
  </conditionalFormatting>
  <conditionalFormatting sqref="A1877:B1877 M1877:T1877 AD1877:AI1877 F1877:I1877">
    <cfRule type="containsBlanks" dxfId="2544" priority="1730">
      <formula>LEN(TRIM(A1877))=0</formula>
    </cfRule>
  </conditionalFormatting>
  <conditionalFormatting sqref="J1877:L1877">
    <cfRule type="containsBlanks" dxfId="2543" priority="1729">
      <formula>LEN(TRIM(J1877))=0</formula>
    </cfRule>
  </conditionalFormatting>
  <conditionalFormatting sqref="J1877:L1877">
    <cfRule type="containsBlanks" dxfId="2542" priority="1728">
      <formula>LEN(TRIM(J1877))=0</formula>
    </cfRule>
  </conditionalFormatting>
  <conditionalFormatting sqref="A1878:B1878 M1878:T1878 AD1878:AI1878 F1878:I1878">
    <cfRule type="containsBlanks" dxfId="2541" priority="1727">
      <formula>LEN(TRIM(A1878))=0</formula>
    </cfRule>
  </conditionalFormatting>
  <conditionalFormatting sqref="J1878:L1878">
    <cfRule type="containsBlanks" dxfId="2540" priority="1726">
      <formula>LEN(TRIM(J1878))=0</formula>
    </cfRule>
  </conditionalFormatting>
  <conditionalFormatting sqref="J1930:L1930">
    <cfRule type="containsBlanks" dxfId="2539" priority="1529">
      <formula>LEN(TRIM(J1930))=0</formula>
    </cfRule>
  </conditionalFormatting>
  <conditionalFormatting sqref="A1925:B1926 M1925:T1926 AD1925:AI1926 Y1925:Z1926 F1925:I1926">
    <cfRule type="containsBlanks" dxfId="2538" priority="1542">
      <formula>LEN(TRIM(A1925))=0</formula>
    </cfRule>
  </conditionalFormatting>
  <conditionalFormatting sqref="A1879:B1881 M1879:T1881 AD1879:AI1881 F1879:I1881">
    <cfRule type="containsBlanks" dxfId="2537" priority="1723">
      <formula>LEN(TRIM(A1879))=0</formula>
    </cfRule>
  </conditionalFormatting>
  <conditionalFormatting sqref="A1879:B1880 M1879:T1880 AD1879:AI1880 F1879:I1880">
    <cfRule type="containsBlanks" dxfId="2536" priority="1722">
      <formula>LEN(TRIM(A1879))=0</formula>
    </cfRule>
  </conditionalFormatting>
  <conditionalFormatting sqref="J1879:L1880">
    <cfRule type="containsBlanks" dxfId="2535" priority="1721">
      <formula>LEN(TRIM(J1879))=0</formula>
    </cfRule>
  </conditionalFormatting>
  <conditionalFormatting sqref="J1880:L1880">
    <cfRule type="containsBlanks" dxfId="2534" priority="1720">
      <formula>LEN(TRIM(J1880))=0</formula>
    </cfRule>
  </conditionalFormatting>
  <conditionalFormatting sqref="A1881:B1881 M1881:T1881 AD1881:AI1881 F1881:I1881">
    <cfRule type="containsBlanks" dxfId="2533" priority="1719">
      <formula>LEN(TRIM(A1881))=0</formula>
    </cfRule>
  </conditionalFormatting>
  <conditionalFormatting sqref="J1881:L1881">
    <cfRule type="containsBlanks" dxfId="2532" priority="1718">
      <formula>LEN(TRIM(J1881))=0</formula>
    </cfRule>
  </conditionalFormatting>
  <conditionalFormatting sqref="J1923:L1923">
    <cfRule type="containsBlanks" dxfId="2531" priority="1549">
      <formula>LEN(TRIM(J1923))=0</formula>
    </cfRule>
  </conditionalFormatting>
  <conditionalFormatting sqref="A1928:B1930 M1928:T1930 AD1928:AI1930 Y1928:Z1930 F1928:I1930">
    <cfRule type="containsBlanks" dxfId="2530" priority="1534">
      <formula>LEN(TRIM(A1928))=0</formula>
    </cfRule>
  </conditionalFormatting>
  <conditionalFormatting sqref="J1924:L1924">
    <cfRule type="containsBlanks" dxfId="2529" priority="1547">
      <formula>LEN(TRIM(J1924))=0</formula>
    </cfRule>
  </conditionalFormatting>
  <conditionalFormatting sqref="A1882:B1884 M1882:T1884 AD1882:AI1884 F1882:I1884">
    <cfRule type="containsBlanks" dxfId="2528" priority="1714">
      <formula>LEN(TRIM(A1882))=0</formula>
    </cfRule>
  </conditionalFormatting>
  <conditionalFormatting sqref="A1882:B1883 M1882:T1883 AD1882:AI1883 F1882:I1883">
    <cfRule type="containsBlanks" dxfId="2527" priority="1713">
      <formula>LEN(TRIM(A1882))=0</formula>
    </cfRule>
  </conditionalFormatting>
  <conditionalFormatting sqref="J1882:L1883">
    <cfRule type="containsBlanks" dxfId="2526" priority="1712">
      <formula>LEN(TRIM(J1882))=0</formula>
    </cfRule>
  </conditionalFormatting>
  <conditionalFormatting sqref="J1883:L1883">
    <cfRule type="containsBlanks" dxfId="2525" priority="1711">
      <formula>LEN(TRIM(J1883))=0</formula>
    </cfRule>
  </conditionalFormatting>
  <conditionalFormatting sqref="A1884:B1884 M1884:T1884 AD1884:AI1884 F1884:I1884">
    <cfRule type="containsBlanks" dxfId="2524" priority="1710">
      <formula>LEN(TRIM(A1884))=0</formula>
    </cfRule>
  </conditionalFormatting>
  <conditionalFormatting sqref="J1884:L1884">
    <cfRule type="containsBlanks" dxfId="2523" priority="1709">
      <formula>LEN(TRIM(J1884))=0</formula>
    </cfRule>
  </conditionalFormatting>
  <conditionalFormatting sqref="AB1818">
    <cfRule type="containsBlanks" dxfId="2522" priority="1115">
      <formula>LEN(TRIM(AB1818))=0</formula>
    </cfRule>
  </conditionalFormatting>
  <conditionalFormatting sqref="J1926:L1926">
    <cfRule type="containsBlanks" dxfId="2521" priority="1540">
      <formula>LEN(TRIM(J1926))=0</formula>
    </cfRule>
  </conditionalFormatting>
  <conditionalFormatting sqref="J1919:L1919">
    <cfRule type="containsBlanks" dxfId="2520" priority="1566">
      <formula>LEN(TRIM(J1919))=0</formula>
    </cfRule>
  </conditionalFormatting>
  <conditionalFormatting sqref="A1885:B1886 M1885:T1886 AD1885:AI1886 F1885:I1886">
    <cfRule type="containsBlanks" dxfId="2519" priority="1705">
      <formula>LEN(TRIM(A1885))=0</formula>
    </cfRule>
  </conditionalFormatting>
  <conditionalFormatting sqref="A1885:B1886 M1885:T1886 AD1885:AI1886 F1885:I1886">
    <cfRule type="containsBlanks" dxfId="2518" priority="1704">
      <formula>LEN(TRIM(A1885))=0</formula>
    </cfRule>
  </conditionalFormatting>
  <conditionalFormatting sqref="J1885:L1886">
    <cfRule type="containsBlanks" dxfId="2517" priority="1703">
      <formula>LEN(TRIM(J1885))=0</formula>
    </cfRule>
  </conditionalFormatting>
  <conditionalFormatting sqref="J1886:L1886">
    <cfRule type="containsBlanks" dxfId="2516" priority="1702">
      <formula>LEN(TRIM(J1886))=0</formula>
    </cfRule>
  </conditionalFormatting>
  <conditionalFormatting sqref="A1920:B1921 M1920:T1921 AD1920:AI1921 Y1920:Z1921 F1920:I1921">
    <cfRule type="containsBlanks" dxfId="2515" priority="1560">
      <formula>LEN(TRIM(A1920))=0</formula>
    </cfRule>
  </conditionalFormatting>
  <conditionalFormatting sqref="J1918:L1918">
    <cfRule type="containsBlanks" dxfId="2514" priority="1573">
      <formula>LEN(TRIM(J1918))=0</formula>
    </cfRule>
  </conditionalFormatting>
  <conditionalFormatting sqref="A1887:B1888 M1887:T1888 AD1887:AI1888 F1887:I1888">
    <cfRule type="containsBlanks" dxfId="2513" priority="1698">
      <formula>LEN(TRIM(A1887))=0</formula>
    </cfRule>
  </conditionalFormatting>
  <conditionalFormatting sqref="A1887:B1887 M1887:T1887 AD1887:AI1887 F1887:I1887">
    <cfRule type="containsBlanks" dxfId="2512" priority="1697">
      <formula>LEN(TRIM(A1887))=0</formula>
    </cfRule>
  </conditionalFormatting>
  <conditionalFormatting sqref="J1887:L1887">
    <cfRule type="containsBlanks" dxfId="2511" priority="1696">
      <formula>LEN(TRIM(J1887))=0</formula>
    </cfRule>
  </conditionalFormatting>
  <conditionalFormatting sqref="J1887:L1887">
    <cfRule type="containsBlanks" dxfId="2510" priority="1695">
      <formula>LEN(TRIM(J1887))=0</formula>
    </cfRule>
  </conditionalFormatting>
  <conditionalFormatting sqref="A1888:B1888 M1888:T1888 AD1888:AI1888 F1888:I1888">
    <cfRule type="containsBlanks" dxfId="2509" priority="1694">
      <formula>LEN(TRIM(A1888))=0</formula>
    </cfRule>
  </conditionalFormatting>
  <conditionalFormatting sqref="J1888:L1888">
    <cfRule type="containsBlanks" dxfId="2508" priority="1693">
      <formula>LEN(TRIM(J1888))=0</formula>
    </cfRule>
  </conditionalFormatting>
  <conditionalFormatting sqref="X1636">
    <cfRule type="containsBlanks" dxfId="2507" priority="1181">
      <formula>LEN(TRIM(X1636))=0</formula>
    </cfRule>
  </conditionalFormatting>
  <conditionalFormatting sqref="A1889:B1891 M1889:T1891 AD1889:AI1891 F1889:I1891">
    <cfRule type="containsBlanks" dxfId="2506" priority="1690">
      <formula>LEN(TRIM(A1889))=0</formula>
    </cfRule>
  </conditionalFormatting>
  <conditionalFormatting sqref="A1889:B1890 M1889:T1890 AD1889:AI1890 F1889:I1890">
    <cfRule type="containsBlanks" dxfId="2505" priority="1689">
      <formula>LEN(TRIM(A1889))=0</formula>
    </cfRule>
  </conditionalFormatting>
  <conditionalFormatting sqref="J1889:L1890">
    <cfRule type="containsBlanks" dxfId="2504" priority="1688">
      <formula>LEN(TRIM(J1889))=0</formula>
    </cfRule>
  </conditionalFormatting>
  <conditionalFormatting sqref="J1890:L1890">
    <cfRule type="containsBlanks" dxfId="2503" priority="1687">
      <formula>LEN(TRIM(J1890))=0</formula>
    </cfRule>
  </conditionalFormatting>
  <conditionalFormatting sqref="A1891:B1891 M1891:T1891 AD1891:AI1891 F1891:I1891">
    <cfRule type="containsBlanks" dxfId="2502" priority="1686">
      <formula>LEN(TRIM(A1891))=0</formula>
    </cfRule>
  </conditionalFormatting>
  <conditionalFormatting sqref="J1891:L1891">
    <cfRule type="containsBlanks" dxfId="2501" priority="1685">
      <formula>LEN(TRIM(J1891))=0</formula>
    </cfRule>
  </conditionalFormatting>
  <conditionalFormatting sqref="M1917:T1917 Y1917:Z1917">
    <cfRule type="containsBlanks" dxfId="2500" priority="1586">
      <formula>LEN(TRIM(M1917))=0</formula>
    </cfRule>
  </conditionalFormatting>
  <conditionalFormatting sqref="J1917:L1917">
    <cfRule type="containsBlanks" dxfId="2499" priority="1584">
      <formula>LEN(TRIM(J1917))=0</formula>
    </cfRule>
  </conditionalFormatting>
  <conditionalFormatting sqref="A1892:B1894 M1892:T1894 AD1892:AI1894 F1892:I1894">
    <cfRule type="containsBlanks" dxfId="2498" priority="1681">
      <formula>LEN(TRIM(A1892))=0</formula>
    </cfRule>
  </conditionalFormatting>
  <conditionalFormatting sqref="A1892:B1893 M1892:T1893 AD1892:AI1893 F1892:I1893">
    <cfRule type="containsBlanks" dxfId="2497" priority="1680">
      <formula>LEN(TRIM(A1892))=0</formula>
    </cfRule>
  </conditionalFormatting>
  <conditionalFormatting sqref="J1892:L1893">
    <cfRule type="containsBlanks" dxfId="2496" priority="1679">
      <formula>LEN(TRIM(J1892))=0</formula>
    </cfRule>
  </conditionalFormatting>
  <conditionalFormatting sqref="J1893:L1893">
    <cfRule type="containsBlanks" dxfId="2495" priority="1678">
      <formula>LEN(TRIM(J1893))=0</formula>
    </cfRule>
  </conditionalFormatting>
  <conditionalFormatting sqref="A1894:B1894 M1894:T1894 AD1894:AI1894 F1894:I1894">
    <cfRule type="containsBlanks" dxfId="2494" priority="1677">
      <formula>LEN(TRIM(A1894))=0</formula>
    </cfRule>
  </conditionalFormatting>
  <conditionalFormatting sqref="J1894:L1894">
    <cfRule type="containsBlanks" dxfId="2493" priority="1676">
      <formula>LEN(TRIM(J1894))=0</formula>
    </cfRule>
  </conditionalFormatting>
  <conditionalFormatting sqref="A1916:B1916 M1916:T1916 AD1916:AI1916 Y1916:Z1916 F1916:I1916">
    <cfRule type="containsBlanks" dxfId="2492" priority="1591">
      <formula>LEN(TRIM(A1916))=0</formula>
    </cfRule>
  </conditionalFormatting>
  <conditionalFormatting sqref="J1916:L1916">
    <cfRule type="containsBlanks" dxfId="2491" priority="1590">
      <formula>LEN(TRIM(J1916))=0</formula>
    </cfRule>
  </conditionalFormatting>
  <conditionalFormatting sqref="A1895:B1897 M1895:T1897 AD1895:AI1897 F1895:I1897">
    <cfRule type="containsBlanks" dxfId="2490" priority="1672">
      <formula>LEN(TRIM(A1895))=0</formula>
    </cfRule>
  </conditionalFormatting>
  <conditionalFormatting sqref="A1895:B1896 M1895:T1896 AD1895:AI1896 F1895:I1896">
    <cfRule type="containsBlanks" dxfId="2489" priority="1671">
      <formula>LEN(TRIM(A1895))=0</formula>
    </cfRule>
  </conditionalFormatting>
  <conditionalFormatting sqref="J1895:L1896">
    <cfRule type="containsBlanks" dxfId="2488" priority="1670">
      <formula>LEN(TRIM(J1895))=0</formula>
    </cfRule>
  </conditionalFormatting>
  <conditionalFormatting sqref="J1896:L1896">
    <cfRule type="containsBlanks" dxfId="2487" priority="1669">
      <formula>LEN(TRIM(J1896))=0</formula>
    </cfRule>
  </conditionalFormatting>
  <conditionalFormatting sqref="A1897:B1897 M1897:T1897 AD1897:AI1897 F1897:I1897">
    <cfRule type="containsBlanks" dxfId="2486" priority="1668">
      <formula>LEN(TRIM(A1897))=0</formula>
    </cfRule>
  </conditionalFormatting>
  <conditionalFormatting sqref="J1897:L1897">
    <cfRule type="containsBlanks" dxfId="2485" priority="1667">
      <formula>LEN(TRIM(J1897))=0</formula>
    </cfRule>
  </conditionalFormatting>
  <conditionalFormatting sqref="A1913:B1913 M1913:T1913 AD1913:AI1913 Y1913:Z1913 F1913:I1913">
    <cfRule type="containsBlanks" dxfId="2484" priority="1610">
      <formula>LEN(TRIM(A1913))=0</formula>
    </cfRule>
  </conditionalFormatting>
  <conditionalFormatting sqref="M1916:T1916 Y1916:Z1916">
    <cfRule type="containsBlanks" dxfId="2483" priority="1595">
      <formula>LEN(TRIM(M1916))=0</formula>
    </cfRule>
  </conditionalFormatting>
  <conditionalFormatting sqref="A1898:B1899 M1898:T1899 AD1898:AI1899 F1898:I1899">
    <cfRule type="containsBlanks" dxfId="2482" priority="1663">
      <formula>LEN(TRIM(A1898))=0</formula>
    </cfRule>
  </conditionalFormatting>
  <conditionalFormatting sqref="A1898:B1898 M1898:T1898 AD1898:AI1898 F1898:I1898">
    <cfRule type="containsBlanks" dxfId="2481" priority="1662">
      <formula>LEN(TRIM(A1898))=0</formula>
    </cfRule>
  </conditionalFormatting>
  <conditionalFormatting sqref="J1898:L1898">
    <cfRule type="containsBlanks" dxfId="2480" priority="1661">
      <formula>LEN(TRIM(J1898))=0</formula>
    </cfRule>
  </conditionalFormatting>
  <conditionalFormatting sqref="J1898:L1898">
    <cfRule type="containsBlanks" dxfId="2479" priority="1660">
      <formula>LEN(TRIM(J1898))=0</formula>
    </cfRule>
  </conditionalFormatting>
  <conditionalFormatting sqref="A1899:B1899 M1899:T1899 AD1899:AI1899 F1899:I1899">
    <cfRule type="containsBlanks" dxfId="2478" priority="1659">
      <formula>LEN(TRIM(A1899))=0</formula>
    </cfRule>
  </conditionalFormatting>
  <conditionalFormatting sqref="J1899:L1899">
    <cfRule type="containsBlanks" dxfId="2477" priority="1658">
      <formula>LEN(TRIM(J1899))=0</formula>
    </cfRule>
  </conditionalFormatting>
  <conditionalFormatting sqref="X1654">
    <cfRule type="containsBlanks" dxfId="2476" priority="1175">
      <formula>LEN(TRIM(X1654))=0</formula>
    </cfRule>
  </conditionalFormatting>
  <conditionalFormatting sqref="A1900:B1902 M1900:T1902 AD1900:AI1902 F1900:I1902">
    <cfRule type="containsBlanks" dxfId="2475" priority="1655">
      <formula>LEN(TRIM(A1900))=0</formula>
    </cfRule>
  </conditionalFormatting>
  <conditionalFormatting sqref="A1900:B1901 M1900:T1901 AD1900:AI1901 F1900:I1901">
    <cfRule type="containsBlanks" dxfId="2474" priority="1654">
      <formula>LEN(TRIM(A1900))=0</formula>
    </cfRule>
  </conditionalFormatting>
  <conditionalFormatting sqref="J1900:L1901">
    <cfRule type="containsBlanks" dxfId="2473" priority="1653">
      <formula>LEN(TRIM(J1900))=0</formula>
    </cfRule>
  </conditionalFormatting>
  <conditionalFormatting sqref="J1901:L1901">
    <cfRule type="containsBlanks" dxfId="2472" priority="1652">
      <formula>LEN(TRIM(J1901))=0</formula>
    </cfRule>
  </conditionalFormatting>
  <conditionalFormatting sqref="A1902:B1902 M1902:T1902 AD1902:AI1902 F1902:I1902">
    <cfRule type="containsBlanks" dxfId="2471" priority="1651">
      <formula>LEN(TRIM(A1902))=0</formula>
    </cfRule>
  </conditionalFormatting>
  <conditionalFormatting sqref="J1902:L1902">
    <cfRule type="containsBlanks" dxfId="2470" priority="1650">
      <formula>LEN(TRIM(J1902))=0</formula>
    </cfRule>
  </conditionalFormatting>
  <conditionalFormatting sqref="C1764:E1764">
    <cfRule type="containsBlanks" dxfId="2469" priority="1215">
      <formula>LEN(TRIM(C1764))=0</formula>
    </cfRule>
  </conditionalFormatting>
  <conditionalFormatting sqref="M1911:Z1911 M1912:T1912 Y1912:Z1912 AD1911:AI1912 A1911:B1912 F1911:I1912">
    <cfRule type="containsBlanks" dxfId="2468" priority="1620">
      <formula>LEN(TRIM(A1911))=0</formula>
    </cfRule>
  </conditionalFormatting>
  <conditionalFormatting sqref="A1908:B1908 M1908:T1908 AD1908:AI1908 Y1908:Z1908 F1908:I1908">
    <cfRule type="containsBlanks" dxfId="2467" priority="1633">
      <formula>LEN(TRIM(A1908))=0</formula>
    </cfRule>
  </conditionalFormatting>
  <conditionalFormatting sqref="A1903:B1905 M1905:Z1905 M1903:T1904 Y1904:Z1904 AD1903:AI1905 F1903:I1905">
    <cfRule type="containsBlanks" dxfId="2466" priority="1646">
      <formula>LEN(TRIM(A1903))=0</formula>
    </cfRule>
  </conditionalFormatting>
  <conditionalFormatting sqref="A1903:B1904 M1903:T1904 Y1904:Z1904 AD1903:AI1904 F1903:I1904">
    <cfRule type="containsBlanks" dxfId="2465" priority="1645">
      <formula>LEN(TRIM(A1903))=0</formula>
    </cfRule>
  </conditionalFormatting>
  <conditionalFormatting sqref="J1903:L1904">
    <cfRule type="containsBlanks" dxfId="2464" priority="1644">
      <formula>LEN(TRIM(J1903))=0</formula>
    </cfRule>
  </conditionalFormatting>
  <conditionalFormatting sqref="J1904:L1904">
    <cfRule type="containsBlanks" dxfId="2463" priority="1643">
      <formula>LEN(TRIM(J1904))=0</formula>
    </cfRule>
  </conditionalFormatting>
  <conditionalFormatting sqref="A1905:B1905 M1905:Z1905 AD1905:AI1905 F1905:I1905">
    <cfRule type="containsBlanks" dxfId="2462" priority="1642">
      <formula>LEN(TRIM(A1905))=0</formula>
    </cfRule>
  </conditionalFormatting>
  <conditionalFormatting sqref="J1905:L1905">
    <cfRule type="containsBlanks" dxfId="2461" priority="1641">
      <formula>LEN(TRIM(J1905))=0</formula>
    </cfRule>
  </conditionalFormatting>
  <conditionalFormatting sqref="X1588">
    <cfRule type="containsBlanks" dxfId="2460" priority="1197">
      <formula>LEN(TRIM(X1588))=0</formula>
    </cfRule>
  </conditionalFormatting>
  <conditionalFormatting sqref="J1909:L1909">
    <cfRule type="containsBlanks" dxfId="2459" priority="1625">
      <formula>LEN(TRIM(J1909))=0</formula>
    </cfRule>
  </conditionalFormatting>
  <conditionalFormatting sqref="X1554">
    <cfRule type="containsBlanks" dxfId="2458" priority="1208">
      <formula>LEN(TRIM(X1554))=0</formula>
    </cfRule>
  </conditionalFormatting>
  <conditionalFormatting sqref="A1906:B1908 M1906:T1906 M1908:T1908 M1907:U1907 Y1906:Z1908 AD1906:AI1908 F1906:I1908">
    <cfRule type="containsBlanks" dxfId="2457" priority="1637">
      <formula>LEN(TRIM(A1906))=0</formula>
    </cfRule>
  </conditionalFormatting>
  <conditionalFormatting sqref="A1906:B1907 M1906:T1906 M1907:U1907 AD1906:AI1907 Y1906:Z1907 F1906:I1907">
    <cfRule type="containsBlanks" dxfId="2456" priority="1636">
      <formula>LEN(TRIM(A1906))=0</formula>
    </cfRule>
  </conditionalFormatting>
  <conditionalFormatting sqref="J1906:L1907">
    <cfRule type="containsBlanks" dxfId="2455" priority="1635">
      <formula>LEN(TRIM(J1906))=0</formula>
    </cfRule>
  </conditionalFormatting>
  <conditionalFormatting sqref="J1907:L1907">
    <cfRule type="containsBlanks" dxfId="2454" priority="1634">
      <formula>LEN(TRIM(J1907))=0</formula>
    </cfRule>
  </conditionalFormatting>
  <conditionalFormatting sqref="J1908:L1908">
    <cfRule type="containsBlanks" dxfId="2453" priority="1632">
      <formula>LEN(TRIM(J1908))=0</formula>
    </cfRule>
  </conditionalFormatting>
  <conditionalFormatting sqref="V1907:X1907">
    <cfRule type="containsBlanks" dxfId="2452" priority="1631">
      <formula>LEN(TRIM(V1907))=0</formula>
    </cfRule>
  </conditionalFormatting>
  <conditionalFormatting sqref="A1909:B1910 M1910:T1910 M1909:U1909 Y1909:Z1910 AD1909:AI1910 F1909:I1910">
    <cfRule type="containsBlanks" dxfId="2451" priority="1628">
      <formula>LEN(TRIM(A1909))=0</formula>
    </cfRule>
  </conditionalFormatting>
  <conditionalFormatting sqref="A1909:B1909 M1909:U1909 Y1909:Z1909 AD1909:AI1909 F1909:I1909">
    <cfRule type="containsBlanks" dxfId="2450" priority="1627">
      <formula>LEN(TRIM(A1909))=0</formula>
    </cfRule>
  </conditionalFormatting>
  <conditionalFormatting sqref="J1909:L1909">
    <cfRule type="containsBlanks" dxfId="2449" priority="1626">
      <formula>LEN(TRIM(J1909))=0</formula>
    </cfRule>
  </conditionalFormatting>
  <conditionalFormatting sqref="A1910:B1910 M1910:T1910 AD1910:AI1910 Y1910:Z1910 F1910:I1910">
    <cfRule type="containsBlanks" dxfId="2448" priority="1624">
      <formula>LEN(TRIM(A1910))=0</formula>
    </cfRule>
  </conditionalFormatting>
  <conditionalFormatting sqref="J1910:L1910">
    <cfRule type="containsBlanks" dxfId="2447" priority="1623">
      <formula>LEN(TRIM(J1910))=0</formula>
    </cfRule>
  </conditionalFormatting>
  <conditionalFormatting sqref="V1909:X1909">
    <cfRule type="containsBlanks" dxfId="2446" priority="1622">
      <formula>LEN(TRIM(V1909))=0</formula>
    </cfRule>
  </conditionalFormatting>
  <conditionalFormatting sqref="M1911:Z1911 M1912:T1912 Y1912:Z1912 AD1911:AI1912 A1911:B1912 F1911:I1912">
    <cfRule type="containsBlanks" dxfId="2445" priority="1619">
      <formula>LEN(TRIM(A1911))=0</formula>
    </cfRule>
  </conditionalFormatting>
  <conditionalFormatting sqref="J1911:L1912">
    <cfRule type="containsBlanks" dxfId="2444" priority="1618">
      <formula>LEN(TRIM(J1911))=0</formula>
    </cfRule>
  </conditionalFormatting>
  <conditionalFormatting sqref="J1912:L1912">
    <cfRule type="containsBlanks" dxfId="2443" priority="1617">
      <formula>LEN(TRIM(J1912))=0</formula>
    </cfRule>
  </conditionalFormatting>
  <conditionalFormatting sqref="X1557">
    <cfRule type="containsBlanks" dxfId="2442" priority="1207">
      <formula>LEN(TRIM(X1557))=0</formula>
    </cfRule>
  </conditionalFormatting>
  <conditionalFormatting sqref="C1767:E1811">
    <cfRule type="containsBlanks" dxfId="2441" priority="1214">
      <formula>LEN(TRIM(C1767))=0</formula>
    </cfRule>
  </conditionalFormatting>
  <conditionalFormatting sqref="M1913:T1914 Y1913:Z1914">
    <cfRule type="containsBlanks" dxfId="2440" priority="1611">
      <formula>LEN(TRIM(M1913))=0</formula>
    </cfRule>
  </conditionalFormatting>
  <conditionalFormatting sqref="J1913:L1913">
    <cfRule type="containsBlanks" dxfId="2439" priority="1609">
      <formula>LEN(TRIM(J1913))=0</formula>
    </cfRule>
  </conditionalFormatting>
  <conditionalFormatting sqref="A1914:B1914 M1914:T1914 AD1914:AI1914 Y1914:Z1914 F1914:I1914">
    <cfRule type="containsBlanks" dxfId="2438" priority="1607">
      <formula>LEN(TRIM(A1914))=0</formula>
    </cfRule>
  </conditionalFormatting>
  <conditionalFormatting sqref="J1914:L1914">
    <cfRule type="containsBlanks" dxfId="2437" priority="1606">
      <formula>LEN(TRIM(J1914))=0</formula>
    </cfRule>
  </conditionalFormatting>
  <conditionalFormatting sqref="X1560">
    <cfRule type="containsBlanks" dxfId="2436" priority="1206">
      <formula>LEN(TRIM(X1560))=0</formula>
    </cfRule>
  </conditionalFormatting>
  <conditionalFormatting sqref="M1915:T1915 Y1915:Z1915">
    <cfRule type="containsBlanks" dxfId="2435" priority="1602">
      <formula>LEN(TRIM(M1915))=0</formula>
    </cfRule>
  </conditionalFormatting>
  <conditionalFormatting sqref="M1915:T1915 Y1915:Z1915">
    <cfRule type="containsBlanks" dxfId="2434" priority="1601">
      <formula>LEN(TRIM(M1915))=0</formula>
    </cfRule>
  </conditionalFormatting>
  <conditionalFormatting sqref="J1915:L1915">
    <cfRule type="containsBlanks" dxfId="2433" priority="1599">
      <formula>LEN(TRIM(J1915))=0</formula>
    </cfRule>
  </conditionalFormatting>
  <conditionalFormatting sqref="X1585">
    <cfRule type="containsBlanks" dxfId="2432" priority="1198">
      <formula>LEN(TRIM(X1585))=0</formula>
    </cfRule>
  </conditionalFormatting>
  <conditionalFormatting sqref="M1917:T1917 Y1917:Z1917">
    <cfRule type="containsBlanks" dxfId="2431" priority="1587">
      <formula>LEN(TRIM(M1917))=0</formula>
    </cfRule>
  </conditionalFormatting>
  <conditionalFormatting sqref="X1755">
    <cfRule type="containsBlanks" dxfId="2430" priority="1142">
      <formula>LEN(TRIM(X1755))=0</formula>
    </cfRule>
  </conditionalFormatting>
  <conditionalFormatting sqref="M1918:T1918 Y1918:Z1918">
    <cfRule type="containsBlanks" dxfId="2429" priority="1578">
      <formula>LEN(TRIM(M1918))=0</formula>
    </cfRule>
  </conditionalFormatting>
  <conditionalFormatting sqref="M1918:T1918 AD1918:AI1918 Y1918:Z1918">
    <cfRule type="containsBlanks" dxfId="2428" priority="1574">
      <formula>LEN(TRIM(M1918))=0</formula>
    </cfRule>
  </conditionalFormatting>
  <conditionalFormatting sqref="M1919:T1919 Y1919:Z1919 A1919:B1919 F1919:H1919">
    <cfRule type="containsBlanks" dxfId="2427" priority="1569">
      <formula>LEN(TRIM(A1919))=0</formula>
    </cfRule>
  </conditionalFormatting>
  <conditionalFormatting sqref="M1919:T1919 Y1919:Z1919 A1919:B1919 F1919:H1919">
    <cfRule type="containsBlanks" dxfId="2426" priority="1568">
      <formula>LEN(TRIM(A1919))=0</formula>
    </cfRule>
  </conditionalFormatting>
  <conditionalFormatting sqref="AC1816">
    <cfRule type="containsBlanks" dxfId="2425" priority="1124">
      <formula>LEN(TRIM(AC1816))=0</formula>
    </cfRule>
  </conditionalFormatting>
  <conditionalFormatting sqref="A1920:B1920 M1920:T1920 Y1920:Z1920 AD1920:AI1920 F1920:I1920">
    <cfRule type="containsBlanks" dxfId="2424" priority="1559">
      <formula>LEN(TRIM(A1920))=0</formula>
    </cfRule>
  </conditionalFormatting>
  <conditionalFormatting sqref="J1920:L1920">
    <cfRule type="containsBlanks" dxfId="2423" priority="1558">
      <formula>LEN(TRIM(J1920))=0</formula>
    </cfRule>
  </conditionalFormatting>
  <conditionalFormatting sqref="J1920:L1920">
    <cfRule type="containsBlanks" dxfId="2422" priority="1557">
      <formula>LEN(TRIM(J1920))=0</formula>
    </cfRule>
  </conditionalFormatting>
  <conditionalFormatting sqref="A1921:B1921 M1921:T1921 AD1921:AI1921 Y1921:Z1921 F1921:I1921">
    <cfRule type="containsBlanks" dxfId="2421" priority="1556">
      <formula>LEN(TRIM(A1921))=0</formula>
    </cfRule>
  </conditionalFormatting>
  <conditionalFormatting sqref="J1921:L1921">
    <cfRule type="containsBlanks" dxfId="2420" priority="1555">
      <formula>LEN(TRIM(J1921))=0</formula>
    </cfRule>
  </conditionalFormatting>
  <conditionalFormatting sqref="A1922:B1924 M1922:T1924 AD1922:AI1924 Y1922:Z1924 F1922:I1924">
    <cfRule type="containsBlanks" dxfId="2419" priority="1552">
      <formula>LEN(TRIM(A1922))=0</formula>
    </cfRule>
  </conditionalFormatting>
  <conditionalFormatting sqref="A1922:B1923 M1922:T1923 AD1922:AI1923 Y1922:Z1923 F1922:I1923">
    <cfRule type="containsBlanks" dxfId="2418" priority="1551">
      <formula>LEN(TRIM(A1922))=0</formula>
    </cfRule>
  </conditionalFormatting>
  <conditionalFormatting sqref="J1922:L1923">
    <cfRule type="containsBlanks" dxfId="2417" priority="1550">
      <formula>LEN(TRIM(J1922))=0</formula>
    </cfRule>
  </conditionalFormatting>
  <conditionalFormatting sqref="A1924:B1924 M1924:T1924 AD1924:AI1924 Y1924:Z1924 F1924:I1924">
    <cfRule type="containsBlanks" dxfId="2416" priority="1548">
      <formula>LEN(TRIM(A1924))=0</formula>
    </cfRule>
  </conditionalFormatting>
  <conditionalFormatting sqref="A1930:B1930 M1930:T1930 AD1930:AI1930 Y1930:Z1930 F1930:I1930">
    <cfRule type="containsBlanks" dxfId="2415" priority="1530">
      <formula>LEN(TRIM(A1930))=0</formula>
    </cfRule>
  </conditionalFormatting>
  <conditionalFormatting sqref="J1928:L1929">
    <cfRule type="containsBlanks" dxfId="2414" priority="1532">
      <formula>LEN(TRIM(J1928))=0</formula>
    </cfRule>
  </conditionalFormatting>
  <conditionalFormatting sqref="J1929:L1929">
    <cfRule type="containsBlanks" dxfId="2413" priority="1531">
      <formula>LEN(TRIM(J1929))=0</formula>
    </cfRule>
  </conditionalFormatting>
  <conditionalFormatting sqref="A1925:B1927 M1925:T1927 AD1925:AI1927 Y1925:Z1927 F1925:I1927">
    <cfRule type="containsBlanks" dxfId="2412" priority="1543">
      <formula>LEN(TRIM(A1925))=0</formula>
    </cfRule>
  </conditionalFormatting>
  <conditionalFormatting sqref="J1925:L1926">
    <cfRule type="containsBlanks" dxfId="2411" priority="1541">
      <formula>LEN(TRIM(J1925))=0</formula>
    </cfRule>
  </conditionalFormatting>
  <conditionalFormatting sqref="A1927:B1927 M1927:T1927 AD1927:AI1927 Y1927:Z1927 F1927:I1927">
    <cfRule type="containsBlanks" dxfId="2410" priority="1539">
      <formula>LEN(TRIM(A1927))=0</formula>
    </cfRule>
  </conditionalFormatting>
  <conditionalFormatting sqref="J1927:L1927">
    <cfRule type="containsBlanks" dxfId="2409" priority="1538">
      <formula>LEN(TRIM(J1927))=0</formula>
    </cfRule>
  </conditionalFormatting>
  <conditionalFormatting sqref="J1931:L1931">
    <cfRule type="containsBlanks" dxfId="2408" priority="1522">
      <formula>LEN(TRIM(J1931))=0</formula>
    </cfRule>
  </conditionalFormatting>
  <conditionalFormatting sqref="A1928:B1929 M1928:T1929 AD1928:AI1929 Y1928:Z1929 F1928:I1929">
    <cfRule type="containsBlanks" dxfId="2407" priority="1533">
      <formula>LEN(TRIM(A1928))=0</formula>
    </cfRule>
  </conditionalFormatting>
  <conditionalFormatting sqref="A1931:B1931 M1931:T1931 Y1931:Z1931 AD1931:AI1931 F1931:I1931">
    <cfRule type="containsBlanks" dxfId="2406" priority="1525">
      <formula>LEN(TRIM(A1931))=0</formula>
    </cfRule>
  </conditionalFormatting>
  <conditionalFormatting sqref="AA1814">
    <cfRule type="containsBlanks" dxfId="2405" priority="1127">
      <formula>LEN(TRIM(AA1814))=0</formula>
    </cfRule>
  </conditionalFormatting>
  <conditionalFormatting sqref="AA1815">
    <cfRule type="containsBlanks" dxfId="2404" priority="1126">
      <formula>LEN(TRIM(AA1815))=0</formula>
    </cfRule>
  </conditionalFormatting>
  <conditionalFormatting sqref="X1733">
    <cfRule type="containsBlanks" dxfId="2403" priority="1149">
      <formula>LEN(TRIM(X1733))=0</formula>
    </cfRule>
  </conditionalFormatting>
  <conditionalFormatting sqref="X1736">
    <cfRule type="containsBlanks" dxfId="2402" priority="1148">
      <formula>LEN(TRIM(X1736))=0</formula>
    </cfRule>
  </conditionalFormatting>
  <conditionalFormatting sqref="X1739">
    <cfRule type="containsBlanks" dxfId="2401" priority="1147">
      <formula>LEN(TRIM(X1739))=0</formula>
    </cfRule>
  </conditionalFormatting>
  <conditionalFormatting sqref="X1749">
    <cfRule type="containsBlanks" dxfId="2400" priority="1144">
      <formula>LEN(TRIM(X1749))=0</formula>
    </cfRule>
  </conditionalFormatting>
  <conditionalFormatting sqref="AC1816">
    <cfRule type="containsBlanks" dxfId="2399" priority="1125">
      <formula>LEN(TRIM(AC1816))=0</formula>
    </cfRule>
  </conditionalFormatting>
  <conditionalFormatting sqref="X1678">
    <cfRule type="containsBlanks" dxfId="2398" priority="1167">
      <formula>LEN(TRIM(X1678))=0</formula>
    </cfRule>
  </conditionalFormatting>
  <conditionalFormatting sqref="X1682">
    <cfRule type="containsBlanks" dxfId="2397" priority="1166">
      <formula>LEN(TRIM(X1682))=0</formula>
    </cfRule>
  </conditionalFormatting>
  <conditionalFormatting sqref="X1685">
    <cfRule type="containsBlanks" dxfId="2396" priority="1165">
      <formula>LEN(TRIM(X1685))=0</formula>
    </cfRule>
  </conditionalFormatting>
  <conditionalFormatting sqref="X1694">
    <cfRule type="containsBlanks" dxfId="2395" priority="1162">
      <formula>LEN(TRIM(X1694))=0</formula>
    </cfRule>
  </conditionalFormatting>
  <conditionalFormatting sqref="X1697">
    <cfRule type="containsBlanks" dxfId="2394" priority="1161">
      <formula>LEN(TRIM(X1697))=0</formula>
    </cfRule>
  </conditionalFormatting>
  <conditionalFormatting sqref="X1706">
    <cfRule type="containsBlanks" dxfId="2393" priority="1158">
      <formula>LEN(TRIM(X1706))=0</formula>
    </cfRule>
  </conditionalFormatting>
  <conditionalFormatting sqref="X1709">
    <cfRule type="containsBlanks" dxfId="2392" priority="1157">
      <formula>LEN(TRIM(X1709))=0</formula>
    </cfRule>
  </conditionalFormatting>
  <conditionalFormatting sqref="X1712">
    <cfRule type="containsBlanks" dxfId="2391" priority="1156">
      <formula>LEN(TRIM(X1712))=0</formula>
    </cfRule>
  </conditionalFormatting>
  <conditionalFormatting sqref="X1715">
    <cfRule type="containsBlanks" dxfId="2390" priority="1155">
      <formula>LEN(TRIM(X1715))=0</formula>
    </cfRule>
  </conditionalFormatting>
  <conditionalFormatting sqref="AC1683:AC1684 AA1683:AA1684 AB1682:AB1684">
    <cfRule type="containsBlanks" dxfId="2389" priority="1492">
      <formula>LEN(TRIM(AA1682))=0</formula>
    </cfRule>
  </conditionalFormatting>
  <conditionalFormatting sqref="AC1682:AC1684">
    <cfRule type="containsBlanks" dxfId="2388" priority="1491">
      <formula>LEN(TRIM(AC1682))=0</formula>
    </cfRule>
  </conditionalFormatting>
  <conditionalFormatting sqref="AC1682:AC1684">
    <cfRule type="containsBlanks" dxfId="2387" priority="1490">
      <formula>LEN(TRIM(AC1682))=0</formula>
    </cfRule>
  </conditionalFormatting>
  <conditionalFormatting sqref="AA1682">
    <cfRule type="containsBlanks" dxfId="2386" priority="1488">
      <formula>LEN(TRIM(AA1682))=0</formula>
    </cfRule>
  </conditionalFormatting>
  <conditionalFormatting sqref="AC1685:AC1687">
    <cfRule type="containsBlanks" dxfId="2385" priority="1486">
      <formula>LEN(TRIM(AC1685))=0</formula>
    </cfRule>
  </conditionalFormatting>
  <conditionalFormatting sqref="AC1685:AC1687">
    <cfRule type="containsBlanks" dxfId="2384" priority="1485">
      <formula>LEN(TRIM(AC1685))=0</formula>
    </cfRule>
  </conditionalFormatting>
  <conditionalFormatting sqref="AC1685">
    <cfRule type="containsBlanks" dxfId="2383" priority="1484">
      <formula>LEN(TRIM(AC1685))=0</formula>
    </cfRule>
  </conditionalFormatting>
  <conditionalFormatting sqref="AA1685">
    <cfRule type="containsBlanks" dxfId="2382" priority="1483">
      <formula>LEN(TRIM(AA1685))=0</formula>
    </cfRule>
  </conditionalFormatting>
  <conditionalFormatting sqref="AC1688:AC1690">
    <cfRule type="containsBlanks" dxfId="2381" priority="1481">
      <formula>LEN(TRIM(AC1688))=0</formula>
    </cfRule>
  </conditionalFormatting>
  <conditionalFormatting sqref="AC1688:AC1690">
    <cfRule type="containsBlanks" dxfId="2380" priority="1480">
      <formula>LEN(TRIM(AC1688))=0</formula>
    </cfRule>
  </conditionalFormatting>
  <conditionalFormatting sqref="AC1688">
    <cfRule type="containsBlanks" dxfId="2379" priority="1479">
      <formula>LEN(TRIM(AC1688))=0</formula>
    </cfRule>
  </conditionalFormatting>
  <conditionalFormatting sqref="AA1688">
    <cfRule type="containsBlanks" dxfId="2378" priority="1478">
      <formula>LEN(TRIM(AA1688))=0</formula>
    </cfRule>
  </conditionalFormatting>
  <conditionalFormatting sqref="AC1692:AC1693 AA1692:AA1693 AB1691:AB1693">
    <cfRule type="containsBlanks" dxfId="2377" priority="1477">
      <formula>LEN(TRIM(AA1691))=0</formula>
    </cfRule>
  </conditionalFormatting>
  <conditionalFormatting sqref="AC1691:AC1693">
    <cfRule type="containsBlanks" dxfId="2376" priority="1476">
      <formula>LEN(TRIM(AC1691))=0</formula>
    </cfRule>
  </conditionalFormatting>
  <conditionalFormatting sqref="AC1691:AC1693">
    <cfRule type="containsBlanks" dxfId="2375" priority="1475">
      <formula>LEN(TRIM(AC1691))=0</formula>
    </cfRule>
  </conditionalFormatting>
  <conditionalFormatting sqref="AA1691">
    <cfRule type="containsBlanks" dxfId="2374" priority="1473">
      <formula>LEN(TRIM(AA1691))=0</formula>
    </cfRule>
  </conditionalFormatting>
  <conditionalFormatting sqref="AC1695:AC1696 AA1695:AA1696 AB1694:AB1696">
    <cfRule type="containsBlanks" dxfId="2373" priority="1472">
      <formula>LEN(TRIM(AA1694))=0</formula>
    </cfRule>
  </conditionalFormatting>
  <conditionalFormatting sqref="AC1694:AC1696">
    <cfRule type="containsBlanks" dxfId="2372" priority="1471">
      <formula>LEN(TRIM(AC1694))=0</formula>
    </cfRule>
  </conditionalFormatting>
  <conditionalFormatting sqref="AA1694">
    <cfRule type="containsBlanks" dxfId="2371" priority="1468">
      <formula>LEN(TRIM(AA1694))=0</formula>
    </cfRule>
  </conditionalFormatting>
  <conditionalFormatting sqref="AC1698:AC1699 AA1698:AA1699 AC1701:AC1702 AA1701:AA1702 AC1704:AC1705 AA1704:AA1705 AC1707:AC1708 AA1707:AA1708 AC1710:AC1711 AA1710:AA1711 AC1713:AC1714 AA1713:AA1714 AC1716:AC1717 AA1716:AA1717 AC1719:AC1720 AA1719:AA1720 AC1722:AC1723 AA1722:AA1723 AC1725:AC1726 AA1725:AA1726 AC1743:AC1745 AA1743:AA1745 AC1728:AC1729 AA1728:AA1729 AC1731:AC1732 AA1731:AA1732 AC1734:AC1735 AA1734:AA1735 AC1737:AC1738 AA1737:AA1738 AC1740:AC1741 AA1740:AA1741 AC1747:AC1748 AA1747:AA1748">
    <cfRule type="containsBlanks" dxfId="2370" priority="1467">
      <formula>LEN(TRIM(AA1698))=0</formula>
    </cfRule>
  </conditionalFormatting>
  <conditionalFormatting sqref="AC1697">
    <cfRule type="containsBlanks" dxfId="2369" priority="1464">
      <formula>LEN(TRIM(AC1697))=0</formula>
    </cfRule>
  </conditionalFormatting>
  <conditionalFormatting sqref="AC1700">
    <cfRule type="containsBlanks" dxfId="2368" priority="1462">
      <formula>LEN(TRIM(AC1700))=0</formula>
    </cfRule>
  </conditionalFormatting>
  <conditionalFormatting sqref="AA1700">
    <cfRule type="containsBlanks" dxfId="2367" priority="1461">
      <formula>LEN(TRIM(AA1700))=0</formula>
    </cfRule>
  </conditionalFormatting>
  <conditionalFormatting sqref="AC1703">
    <cfRule type="containsBlanks" dxfId="2366" priority="1460">
      <formula>LEN(TRIM(AC1703))=0</formula>
    </cfRule>
  </conditionalFormatting>
  <conditionalFormatting sqref="AA1703">
    <cfRule type="containsBlanks" dxfId="2365" priority="1459">
      <formula>LEN(TRIM(AA1703))=0</formula>
    </cfRule>
  </conditionalFormatting>
  <conditionalFormatting sqref="AA1706">
    <cfRule type="containsBlanks" dxfId="2364" priority="1457">
      <formula>LEN(TRIM(AA1706))=0</formula>
    </cfRule>
  </conditionalFormatting>
  <conditionalFormatting sqref="AC1709">
    <cfRule type="containsBlanks" dxfId="2363" priority="1456">
      <formula>LEN(TRIM(AC1709))=0</formula>
    </cfRule>
  </conditionalFormatting>
  <conditionalFormatting sqref="AA1709">
    <cfRule type="containsBlanks" dxfId="2362" priority="1455">
      <formula>LEN(TRIM(AA1709))=0</formula>
    </cfRule>
  </conditionalFormatting>
  <conditionalFormatting sqref="AA1712">
    <cfRule type="containsBlanks" dxfId="2361" priority="1453">
      <formula>LEN(TRIM(AA1712))=0</formula>
    </cfRule>
  </conditionalFormatting>
  <conditionalFormatting sqref="AA1715">
    <cfRule type="containsBlanks" dxfId="2360" priority="1451">
      <formula>LEN(TRIM(AA1715))=0</formula>
    </cfRule>
  </conditionalFormatting>
  <conditionalFormatting sqref="AA1718">
    <cfRule type="containsBlanks" dxfId="2359" priority="1449">
      <formula>LEN(TRIM(AA1718))=0</formula>
    </cfRule>
  </conditionalFormatting>
  <conditionalFormatting sqref="AC1721">
    <cfRule type="containsBlanks" dxfId="2358" priority="1448">
      <formula>LEN(TRIM(AC1721))=0</formula>
    </cfRule>
  </conditionalFormatting>
  <conditionalFormatting sqref="AA1721">
    <cfRule type="containsBlanks" dxfId="2357" priority="1447">
      <formula>LEN(TRIM(AA1721))=0</formula>
    </cfRule>
  </conditionalFormatting>
  <conditionalFormatting sqref="AC1724">
    <cfRule type="containsBlanks" dxfId="2356" priority="1446">
      <formula>LEN(TRIM(AC1724))=0</formula>
    </cfRule>
  </conditionalFormatting>
  <conditionalFormatting sqref="AC1742">
    <cfRule type="containsBlanks" dxfId="2355" priority="1430">
      <formula>LEN(TRIM(AC1742))=0</formula>
    </cfRule>
  </conditionalFormatting>
  <conditionalFormatting sqref="AA1742">
    <cfRule type="containsBlanks" dxfId="2354" priority="1429">
      <formula>LEN(TRIM(AA1742))=0</formula>
    </cfRule>
  </conditionalFormatting>
  <conditionalFormatting sqref="AA1727">
    <cfRule type="containsBlanks" dxfId="2353" priority="1427">
      <formula>LEN(TRIM(AA1727))=0</formula>
    </cfRule>
  </conditionalFormatting>
  <conditionalFormatting sqref="AA1730">
    <cfRule type="containsBlanks" dxfId="2352" priority="1425">
      <formula>LEN(TRIM(AA1730))=0</formula>
    </cfRule>
  </conditionalFormatting>
  <conditionalFormatting sqref="AC1733">
    <cfRule type="containsBlanks" dxfId="2351" priority="1424">
      <formula>LEN(TRIM(AC1733))=0</formula>
    </cfRule>
  </conditionalFormatting>
  <conditionalFormatting sqref="AA1733">
    <cfRule type="containsBlanks" dxfId="2350" priority="1423">
      <formula>LEN(TRIM(AA1733))=0</formula>
    </cfRule>
  </conditionalFormatting>
  <conditionalFormatting sqref="AC1736">
    <cfRule type="containsBlanks" dxfId="2349" priority="1422">
      <formula>LEN(TRIM(AC1736))=0</formula>
    </cfRule>
  </conditionalFormatting>
  <conditionalFormatting sqref="AC1739">
    <cfRule type="containsBlanks" dxfId="2348" priority="1420">
      <formula>LEN(TRIM(AC1739))=0</formula>
    </cfRule>
  </conditionalFormatting>
  <conditionalFormatting sqref="AA1739">
    <cfRule type="containsBlanks" dxfId="2347" priority="1419">
      <formula>LEN(TRIM(AA1739))=0</formula>
    </cfRule>
  </conditionalFormatting>
  <conditionalFormatting sqref="AC1746">
    <cfRule type="containsBlanks" dxfId="2346" priority="1418">
      <formula>LEN(TRIM(AC1746))=0</formula>
    </cfRule>
  </conditionalFormatting>
  <conditionalFormatting sqref="AA1746">
    <cfRule type="containsBlanks" dxfId="2345" priority="1417">
      <formula>LEN(TRIM(AA1746))=0</formula>
    </cfRule>
  </conditionalFormatting>
  <conditionalFormatting sqref="AB1749:AC1751">
    <cfRule type="containsBlanks" dxfId="2344" priority="1416">
      <formula>LEN(TRIM(AB1749))=0</formula>
    </cfRule>
  </conditionalFormatting>
  <conditionalFormatting sqref="AC1749">
    <cfRule type="containsBlanks" dxfId="2343" priority="1414">
      <formula>LEN(TRIM(AC1749))=0</formula>
    </cfRule>
  </conditionalFormatting>
  <conditionalFormatting sqref="AB1752:AC1754">
    <cfRule type="containsBlanks" dxfId="2342" priority="1412">
      <formula>LEN(TRIM(AB1752))=0</formula>
    </cfRule>
  </conditionalFormatting>
  <conditionalFormatting sqref="AC1753:AC1754 AA1753:AA1754">
    <cfRule type="containsBlanks" dxfId="2341" priority="1411">
      <formula>LEN(TRIM(AA1753))=0</formula>
    </cfRule>
  </conditionalFormatting>
  <conditionalFormatting sqref="AC1752">
    <cfRule type="containsBlanks" dxfId="2340" priority="1410">
      <formula>LEN(TRIM(AC1752))=0</formula>
    </cfRule>
  </conditionalFormatting>
  <conditionalFormatting sqref="AA1752">
    <cfRule type="containsBlanks" dxfId="2339" priority="1409">
      <formula>LEN(TRIM(AA1752))=0</formula>
    </cfRule>
  </conditionalFormatting>
  <conditionalFormatting sqref="AC1756:AC1757 AA1756:AA1757">
    <cfRule type="containsBlanks" dxfId="2338" priority="1407">
      <formula>LEN(TRIM(AA1756))=0</formula>
    </cfRule>
  </conditionalFormatting>
  <conditionalFormatting sqref="AC1755">
    <cfRule type="containsBlanks" dxfId="2337" priority="1406">
      <formula>LEN(TRIM(AC1755))=0</formula>
    </cfRule>
  </conditionalFormatting>
  <conditionalFormatting sqref="AA1755">
    <cfRule type="containsBlanks" dxfId="2336" priority="1405">
      <formula>LEN(TRIM(AA1755))=0</formula>
    </cfRule>
  </conditionalFormatting>
  <conditionalFormatting sqref="AB1758:AC1760">
    <cfRule type="containsBlanks" dxfId="2335" priority="1404">
      <formula>LEN(TRIM(AB1758))=0</formula>
    </cfRule>
  </conditionalFormatting>
  <conditionalFormatting sqref="AA1758">
    <cfRule type="containsBlanks" dxfId="2334" priority="1401">
      <formula>LEN(TRIM(AA1758))=0</formula>
    </cfRule>
  </conditionalFormatting>
  <conditionalFormatting sqref="AB1761:AC1763">
    <cfRule type="containsBlanks" dxfId="2333" priority="1400">
      <formula>LEN(TRIM(AB1761))=0</formula>
    </cfRule>
  </conditionalFormatting>
  <conditionalFormatting sqref="AC1762:AC1763 AA1762:AA1763">
    <cfRule type="containsBlanks" dxfId="2332" priority="1399">
      <formula>LEN(TRIM(AA1762))=0</formula>
    </cfRule>
  </conditionalFormatting>
  <conditionalFormatting sqref="AC1761">
    <cfRule type="containsBlanks" dxfId="2331" priority="1398">
      <formula>LEN(TRIM(AC1761))=0</formula>
    </cfRule>
  </conditionalFormatting>
  <conditionalFormatting sqref="AA1761">
    <cfRule type="containsBlanks" dxfId="2330" priority="1397">
      <formula>LEN(TRIM(AA1761))=0</formula>
    </cfRule>
  </conditionalFormatting>
  <conditionalFormatting sqref="AB1764:AC1766">
    <cfRule type="containsBlanks" dxfId="2329" priority="1396">
      <formula>LEN(TRIM(AB1764))=0</formula>
    </cfRule>
  </conditionalFormatting>
  <conditionalFormatting sqref="AC1765:AC1766 AA1765:AA1766">
    <cfRule type="containsBlanks" dxfId="2328" priority="1395">
      <formula>LEN(TRIM(AA1765))=0</formula>
    </cfRule>
  </conditionalFormatting>
  <conditionalFormatting sqref="AC1764">
    <cfRule type="containsBlanks" dxfId="2327" priority="1394">
      <formula>LEN(TRIM(AC1764))=0</formula>
    </cfRule>
  </conditionalFormatting>
  <conditionalFormatting sqref="AA1764">
    <cfRule type="containsBlanks" dxfId="2326" priority="1393">
      <formula>LEN(TRIM(AA1764))=0</formula>
    </cfRule>
  </conditionalFormatting>
  <conditionalFormatting sqref="U1742">
    <cfRule type="containsBlanks" dxfId="2325" priority="1392">
      <formula>LEN(TRIM(U1742))=0</formula>
    </cfRule>
  </conditionalFormatting>
  <conditionalFormatting sqref="U1742">
    <cfRule type="containsBlanks" dxfId="2324" priority="1391">
      <formula>LEN(TRIM(U1742))=0</formula>
    </cfRule>
  </conditionalFormatting>
  <conditionalFormatting sqref="V1742">
    <cfRule type="containsBlanks" dxfId="2323" priority="1390">
      <formula>LEN(TRIM(V1742))=0</formula>
    </cfRule>
  </conditionalFormatting>
  <conditionalFormatting sqref="V1742">
    <cfRule type="containsBlanks" dxfId="2322" priority="1389">
      <formula>LEN(TRIM(V1742))=0</formula>
    </cfRule>
  </conditionalFormatting>
  <conditionalFormatting sqref="U1746 U1749 U1752 U1755 U1758 U1761 U1764 U1767">
    <cfRule type="containsBlanks" dxfId="2321" priority="1388">
      <formula>LEN(TRIM(U1746))=0</formula>
    </cfRule>
  </conditionalFormatting>
  <conditionalFormatting sqref="U1746 U1749 U1752 U1755 U1758 U1761 U1764 U1767">
    <cfRule type="containsBlanks" dxfId="2320" priority="1387">
      <formula>LEN(TRIM(U1746))=0</formula>
    </cfRule>
  </conditionalFormatting>
  <conditionalFormatting sqref="V1746 V1749 V1752 V1755 V1758 V1761 V1764 V1767 V1769 V1771 V1773 V1775 V1777 V1779 V1781:V1811">
    <cfRule type="containsBlanks" dxfId="2319" priority="1386">
      <formula>LEN(TRIM(V1746))=0</formula>
    </cfRule>
  </conditionalFormatting>
  <conditionalFormatting sqref="V1746 V1749 V1752 V1755 V1758 V1761 V1764 V1767 V1769 V1771 V1773 V1775 V1777 V1779 V1781:V1811">
    <cfRule type="containsBlanks" dxfId="2318" priority="1385">
      <formula>LEN(TRIM(V1746))=0</formula>
    </cfRule>
  </conditionalFormatting>
  <conditionalFormatting sqref="W1727">
    <cfRule type="containsBlanks" dxfId="2317" priority="1384">
      <formula>LEN(TRIM(W1727))=0</formula>
    </cfRule>
  </conditionalFormatting>
  <conditionalFormatting sqref="W1730">
    <cfRule type="containsBlanks" dxfId="2316" priority="1383">
      <formula>LEN(TRIM(W1730))=0</formula>
    </cfRule>
  </conditionalFormatting>
  <conditionalFormatting sqref="W1733">
    <cfRule type="containsBlanks" dxfId="2315" priority="1382">
      <formula>LEN(TRIM(W1733))=0</formula>
    </cfRule>
  </conditionalFormatting>
  <conditionalFormatting sqref="W1736">
    <cfRule type="containsBlanks" dxfId="2314" priority="1381">
      <formula>LEN(TRIM(W1736))=0</formula>
    </cfRule>
  </conditionalFormatting>
  <conditionalFormatting sqref="W1739">
    <cfRule type="containsBlanks" dxfId="2313" priority="1380">
      <formula>LEN(TRIM(W1739))=0</formula>
    </cfRule>
  </conditionalFormatting>
  <conditionalFormatting sqref="W1743">
    <cfRule type="containsBlanks" dxfId="2312" priority="1379">
      <formula>LEN(TRIM(W1743))=0</formula>
    </cfRule>
  </conditionalFormatting>
  <conditionalFormatting sqref="W1743">
    <cfRule type="containsBlanks" dxfId="2311" priority="1378">
      <formula>LEN(TRIM(W1743))=0</formula>
    </cfRule>
  </conditionalFormatting>
  <conditionalFormatting sqref="W1744">
    <cfRule type="containsBlanks" dxfId="2310" priority="1377">
      <formula>LEN(TRIM(W1744))=0</formula>
    </cfRule>
  </conditionalFormatting>
  <conditionalFormatting sqref="W1742">
    <cfRule type="containsBlanks" dxfId="2309" priority="1376">
      <formula>LEN(TRIM(W1742))=0</formula>
    </cfRule>
  </conditionalFormatting>
  <conditionalFormatting sqref="W1747">
    <cfRule type="containsBlanks" dxfId="2308" priority="1375">
      <formula>LEN(TRIM(W1747))=0</formula>
    </cfRule>
  </conditionalFormatting>
  <conditionalFormatting sqref="W1747">
    <cfRule type="containsBlanks" dxfId="2307" priority="1374">
      <formula>LEN(TRIM(W1747))=0</formula>
    </cfRule>
  </conditionalFormatting>
  <conditionalFormatting sqref="W1748">
    <cfRule type="containsBlanks" dxfId="2306" priority="1373">
      <formula>LEN(TRIM(W1748))=0</formula>
    </cfRule>
  </conditionalFormatting>
  <conditionalFormatting sqref="W1746">
    <cfRule type="containsBlanks" dxfId="2305" priority="1372">
      <formula>LEN(TRIM(W1746))=0</formula>
    </cfRule>
  </conditionalFormatting>
  <conditionalFormatting sqref="W1750 W1754">
    <cfRule type="containsBlanks" dxfId="2304" priority="1371">
      <formula>LEN(TRIM(W1750))=0</formula>
    </cfRule>
  </conditionalFormatting>
  <conditionalFormatting sqref="W1750 W1754">
    <cfRule type="containsBlanks" dxfId="2303" priority="1370">
      <formula>LEN(TRIM(W1750))=0</formula>
    </cfRule>
  </conditionalFormatting>
  <conditionalFormatting sqref="W1751">
    <cfRule type="containsBlanks" dxfId="2302" priority="1369">
      <formula>LEN(TRIM(W1751))=0</formula>
    </cfRule>
  </conditionalFormatting>
  <conditionalFormatting sqref="W1749 W1752:W1753">
    <cfRule type="containsBlanks" dxfId="2301" priority="1368">
      <formula>LEN(TRIM(W1749))=0</formula>
    </cfRule>
  </conditionalFormatting>
  <conditionalFormatting sqref="W1755">
    <cfRule type="containsBlanks" dxfId="2300" priority="1367">
      <formula>LEN(TRIM(W1755))=0</formula>
    </cfRule>
  </conditionalFormatting>
  <conditionalFormatting sqref="W1758">
    <cfRule type="containsBlanks" dxfId="2299" priority="1366">
      <formula>LEN(TRIM(W1758))=0</formula>
    </cfRule>
  </conditionalFormatting>
  <conditionalFormatting sqref="W1761">
    <cfRule type="containsBlanks" dxfId="2298" priority="1365">
      <formula>LEN(TRIM(W1761))=0</formula>
    </cfRule>
  </conditionalFormatting>
  <conditionalFormatting sqref="W1764">
    <cfRule type="containsBlanks" dxfId="2297" priority="1364">
      <formula>LEN(TRIM(W1764))=0</formula>
    </cfRule>
  </conditionalFormatting>
  <conditionalFormatting sqref="W1767 W1769 W1771 W1773 W1775 W1777 W1779 W1781 W1783 W1785 W1787 W1789 W1791 W1793 W1795 W1797 W1799 W1801 W1803 W1805 W1807 W1809 W1811">
    <cfRule type="containsBlanks" dxfId="2296" priority="1363">
      <formula>LEN(TRIM(W1767))=0</formula>
    </cfRule>
  </conditionalFormatting>
  <conditionalFormatting sqref="AA1797:AB1797 AA1798 AA1799:AB1799 AA1801:AB1801 AA1803:AB1803 AA1805:AB1805 AA1807:AB1807 AA1809:AB1809 AA1811:AB1811 AA1800 AA1802 AA1804 AA1806 AA1808 AA1810">
    <cfRule type="containsBlanks" dxfId="2295" priority="1362">
      <formula>LEN(TRIM(AA1797))=0</formula>
    </cfRule>
  </conditionalFormatting>
  <conditionalFormatting sqref="AB1798 AB1800 AB1802 AB1804 AB1806 AB1808 AB1810">
    <cfRule type="containsBlanks" dxfId="2294" priority="1361">
      <formula>LEN(TRIM(AB1798))=0</formula>
    </cfRule>
  </conditionalFormatting>
  <conditionalFormatting sqref="C1538:E1538">
    <cfRule type="containsBlanks" dxfId="2293" priority="1360">
      <formula>LEN(TRIM(C1538))=0</formula>
    </cfRule>
  </conditionalFormatting>
  <conditionalFormatting sqref="C1538:E1538">
    <cfRule type="containsBlanks" dxfId="2292" priority="1359">
      <formula>LEN(TRIM(C1538))=0</formula>
    </cfRule>
  </conditionalFormatting>
  <conditionalFormatting sqref="C1541:E1541">
    <cfRule type="containsBlanks" dxfId="2291" priority="1358">
      <formula>LEN(TRIM(C1541))=0</formula>
    </cfRule>
  </conditionalFormatting>
  <conditionalFormatting sqref="C1541:E1541">
    <cfRule type="containsBlanks" dxfId="2290" priority="1357">
      <formula>LEN(TRIM(C1541))=0</formula>
    </cfRule>
  </conditionalFormatting>
  <conditionalFormatting sqref="C1544:E1544">
    <cfRule type="containsBlanks" dxfId="2289" priority="1356">
      <formula>LEN(TRIM(C1544))=0</formula>
    </cfRule>
  </conditionalFormatting>
  <conditionalFormatting sqref="C1544:E1544">
    <cfRule type="containsBlanks" dxfId="2288" priority="1355">
      <formula>LEN(TRIM(C1544))=0</formula>
    </cfRule>
  </conditionalFormatting>
  <conditionalFormatting sqref="C1547:E1547">
    <cfRule type="containsBlanks" dxfId="2287" priority="1354">
      <formula>LEN(TRIM(C1547))=0</formula>
    </cfRule>
  </conditionalFormatting>
  <conditionalFormatting sqref="C1547:E1547">
    <cfRule type="containsBlanks" dxfId="2286" priority="1353">
      <formula>LEN(TRIM(C1547))=0</formula>
    </cfRule>
  </conditionalFormatting>
  <conditionalFormatting sqref="C1550:E1550">
    <cfRule type="containsBlanks" dxfId="2285" priority="1352">
      <formula>LEN(TRIM(C1550))=0</formula>
    </cfRule>
  </conditionalFormatting>
  <conditionalFormatting sqref="C1550:E1550">
    <cfRule type="containsBlanks" dxfId="2284" priority="1351">
      <formula>LEN(TRIM(C1550))=0</formula>
    </cfRule>
  </conditionalFormatting>
  <conditionalFormatting sqref="C1554:E1554">
    <cfRule type="containsBlanks" dxfId="2283" priority="1350">
      <formula>LEN(TRIM(C1554))=0</formula>
    </cfRule>
  </conditionalFormatting>
  <conditionalFormatting sqref="C1554:E1554">
    <cfRule type="containsBlanks" dxfId="2282" priority="1349">
      <formula>LEN(TRIM(C1554))=0</formula>
    </cfRule>
  </conditionalFormatting>
  <conditionalFormatting sqref="C1557:E1557">
    <cfRule type="containsBlanks" dxfId="2281" priority="1348">
      <formula>LEN(TRIM(C1557))=0</formula>
    </cfRule>
  </conditionalFormatting>
  <conditionalFormatting sqref="C1557:E1557">
    <cfRule type="containsBlanks" dxfId="2280" priority="1347">
      <formula>LEN(TRIM(C1557))=0</formula>
    </cfRule>
  </conditionalFormatting>
  <conditionalFormatting sqref="C1560:E1560">
    <cfRule type="containsBlanks" dxfId="2279" priority="1346">
      <formula>LEN(TRIM(C1560))=0</formula>
    </cfRule>
  </conditionalFormatting>
  <conditionalFormatting sqref="C1560:E1560">
    <cfRule type="containsBlanks" dxfId="2278" priority="1345">
      <formula>LEN(TRIM(C1560))=0</formula>
    </cfRule>
  </conditionalFormatting>
  <conditionalFormatting sqref="C1563:E1563">
    <cfRule type="containsBlanks" dxfId="2277" priority="1344">
      <formula>LEN(TRIM(C1563))=0</formula>
    </cfRule>
  </conditionalFormatting>
  <conditionalFormatting sqref="C1563:E1563">
    <cfRule type="containsBlanks" dxfId="2276" priority="1343">
      <formula>LEN(TRIM(C1563))=0</formula>
    </cfRule>
  </conditionalFormatting>
  <conditionalFormatting sqref="C1567:E1567">
    <cfRule type="containsBlanks" dxfId="2275" priority="1342">
      <formula>LEN(TRIM(C1567))=0</formula>
    </cfRule>
  </conditionalFormatting>
  <conditionalFormatting sqref="C1567:E1567">
    <cfRule type="containsBlanks" dxfId="2274" priority="1341">
      <formula>LEN(TRIM(C1567))=0</formula>
    </cfRule>
  </conditionalFormatting>
  <conditionalFormatting sqref="C1570:E1570">
    <cfRule type="containsBlanks" dxfId="2273" priority="1340">
      <formula>LEN(TRIM(C1570))=0</formula>
    </cfRule>
  </conditionalFormatting>
  <conditionalFormatting sqref="C1570:E1570">
    <cfRule type="containsBlanks" dxfId="2272" priority="1339">
      <formula>LEN(TRIM(C1570))=0</formula>
    </cfRule>
  </conditionalFormatting>
  <conditionalFormatting sqref="C1573:E1573">
    <cfRule type="containsBlanks" dxfId="2271" priority="1338">
      <formula>LEN(TRIM(C1573))=0</formula>
    </cfRule>
  </conditionalFormatting>
  <conditionalFormatting sqref="C1573:E1573">
    <cfRule type="containsBlanks" dxfId="2270" priority="1337">
      <formula>LEN(TRIM(C1573))=0</formula>
    </cfRule>
  </conditionalFormatting>
  <conditionalFormatting sqref="C1576:E1576">
    <cfRule type="containsBlanks" dxfId="2269" priority="1336">
      <formula>LEN(TRIM(C1576))=0</formula>
    </cfRule>
  </conditionalFormatting>
  <conditionalFormatting sqref="C1576:E1576">
    <cfRule type="containsBlanks" dxfId="2268" priority="1335">
      <formula>LEN(TRIM(C1576))=0</formula>
    </cfRule>
  </conditionalFormatting>
  <conditionalFormatting sqref="C1579:E1579">
    <cfRule type="containsBlanks" dxfId="2267" priority="1334">
      <formula>LEN(TRIM(C1579))=0</formula>
    </cfRule>
  </conditionalFormatting>
  <conditionalFormatting sqref="C1579:E1579">
    <cfRule type="containsBlanks" dxfId="2266" priority="1333">
      <formula>LEN(TRIM(C1579))=0</formula>
    </cfRule>
  </conditionalFormatting>
  <conditionalFormatting sqref="C1582:E1582">
    <cfRule type="containsBlanks" dxfId="2265" priority="1332">
      <formula>LEN(TRIM(C1582))=0</formula>
    </cfRule>
  </conditionalFormatting>
  <conditionalFormatting sqref="C1582:E1582">
    <cfRule type="containsBlanks" dxfId="2264" priority="1331">
      <formula>LEN(TRIM(C1582))=0</formula>
    </cfRule>
  </conditionalFormatting>
  <conditionalFormatting sqref="C1586:E1586">
    <cfRule type="containsBlanks" dxfId="2263" priority="1330">
      <formula>LEN(TRIM(C1586))=0</formula>
    </cfRule>
  </conditionalFormatting>
  <conditionalFormatting sqref="C1586:E1586">
    <cfRule type="containsBlanks" dxfId="2262" priority="1329">
      <formula>LEN(TRIM(C1586))=0</formula>
    </cfRule>
  </conditionalFormatting>
  <conditionalFormatting sqref="C1589:E1589">
    <cfRule type="containsBlanks" dxfId="2261" priority="1328">
      <formula>LEN(TRIM(C1589))=0</formula>
    </cfRule>
  </conditionalFormatting>
  <conditionalFormatting sqref="C1589:E1589">
    <cfRule type="containsBlanks" dxfId="2260" priority="1327">
      <formula>LEN(TRIM(C1589))=0</formula>
    </cfRule>
  </conditionalFormatting>
  <conditionalFormatting sqref="C1593:E1593">
    <cfRule type="containsBlanks" dxfId="2259" priority="1326">
      <formula>LEN(TRIM(C1593))=0</formula>
    </cfRule>
  </conditionalFormatting>
  <conditionalFormatting sqref="C1593:E1593">
    <cfRule type="containsBlanks" dxfId="2258" priority="1325">
      <formula>LEN(TRIM(C1593))=0</formula>
    </cfRule>
  </conditionalFormatting>
  <conditionalFormatting sqref="C1596:E1596">
    <cfRule type="containsBlanks" dxfId="2257" priority="1324">
      <formula>LEN(TRIM(C1596))=0</formula>
    </cfRule>
  </conditionalFormatting>
  <conditionalFormatting sqref="C1596:E1596">
    <cfRule type="containsBlanks" dxfId="2256" priority="1323">
      <formula>LEN(TRIM(C1596))=0</formula>
    </cfRule>
  </conditionalFormatting>
  <conditionalFormatting sqref="C1599:E1599">
    <cfRule type="containsBlanks" dxfId="2255" priority="1322">
      <formula>LEN(TRIM(C1599))=0</formula>
    </cfRule>
  </conditionalFormatting>
  <conditionalFormatting sqref="C1599:E1599">
    <cfRule type="containsBlanks" dxfId="2254" priority="1321">
      <formula>LEN(TRIM(C1599))=0</formula>
    </cfRule>
  </conditionalFormatting>
  <conditionalFormatting sqref="C1602:E1602">
    <cfRule type="containsBlanks" dxfId="2253" priority="1320">
      <formula>LEN(TRIM(C1602))=0</formula>
    </cfRule>
  </conditionalFormatting>
  <conditionalFormatting sqref="C1602:E1602">
    <cfRule type="containsBlanks" dxfId="2252" priority="1319">
      <formula>LEN(TRIM(C1602))=0</formula>
    </cfRule>
  </conditionalFormatting>
  <conditionalFormatting sqref="C1606:E1606">
    <cfRule type="containsBlanks" dxfId="2251" priority="1318">
      <formula>LEN(TRIM(C1606))=0</formula>
    </cfRule>
  </conditionalFormatting>
  <conditionalFormatting sqref="C1606:E1606">
    <cfRule type="containsBlanks" dxfId="2250" priority="1317">
      <formula>LEN(TRIM(C1606))=0</formula>
    </cfRule>
  </conditionalFormatting>
  <conditionalFormatting sqref="C1609:E1609">
    <cfRule type="containsBlanks" dxfId="2249" priority="1316">
      <formula>LEN(TRIM(C1609))=0</formula>
    </cfRule>
  </conditionalFormatting>
  <conditionalFormatting sqref="C1609:E1609">
    <cfRule type="containsBlanks" dxfId="2248" priority="1315">
      <formula>LEN(TRIM(C1609))=0</formula>
    </cfRule>
  </conditionalFormatting>
  <conditionalFormatting sqref="C1612:E1612">
    <cfRule type="containsBlanks" dxfId="2247" priority="1314">
      <formula>LEN(TRIM(C1612))=0</formula>
    </cfRule>
  </conditionalFormatting>
  <conditionalFormatting sqref="C1612:E1612">
    <cfRule type="containsBlanks" dxfId="2246" priority="1313">
      <formula>LEN(TRIM(C1612))=0</formula>
    </cfRule>
  </conditionalFormatting>
  <conditionalFormatting sqref="C1615:E1615">
    <cfRule type="containsBlanks" dxfId="2245" priority="1312">
      <formula>LEN(TRIM(C1615))=0</formula>
    </cfRule>
  </conditionalFormatting>
  <conditionalFormatting sqref="C1615:E1615">
    <cfRule type="containsBlanks" dxfId="2244" priority="1311">
      <formula>LEN(TRIM(C1615))=0</formula>
    </cfRule>
  </conditionalFormatting>
  <conditionalFormatting sqref="C1618:E1618">
    <cfRule type="containsBlanks" dxfId="2243" priority="1310">
      <formula>LEN(TRIM(C1618))=0</formula>
    </cfRule>
  </conditionalFormatting>
  <conditionalFormatting sqref="C1618:E1618">
    <cfRule type="containsBlanks" dxfId="2242" priority="1309">
      <formula>LEN(TRIM(C1618))=0</formula>
    </cfRule>
  </conditionalFormatting>
  <conditionalFormatting sqref="C1621:E1621">
    <cfRule type="containsBlanks" dxfId="2241" priority="1308">
      <formula>LEN(TRIM(C1621))=0</formula>
    </cfRule>
  </conditionalFormatting>
  <conditionalFormatting sqref="C1621:E1621">
    <cfRule type="containsBlanks" dxfId="2240" priority="1307">
      <formula>LEN(TRIM(C1621))=0</formula>
    </cfRule>
  </conditionalFormatting>
  <conditionalFormatting sqref="C1625:E1625">
    <cfRule type="containsBlanks" dxfId="2239" priority="1306">
      <formula>LEN(TRIM(C1625))=0</formula>
    </cfRule>
  </conditionalFormatting>
  <conditionalFormatting sqref="C1625:E1625">
    <cfRule type="containsBlanks" dxfId="2238" priority="1305">
      <formula>LEN(TRIM(C1625))=0</formula>
    </cfRule>
  </conditionalFormatting>
  <conditionalFormatting sqref="C1629:E1629">
    <cfRule type="containsBlanks" dxfId="2237" priority="1304">
      <formula>LEN(TRIM(C1629))=0</formula>
    </cfRule>
  </conditionalFormatting>
  <conditionalFormatting sqref="C1629:E1629">
    <cfRule type="containsBlanks" dxfId="2236" priority="1303">
      <formula>LEN(TRIM(C1629))=0</formula>
    </cfRule>
  </conditionalFormatting>
  <conditionalFormatting sqref="C1632:E1632">
    <cfRule type="containsBlanks" dxfId="2235" priority="1302">
      <formula>LEN(TRIM(C1632))=0</formula>
    </cfRule>
  </conditionalFormatting>
  <conditionalFormatting sqref="C1632:E1632">
    <cfRule type="containsBlanks" dxfId="2234" priority="1301">
      <formula>LEN(TRIM(C1632))=0</formula>
    </cfRule>
  </conditionalFormatting>
  <conditionalFormatting sqref="C1635:E1635">
    <cfRule type="containsBlanks" dxfId="2233" priority="1300">
      <formula>LEN(TRIM(C1635))=0</formula>
    </cfRule>
  </conditionalFormatting>
  <conditionalFormatting sqref="C1635:E1635">
    <cfRule type="containsBlanks" dxfId="2232" priority="1299">
      <formula>LEN(TRIM(C1635))=0</formula>
    </cfRule>
  </conditionalFormatting>
  <conditionalFormatting sqref="C1638:E1638">
    <cfRule type="containsBlanks" dxfId="2231" priority="1298">
      <formula>LEN(TRIM(C1638))=0</formula>
    </cfRule>
  </conditionalFormatting>
  <conditionalFormatting sqref="C1638:E1638">
    <cfRule type="containsBlanks" dxfId="2230" priority="1297">
      <formula>LEN(TRIM(C1638))=0</formula>
    </cfRule>
  </conditionalFormatting>
  <conditionalFormatting sqref="C1641:E1641">
    <cfRule type="containsBlanks" dxfId="2229" priority="1296">
      <formula>LEN(TRIM(C1641))=0</formula>
    </cfRule>
  </conditionalFormatting>
  <conditionalFormatting sqref="C1641:E1641">
    <cfRule type="containsBlanks" dxfId="2228" priority="1295">
      <formula>LEN(TRIM(C1641))=0</formula>
    </cfRule>
  </conditionalFormatting>
  <conditionalFormatting sqref="C1644:E1644">
    <cfRule type="containsBlanks" dxfId="2227" priority="1294">
      <formula>LEN(TRIM(C1644))=0</formula>
    </cfRule>
  </conditionalFormatting>
  <conditionalFormatting sqref="C1644:E1644">
    <cfRule type="containsBlanks" dxfId="2226" priority="1293">
      <formula>LEN(TRIM(C1644))=0</formula>
    </cfRule>
  </conditionalFormatting>
  <conditionalFormatting sqref="C1647:E1647">
    <cfRule type="containsBlanks" dxfId="2225" priority="1292">
      <formula>LEN(TRIM(C1647))=0</formula>
    </cfRule>
  </conditionalFormatting>
  <conditionalFormatting sqref="C1647:E1647">
    <cfRule type="containsBlanks" dxfId="2224" priority="1291">
      <formula>LEN(TRIM(C1647))=0</formula>
    </cfRule>
  </conditionalFormatting>
  <conditionalFormatting sqref="C1650:E1650">
    <cfRule type="containsBlanks" dxfId="2223" priority="1290">
      <formula>LEN(TRIM(C1650))=0</formula>
    </cfRule>
  </conditionalFormatting>
  <conditionalFormatting sqref="C1650:E1650">
    <cfRule type="containsBlanks" dxfId="2222" priority="1289">
      <formula>LEN(TRIM(C1650))=0</formula>
    </cfRule>
  </conditionalFormatting>
  <conditionalFormatting sqref="C1653:E1653">
    <cfRule type="containsBlanks" dxfId="2221" priority="1288">
      <formula>LEN(TRIM(C1653))=0</formula>
    </cfRule>
  </conditionalFormatting>
  <conditionalFormatting sqref="C1653:E1653">
    <cfRule type="containsBlanks" dxfId="2220" priority="1287">
      <formula>LEN(TRIM(C1653))=0</formula>
    </cfRule>
  </conditionalFormatting>
  <conditionalFormatting sqref="C1656:E1656">
    <cfRule type="containsBlanks" dxfId="2219" priority="1286">
      <formula>LEN(TRIM(C1656))=0</formula>
    </cfRule>
  </conditionalFormatting>
  <conditionalFormatting sqref="C1656:E1656">
    <cfRule type="containsBlanks" dxfId="2218" priority="1285">
      <formula>LEN(TRIM(C1656))=0</formula>
    </cfRule>
  </conditionalFormatting>
  <conditionalFormatting sqref="C1659:E1659">
    <cfRule type="containsBlanks" dxfId="2217" priority="1284">
      <formula>LEN(TRIM(C1659))=0</formula>
    </cfRule>
  </conditionalFormatting>
  <conditionalFormatting sqref="C1659:E1659">
    <cfRule type="containsBlanks" dxfId="2216" priority="1283">
      <formula>LEN(TRIM(C1659))=0</formula>
    </cfRule>
  </conditionalFormatting>
  <conditionalFormatting sqref="C1662:E1662">
    <cfRule type="containsBlanks" dxfId="2215" priority="1282">
      <formula>LEN(TRIM(C1662))=0</formula>
    </cfRule>
  </conditionalFormatting>
  <conditionalFormatting sqref="C1662:E1662">
    <cfRule type="containsBlanks" dxfId="2214" priority="1281">
      <formula>LEN(TRIM(C1662))=0</formula>
    </cfRule>
  </conditionalFormatting>
  <conditionalFormatting sqref="C1665:E1665">
    <cfRule type="containsBlanks" dxfId="2213" priority="1280">
      <formula>LEN(TRIM(C1665))=0</formula>
    </cfRule>
  </conditionalFormatting>
  <conditionalFormatting sqref="C1665:E1665">
    <cfRule type="containsBlanks" dxfId="2212" priority="1279">
      <formula>LEN(TRIM(C1665))=0</formula>
    </cfRule>
  </conditionalFormatting>
  <conditionalFormatting sqref="C1668:E1668">
    <cfRule type="containsBlanks" dxfId="2211" priority="1278">
      <formula>LEN(TRIM(C1668))=0</formula>
    </cfRule>
  </conditionalFormatting>
  <conditionalFormatting sqref="C1668:E1668">
    <cfRule type="containsBlanks" dxfId="2210" priority="1277">
      <formula>LEN(TRIM(C1668))=0</formula>
    </cfRule>
  </conditionalFormatting>
  <conditionalFormatting sqref="C1671:E1671">
    <cfRule type="containsBlanks" dxfId="2209" priority="1276">
      <formula>LEN(TRIM(C1671))=0</formula>
    </cfRule>
  </conditionalFormatting>
  <conditionalFormatting sqref="C1671:E1671">
    <cfRule type="containsBlanks" dxfId="2208" priority="1275">
      <formula>LEN(TRIM(C1671))=0</formula>
    </cfRule>
  </conditionalFormatting>
  <conditionalFormatting sqref="C1674:E1674">
    <cfRule type="containsBlanks" dxfId="2207" priority="1274">
      <formula>LEN(TRIM(C1674))=0</formula>
    </cfRule>
  </conditionalFormatting>
  <conditionalFormatting sqref="C1674:E1674">
    <cfRule type="containsBlanks" dxfId="2206" priority="1273">
      <formula>LEN(TRIM(C1674))=0</formula>
    </cfRule>
  </conditionalFormatting>
  <conditionalFormatting sqref="C1678:E1678">
    <cfRule type="containsBlanks" dxfId="2205" priority="1272">
      <formula>LEN(TRIM(C1678))=0</formula>
    </cfRule>
  </conditionalFormatting>
  <conditionalFormatting sqref="C1678:E1678">
    <cfRule type="containsBlanks" dxfId="2204" priority="1271">
      <formula>LEN(TRIM(C1678))=0</formula>
    </cfRule>
  </conditionalFormatting>
  <conditionalFormatting sqref="C1682:E1682">
    <cfRule type="containsBlanks" dxfId="2203" priority="1270">
      <formula>LEN(TRIM(C1682))=0</formula>
    </cfRule>
  </conditionalFormatting>
  <conditionalFormatting sqref="C1682:E1682">
    <cfRule type="containsBlanks" dxfId="2202" priority="1269">
      <formula>LEN(TRIM(C1682))=0</formula>
    </cfRule>
  </conditionalFormatting>
  <conditionalFormatting sqref="C1685:E1685">
    <cfRule type="containsBlanks" dxfId="2201" priority="1268">
      <formula>LEN(TRIM(C1685))=0</formula>
    </cfRule>
  </conditionalFormatting>
  <conditionalFormatting sqref="C1685:E1685">
    <cfRule type="containsBlanks" dxfId="2200" priority="1267">
      <formula>LEN(TRIM(C1685))=0</formula>
    </cfRule>
  </conditionalFormatting>
  <conditionalFormatting sqref="C1688:E1688">
    <cfRule type="containsBlanks" dxfId="2199" priority="1266">
      <formula>LEN(TRIM(C1688))=0</formula>
    </cfRule>
  </conditionalFormatting>
  <conditionalFormatting sqref="C1688:E1688">
    <cfRule type="containsBlanks" dxfId="2198" priority="1265">
      <formula>LEN(TRIM(C1688))=0</formula>
    </cfRule>
  </conditionalFormatting>
  <conditionalFormatting sqref="C1691:E1691">
    <cfRule type="containsBlanks" dxfId="2197" priority="1264">
      <formula>LEN(TRIM(C1691))=0</formula>
    </cfRule>
  </conditionalFormatting>
  <conditionalFormatting sqref="C1691:E1691">
    <cfRule type="containsBlanks" dxfId="2196" priority="1263">
      <formula>LEN(TRIM(C1691))=0</formula>
    </cfRule>
  </conditionalFormatting>
  <conditionalFormatting sqref="C1694:E1694">
    <cfRule type="containsBlanks" dxfId="2195" priority="1262">
      <formula>LEN(TRIM(C1694))=0</formula>
    </cfRule>
  </conditionalFormatting>
  <conditionalFormatting sqref="C1694:E1694">
    <cfRule type="containsBlanks" dxfId="2194" priority="1261">
      <formula>LEN(TRIM(C1694))=0</formula>
    </cfRule>
  </conditionalFormatting>
  <conditionalFormatting sqref="C1697:E1697">
    <cfRule type="containsBlanks" dxfId="2193" priority="1260">
      <formula>LEN(TRIM(C1697))=0</formula>
    </cfRule>
  </conditionalFormatting>
  <conditionalFormatting sqref="C1697:E1697">
    <cfRule type="containsBlanks" dxfId="2192" priority="1259">
      <formula>LEN(TRIM(C1697))=0</formula>
    </cfRule>
  </conditionalFormatting>
  <conditionalFormatting sqref="C1700:E1700">
    <cfRule type="containsBlanks" dxfId="2191" priority="1258">
      <formula>LEN(TRIM(C1700))=0</formula>
    </cfRule>
  </conditionalFormatting>
  <conditionalFormatting sqref="C1700:E1700">
    <cfRule type="containsBlanks" dxfId="2190" priority="1257">
      <formula>LEN(TRIM(C1700))=0</formula>
    </cfRule>
  </conditionalFormatting>
  <conditionalFormatting sqref="C1703:E1703">
    <cfRule type="containsBlanks" dxfId="2189" priority="1256">
      <formula>LEN(TRIM(C1703))=0</formula>
    </cfRule>
  </conditionalFormatting>
  <conditionalFormatting sqref="C1703:E1703">
    <cfRule type="containsBlanks" dxfId="2188" priority="1255">
      <formula>LEN(TRIM(C1703))=0</formula>
    </cfRule>
  </conditionalFormatting>
  <conditionalFormatting sqref="C1706:E1706">
    <cfRule type="containsBlanks" dxfId="2187" priority="1254">
      <formula>LEN(TRIM(C1706))=0</formula>
    </cfRule>
  </conditionalFormatting>
  <conditionalFormatting sqref="C1706:E1706">
    <cfRule type="containsBlanks" dxfId="2186" priority="1253">
      <formula>LEN(TRIM(C1706))=0</formula>
    </cfRule>
  </conditionalFormatting>
  <conditionalFormatting sqref="C1709:E1709">
    <cfRule type="containsBlanks" dxfId="2185" priority="1252">
      <formula>LEN(TRIM(C1709))=0</formula>
    </cfRule>
  </conditionalFormatting>
  <conditionalFormatting sqref="C1709:E1709">
    <cfRule type="containsBlanks" dxfId="2184" priority="1251">
      <formula>LEN(TRIM(C1709))=0</formula>
    </cfRule>
  </conditionalFormatting>
  <conditionalFormatting sqref="C1712:E1712">
    <cfRule type="containsBlanks" dxfId="2183" priority="1250">
      <formula>LEN(TRIM(C1712))=0</formula>
    </cfRule>
  </conditionalFormatting>
  <conditionalFormatting sqref="C1712:E1712">
    <cfRule type="containsBlanks" dxfId="2182" priority="1249">
      <formula>LEN(TRIM(C1712))=0</formula>
    </cfRule>
  </conditionalFormatting>
  <conditionalFormatting sqref="C1715:E1715">
    <cfRule type="containsBlanks" dxfId="2181" priority="1248">
      <formula>LEN(TRIM(C1715))=0</formula>
    </cfRule>
  </conditionalFormatting>
  <conditionalFormatting sqref="C1715:E1715">
    <cfRule type="containsBlanks" dxfId="2180" priority="1247">
      <formula>LEN(TRIM(C1715))=0</formula>
    </cfRule>
  </conditionalFormatting>
  <conditionalFormatting sqref="C1718:E1718">
    <cfRule type="containsBlanks" dxfId="2179" priority="1246">
      <formula>LEN(TRIM(C1718))=0</formula>
    </cfRule>
  </conditionalFormatting>
  <conditionalFormatting sqref="C1718:E1718">
    <cfRule type="containsBlanks" dxfId="2178" priority="1245">
      <formula>LEN(TRIM(C1718))=0</formula>
    </cfRule>
  </conditionalFormatting>
  <conditionalFormatting sqref="C1721:E1721">
    <cfRule type="containsBlanks" dxfId="2177" priority="1244">
      <formula>LEN(TRIM(C1721))=0</formula>
    </cfRule>
  </conditionalFormatting>
  <conditionalFormatting sqref="C1721:E1721">
    <cfRule type="containsBlanks" dxfId="2176" priority="1243">
      <formula>LEN(TRIM(C1721))=0</formula>
    </cfRule>
  </conditionalFormatting>
  <conditionalFormatting sqref="C1724:E1724">
    <cfRule type="containsBlanks" dxfId="2175" priority="1242">
      <formula>LEN(TRIM(C1724))=0</formula>
    </cfRule>
  </conditionalFormatting>
  <conditionalFormatting sqref="C1724:E1724">
    <cfRule type="containsBlanks" dxfId="2174" priority="1241">
      <formula>LEN(TRIM(C1724))=0</formula>
    </cfRule>
  </conditionalFormatting>
  <conditionalFormatting sqref="C1727:E1727">
    <cfRule type="containsBlanks" dxfId="2173" priority="1240">
      <formula>LEN(TRIM(C1727))=0</formula>
    </cfRule>
  </conditionalFormatting>
  <conditionalFormatting sqref="C1727:E1727">
    <cfRule type="containsBlanks" dxfId="2172" priority="1239">
      <formula>LEN(TRIM(C1727))=0</formula>
    </cfRule>
  </conditionalFormatting>
  <conditionalFormatting sqref="C1730:E1730">
    <cfRule type="containsBlanks" dxfId="2171" priority="1238">
      <formula>LEN(TRIM(C1730))=0</formula>
    </cfRule>
  </conditionalFormatting>
  <conditionalFormatting sqref="C1730:E1730">
    <cfRule type="containsBlanks" dxfId="2170" priority="1237">
      <formula>LEN(TRIM(C1730))=0</formula>
    </cfRule>
  </conditionalFormatting>
  <conditionalFormatting sqref="C1733:E1733">
    <cfRule type="containsBlanks" dxfId="2169" priority="1236">
      <formula>LEN(TRIM(C1733))=0</formula>
    </cfRule>
  </conditionalFormatting>
  <conditionalFormatting sqref="C1733:E1733">
    <cfRule type="containsBlanks" dxfId="2168" priority="1235">
      <formula>LEN(TRIM(C1733))=0</formula>
    </cfRule>
  </conditionalFormatting>
  <conditionalFormatting sqref="C1736:E1736">
    <cfRule type="containsBlanks" dxfId="2167" priority="1234">
      <formula>LEN(TRIM(C1736))=0</formula>
    </cfRule>
  </conditionalFormatting>
  <conditionalFormatting sqref="C1736:E1736">
    <cfRule type="containsBlanks" dxfId="2166" priority="1233">
      <formula>LEN(TRIM(C1736))=0</formula>
    </cfRule>
  </conditionalFormatting>
  <conditionalFormatting sqref="C1739:E1739">
    <cfRule type="containsBlanks" dxfId="2165" priority="1232">
      <formula>LEN(TRIM(C1739))=0</formula>
    </cfRule>
  </conditionalFormatting>
  <conditionalFormatting sqref="C1739:E1739">
    <cfRule type="containsBlanks" dxfId="2164" priority="1231">
      <formula>LEN(TRIM(C1739))=0</formula>
    </cfRule>
  </conditionalFormatting>
  <conditionalFormatting sqref="C1742:E1742">
    <cfRule type="containsBlanks" dxfId="2163" priority="1230">
      <formula>LEN(TRIM(C1742))=0</formula>
    </cfRule>
  </conditionalFormatting>
  <conditionalFormatting sqref="C1742:E1742">
    <cfRule type="containsBlanks" dxfId="2162" priority="1229">
      <formula>LEN(TRIM(C1742))=0</formula>
    </cfRule>
  </conditionalFormatting>
  <conditionalFormatting sqref="C1746:E1746">
    <cfRule type="containsBlanks" dxfId="2161" priority="1228">
      <formula>LEN(TRIM(C1746))=0</formula>
    </cfRule>
  </conditionalFormatting>
  <conditionalFormatting sqref="C1746:E1746">
    <cfRule type="containsBlanks" dxfId="2160" priority="1227">
      <formula>LEN(TRIM(C1746))=0</formula>
    </cfRule>
  </conditionalFormatting>
  <conditionalFormatting sqref="C1749:E1749">
    <cfRule type="containsBlanks" dxfId="2159" priority="1226">
      <formula>LEN(TRIM(C1749))=0</formula>
    </cfRule>
  </conditionalFormatting>
  <conditionalFormatting sqref="C1749:E1749">
    <cfRule type="containsBlanks" dxfId="2158" priority="1225">
      <formula>LEN(TRIM(C1749))=0</formula>
    </cfRule>
  </conditionalFormatting>
  <conditionalFormatting sqref="C1752:E1752">
    <cfRule type="containsBlanks" dxfId="2157" priority="1224">
      <formula>LEN(TRIM(C1752))=0</formula>
    </cfRule>
  </conditionalFormatting>
  <conditionalFormatting sqref="C1752:E1752">
    <cfRule type="containsBlanks" dxfId="2156" priority="1223">
      <formula>LEN(TRIM(C1752))=0</formula>
    </cfRule>
  </conditionalFormatting>
  <conditionalFormatting sqref="C1755:E1755">
    <cfRule type="containsBlanks" dxfId="2155" priority="1222">
      <formula>LEN(TRIM(C1755))=0</formula>
    </cfRule>
  </conditionalFormatting>
  <conditionalFormatting sqref="C1755:E1755">
    <cfRule type="containsBlanks" dxfId="2154" priority="1221">
      <formula>LEN(TRIM(C1755))=0</formula>
    </cfRule>
  </conditionalFormatting>
  <conditionalFormatting sqref="C1758:E1758">
    <cfRule type="containsBlanks" dxfId="2153" priority="1220">
      <formula>LEN(TRIM(C1758))=0</formula>
    </cfRule>
  </conditionalFormatting>
  <conditionalFormatting sqref="C1758:E1758">
    <cfRule type="containsBlanks" dxfId="2152" priority="1219">
      <formula>LEN(TRIM(C1758))=0</formula>
    </cfRule>
  </conditionalFormatting>
  <conditionalFormatting sqref="C1761:E1761">
    <cfRule type="containsBlanks" dxfId="2151" priority="1218">
      <formula>LEN(TRIM(C1761))=0</formula>
    </cfRule>
  </conditionalFormatting>
  <conditionalFormatting sqref="C1761:E1761">
    <cfRule type="containsBlanks" dxfId="2150" priority="1217">
      <formula>LEN(TRIM(C1761))=0</formula>
    </cfRule>
  </conditionalFormatting>
  <conditionalFormatting sqref="C1764:E1764">
    <cfRule type="containsBlanks" dxfId="2149" priority="1216">
      <formula>LEN(TRIM(C1764))=0</formula>
    </cfRule>
  </conditionalFormatting>
  <conditionalFormatting sqref="C1767:E1811">
    <cfRule type="containsBlanks" dxfId="2148" priority="1213">
      <formula>LEN(TRIM(C1767))=0</formula>
    </cfRule>
  </conditionalFormatting>
  <conditionalFormatting sqref="X1541">
    <cfRule type="containsBlanks" dxfId="2147" priority="1212">
      <formula>LEN(TRIM(X1541))=0</formula>
    </cfRule>
  </conditionalFormatting>
  <conditionalFormatting sqref="X1544">
    <cfRule type="containsBlanks" dxfId="2146" priority="1211">
      <formula>LEN(TRIM(X1544))=0</formula>
    </cfRule>
  </conditionalFormatting>
  <conditionalFormatting sqref="X1547">
    <cfRule type="containsBlanks" dxfId="2145" priority="1210">
      <formula>LEN(TRIM(X1547))=0</formula>
    </cfRule>
  </conditionalFormatting>
  <conditionalFormatting sqref="X1550">
    <cfRule type="containsBlanks" dxfId="2144" priority="1209">
      <formula>LEN(TRIM(X1550))=0</formula>
    </cfRule>
  </conditionalFormatting>
  <conditionalFormatting sqref="X1563">
    <cfRule type="containsBlanks" dxfId="2143" priority="1205">
      <formula>LEN(TRIM(X1563))=0</formula>
    </cfRule>
  </conditionalFormatting>
  <conditionalFormatting sqref="X1567">
    <cfRule type="containsBlanks" dxfId="2142" priority="1204">
      <formula>LEN(TRIM(X1567))=0</formula>
    </cfRule>
  </conditionalFormatting>
  <conditionalFormatting sqref="X1570">
    <cfRule type="containsBlanks" dxfId="2141" priority="1203">
      <formula>LEN(TRIM(X1570))=0</formula>
    </cfRule>
  </conditionalFormatting>
  <conditionalFormatting sqref="X1573">
    <cfRule type="containsBlanks" dxfId="2140" priority="1202">
      <formula>LEN(TRIM(X1573))=0</formula>
    </cfRule>
  </conditionalFormatting>
  <conditionalFormatting sqref="X1576">
    <cfRule type="containsBlanks" dxfId="2139" priority="1201">
      <formula>LEN(TRIM(X1576))=0</formula>
    </cfRule>
  </conditionalFormatting>
  <conditionalFormatting sqref="X1579">
    <cfRule type="containsBlanks" dxfId="2138" priority="1200">
      <formula>LEN(TRIM(X1579))=0</formula>
    </cfRule>
  </conditionalFormatting>
  <conditionalFormatting sqref="X1582">
    <cfRule type="containsBlanks" dxfId="2137" priority="1199">
      <formula>LEN(TRIM(X1582))=0</formula>
    </cfRule>
  </conditionalFormatting>
  <conditionalFormatting sqref="X1591">
    <cfRule type="containsBlanks" dxfId="2136" priority="1196">
      <formula>LEN(TRIM(X1591))=0</formula>
    </cfRule>
  </conditionalFormatting>
  <conditionalFormatting sqref="X1594">
    <cfRule type="containsBlanks" dxfId="2135" priority="1195">
      <formula>LEN(TRIM(X1594))=0</formula>
    </cfRule>
  </conditionalFormatting>
  <conditionalFormatting sqref="X1597">
    <cfRule type="containsBlanks" dxfId="2134" priority="1194">
      <formula>LEN(TRIM(X1597))=0</formula>
    </cfRule>
  </conditionalFormatting>
  <conditionalFormatting sqref="X1600">
    <cfRule type="containsBlanks" dxfId="2133" priority="1193">
      <formula>LEN(TRIM(X1600))=0</formula>
    </cfRule>
  </conditionalFormatting>
  <conditionalFormatting sqref="X1603">
    <cfRule type="containsBlanks" dxfId="2132" priority="1192">
      <formula>LEN(TRIM(X1603))=0</formula>
    </cfRule>
  </conditionalFormatting>
  <conditionalFormatting sqref="X1606">
    <cfRule type="containsBlanks" dxfId="2131" priority="1191">
      <formula>LEN(TRIM(X1606))=0</formula>
    </cfRule>
  </conditionalFormatting>
  <conditionalFormatting sqref="X1609">
    <cfRule type="containsBlanks" dxfId="2130" priority="1190">
      <formula>LEN(TRIM(X1609))=0</formula>
    </cfRule>
  </conditionalFormatting>
  <conditionalFormatting sqref="X1612">
    <cfRule type="containsBlanks" dxfId="2129" priority="1189">
      <formula>LEN(TRIM(X1612))=0</formula>
    </cfRule>
  </conditionalFormatting>
  <conditionalFormatting sqref="X1615">
    <cfRule type="containsBlanks" dxfId="2128" priority="1188">
      <formula>LEN(TRIM(X1615))=0</formula>
    </cfRule>
  </conditionalFormatting>
  <conditionalFormatting sqref="X1618">
    <cfRule type="containsBlanks" dxfId="2127" priority="1187">
      <formula>LEN(TRIM(X1618))=0</formula>
    </cfRule>
  </conditionalFormatting>
  <conditionalFormatting sqref="X1621">
    <cfRule type="containsBlanks" dxfId="2126" priority="1186">
      <formula>LEN(TRIM(X1621))=0</formula>
    </cfRule>
  </conditionalFormatting>
  <conditionalFormatting sqref="X1624">
    <cfRule type="containsBlanks" dxfId="2125" priority="1185">
      <formula>LEN(TRIM(X1624))=0</formula>
    </cfRule>
  </conditionalFormatting>
  <conditionalFormatting sqref="X1627">
    <cfRule type="containsBlanks" dxfId="2124" priority="1184">
      <formula>LEN(TRIM(X1627))=0</formula>
    </cfRule>
  </conditionalFormatting>
  <conditionalFormatting sqref="X1630">
    <cfRule type="containsBlanks" dxfId="2123" priority="1183">
      <formula>LEN(TRIM(X1630))=0</formula>
    </cfRule>
  </conditionalFormatting>
  <conditionalFormatting sqref="X1633">
    <cfRule type="containsBlanks" dxfId="2122" priority="1182">
      <formula>LEN(TRIM(X1633))=0</formula>
    </cfRule>
  </conditionalFormatting>
  <conditionalFormatting sqref="X1639">
    <cfRule type="containsBlanks" dxfId="2121" priority="1180">
      <formula>LEN(TRIM(X1639))=0</formula>
    </cfRule>
  </conditionalFormatting>
  <conditionalFormatting sqref="X1642">
    <cfRule type="containsBlanks" dxfId="2120" priority="1179">
      <formula>LEN(TRIM(X1642))=0</formula>
    </cfRule>
  </conditionalFormatting>
  <conditionalFormatting sqref="X1645">
    <cfRule type="containsBlanks" dxfId="2119" priority="1178">
      <formula>LEN(TRIM(X1645))=0</formula>
    </cfRule>
  </conditionalFormatting>
  <conditionalFormatting sqref="X1648">
    <cfRule type="containsBlanks" dxfId="2118" priority="1177">
      <formula>LEN(TRIM(X1648))=0</formula>
    </cfRule>
  </conditionalFormatting>
  <conditionalFormatting sqref="X1651">
    <cfRule type="containsBlanks" dxfId="2117" priority="1176">
      <formula>LEN(TRIM(X1651))=0</formula>
    </cfRule>
  </conditionalFormatting>
  <conditionalFormatting sqref="X1657">
    <cfRule type="containsBlanks" dxfId="2116" priority="1174">
      <formula>LEN(TRIM(X1657))=0</formula>
    </cfRule>
  </conditionalFormatting>
  <conditionalFormatting sqref="X1660">
    <cfRule type="containsBlanks" dxfId="2115" priority="1173">
      <formula>LEN(TRIM(X1660))=0</formula>
    </cfRule>
  </conditionalFormatting>
  <conditionalFormatting sqref="X1663">
    <cfRule type="containsBlanks" dxfId="2114" priority="1172">
      <formula>LEN(TRIM(X1663))=0</formula>
    </cfRule>
  </conditionalFormatting>
  <conditionalFormatting sqref="X1666">
    <cfRule type="containsBlanks" dxfId="2113" priority="1171">
      <formula>LEN(TRIM(X1666))=0</formula>
    </cfRule>
  </conditionalFormatting>
  <conditionalFormatting sqref="X1669">
    <cfRule type="containsBlanks" dxfId="2112" priority="1170">
      <formula>LEN(TRIM(X1669))=0</formula>
    </cfRule>
  </conditionalFormatting>
  <conditionalFormatting sqref="X1672">
    <cfRule type="containsBlanks" dxfId="2111" priority="1169">
      <formula>LEN(TRIM(X1672))=0</formula>
    </cfRule>
  </conditionalFormatting>
  <conditionalFormatting sqref="X1724">
    <cfRule type="containsBlanks" dxfId="2110" priority="1152">
      <formula>LEN(TRIM(X1724))=0</formula>
    </cfRule>
  </conditionalFormatting>
  <conditionalFormatting sqref="X1727">
    <cfRule type="containsBlanks" dxfId="2109" priority="1151">
      <formula>LEN(TRIM(X1727))=0</formula>
    </cfRule>
  </conditionalFormatting>
  <conditionalFormatting sqref="X1730">
    <cfRule type="containsBlanks" dxfId="2108" priority="1150">
      <formula>LEN(TRIM(X1730))=0</formula>
    </cfRule>
  </conditionalFormatting>
  <conditionalFormatting sqref="X1742">
    <cfRule type="containsBlanks" dxfId="2107" priority="1146">
      <formula>LEN(TRIM(X1742))=0</formula>
    </cfRule>
  </conditionalFormatting>
  <conditionalFormatting sqref="X1746">
    <cfRule type="containsBlanks" dxfId="2106" priority="1145">
      <formula>LEN(TRIM(X1746))=0</formula>
    </cfRule>
  </conditionalFormatting>
  <conditionalFormatting sqref="X1752">
    <cfRule type="containsBlanks" dxfId="2105" priority="1143">
      <formula>LEN(TRIM(X1752))=0</formula>
    </cfRule>
  </conditionalFormatting>
  <conditionalFormatting sqref="X1758">
    <cfRule type="containsBlanks" dxfId="2104" priority="1141">
      <formula>LEN(TRIM(X1758))=0</formula>
    </cfRule>
  </conditionalFormatting>
  <conditionalFormatting sqref="X1761">
    <cfRule type="containsBlanks" dxfId="2103" priority="1140">
      <formula>LEN(TRIM(X1761))=0</formula>
    </cfRule>
  </conditionalFormatting>
  <conditionalFormatting sqref="X1764">
    <cfRule type="containsBlanks" dxfId="2102" priority="1139">
      <formula>LEN(TRIM(X1764))=0</formula>
    </cfRule>
  </conditionalFormatting>
  <conditionalFormatting sqref="X1767:X1812">
    <cfRule type="containsBlanks" dxfId="2101" priority="1138">
      <formula>LEN(TRIM(X1767))=0</formula>
    </cfRule>
  </conditionalFormatting>
  <conditionalFormatting sqref="AA1812">
    <cfRule type="containsBlanks" dxfId="2100" priority="1137">
      <formula>LEN(TRIM(AA1812))=0</formula>
    </cfRule>
  </conditionalFormatting>
  <conditionalFormatting sqref="AA1813">
    <cfRule type="containsBlanks" dxfId="2099" priority="1136">
      <formula>LEN(TRIM(AA1813))=0</formula>
    </cfRule>
  </conditionalFormatting>
  <conditionalFormatting sqref="I1837">
    <cfRule type="containsBlanks" dxfId="2098" priority="1135">
      <formula>LEN(TRIM(I1837))=0</formula>
    </cfRule>
  </conditionalFormatting>
  <conditionalFormatting sqref="I1837">
    <cfRule type="containsBlanks" dxfId="2097" priority="1134">
      <formula>LEN(TRIM(I1837))=0</formula>
    </cfRule>
  </conditionalFormatting>
  <conditionalFormatting sqref="AC1814">
    <cfRule type="containsBlanks" dxfId="2096" priority="1133">
      <formula>LEN(TRIM(AC1814))=0</formula>
    </cfRule>
  </conditionalFormatting>
  <conditionalFormatting sqref="AC1814">
    <cfRule type="containsBlanks" dxfId="2095" priority="1132">
      <formula>LEN(TRIM(AC1814))=0</formula>
    </cfRule>
  </conditionalFormatting>
  <conditionalFormatting sqref="AC1815">
    <cfRule type="containsBlanks" dxfId="2094" priority="1130">
      <formula>LEN(TRIM(AC1815))=0</formula>
    </cfRule>
  </conditionalFormatting>
  <conditionalFormatting sqref="AB1814">
    <cfRule type="containsBlanks" dxfId="2093" priority="1131">
      <formula>LEN(TRIM(AB1814))=0</formula>
    </cfRule>
  </conditionalFormatting>
  <conditionalFormatting sqref="AC1815">
    <cfRule type="containsBlanks" dxfId="2092" priority="1129">
      <formula>LEN(TRIM(AC1815))=0</formula>
    </cfRule>
  </conditionalFormatting>
  <conditionalFormatting sqref="AB1815">
    <cfRule type="containsBlanks" dxfId="2091" priority="1128">
      <formula>LEN(TRIM(AB1815))=0</formula>
    </cfRule>
  </conditionalFormatting>
  <conditionalFormatting sqref="AC1817">
    <cfRule type="containsBlanks" dxfId="2090" priority="1122">
      <formula>LEN(TRIM(AC1817))=0</formula>
    </cfRule>
  </conditionalFormatting>
  <conditionalFormatting sqref="AB1816">
    <cfRule type="containsBlanks" dxfId="2089" priority="1123">
      <formula>LEN(TRIM(AB1816))=0</formula>
    </cfRule>
  </conditionalFormatting>
  <conditionalFormatting sqref="AC1817">
    <cfRule type="containsBlanks" dxfId="2088" priority="1121">
      <formula>LEN(TRIM(AC1817))=0</formula>
    </cfRule>
  </conditionalFormatting>
  <conditionalFormatting sqref="AB1817">
    <cfRule type="containsBlanks" dxfId="2087" priority="1120">
      <formula>LEN(TRIM(AB1817))=0</formula>
    </cfRule>
  </conditionalFormatting>
  <conditionalFormatting sqref="AA1816">
    <cfRule type="containsBlanks" dxfId="2086" priority="1119">
      <formula>LEN(TRIM(AA1816))=0</formula>
    </cfRule>
  </conditionalFormatting>
  <conditionalFormatting sqref="AA1817">
    <cfRule type="containsBlanks" dxfId="2085" priority="1118">
      <formula>LEN(TRIM(AA1817))=0</formula>
    </cfRule>
  </conditionalFormatting>
  <conditionalFormatting sqref="AC1818">
    <cfRule type="containsBlanks" dxfId="2084" priority="1117">
      <formula>LEN(TRIM(AC1818))=0</formula>
    </cfRule>
  </conditionalFormatting>
  <conditionalFormatting sqref="AC1818">
    <cfRule type="containsBlanks" dxfId="2083" priority="1116">
      <formula>LEN(TRIM(AC1818))=0</formula>
    </cfRule>
  </conditionalFormatting>
  <conditionalFormatting sqref="AC1819">
    <cfRule type="containsBlanks" dxfId="2082" priority="1114">
      <formula>LEN(TRIM(AC1819))=0</formula>
    </cfRule>
  </conditionalFormatting>
  <conditionalFormatting sqref="AC1819">
    <cfRule type="containsBlanks" dxfId="2081" priority="1113">
      <formula>LEN(TRIM(AC1819))=0</formula>
    </cfRule>
  </conditionalFormatting>
  <conditionalFormatting sqref="AB1819">
    <cfRule type="containsBlanks" dxfId="2080" priority="1112">
      <formula>LEN(TRIM(AB1819))=0</formula>
    </cfRule>
  </conditionalFormatting>
  <conditionalFormatting sqref="AA1818">
    <cfRule type="containsBlanks" dxfId="2079" priority="1111">
      <formula>LEN(TRIM(AA1818))=0</formula>
    </cfRule>
  </conditionalFormatting>
  <conditionalFormatting sqref="AA1819">
    <cfRule type="containsBlanks" dxfId="2078" priority="1110">
      <formula>LEN(TRIM(AA1819))=0</formula>
    </cfRule>
  </conditionalFormatting>
  <conditionalFormatting sqref="AC1820">
    <cfRule type="containsBlanks" dxfId="2077" priority="1109">
      <formula>LEN(TRIM(AC1820))=0</formula>
    </cfRule>
  </conditionalFormatting>
  <conditionalFormatting sqref="AC1820">
    <cfRule type="containsBlanks" dxfId="2076" priority="1108">
      <formula>LEN(TRIM(AC1820))=0</formula>
    </cfRule>
  </conditionalFormatting>
  <conditionalFormatting sqref="AC1821">
    <cfRule type="containsBlanks" dxfId="2075" priority="1106">
      <formula>LEN(TRIM(AC1821))=0</formula>
    </cfRule>
  </conditionalFormatting>
  <conditionalFormatting sqref="AB1820">
    <cfRule type="containsBlanks" dxfId="2074" priority="1107">
      <formula>LEN(TRIM(AB1820))=0</formula>
    </cfRule>
  </conditionalFormatting>
  <conditionalFormatting sqref="AC1821">
    <cfRule type="containsBlanks" dxfId="2073" priority="1105">
      <formula>LEN(TRIM(AC1821))=0</formula>
    </cfRule>
  </conditionalFormatting>
  <conditionalFormatting sqref="AB1821">
    <cfRule type="containsBlanks" dxfId="2072" priority="1104">
      <formula>LEN(TRIM(AB1821))=0</formula>
    </cfRule>
  </conditionalFormatting>
  <conditionalFormatting sqref="AA1820">
    <cfRule type="containsBlanks" dxfId="2071" priority="1103">
      <formula>LEN(TRIM(AA1820))=0</formula>
    </cfRule>
  </conditionalFormatting>
  <conditionalFormatting sqref="AA1821">
    <cfRule type="containsBlanks" dxfId="2070" priority="1102">
      <formula>LEN(TRIM(AA1821))=0</formula>
    </cfRule>
  </conditionalFormatting>
  <conditionalFormatting sqref="AC1822">
    <cfRule type="containsBlanks" dxfId="2069" priority="1101">
      <formula>LEN(TRIM(AC1822))=0</formula>
    </cfRule>
  </conditionalFormatting>
  <conditionalFormatting sqref="AC1822">
    <cfRule type="containsBlanks" dxfId="2068" priority="1100">
      <formula>LEN(TRIM(AC1822))=0</formula>
    </cfRule>
  </conditionalFormatting>
  <conditionalFormatting sqref="AC1823">
    <cfRule type="containsBlanks" dxfId="2067" priority="1098">
      <formula>LEN(TRIM(AC1823))=0</formula>
    </cfRule>
  </conditionalFormatting>
  <conditionalFormatting sqref="AB1822">
    <cfRule type="containsBlanks" dxfId="2066" priority="1099">
      <formula>LEN(TRIM(AB1822))=0</formula>
    </cfRule>
  </conditionalFormatting>
  <conditionalFormatting sqref="AC1823">
    <cfRule type="containsBlanks" dxfId="2065" priority="1097">
      <formula>LEN(TRIM(AC1823))=0</formula>
    </cfRule>
  </conditionalFormatting>
  <conditionalFormatting sqref="AB1823">
    <cfRule type="containsBlanks" dxfId="2064" priority="1096">
      <formula>LEN(TRIM(AB1823))=0</formula>
    </cfRule>
  </conditionalFormatting>
  <conditionalFormatting sqref="AA1822">
    <cfRule type="containsBlanks" dxfId="2063" priority="1095">
      <formula>LEN(TRIM(AA1822))=0</formula>
    </cfRule>
  </conditionalFormatting>
  <conditionalFormatting sqref="AA1823">
    <cfRule type="containsBlanks" dxfId="2062" priority="1094">
      <formula>LEN(TRIM(AA1823))=0</formula>
    </cfRule>
  </conditionalFormatting>
  <conditionalFormatting sqref="AC1824">
    <cfRule type="containsBlanks" dxfId="2061" priority="1093">
      <formula>LEN(TRIM(AC1824))=0</formula>
    </cfRule>
  </conditionalFormatting>
  <conditionalFormatting sqref="AC1824">
    <cfRule type="containsBlanks" dxfId="2060" priority="1092">
      <formula>LEN(TRIM(AC1824))=0</formula>
    </cfRule>
  </conditionalFormatting>
  <conditionalFormatting sqref="AC1825">
    <cfRule type="containsBlanks" dxfId="2059" priority="1090">
      <formula>LEN(TRIM(AC1825))=0</formula>
    </cfRule>
  </conditionalFormatting>
  <conditionalFormatting sqref="AB1824">
    <cfRule type="containsBlanks" dxfId="2058" priority="1091">
      <formula>LEN(TRIM(AB1824))=0</formula>
    </cfRule>
  </conditionalFormatting>
  <conditionalFormatting sqref="AC1825">
    <cfRule type="containsBlanks" dxfId="2057" priority="1089">
      <formula>LEN(TRIM(AC1825))=0</formula>
    </cfRule>
  </conditionalFormatting>
  <conditionalFormatting sqref="AB1825">
    <cfRule type="containsBlanks" dxfId="2056" priority="1088">
      <formula>LEN(TRIM(AB1825))=0</formula>
    </cfRule>
  </conditionalFormatting>
  <conditionalFormatting sqref="AA1824">
    <cfRule type="containsBlanks" dxfId="2055" priority="1087">
      <formula>LEN(TRIM(AA1824))=0</formula>
    </cfRule>
  </conditionalFormatting>
  <conditionalFormatting sqref="AA1825">
    <cfRule type="containsBlanks" dxfId="2054" priority="1086">
      <formula>LEN(TRIM(AA1825))=0</formula>
    </cfRule>
  </conditionalFormatting>
  <conditionalFormatting sqref="AC1826">
    <cfRule type="containsBlanks" dxfId="2053" priority="1085">
      <formula>LEN(TRIM(AC1826))=0</formula>
    </cfRule>
  </conditionalFormatting>
  <conditionalFormatting sqref="AC1826">
    <cfRule type="containsBlanks" dxfId="2052" priority="1084">
      <formula>LEN(TRIM(AC1826))=0</formula>
    </cfRule>
  </conditionalFormatting>
  <conditionalFormatting sqref="AC1827">
    <cfRule type="containsBlanks" dxfId="2051" priority="1082">
      <formula>LEN(TRIM(AC1827))=0</formula>
    </cfRule>
  </conditionalFormatting>
  <conditionalFormatting sqref="AB1826">
    <cfRule type="containsBlanks" dxfId="2050" priority="1083">
      <formula>LEN(TRIM(AB1826))=0</formula>
    </cfRule>
  </conditionalFormatting>
  <conditionalFormatting sqref="AC1827">
    <cfRule type="containsBlanks" dxfId="2049" priority="1081">
      <formula>LEN(TRIM(AC1827))=0</formula>
    </cfRule>
  </conditionalFormatting>
  <conditionalFormatting sqref="AB1827">
    <cfRule type="containsBlanks" dxfId="2048" priority="1080">
      <formula>LEN(TRIM(AB1827))=0</formula>
    </cfRule>
  </conditionalFormatting>
  <conditionalFormatting sqref="AA1826">
    <cfRule type="containsBlanks" dxfId="2047" priority="1079">
      <formula>LEN(TRIM(AA1826))=0</formula>
    </cfRule>
  </conditionalFormatting>
  <conditionalFormatting sqref="AA1827">
    <cfRule type="containsBlanks" dxfId="2046" priority="1078">
      <formula>LEN(TRIM(AA1827))=0</formula>
    </cfRule>
  </conditionalFormatting>
  <conditionalFormatting sqref="AC1828">
    <cfRule type="containsBlanks" dxfId="2045" priority="1077">
      <formula>LEN(TRIM(AC1828))=0</formula>
    </cfRule>
  </conditionalFormatting>
  <conditionalFormatting sqref="AC1828">
    <cfRule type="containsBlanks" dxfId="2044" priority="1076">
      <formula>LEN(TRIM(AC1828))=0</formula>
    </cfRule>
  </conditionalFormatting>
  <conditionalFormatting sqref="AC1829">
    <cfRule type="containsBlanks" dxfId="2043" priority="1074">
      <formula>LEN(TRIM(AC1829))=0</formula>
    </cfRule>
  </conditionalFormatting>
  <conditionalFormatting sqref="AB1828">
    <cfRule type="containsBlanks" dxfId="2042" priority="1075">
      <formula>LEN(TRIM(AB1828))=0</formula>
    </cfRule>
  </conditionalFormatting>
  <conditionalFormatting sqref="AC1829">
    <cfRule type="containsBlanks" dxfId="2041" priority="1073">
      <formula>LEN(TRIM(AC1829))=0</formula>
    </cfRule>
  </conditionalFormatting>
  <conditionalFormatting sqref="AB1829">
    <cfRule type="containsBlanks" dxfId="2040" priority="1072">
      <formula>LEN(TRIM(AB1829))=0</formula>
    </cfRule>
  </conditionalFormatting>
  <conditionalFormatting sqref="AA1828">
    <cfRule type="containsBlanks" dxfId="2039" priority="1071">
      <formula>LEN(TRIM(AA1828))=0</formula>
    </cfRule>
  </conditionalFormatting>
  <conditionalFormatting sqref="AA1829">
    <cfRule type="containsBlanks" dxfId="2038" priority="1070">
      <formula>LEN(TRIM(AA1829))=0</formula>
    </cfRule>
  </conditionalFormatting>
  <conditionalFormatting sqref="AC1830">
    <cfRule type="containsBlanks" dxfId="2037" priority="1069">
      <formula>LEN(TRIM(AC1830))=0</formula>
    </cfRule>
  </conditionalFormatting>
  <conditionalFormatting sqref="AC1830">
    <cfRule type="containsBlanks" dxfId="2036" priority="1068">
      <formula>LEN(TRIM(AC1830))=0</formula>
    </cfRule>
  </conditionalFormatting>
  <conditionalFormatting sqref="AC1831">
    <cfRule type="containsBlanks" dxfId="2035" priority="1066">
      <formula>LEN(TRIM(AC1831))=0</formula>
    </cfRule>
  </conditionalFormatting>
  <conditionalFormatting sqref="AB1830">
    <cfRule type="containsBlanks" dxfId="2034" priority="1067">
      <formula>LEN(TRIM(AB1830))=0</formula>
    </cfRule>
  </conditionalFormatting>
  <conditionalFormatting sqref="AC1831">
    <cfRule type="containsBlanks" dxfId="2033" priority="1065">
      <formula>LEN(TRIM(AC1831))=0</formula>
    </cfRule>
  </conditionalFormatting>
  <conditionalFormatting sqref="AB1831">
    <cfRule type="containsBlanks" dxfId="2032" priority="1064">
      <formula>LEN(TRIM(AB1831))=0</formula>
    </cfRule>
  </conditionalFormatting>
  <conditionalFormatting sqref="AA1830">
    <cfRule type="containsBlanks" dxfId="2031" priority="1063">
      <formula>LEN(TRIM(AA1830))=0</formula>
    </cfRule>
  </conditionalFormatting>
  <conditionalFormatting sqref="AA1831">
    <cfRule type="containsBlanks" dxfId="2030" priority="1062">
      <formula>LEN(TRIM(AA1831))=0</formula>
    </cfRule>
  </conditionalFormatting>
  <conditionalFormatting sqref="AC1832">
    <cfRule type="containsBlanks" dxfId="2029" priority="1061">
      <formula>LEN(TRIM(AC1832))=0</formula>
    </cfRule>
  </conditionalFormatting>
  <conditionalFormatting sqref="AC1832">
    <cfRule type="containsBlanks" dxfId="2028" priority="1060">
      <formula>LEN(TRIM(AC1832))=0</formula>
    </cfRule>
  </conditionalFormatting>
  <conditionalFormatting sqref="AC1833">
    <cfRule type="containsBlanks" dxfId="2027" priority="1058">
      <formula>LEN(TRIM(AC1833))=0</formula>
    </cfRule>
  </conditionalFormatting>
  <conditionalFormatting sqref="AB1832">
    <cfRule type="containsBlanks" dxfId="2026" priority="1059">
      <formula>LEN(TRIM(AB1832))=0</formula>
    </cfRule>
  </conditionalFormatting>
  <conditionalFormatting sqref="AC1833">
    <cfRule type="containsBlanks" dxfId="2025" priority="1057">
      <formula>LEN(TRIM(AC1833))=0</formula>
    </cfRule>
  </conditionalFormatting>
  <conditionalFormatting sqref="AB1833">
    <cfRule type="containsBlanks" dxfId="2024" priority="1056">
      <formula>LEN(TRIM(AB1833))=0</formula>
    </cfRule>
  </conditionalFormatting>
  <conditionalFormatting sqref="AA1832">
    <cfRule type="containsBlanks" dxfId="2023" priority="1055">
      <formula>LEN(TRIM(AA1832))=0</formula>
    </cfRule>
  </conditionalFormatting>
  <conditionalFormatting sqref="AA1833">
    <cfRule type="containsBlanks" dxfId="2022" priority="1054">
      <formula>LEN(TRIM(AA1833))=0</formula>
    </cfRule>
  </conditionalFormatting>
  <conditionalFormatting sqref="AC1834">
    <cfRule type="containsBlanks" dxfId="2021" priority="1053">
      <formula>LEN(TRIM(AC1834))=0</formula>
    </cfRule>
  </conditionalFormatting>
  <conditionalFormatting sqref="AC1834">
    <cfRule type="containsBlanks" dxfId="2020" priority="1052">
      <formula>LEN(TRIM(AC1834))=0</formula>
    </cfRule>
  </conditionalFormatting>
  <conditionalFormatting sqref="AC1835">
    <cfRule type="containsBlanks" dxfId="2019" priority="1050">
      <formula>LEN(TRIM(AC1835))=0</formula>
    </cfRule>
  </conditionalFormatting>
  <conditionalFormatting sqref="AB1834">
    <cfRule type="containsBlanks" dxfId="2018" priority="1051">
      <formula>LEN(TRIM(AB1834))=0</formula>
    </cfRule>
  </conditionalFormatting>
  <conditionalFormatting sqref="AC1835">
    <cfRule type="containsBlanks" dxfId="2017" priority="1049">
      <formula>LEN(TRIM(AC1835))=0</formula>
    </cfRule>
  </conditionalFormatting>
  <conditionalFormatting sqref="AB1835">
    <cfRule type="containsBlanks" dxfId="2016" priority="1048">
      <formula>LEN(TRIM(AB1835))=0</formula>
    </cfRule>
  </conditionalFormatting>
  <conditionalFormatting sqref="AA1834">
    <cfRule type="containsBlanks" dxfId="2015" priority="1047">
      <formula>LEN(TRIM(AA1834))=0</formula>
    </cfRule>
  </conditionalFormatting>
  <conditionalFormatting sqref="AA1835">
    <cfRule type="containsBlanks" dxfId="2014" priority="1046">
      <formula>LEN(TRIM(AA1835))=0</formula>
    </cfRule>
  </conditionalFormatting>
  <conditionalFormatting sqref="AC1836">
    <cfRule type="containsBlanks" dxfId="2013" priority="1045">
      <formula>LEN(TRIM(AC1836))=0</formula>
    </cfRule>
  </conditionalFormatting>
  <conditionalFormatting sqref="AC1836">
    <cfRule type="containsBlanks" dxfId="2012" priority="1044">
      <formula>LEN(TRIM(AC1836))=0</formula>
    </cfRule>
  </conditionalFormatting>
  <conditionalFormatting sqref="AC1837">
    <cfRule type="containsBlanks" dxfId="2011" priority="1042">
      <formula>LEN(TRIM(AC1837))=0</formula>
    </cfRule>
  </conditionalFormatting>
  <conditionalFormatting sqref="AB1836">
    <cfRule type="containsBlanks" dxfId="2010" priority="1043">
      <formula>LEN(TRIM(AB1836))=0</formula>
    </cfRule>
  </conditionalFormatting>
  <conditionalFormatting sqref="AC1837">
    <cfRule type="containsBlanks" dxfId="2009" priority="1041">
      <formula>LEN(TRIM(AC1837))=0</formula>
    </cfRule>
  </conditionalFormatting>
  <conditionalFormatting sqref="AB1837">
    <cfRule type="containsBlanks" dxfId="2008" priority="1040">
      <formula>LEN(TRIM(AB1837))=0</formula>
    </cfRule>
  </conditionalFormatting>
  <conditionalFormatting sqref="AA1836">
    <cfRule type="containsBlanks" dxfId="2007" priority="1039">
      <formula>LEN(TRIM(AA1836))=0</formula>
    </cfRule>
  </conditionalFormatting>
  <conditionalFormatting sqref="AA1837">
    <cfRule type="containsBlanks" dxfId="2006" priority="1038">
      <formula>LEN(TRIM(AA1837))=0</formula>
    </cfRule>
  </conditionalFormatting>
  <conditionalFormatting sqref="AC1838">
    <cfRule type="containsBlanks" dxfId="2005" priority="1037">
      <formula>LEN(TRIM(AC1838))=0</formula>
    </cfRule>
  </conditionalFormatting>
  <conditionalFormatting sqref="AC1838">
    <cfRule type="containsBlanks" dxfId="2004" priority="1036">
      <formula>LEN(TRIM(AC1838))=0</formula>
    </cfRule>
  </conditionalFormatting>
  <conditionalFormatting sqref="AC1839">
    <cfRule type="containsBlanks" dxfId="2003" priority="1034">
      <formula>LEN(TRIM(AC1839))=0</formula>
    </cfRule>
  </conditionalFormatting>
  <conditionalFormatting sqref="AB1838">
    <cfRule type="containsBlanks" dxfId="2002" priority="1035">
      <formula>LEN(TRIM(AB1838))=0</formula>
    </cfRule>
  </conditionalFormatting>
  <conditionalFormatting sqref="AC1839">
    <cfRule type="containsBlanks" dxfId="2001" priority="1033">
      <formula>LEN(TRIM(AC1839))=0</formula>
    </cfRule>
  </conditionalFormatting>
  <conditionalFormatting sqref="AB1839">
    <cfRule type="containsBlanks" dxfId="2000" priority="1032">
      <formula>LEN(TRIM(AB1839))=0</formula>
    </cfRule>
  </conditionalFormatting>
  <conditionalFormatting sqref="AA1838">
    <cfRule type="containsBlanks" dxfId="1999" priority="1031">
      <formula>LEN(TRIM(AA1838))=0</formula>
    </cfRule>
  </conditionalFormatting>
  <conditionalFormatting sqref="AA1839">
    <cfRule type="containsBlanks" dxfId="1998" priority="1030">
      <formula>LEN(TRIM(AA1839))=0</formula>
    </cfRule>
  </conditionalFormatting>
  <conditionalFormatting sqref="AC1840">
    <cfRule type="containsBlanks" dxfId="1997" priority="1029">
      <formula>LEN(TRIM(AC1840))=0</formula>
    </cfRule>
  </conditionalFormatting>
  <conditionalFormatting sqref="AC1840">
    <cfRule type="containsBlanks" dxfId="1996" priority="1028">
      <formula>LEN(TRIM(AC1840))=0</formula>
    </cfRule>
  </conditionalFormatting>
  <conditionalFormatting sqref="AC1841">
    <cfRule type="containsBlanks" dxfId="1995" priority="1026">
      <formula>LEN(TRIM(AC1841))=0</formula>
    </cfRule>
  </conditionalFormatting>
  <conditionalFormatting sqref="AB1840">
    <cfRule type="containsBlanks" dxfId="1994" priority="1027">
      <formula>LEN(TRIM(AB1840))=0</formula>
    </cfRule>
  </conditionalFormatting>
  <conditionalFormatting sqref="AC1841">
    <cfRule type="containsBlanks" dxfId="1993" priority="1025">
      <formula>LEN(TRIM(AC1841))=0</formula>
    </cfRule>
  </conditionalFormatting>
  <conditionalFormatting sqref="AB1841">
    <cfRule type="containsBlanks" dxfId="1992" priority="1024">
      <formula>LEN(TRIM(AB1841))=0</formula>
    </cfRule>
  </conditionalFormatting>
  <conditionalFormatting sqref="AA1840">
    <cfRule type="containsBlanks" dxfId="1991" priority="1023">
      <formula>LEN(TRIM(AA1840))=0</formula>
    </cfRule>
  </conditionalFormatting>
  <conditionalFormatting sqref="AA1841">
    <cfRule type="containsBlanks" dxfId="1990" priority="1022">
      <formula>LEN(TRIM(AA1841))=0</formula>
    </cfRule>
  </conditionalFormatting>
  <conditionalFormatting sqref="U1814:W1814">
    <cfRule type="containsBlanks" dxfId="1989" priority="1021">
      <formula>LEN(TRIM(U1814))=0</formula>
    </cfRule>
  </conditionalFormatting>
  <conditionalFormatting sqref="U1814:W1814">
    <cfRule type="containsBlanks" dxfId="1988" priority="1020">
      <formula>LEN(TRIM(U1814))=0</formula>
    </cfRule>
  </conditionalFormatting>
  <conditionalFormatting sqref="X1814">
    <cfRule type="containsBlanks" dxfId="1987" priority="1019">
      <formula>LEN(TRIM(X1814))=0</formula>
    </cfRule>
  </conditionalFormatting>
  <conditionalFormatting sqref="U1816:W1816">
    <cfRule type="containsBlanks" dxfId="1986" priority="1018">
      <formula>LEN(TRIM(U1816))=0</formula>
    </cfRule>
  </conditionalFormatting>
  <conditionalFormatting sqref="U1816:W1816">
    <cfRule type="containsBlanks" dxfId="1985" priority="1017">
      <formula>LEN(TRIM(U1816))=0</formula>
    </cfRule>
  </conditionalFormatting>
  <conditionalFormatting sqref="X1816">
    <cfRule type="containsBlanks" dxfId="1984" priority="1016">
      <formula>LEN(TRIM(X1816))=0</formula>
    </cfRule>
  </conditionalFormatting>
  <conditionalFormatting sqref="U1818:W1818">
    <cfRule type="containsBlanks" dxfId="1983" priority="1015">
      <formula>LEN(TRIM(U1818))=0</formula>
    </cfRule>
  </conditionalFormatting>
  <conditionalFormatting sqref="U1818:W1818">
    <cfRule type="containsBlanks" dxfId="1982" priority="1014">
      <formula>LEN(TRIM(U1818))=0</formula>
    </cfRule>
  </conditionalFormatting>
  <conditionalFormatting sqref="X1818">
    <cfRule type="containsBlanks" dxfId="1981" priority="1013">
      <formula>LEN(TRIM(X1818))=0</formula>
    </cfRule>
  </conditionalFormatting>
  <conditionalFormatting sqref="U1820:W1820">
    <cfRule type="containsBlanks" dxfId="1980" priority="1012">
      <formula>LEN(TRIM(U1820))=0</formula>
    </cfRule>
  </conditionalFormatting>
  <conditionalFormatting sqref="U1820:W1820">
    <cfRule type="containsBlanks" dxfId="1979" priority="1011">
      <formula>LEN(TRIM(U1820))=0</formula>
    </cfRule>
  </conditionalFormatting>
  <conditionalFormatting sqref="X1820">
    <cfRule type="containsBlanks" dxfId="1978" priority="1010">
      <formula>LEN(TRIM(X1820))=0</formula>
    </cfRule>
  </conditionalFormatting>
  <conditionalFormatting sqref="U1822:W1822">
    <cfRule type="containsBlanks" dxfId="1977" priority="1009">
      <formula>LEN(TRIM(U1822))=0</formula>
    </cfRule>
  </conditionalFormatting>
  <conditionalFormatting sqref="U1822:W1822">
    <cfRule type="containsBlanks" dxfId="1976" priority="1008">
      <formula>LEN(TRIM(U1822))=0</formula>
    </cfRule>
  </conditionalFormatting>
  <conditionalFormatting sqref="X1822">
    <cfRule type="containsBlanks" dxfId="1975" priority="1007">
      <formula>LEN(TRIM(X1822))=0</formula>
    </cfRule>
  </conditionalFormatting>
  <conditionalFormatting sqref="U1824:W1824">
    <cfRule type="containsBlanks" dxfId="1974" priority="1006">
      <formula>LEN(TRIM(U1824))=0</formula>
    </cfRule>
  </conditionalFormatting>
  <conditionalFormatting sqref="U1824:W1824">
    <cfRule type="containsBlanks" dxfId="1973" priority="1005">
      <formula>LEN(TRIM(U1824))=0</formula>
    </cfRule>
  </conditionalFormatting>
  <conditionalFormatting sqref="X1824">
    <cfRule type="containsBlanks" dxfId="1972" priority="1004">
      <formula>LEN(TRIM(X1824))=0</formula>
    </cfRule>
  </conditionalFormatting>
  <conditionalFormatting sqref="U1826:W1826">
    <cfRule type="containsBlanks" dxfId="1971" priority="1003">
      <formula>LEN(TRIM(U1826))=0</formula>
    </cfRule>
  </conditionalFormatting>
  <conditionalFormatting sqref="U1826:W1826">
    <cfRule type="containsBlanks" dxfId="1970" priority="1002">
      <formula>LEN(TRIM(U1826))=0</formula>
    </cfRule>
  </conditionalFormatting>
  <conditionalFormatting sqref="X1826">
    <cfRule type="containsBlanks" dxfId="1969" priority="1001">
      <formula>LEN(TRIM(X1826))=0</formula>
    </cfRule>
  </conditionalFormatting>
  <conditionalFormatting sqref="U1828:W1828">
    <cfRule type="containsBlanks" dxfId="1968" priority="1000">
      <formula>LEN(TRIM(U1828))=0</formula>
    </cfRule>
  </conditionalFormatting>
  <conditionalFormatting sqref="U1828:W1828">
    <cfRule type="containsBlanks" dxfId="1967" priority="999">
      <formula>LEN(TRIM(U1828))=0</formula>
    </cfRule>
  </conditionalFormatting>
  <conditionalFormatting sqref="X1828">
    <cfRule type="containsBlanks" dxfId="1966" priority="998">
      <formula>LEN(TRIM(X1828))=0</formula>
    </cfRule>
  </conditionalFormatting>
  <conditionalFormatting sqref="U1830:W1830">
    <cfRule type="containsBlanks" dxfId="1965" priority="997">
      <formula>LEN(TRIM(U1830))=0</formula>
    </cfRule>
  </conditionalFormatting>
  <conditionalFormatting sqref="U1830:W1830">
    <cfRule type="containsBlanks" dxfId="1964" priority="996">
      <formula>LEN(TRIM(U1830))=0</formula>
    </cfRule>
  </conditionalFormatting>
  <conditionalFormatting sqref="X1830">
    <cfRule type="containsBlanks" dxfId="1963" priority="995">
      <formula>LEN(TRIM(X1830))=0</formula>
    </cfRule>
  </conditionalFormatting>
  <conditionalFormatting sqref="U1832:W1832">
    <cfRule type="containsBlanks" dxfId="1962" priority="994">
      <formula>LEN(TRIM(U1832))=0</formula>
    </cfRule>
  </conditionalFormatting>
  <conditionalFormatting sqref="U1832:W1832">
    <cfRule type="containsBlanks" dxfId="1961" priority="993">
      <formula>LEN(TRIM(U1832))=0</formula>
    </cfRule>
  </conditionalFormatting>
  <conditionalFormatting sqref="X1832">
    <cfRule type="containsBlanks" dxfId="1960" priority="992">
      <formula>LEN(TRIM(X1832))=0</formula>
    </cfRule>
  </conditionalFormatting>
  <conditionalFormatting sqref="U1834:W1834">
    <cfRule type="containsBlanks" dxfId="1959" priority="991">
      <formula>LEN(TRIM(U1834))=0</formula>
    </cfRule>
  </conditionalFormatting>
  <conditionalFormatting sqref="U1834:W1834">
    <cfRule type="containsBlanks" dxfId="1958" priority="990">
      <formula>LEN(TRIM(U1834))=0</formula>
    </cfRule>
  </conditionalFormatting>
  <conditionalFormatting sqref="X1834">
    <cfRule type="containsBlanks" dxfId="1957" priority="989">
      <formula>LEN(TRIM(X1834))=0</formula>
    </cfRule>
  </conditionalFormatting>
  <conditionalFormatting sqref="U1836:W1836">
    <cfRule type="containsBlanks" dxfId="1956" priority="988">
      <formula>LEN(TRIM(U1836))=0</formula>
    </cfRule>
  </conditionalFormatting>
  <conditionalFormatting sqref="U1836:W1836">
    <cfRule type="containsBlanks" dxfId="1955" priority="987">
      <formula>LEN(TRIM(U1836))=0</formula>
    </cfRule>
  </conditionalFormatting>
  <conditionalFormatting sqref="X1836">
    <cfRule type="containsBlanks" dxfId="1954" priority="986">
      <formula>LEN(TRIM(X1836))=0</formula>
    </cfRule>
  </conditionalFormatting>
  <conditionalFormatting sqref="U1838:W1838">
    <cfRule type="containsBlanks" dxfId="1953" priority="985">
      <formula>LEN(TRIM(U1838))=0</formula>
    </cfRule>
  </conditionalFormatting>
  <conditionalFormatting sqref="U1838:W1838">
    <cfRule type="containsBlanks" dxfId="1952" priority="984">
      <formula>LEN(TRIM(U1838))=0</formula>
    </cfRule>
  </conditionalFormatting>
  <conditionalFormatting sqref="X1838">
    <cfRule type="containsBlanks" dxfId="1951" priority="983">
      <formula>LEN(TRIM(X1838))=0</formula>
    </cfRule>
  </conditionalFormatting>
  <conditionalFormatting sqref="U1840:W1840">
    <cfRule type="containsBlanks" dxfId="1950" priority="982">
      <formula>LEN(TRIM(U1840))=0</formula>
    </cfRule>
  </conditionalFormatting>
  <conditionalFormatting sqref="U1840:W1840">
    <cfRule type="containsBlanks" dxfId="1949" priority="981">
      <formula>LEN(TRIM(U1840))=0</formula>
    </cfRule>
  </conditionalFormatting>
  <conditionalFormatting sqref="X1840">
    <cfRule type="containsBlanks" dxfId="1948" priority="980">
      <formula>LEN(TRIM(X1840))=0</formula>
    </cfRule>
  </conditionalFormatting>
  <conditionalFormatting sqref="U1843:Z1843 Y1842:Z1842">
    <cfRule type="containsBlanks" dxfId="1947" priority="979">
      <formula>LEN(TRIM(U1842))=0</formula>
    </cfRule>
  </conditionalFormatting>
  <conditionalFormatting sqref="Y1842:Z1842">
    <cfRule type="containsBlanks" dxfId="1946" priority="978">
      <formula>LEN(TRIM(Y1842))=0</formula>
    </cfRule>
  </conditionalFormatting>
  <conditionalFormatting sqref="U1843:Z1843">
    <cfRule type="containsBlanks" dxfId="1945" priority="977">
      <formula>LEN(TRIM(U1843))=0</formula>
    </cfRule>
  </conditionalFormatting>
  <conditionalFormatting sqref="AC1842">
    <cfRule type="containsBlanks" dxfId="1944" priority="976">
      <formula>LEN(TRIM(AC1842))=0</formula>
    </cfRule>
  </conditionalFormatting>
  <conditionalFormatting sqref="AC1842">
    <cfRule type="containsBlanks" dxfId="1943" priority="975">
      <formula>LEN(TRIM(AC1842))=0</formula>
    </cfRule>
  </conditionalFormatting>
  <conditionalFormatting sqref="AC1843">
    <cfRule type="containsBlanks" dxfId="1942" priority="973">
      <formula>LEN(TRIM(AC1843))=0</formula>
    </cfRule>
  </conditionalFormatting>
  <conditionalFormatting sqref="AB1842">
    <cfRule type="containsBlanks" dxfId="1941" priority="974">
      <formula>LEN(TRIM(AB1842))=0</formula>
    </cfRule>
  </conditionalFormatting>
  <conditionalFormatting sqref="AC1843">
    <cfRule type="containsBlanks" dxfId="1940" priority="972">
      <formula>LEN(TRIM(AC1843))=0</formula>
    </cfRule>
  </conditionalFormatting>
  <conditionalFormatting sqref="AB1843">
    <cfRule type="containsBlanks" dxfId="1939" priority="971">
      <formula>LEN(TRIM(AB1843))=0</formula>
    </cfRule>
  </conditionalFormatting>
  <conditionalFormatting sqref="AA1842">
    <cfRule type="containsBlanks" dxfId="1938" priority="970">
      <formula>LEN(TRIM(AA1842))=0</formula>
    </cfRule>
  </conditionalFormatting>
  <conditionalFormatting sqref="AA1843">
    <cfRule type="containsBlanks" dxfId="1937" priority="969">
      <formula>LEN(TRIM(AA1843))=0</formula>
    </cfRule>
  </conditionalFormatting>
  <conditionalFormatting sqref="U1842:W1842">
    <cfRule type="containsBlanks" dxfId="1936" priority="968">
      <formula>LEN(TRIM(U1842))=0</formula>
    </cfRule>
  </conditionalFormatting>
  <conditionalFormatting sqref="U1842:W1842">
    <cfRule type="containsBlanks" dxfId="1935" priority="967">
      <formula>LEN(TRIM(U1842))=0</formula>
    </cfRule>
  </conditionalFormatting>
  <conditionalFormatting sqref="X1842">
    <cfRule type="containsBlanks" dxfId="1934" priority="966">
      <formula>LEN(TRIM(X1842))=0</formula>
    </cfRule>
  </conditionalFormatting>
  <conditionalFormatting sqref="U1845:Z1845 Y1844:Z1844">
    <cfRule type="containsBlanks" dxfId="1933" priority="965">
      <formula>LEN(TRIM(U1844))=0</formula>
    </cfRule>
  </conditionalFormatting>
  <conditionalFormatting sqref="Y1844:Z1844">
    <cfRule type="containsBlanks" dxfId="1932" priority="964">
      <formula>LEN(TRIM(Y1844))=0</formula>
    </cfRule>
  </conditionalFormatting>
  <conditionalFormatting sqref="U1845:Z1845">
    <cfRule type="containsBlanks" dxfId="1931" priority="963">
      <formula>LEN(TRIM(U1845))=0</formula>
    </cfRule>
  </conditionalFormatting>
  <conditionalFormatting sqref="AC1844">
    <cfRule type="containsBlanks" dxfId="1930" priority="962">
      <formula>LEN(TRIM(AC1844))=0</formula>
    </cfRule>
  </conditionalFormatting>
  <conditionalFormatting sqref="AC1844">
    <cfRule type="containsBlanks" dxfId="1929" priority="961">
      <formula>LEN(TRIM(AC1844))=0</formula>
    </cfRule>
  </conditionalFormatting>
  <conditionalFormatting sqref="AC1845">
    <cfRule type="containsBlanks" dxfId="1928" priority="959">
      <formula>LEN(TRIM(AC1845))=0</formula>
    </cfRule>
  </conditionalFormatting>
  <conditionalFormatting sqref="AB1844">
    <cfRule type="containsBlanks" dxfId="1927" priority="960">
      <formula>LEN(TRIM(AB1844))=0</formula>
    </cfRule>
  </conditionalFormatting>
  <conditionalFormatting sqref="AC1845">
    <cfRule type="containsBlanks" dxfId="1926" priority="958">
      <formula>LEN(TRIM(AC1845))=0</formula>
    </cfRule>
  </conditionalFormatting>
  <conditionalFormatting sqref="AB1845">
    <cfRule type="containsBlanks" dxfId="1925" priority="957">
      <formula>LEN(TRIM(AB1845))=0</formula>
    </cfRule>
  </conditionalFormatting>
  <conditionalFormatting sqref="AA1844">
    <cfRule type="containsBlanks" dxfId="1924" priority="956">
      <formula>LEN(TRIM(AA1844))=0</formula>
    </cfRule>
  </conditionalFormatting>
  <conditionalFormatting sqref="AA1845">
    <cfRule type="containsBlanks" dxfId="1923" priority="955">
      <formula>LEN(TRIM(AA1845))=0</formula>
    </cfRule>
  </conditionalFormatting>
  <conditionalFormatting sqref="U1844:W1844">
    <cfRule type="containsBlanks" dxfId="1922" priority="954">
      <formula>LEN(TRIM(U1844))=0</formula>
    </cfRule>
  </conditionalFormatting>
  <conditionalFormatting sqref="U1844:W1844">
    <cfRule type="containsBlanks" dxfId="1921" priority="953">
      <formula>LEN(TRIM(U1844))=0</formula>
    </cfRule>
  </conditionalFormatting>
  <conditionalFormatting sqref="X1844">
    <cfRule type="containsBlanks" dxfId="1920" priority="952">
      <formula>LEN(TRIM(X1844))=0</formula>
    </cfRule>
  </conditionalFormatting>
  <conditionalFormatting sqref="U1847:Z1847 Y1846:Z1846">
    <cfRule type="containsBlanks" dxfId="1919" priority="951">
      <formula>LEN(TRIM(U1846))=0</formula>
    </cfRule>
  </conditionalFormatting>
  <conditionalFormatting sqref="Y1846:Z1846">
    <cfRule type="containsBlanks" dxfId="1918" priority="950">
      <formula>LEN(TRIM(Y1846))=0</formula>
    </cfRule>
  </conditionalFormatting>
  <conditionalFormatting sqref="U1847:Z1847">
    <cfRule type="containsBlanks" dxfId="1917" priority="949">
      <formula>LEN(TRIM(U1847))=0</formula>
    </cfRule>
  </conditionalFormatting>
  <conditionalFormatting sqref="AC1846">
    <cfRule type="containsBlanks" dxfId="1916" priority="948">
      <formula>LEN(TRIM(AC1846))=0</formula>
    </cfRule>
  </conditionalFormatting>
  <conditionalFormatting sqref="AC1846">
    <cfRule type="containsBlanks" dxfId="1915" priority="947">
      <formula>LEN(TRIM(AC1846))=0</formula>
    </cfRule>
  </conditionalFormatting>
  <conditionalFormatting sqref="AC1847">
    <cfRule type="containsBlanks" dxfId="1914" priority="945">
      <formula>LEN(TRIM(AC1847))=0</formula>
    </cfRule>
  </conditionalFormatting>
  <conditionalFormatting sqref="AB1846">
    <cfRule type="containsBlanks" dxfId="1913" priority="946">
      <formula>LEN(TRIM(AB1846))=0</formula>
    </cfRule>
  </conditionalFormatting>
  <conditionalFormatting sqref="AC1847">
    <cfRule type="containsBlanks" dxfId="1912" priority="944">
      <formula>LEN(TRIM(AC1847))=0</formula>
    </cfRule>
  </conditionalFormatting>
  <conditionalFormatting sqref="AB1847">
    <cfRule type="containsBlanks" dxfId="1911" priority="943">
      <formula>LEN(TRIM(AB1847))=0</formula>
    </cfRule>
  </conditionalFormatting>
  <conditionalFormatting sqref="AA1846">
    <cfRule type="containsBlanks" dxfId="1910" priority="942">
      <formula>LEN(TRIM(AA1846))=0</formula>
    </cfRule>
  </conditionalFormatting>
  <conditionalFormatting sqref="AA1847">
    <cfRule type="containsBlanks" dxfId="1909" priority="941">
      <formula>LEN(TRIM(AA1847))=0</formula>
    </cfRule>
  </conditionalFormatting>
  <conditionalFormatting sqref="U1846:W1846">
    <cfRule type="containsBlanks" dxfId="1908" priority="940">
      <formula>LEN(TRIM(U1846))=0</formula>
    </cfRule>
  </conditionalFormatting>
  <conditionalFormatting sqref="U1846:W1846">
    <cfRule type="containsBlanks" dxfId="1907" priority="939">
      <formula>LEN(TRIM(U1846))=0</formula>
    </cfRule>
  </conditionalFormatting>
  <conditionalFormatting sqref="X1846">
    <cfRule type="containsBlanks" dxfId="1906" priority="938">
      <formula>LEN(TRIM(X1846))=0</formula>
    </cfRule>
  </conditionalFormatting>
  <conditionalFormatting sqref="U1849:Z1849 Y1848:Z1848">
    <cfRule type="containsBlanks" dxfId="1905" priority="937">
      <formula>LEN(TRIM(U1848))=0</formula>
    </cfRule>
  </conditionalFormatting>
  <conditionalFormatting sqref="Y1848:Z1848">
    <cfRule type="containsBlanks" dxfId="1904" priority="936">
      <formula>LEN(TRIM(Y1848))=0</formula>
    </cfRule>
  </conditionalFormatting>
  <conditionalFormatting sqref="U1849:Z1849">
    <cfRule type="containsBlanks" dxfId="1903" priority="935">
      <formula>LEN(TRIM(U1849))=0</formula>
    </cfRule>
  </conditionalFormatting>
  <conditionalFormatting sqref="AC1848">
    <cfRule type="containsBlanks" dxfId="1902" priority="934">
      <formula>LEN(TRIM(AC1848))=0</formula>
    </cfRule>
  </conditionalFormatting>
  <conditionalFormatting sqref="AC1848">
    <cfRule type="containsBlanks" dxfId="1901" priority="933">
      <formula>LEN(TRIM(AC1848))=0</formula>
    </cfRule>
  </conditionalFormatting>
  <conditionalFormatting sqref="AC1849">
    <cfRule type="containsBlanks" dxfId="1900" priority="931">
      <formula>LEN(TRIM(AC1849))=0</formula>
    </cfRule>
  </conditionalFormatting>
  <conditionalFormatting sqref="AB1848">
    <cfRule type="containsBlanks" dxfId="1899" priority="932">
      <formula>LEN(TRIM(AB1848))=0</formula>
    </cfRule>
  </conditionalFormatting>
  <conditionalFormatting sqref="AC1849">
    <cfRule type="containsBlanks" dxfId="1898" priority="930">
      <formula>LEN(TRIM(AC1849))=0</formula>
    </cfRule>
  </conditionalFormatting>
  <conditionalFormatting sqref="AB1849">
    <cfRule type="containsBlanks" dxfId="1897" priority="929">
      <formula>LEN(TRIM(AB1849))=0</formula>
    </cfRule>
  </conditionalFormatting>
  <conditionalFormatting sqref="AA1848">
    <cfRule type="containsBlanks" dxfId="1896" priority="928">
      <formula>LEN(TRIM(AA1848))=0</formula>
    </cfRule>
  </conditionalFormatting>
  <conditionalFormatting sqref="AA1849">
    <cfRule type="containsBlanks" dxfId="1895" priority="927">
      <formula>LEN(TRIM(AA1849))=0</formula>
    </cfRule>
  </conditionalFormatting>
  <conditionalFormatting sqref="U1848:W1848">
    <cfRule type="containsBlanks" dxfId="1894" priority="926">
      <formula>LEN(TRIM(U1848))=0</formula>
    </cfRule>
  </conditionalFormatting>
  <conditionalFormatting sqref="U1848:W1848">
    <cfRule type="containsBlanks" dxfId="1893" priority="925">
      <formula>LEN(TRIM(U1848))=0</formula>
    </cfRule>
  </conditionalFormatting>
  <conditionalFormatting sqref="X1848">
    <cfRule type="containsBlanks" dxfId="1892" priority="924">
      <formula>LEN(TRIM(X1848))=0</formula>
    </cfRule>
  </conditionalFormatting>
  <conditionalFormatting sqref="U1851:Z1851 Y1850:Z1850">
    <cfRule type="containsBlanks" dxfId="1891" priority="923">
      <formula>LEN(TRIM(U1850))=0</formula>
    </cfRule>
  </conditionalFormatting>
  <conditionalFormatting sqref="Y1850:Z1850">
    <cfRule type="containsBlanks" dxfId="1890" priority="922">
      <formula>LEN(TRIM(Y1850))=0</formula>
    </cfRule>
  </conditionalFormatting>
  <conditionalFormatting sqref="U1851:Z1851">
    <cfRule type="containsBlanks" dxfId="1889" priority="921">
      <formula>LEN(TRIM(U1851))=0</formula>
    </cfRule>
  </conditionalFormatting>
  <conditionalFormatting sqref="AC1850">
    <cfRule type="containsBlanks" dxfId="1888" priority="920">
      <formula>LEN(TRIM(AC1850))=0</formula>
    </cfRule>
  </conditionalFormatting>
  <conditionalFormatting sqref="AC1850">
    <cfRule type="containsBlanks" dxfId="1887" priority="919">
      <formula>LEN(TRIM(AC1850))=0</formula>
    </cfRule>
  </conditionalFormatting>
  <conditionalFormatting sqref="AC1851">
    <cfRule type="containsBlanks" dxfId="1886" priority="917">
      <formula>LEN(TRIM(AC1851))=0</formula>
    </cfRule>
  </conditionalFormatting>
  <conditionalFormatting sqref="AB1850">
    <cfRule type="containsBlanks" dxfId="1885" priority="918">
      <formula>LEN(TRIM(AB1850))=0</formula>
    </cfRule>
  </conditionalFormatting>
  <conditionalFormatting sqref="AC1851">
    <cfRule type="containsBlanks" dxfId="1884" priority="916">
      <formula>LEN(TRIM(AC1851))=0</formula>
    </cfRule>
  </conditionalFormatting>
  <conditionalFormatting sqref="AB1851">
    <cfRule type="containsBlanks" dxfId="1883" priority="915">
      <formula>LEN(TRIM(AB1851))=0</formula>
    </cfRule>
  </conditionalFormatting>
  <conditionalFormatting sqref="AA1850">
    <cfRule type="containsBlanks" dxfId="1882" priority="914">
      <formula>LEN(TRIM(AA1850))=0</formula>
    </cfRule>
  </conditionalFormatting>
  <conditionalFormatting sqref="AA1851">
    <cfRule type="containsBlanks" dxfId="1881" priority="913">
      <formula>LEN(TRIM(AA1851))=0</formula>
    </cfRule>
  </conditionalFormatting>
  <conditionalFormatting sqref="U1850:W1850">
    <cfRule type="containsBlanks" dxfId="1880" priority="912">
      <formula>LEN(TRIM(U1850))=0</formula>
    </cfRule>
  </conditionalFormatting>
  <conditionalFormatting sqref="U1850:W1850">
    <cfRule type="containsBlanks" dxfId="1879" priority="911">
      <formula>LEN(TRIM(U1850))=0</formula>
    </cfRule>
  </conditionalFormatting>
  <conditionalFormatting sqref="X1850">
    <cfRule type="containsBlanks" dxfId="1878" priority="910">
      <formula>LEN(TRIM(X1850))=0</formula>
    </cfRule>
  </conditionalFormatting>
  <conditionalFormatting sqref="U1853:Z1853 Y1852:Z1852">
    <cfRule type="containsBlanks" dxfId="1877" priority="909">
      <formula>LEN(TRIM(U1852))=0</formula>
    </cfRule>
  </conditionalFormatting>
  <conditionalFormatting sqref="Y1852:Z1852">
    <cfRule type="containsBlanks" dxfId="1876" priority="908">
      <formula>LEN(TRIM(Y1852))=0</formula>
    </cfRule>
  </conditionalFormatting>
  <conditionalFormatting sqref="U1853:Z1853">
    <cfRule type="containsBlanks" dxfId="1875" priority="907">
      <formula>LEN(TRIM(U1853))=0</formula>
    </cfRule>
  </conditionalFormatting>
  <conditionalFormatting sqref="AC1852">
    <cfRule type="containsBlanks" dxfId="1874" priority="906">
      <formula>LEN(TRIM(AC1852))=0</formula>
    </cfRule>
  </conditionalFormatting>
  <conditionalFormatting sqref="AC1852">
    <cfRule type="containsBlanks" dxfId="1873" priority="905">
      <formula>LEN(TRIM(AC1852))=0</formula>
    </cfRule>
  </conditionalFormatting>
  <conditionalFormatting sqref="AC1853">
    <cfRule type="containsBlanks" dxfId="1872" priority="903">
      <formula>LEN(TRIM(AC1853))=0</formula>
    </cfRule>
  </conditionalFormatting>
  <conditionalFormatting sqref="AB1852">
    <cfRule type="containsBlanks" dxfId="1871" priority="904">
      <formula>LEN(TRIM(AB1852))=0</formula>
    </cfRule>
  </conditionalFormatting>
  <conditionalFormatting sqref="AC1853">
    <cfRule type="containsBlanks" dxfId="1870" priority="902">
      <formula>LEN(TRIM(AC1853))=0</formula>
    </cfRule>
  </conditionalFormatting>
  <conditionalFormatting sqref="AB1853">
    <cfRule type="containsBlanks" dxfId="1869" priority="901">
      <formula>LEN(TRIM(AB1853))=0</formula>
    </cfRule>
  </conditionalFormatting>
  <conditionalFormatting sqref="AA1852">
    <cfRule type="containsBlanks" dxfId="1868" priority="900">
      <formula>LEN(TRIM(AA1852))=0</formula>
    </cfRule>
  </conditionalFormatting>
  <conditionalFormatting sqref="AA1853">
    <cfRule type="containsBlanks" dxfId="1867" priority="899">
      <formula>LEN(TRIM(AA1853))=0</formula>
    </cfRule>
  </conditionalFormatting>
  <conditionalFormatting sqref="U1852:W1852">
    <cfRule type="containsBlanks" dxfId="1866" priority="898">
      <formula>LEN(TRIM(U1852))=0</formula>
    </cfRule>
  </conditionalFormatting>
  <conditionalFormatting sqref="U1852:W1852">
    <cfRule type="containsBlanks" dxfId="1865" priority="897">
      <formula>LEN(TRIM(U1852))=0</formula>
    </cfRule>
  </conditionalFormatting>
  <conditionalFormatting sqref="X1852">
    <cfRule type="containsBlanks" dxfId="1864" priority="896">
      <formula>LEN(TRIM(X1852))=0</formula>
    </cfRule>
  </conditionalFormatting>
  <conditionalFormatting sqref="U1855:Z1855 Y1854:Z1854">
    <cfRule type="containsBlanks" dxfId="1863" priority="895">
      <formula>LEN(TRIM(U1854))=0</formula>
    </cfRule>
  </conditionalFormatting>
  <conditionalFormatting sqref="Y1854:Z1854">
    <cfRule type="containsBlanks" dxfId="1862" priority="894">
      <formula>LEN(TRIM(Y1854))=0</formula>
    </cfRule>
  </conditionalFormatting>
  <conditionalFormatting sqref="U1855:Z1855">
    <cfRule type="containsBlanks" dxfId="1861" priority="893">
      <formula>LEN(TRIM(U1855))=0</formula>
    </cfRule>
  </conditionalFormatting>
  <conditionalFormatting sqref="AC1854">
    <cfRule type="containsBlanks" dxfId="1860" priority="892">
      <formula>LEN(TRIM(AC1854))=0</formula>
    </cfRule>
  </conditionalFormatting>
  <conditionalFormatting sqref="AC1854">
    <cfRule type="containsBlanks" dxfId="1859" priority="891">
      <formula>LEN(TRIM(AC1854))=0</formula>
    </cfRule>
  </conditionalFormatting>
  <conditionalFormatting sqref="AC1855">
    <cfRule type="containsBlanks" dxfId="1858" priority="889">
      <formula>LEN(TRIM(AC1855))=0</formula>
    </cfRule>
  </conditionalFormatting>
  <conditionalFormatting sqref="AB1854">
    <cfRule type="containsBlanks" dxfId="1857" priority="890">
      <formula>LEN(TRIM(AB1854))=0</formula>
    </cfRule>
  </conditionalFormatting>
  <conditionalFormatting sqref="AC1855">
    <cfRule type="containsBlanks" dxfId="1856" priority="888">
      <formula>LEN(TRIM(AC1855))=0</formula>
    </cfRule>
  </conditionalFormatting>
  <conditionalFormatting sqref="AB1855">
    <cfRule type="containsBlanks" dxfId="1855" priority="887">
      <formula>LEN(TRIM(AB1855))=0</formula>
    </cfRule>
  </conditionalFormatting>
  <conditionalFormatting sqref="AA1854">
    <cfRule type="containsBlanks" dxfId="1854" priority="886">
      <formula>LEN(TRIM(AA1854))=0</formula>
    </cfRule>
  </conditionalFormatting>
  <conditionalFormatting sqref="AA1855">
    <cfRule type="containsBlanks" dxfId="1853" priority="885">
      <formula>LEN(TRIM(AA1855))=0</formula>
    </cfRule>
  </conditionalFormatting>
  <conditionalFormatting sqref="U1854:W1854">
    <cfRule type="containsBlanks" dxfId="1852" priority="884">
      <formula>LEN(TRIM(U1854))=0</formula>
    </cfRule>
  </conditionalFormatting>
  <conditionalFormatting sqref="U1854:W1854">
    <cfRule type="containsBlanks" dxfId="1851" priority="883">
      <formula>LEN(TRIM(U1854))=0</formula>
    </cfRule>
  </conditionalFormatting>
  <conditionalFormatting sqref="X1854">
    <cfRule type="containsBlanks" dxfId="1850" priority="882">
      <formula>LEN(TRIM(X1854))=0</formula>
    </cfRule>
  </conditionalFormatting>
  <conditionalFormatting sqref="U1857:Z1857 Y1856:Z1856">
    <cfRule type="containsBlanks" dxfId="1849" priority="881">
      <formula>LEN(TRIM(U1856))=0</formula>
    </cfRule>
  </conditionalFormatting>
  <conditionalFormatting sqref="Y1856:Z1856">
    <cfRule type="containsBlanks" dxfId="1848" priority="880">
      <formula>LEN(TRIM(Y1856))=0</formula>
    </cfRule>
  </conditionalFormatting>
  <conditionalFormatting sqref="U1857:Z1857">
    <cfRule type="containsBlanks" dxfId="1847" priority="879">
      <formula>LEN(TRIM(U1857))=0</formula>
    </cfRule>
  </conditionalFormatting>
  <conditionalFormatting sqref="AC1856">
    <cfRule type="containsBlanks" dxfId="1846" priority="878">
      <formula>LEN(TRIM(AC1856))=0</formula>
    </cfRule>
  </conditionalFormatting>
  <conditionalFormatting sqref="AC1856">
    <cfRule type="containsBlanks" dxfId="1845" priority="877">
      <formula>LEN(TRIM(AC1856))=0</formula>
    </cfRule>
  </conditionalFormatting>
  <conditionalFormatting sqref="AC1857">
    <cfRule type="containsBlanks" dxfId="1844" priority="875">
      <formula>LEN(TRIM(AC1857))=0</formula>
    </cfRule>
  </conditionalFormatting>
  <conditionalFormatting sqref="AB1856">
    <cfRule type="containsBlanks" dxfId="1843" priority="876">
      <formula>LEN(TRIM(AB1856))=0</formula>
    </cfRule>
  </conditionalFormatting>
  <conditionalFormatting sqref="AC1857">
    <cfRule type="containsBlanks" dxfId="1842" priority="874">
      <formula>LEN(TRIM(AC1857))=0</formula>
    </cfRule>
  </conditionalFormatting>
  <conditionalFormatting sqref="AB1857">
    <cfRule type="containsBlanks" dxfId="1841" priority="873">
      <formula>LEN(TRIM(AB1857))=0</formula>
    </cfRule>
  </conditionalFormatting>
  <conditionalFormatting sqref="AA1856">
    <cfRule type="containsBlanks" dxfId="1840" priority="872">
      <formula>LEN(TRIM(AA1856))=0</formula>
    </cfRule>
  </conditionalFormatting>
  <conditionalFormatting sqref="AA1857">
    <cfRule type="containsBlanks" dxfId="1839" priority="871">
      <formula>LEN(TRIM(AA1857))=0</formula>
    </cfRule>
  </conditionalFormatting>
  <conditionalFormatting sqref="U1856:W1856">
    <cfRule type="containsBlanks" dxfId="1838" priority="870">
      <formula>LEN(TRIM(U1856))=0</formula>
    </cfRule>
  </conditionalFormatting>
  <conditionalFormatting sqref="U1856:W1856">
    <cfRule type="containsBlanks" dxfId="1837" priority="869">
      <formula>LEN(TRIM(U1856))=0</formula>
    </cfRule>
  </conditionalFormatting>
  <conditionalFormatting sqref="X1856">
    <cfRule type="containsBlanks" dxfId="1836" priority="868">
      <formula>LEN(TRIM(X1856))=0</formula>
    </cfRule>
  </conditionalFormatting>
  <conditionalFormatting sqref="U1859:Z1859 Y1858:Z1858">
    <cfRule type="containsBlanks" dxfId="1835" priority="867">
      <formula>LEN(TRIM(U1858))=0</formula>
    </cfRule>
  </conditionalFormatting>
  <conditionalFormatting sqref="Y1858:Z1858">
    <cfRule type="containsBlanks" dxfId="1834" priority="866">
      <formula>LEN(TRIM(Y1858))=0</formula>
    </cfRule>
  </conditionalFormatting>
  <conditionalFormatting sqref="U1859:Z1859">
    <cfRule type="containsBlanks" dxfId="1833" priority="865">
      <formula>LEN(TRIM(U1859))=0</formula>
    </cfRule>
  </conditionalFormatting>
  <conditionalFormatting sqref="AC1858">
    <cfRule type="containsBlanks" dxfId="1832" priority="864">
      <formula>LEN(TRIM(AC1858))=0</formula>
    </cfRule>
  </conditionalFormatting>
  <conditionalFormatting sqref="AC1858">
    <cfRule type="containsBlanks" dxfId="1831" priority="863">
      <formula>LEN(TRIM(AC1858))=0</formula>
    </cfRule>
  </conditionalFormatting>
  <conditionalFormatting sqref="AC1859">
    <cfRule type="containsBlanks" dxfId="1830" priority="861">
      <formula>LEN(TRIM(AC1859))=0</formula>
    </cfRule>
  </conditionalFormatting>
  <conditionalFormatting sqref="AB1858">
    <cfRule type="containsBlanks" dxfId="1829" priority="862">
      <formula>LEN(TRIM(AB1858))=0</formula>
    </cfRule>
  </conditionalFormatting>
  <conditionalFormatting sqref="AC1859">
    <cfRule type="containsBlanks" dxfId="1828" priority="860">
      <formula>LEN(TRIM(AC1859))=0</formula>
    </cfRule>
  </conditionalFormatting>
  <conditionalFormatting sqref="AB1859">
    <cfRule type="containsBlanks" dxfId="1827" priority="859">
      <formula>LEN(TRIM(AB1859))=0</formula>
    </cfRule>
  </conditionalFormatting>
  <conditionalFormatting sqref="AA1858">
    <cfRule type="containsBlanks" dxfId="1826" priority="858">
      <formula>LEN(TRIM(AA1858))=0</formula>
    </cfRule>
  </conditionalFormatting>
  <conditionalFormatting sqref="AA1859">
    <cfRule type="containsBlanks" dxfId="1825" priority="857">
      <formula>LEN(TRIM(AA1859))=0</formula>
    </cfRule>
  </conditionalFormatting>
  <conditionalFormatting sqref="U1858:W1858">
    <cfRule type="containsBlanks" dxfId="1824" priority="856">
      <formula>LEN(TRIM(U1858))=0</formula>
    </cfRule>
  </conditionalFormatting>
  <conditionalFormatting sqref="U1858:W1858">
    <cfRule type="containsBlanks" dxfId="1823" priority="855">
      <formula>LEN(TRIM(U1858))=0</formula>
    </cfRule>
  </conditionalFormatting>
  <conditionalFormatting sqref="X1858">
    <cfRule type="containsBlanks" dxfId="1822" priority="854">
      <formula>LEN(TRIM(X1858))=0</formula>
    </cfRule>
  </conditionalFormatting>
  <conditionalFormatting sqref="U1861:Z1861 Y1860:Z1860">
    <cfRule type="containsBlanks" dxfId="1821" priority="853">
      <formula>LEN(TRIM(U1860))=0</formula>
    </cfRule>
  </conditionalFormatting>
  <conditionalFormatting sqref="Y1860:Z1860">
    <cfRule type="containsBlanks" dxfId="1820" priority="852">
      <formula>LEN(TRIM(Y1860))=0</formula>
    </cfRule>
  </conditionalFormatting>
  <conditionalFormatting sqref="U1861:Z1861">
    <cfRule type="containsBlanks" dxfId="1819" priority="851">
      <formula>LEN(TRIM(U1861))=0</formula>
    </cfRule>
  </conditionalFormatting>
  <conditionalFormatting sqref="AC1860">
    <cfRule type="containsBlanks" dxfId="1818" priority="850">
      <formula>LEN(TRIM(AC1860))=0</formula>
    </cfRule>
  </conditionalFormatting>
  <conditionalFormatting sqref="AC1860">
    <cfRule type="containsBlanks" dxfId="1817" priority="849">
      <formula>LEN(TRIM(AC1860))=0</formula>
    </cfRule>
  </conditionalFormatting>
  <conditionalFormatting sqref="AC1861">
    <cfRule type="containsBlanks" dxfId="1816" priority="847">
      <formula>LEN(TRIM(AC1861))=0</formula>
    </cfRule>
  </conditionalFormatting>
  <conditionalFormatting sqref="AB1860">
    <cfRule type="containsBlanks" dxfId="1815" priority="848">
      <formula>LEN(TRIM(AB1860))=0</formula>
    </cfRule>
  </conditionalFormatting>
  <conditionalFormatting sqref="AC1861">
    <cfRule type="containsBlanks" dxfId="1814" priority="846">
      <formula>LEN(TRIM(AC1861))=0</formula>
    </cfRule>
  </conditionalFormatting>
  <conditionalFormatting sqref="AB1861">
    <cfRule type="containsBlanks" dxfId="1813" priority="845">
      <formula>LEN(TRIM(AB1861))=0</formula>
    </cfRule>
  </conditionalFormatting>
  <conditionalFormatting sqref="AA1860">
    <cfRule type="containsBlanks" dxfId="1812" priority="844">
      <formula>LEN(TRIM(AA1860))=0</formula>
    </cfRule>
  </conditionalFormatting>
  <conditionalFormatting sqref="AA1861">
    <cfRule type="containsBlanks" dxfId="1811" priority="843">
      <formula>LEN(TRIM(AA1861))=0</formula>
    </cfRule>
  </conditionalFormatting>
  <conditionalFormatting sqref="U1860:W1860">
    <cfRule type="containsBlanks" dxfId="1810" priority="842">
      <formula>LEN(TRIM(U1860))=0</formula>
    </cfRule>
  </conditionalFormatting>
  <conditionalFormatting sqref="U1860:W1860">
    <cfRule type="containsBlanks" dxfId="1809" priority="841">
      <formula>LEN(TRIM(U1860))=0</formula>
    </cfRule>
  </conditionalFormatting>
  <conditionalFormatting sqref="X1860">
    <cfRule type="containsBlanks" dxfId="1808" priority="840">
      <formula>LEN(TRIM(X1860))=0</formula>
    </cfRule>
  </conditionalFormatting>
  <conditionalFormatting sqref="U1863:Z1863 Y1862:Z1862">
    <cfRule type="containsBlanks" dxfId="1807" priority="839">
      <formula>LEN(TRIM(U1862))=0</formula>
    </cfRule>
  </conditionalFormatting>
  <conditionalFormatting sqref="Y1862:Z1862">
    <cfRule type="containsBlanks" dxfId="1806" priority="838">
      <formula>LEN(TRIM(Y1862))=0</formula>
    </cfRule>
  </conditionalFormatting>
  <conditionalFormatting sqref="U1863:Z1863">
    <cfRule type="containsBlanks" dxfId="1805" priority="837">
      <formula>LEN(TRIM(U1863))=0</formula>
    </cfRule>
  </conditionalFormatting>
  <conditionalFormatting sqref="AC1862">
    <cfRule type="containsBlanks" dxfId="1804" priority="836">
      <formula>LEN(TRIM(AC1862))=0</formula>
    </cfRule>
  </conditionalFormatting>
  <conditionalFormatting sqref="AC1862">
    <cfRule type="containsBlanks" dxfId="1803" priority="835">
      <formula>LEN(TRIM(AC1862))=0</formula>
    </cfRule>
  </conditionalFormatting>
  <conditionalFormatting sqref="AC1863">
    <cfRule type="containsBlanks" dxfId="1802" priority="833">
      <formula>LEN(TRIM(AC1863))=0</formula>
    </cfRule>
  </conditionalFormatting>
  <conditionalFormatting sqref="AB1862">
    <cfRule type="containsBlanks" dxfId="1801" priority="834">
      <formula>LEN(TRIM(AB1862))=0</formula>
    </cfRule>
  </conditionalFormatting>
  <conditionalFormatting sqref="AC1863">
    <cfRule type="containsBlanks" dxfId="1800" priority="832">
      <formula>LEN(TRIM(AC1863))=0</formula>
    </cfRule>
  </conditionalFormatting>
  <conditionalFormatting sqref="AB1863">
    <cfRule type="containsBlanks" dxfId="1799" priority="831">
      <formula>LEN(TRIM(AB1863))=0</formula>
    </cfRule>
  </conditionalFormatting>
  <conditionalFormatting sqref="AA1862">
    <cfRule type="containsBlanks" dxfId="1798" priority="830">
      <formula>LEN(TRIM(AA1862))=0</formula>
    </cfRule>
  </conditionalFormatting>
  <conditionalFormatting sqref="AA1863">
    <cfRule type="containsBlanks" dxfId="1797" priority="829">
      <formula>LEN(TRIM(AA1863))=0</formula>
    </cfRule>
  </conditionalFormatting>
  <conditionalFormatting sqref="U1862:W1862">
    <cfRule type="containsBlanks" dxfId="1796" priority="828">
      <formula>LEN(TRIM(U1862))=0</formula>
    </cfRule>
  </conditionalFormatting>
  <conditionalFormatting sqref="U1862:W1862">
    <cfRule type="containsBlanks" dxfId="1795" priority="827">
      <formula>LEN(TRIM(U1862))=0</formula>
    </cfRule>
  </conditionalFormatting>
  <conditionalFormatting sqref="X1862">
    <cfRule type="containsBlanks" dxfId="1794" priority="826">
      <formula>LEN(TRIM(X1862))=0</formula>
    </cfRule>
  </conditionalFormatting>
  <conditionalFormatting sqref="U1865:Z1865 Y1864:Z1864">
    <cfRule type="containsBlanks" dxfId="1793" priority="825">
      <formula>LEN(TRIM(U1864))=0</formula>
    </cfRule>
  </conditionalFormatting>
  <conditionalFormatting sqref="Y1864:Z1864">
    <cfRule type="containsBlanks" dxfId="1792" priority="824">
      <formula>LEN(TRIM(Y1864))=0</formula>
    </cfRule>
  </conditionalFormatting>
  <conditionalFormatting sqref="U1865:Z1865">
    <cfRule type="containsBlanks" dxfId="1791" priority="823">
      <formula>LEN(TRIM(U1865))=0</formula>
    </cfRule>
  </conditionalFormatting>
  <conditionalFormatting sqref="AC1864">
    <cfRule type="containsBlanks" dxfId="1790" priority="822">
      <formula>LEN(TRIM(AC1864))=0</formula>
    </cfRule>
  </conditionalFormatting>
  <conditionalFormatting sqref="AC1864">
    <cfRule type="containsBlanks" dxfId="1789" priority="821">
      <formula>LEN(TRIM(AC1864))=0</formula>
    </cfRule>
  </conditionalFormatting>
  <conditionalFormatting sqref="AC1865">
    <cfRule type="containsBlanks" dxfId="1788" priority="819">
      <formula>LEN(TRIM(AC1865))=0</formula>
    </cfRule>
  </conditionalFormatting>
  <conditionalFormatting sqref="AB1864">
    <cfRule type="containsBlanks" dxfId="1787" priority="820">
      <formula>LEN(TRIM(AB1864))=0</formula>
    </cfRule>
  </conditionalFormatting>
  <conditionalFormatting sqref="AC1865">
    <cfRule type="containsBlanks" dxfId="1786" priority="818">
      <formula>LEN(TRIM(AC1865))=0</formula>
    </cfRule>
  </conditionalFormatting>
  <conditionalFormatting sqref="AB1865">
    <cfRule type="containsBlanks" dxfId="1785" priority="817">
      <formula>LEN(TRIM(AB1865))=0</formula>
    </cfRule>
  </conditionalFormatting>
  <conditionalFormatting sqref="AA1864">
    <cfRule type="containsBlanks" dxfId="1784" priority="816">
      <formula>LEN(TRIM(AA1864))=0</formula>
    </cfRule>
  </conditionalFormatting>
  <conditionalFormatting sqref="AA1865">
    <cfRule type="containsBlanks" dxfId="1783" priority="815">
      <formula>LEN(TRIM(AA1865))=0</formula>
    </cfRule>
  </conditionalFormatting>
  <conditionalFormatting sqref="U1864:W1864">
    <cfRule type="containsBlanks" dxfId="1782" priority="814">
      <formula>LEN(TRIM(U1864))=0</formula>
    </cfRule>
  </conditionalFormatting>
  <conditionalFormatting sqref="U1864:W1864">
    <cfRule type="containsBlanks" dxfId="1781" priority="813">
      <formula>LEN(TRIM(U1864))=0</formula>
    </cfRule>
  </conditionalFormatting>
  <conditionalFormatting sqref="X1864">
    <cfRule type="containsBlanks" dxfId="1780" priority="812">
      <formula>LEN(TRIM(X1864))=0</formula>
    </cfRule>
  </conditionalFormatting>
  <conditionalFormatting sqref="U1867:Z1867 Y1866:Z1866">
    <cfRule type="containsBlanks" dxfId="1779" priority="811">
      <formula>LEN(TRIM(U1866))=0</formula>
    </cfRule>
  </conditionalFormatting>
  <conditionalFormatting sqref="Y1866:Z1866">
    <cfRule type="containsBlanks" dxfId="1778" priority="810">
      <formula>LEN(TRIM(Y1866))=0</formula>
    </cfRule>
  </conditionalFormatting>
  <conditionalFormatting sqref="U1867:Z1867">
    <cfRule type="containsBlanks" dxfId="1777" priority="809">
      <formula>LEN(TRIM(U1867))=0</formula>
    </cfRule>
  </conditionalFormatting>
  <conditionalFormatting sqref="AC1866">
    <cfRule type="containsBlanks" dxfId="1776" priority="808">
      <formula>LEN(TRIM(AC1866))=0</formula>
    </cfRule>
  </conditionalFormatting>
  <conditionalFormatting sqref="AC1866">
    <cfRule type="containsBlanks" dxfId="1775" priority="807">
      <formula>LEN(TRIM(AC1866))=0</formula>
    </cfRule>
  </conditionalFormatting>
  <conditionalFormatting sqref="AC1867">
    <cfRule type="containsBlanks" dxfId="1774" priority="805">
      <formula>LEN(TRIM(AC1867))=0</formula>
    </cfRule>
  </conditionalFormatting>
  <conditionalFormatting sqref="AB1866">
    <cfRule type="containsBlanks" dxfId="1773" priority="806">
      <formula>LEN(TRIM(AB1866))=0</formula>
    </cfRule>
  </conditionalFormatting>
  <conditionalFormatting sqref="AC1867">
    <cfRule type="containsBlanks" dxfId="1772" priority="804">
      <formula>LEN(TRIM(AC1867))=0</formula>
    </cfRule>
  </conditionalFormatting>
  <conditionalFormatting sqref="AB1867">
    <cfRule type="containsBlanks" dxfId="1771" priority="803">
      <formula>LEN(TRIM(AB1867))=0</formula>
    </cfRule>
  </conditionalFormatting>
  <conditionalFormatting sqref="AA1866">
    <cfRule type="containsBlanks" dxfId="1770" priority="802">
      <formula>LEN(TRIM(AA1866))=0</formula>
    </cfRule>
  </conditionalFormatting>
  <conditionalFormatting sqref="AA1867">
    <cfRule type="containsBlanks" dxfId="1769" priority="801">
      <formula>LEN(TRIM(AA1867))=0</formula>
    </cfRule>
  </conditionalFormatting>
  <conditionalFormatting sqref="U1866:W1866">
    <cfRule type="containsBlanks" dxfId="1768" priority="800">
      <formula>LEN(TRIM(U1866))=0</formula>
    </cfRule>
  </conditionalFormatting>
  <conditionalFormatting sqref="U1866:W1866">
    <cfRule type="containsBlanks" dxfId="1767" priority="799">
      <formula>LEN(TRIM(U1866))=0</formula>
    </cfRule>
  </conditionalFormatting>
  <conditionalFormatting sqref="X1866">
    <cfRule type="containsBlanks" dxfId="1766" priority="798">
      <formula>LEN(TRIM(X1866))=0</formula>
    </cfRule>
  </conditionalFormatting>
  <conditionalFormatting sqref="U1869:Z1869 Y1868:Z1868">
    <cfRule type="containsBlanks" dxfId="1765" priority="797">
      <formula>LEN(TRIM(U1868))=0</formula>
    </cfRule>
  </conditionalFormatting>
  <conditionalFormatting sqref="Y1868:Z1868">
    <cfRule type="containsBlanks" dxfId="1764" priority="796">
      <formula>LEN(TRIM(Y1868))=0</formula>
    </cfRule>
  </conditionalFormatting>
  <conditionalFormatting sqref="U1869:Z1869">
    <cfRule type="containsBlanks" dxfId="1763" priority="795">
      <formula>LEN(TRIM(U1869))=0</formula>
    </cfRule>
  </conditionalFormatting>
  <conditionalFormatting sqref="AC1868">
    <cfRule type="containsBlanks" dxfId="1762" priority="794">
      <formula>LEN(TRIM(AC1868))=0</formula>
    </cfRule>
  </conditionalFormatting>
  <conditionalFormatting sqref="AC1868">
    <cfRule type="containsBlanks" dxfId="1761" priority="793">
      <formula>LEN(TRIM(AC1868))=0</formula>
    </cfRule>
  </conditionalFormatting>
  <conditionalFormatting sqref="AC1869">
    <cfRule type="containsBlanks" dxfId="1760" priority="791">
      <formula>LEN(TRIM(AC1869))=0</formula>
    </cfRule>
  </conditionalFormatting>
  <conditionalFormatting sqref="AB1868">
    <cfRule type="containsBlanks" dxfId="1759" priority="792">
      <formula>LEN(TRIM(AB1868))=0</formula>
    </cfRule>
  </conditionalFormatting>
  <conditionalFormatting sqref="AC1869">
    <cfRule type="containsBlanks" dxfId="1758" priority="790">
      <formula>LEN(TRIM(AC1869))=0</formula>
    </cfRule>
  </conditionalFormatting>
  <conditionalFormatting sqref="AB1869">
    <cfRule type="containsBlanks" dxfId="1757" priority="789">
      <formula>LEN(TRIM(AB1869))=0</formula>
    </cfRule>
  </conditionalFormatting>
  <conditionalFormatting sqref="AA1868">
    <cfRule type="containsBlanks" dxfId="1756" priority="788">
      <formula>LEN(TRIM(AA1868))=0</formula>
    </cfRule>
  </conditionalFormatting>
  <conditionalFormatting sqref="AA1869">
    <cfRule type="containsBlanks" dxfId="1755" priority="787">
      <formula>LEN(TRIM(AA1869))=0</formula>
    </cfRule>
  </conditionalFormatting>
  <conditionalFormatting sqref="U1868:W1868">
    <cfRule type="containsBlanks" dxfId="1754" priority="786">
      <formula>LEN(TRIM(U1868))=0</formula>
    </cfRule>
  </conditionalFormatting>
  <conditionalFormatting sqref="U1868:W1868">
    <cfRule type="containsBlanks" dxfId="1753" priority="785">
      <formula>LEN(TRIM(U1868))=0</formula>
    </cfRule>
  </conditionalFormatting>
  <conditionalFormatting sqref="X1868">
    <cfRule type="containsBlanks" dxfId="1752" priority="784">
      <formula>LEN(TRIM(X1868))=0</formula>
    </cfRule>
  </conditionalFormatting>
  <conditionalFormatting sqref="U1871:Z1871 Y1870:Z1870">
    <cfRule type="containsBlanks" dxfId="1751" priority="783">
      <formula>LEN(TRIM(U1870))=0</formula>
    </cfRule>
  </conditionalFormatting>
  <conditionalFormatting sqref="Y1870:Z1870">
    <cfRule type="containsBlanks" dxfId="1750" priority="782">
      <formula>LEN(TRIM(Y1870))=0</formula>
    </cfRule>
  </conditionalFormatting>
  <conditionalFormatting sqref="U1871:Z1871">
    <cfRule type="containsBlanks" dxfId="1749" priority="781">
      <formula>LEN(TRIM(U1871))=0</formula>
    </cfRule>
  </conditionalFormatting>
  <conditionalFormatting sqref="AC1870">
    <cfRule type="containsBlanks" dxfId="1748" priority="780">
      <formula>LEN(TRIM(AC1870))=0</formula>
    </cfRule>
  </conditionalFormatting>
  <conditionalFormatting sqref="AC1870">
    <cfRule type="containsBlanks" dxfId="1747" priority="779">
      <formula>LEN(TRIM(AC1870))=0</formula>
    </cfRule>
  </conditionalFormatting>
  <conditionalFormatting sqref="AC1871">
    <cfRule type="containsBlanks" dxfId="1746" priority="777">
      <formula>LEN(TRIM(AC1871))=0</formula>
    </cfRule>
  </conditionalFormatting>
  <conditionalFormatting sqref="AB1870">
    <cfRule type="containsBlanks" dxfId="1745" priority="778">
      <formula>LEN(TRIM(AB1870))=0</formula>
    </cfRule>
  </conditionalFormatting>
  <conditionalFormatting sqref="AC1871">
    <cfRule type="containsBlanks" dxfId="1744" priority="776">
      <formula>LEN(TRIM(AC1871))=0</formula>
    </cfRule>
  </conditionalFormatting>
  <conditionalFormatting sqref="AB1871">
    <cfRule type="containsBlanks" dxfId="1743" priority="775">
      <formula>LEN(TRIM(AB1871))=0</formula>
    </cfRule>
  </conditionalFormatting>
  <conditionalFormatting sqref="AA1870">
    <cfRule type="containsBlanks" dxfId="1742" priority="774">
      <formula>LEN(TRIM(AA1870))=0</formula>
    </cfRule>
  </conditionalFormatting>
  <conditionalFormatting sqref="AA1871">
    <cfRule type="containsBlanks" dxfId="1741" priority="773">
      <formula>LEN(TRIM(AA1871))=0</formula>
    </cfRule>
  </conditionalFormatting>
  <conditionalFormatting sqref="U1870:W1870">
    <cfRule type="containsBlanks" dxfId="1740" priority="772">
      <formula>LEN(TRIM(U1870))=0</formula>
    </cfRule>
  </conditionalFormatting>
  <conditionalFormatting sqref="U1870:W1870">
    <cfRule type="containsBlanks" dxfId="1739" priority="771">
      <formula>LEN(TRIM(U1870))=0</formula>
    </cfRule>
  </conditionalFormatting>
  <conditionalFormatting sqref="X1870">
    <cfRule type="containsBlanks" dxfId="1738" priority="770">
      <formula>LEN(TRIM(X1870))=0</formula>
    </cfRule>
  </conditionalFormatting>
  <conditionalFormatting sqref="U1873:Z1873 Y1872:Z1872">
    <cfRule type="containsBlanks" dxfId="1737" priority="769">
      <formula>LEN(TRIM(U1872))=0</formula>
    </cfRule>
  </conditionalFormatting>
  <conditionalFormatting sqref="Y1872:Z1872">
    <cfRule type="containsBlanks" dxfId="1736" priority="768">
      <formula>LEN(TRIM(Y1872))=0</formula>
    </cfRule>
  </conditionalFormatting>
  <conditionalFormatting sqref="U1873:Z1873">
    <cfRule type="containsBlanks" dxfId="1735" priority="767">
      <formula>LEN(TRIM(U1873))=0</formula>
    </cfRule>
  </conditionalFormatting>
  <conditionalFormatting sqref="AC1872">
    <cfRule type="containsBlanks" dxfId="1734" priority="766">
      <formula>LEN(TRIM(AC1872))=0</formula>
    </cfRule>
  </conditionalFormatting>
  <conditionalFormatting sqref="AC1872">
    <cfRule type="containsBlanks" dxfId="1733" priority="765">
      <formula>LEN(TRIM(AC1872))=0</formula>
    </cfRule>
  </conditionalFormatting>
  <conditionalFormatting sqref="AC1873">
    <cfRule type="containsBlanks" dxfId="1732" priority="763">
      <formula>LEN(TRIM(AC1873))=0</formula>
    </cfRule>
  </conditionalFormatting>
  <conditionalFormatting sqref="AB1872">
    <cfRule type="containsBlanks" dxfId="1731" priority="764">
      <formula>LEN(TRIM(AB1872))=0</formula>
    </cfRule>
  </conditionalFormatting>
  <conditionalFormatting sqref="AC1873">
    <cfRule type="containsBlanks" dxfId="1730" priority="762">
      <formula>LEN(TRIM(AC1873))=0</formula>
    </cfRule>
  </conditionalFormatting>
  <conditionalFormatting sqref="AB1873">
    <cfRule type="containsBlanks" dxfId="1729" priority="761">
      <formula>LEN(TRIM(AB1873))=0</formula>
    </cfRule>
  </conditionalFormatting>
  <conditionalFormatting sqref="AA1872">
    <cfRule type="containsBlanks" dxfId="1728" priority="760">
      <formula>LEN(TRIM(AA1872))=0</formula>
    </cfRule>
  </conditionalFormatting>
  <conditionalFormatting sqref="AA1873">
    <cfRule type="containsBlanks" dxfId="1727" priority="759">
      <formula>LEN(TRIM(AA1873))=0</formula>
    </cfRule>
  </conditionalFormatting>
  <conditionalFormatting sqref="U1872:W1872">
    <cfRule type="containsBlanks" dxfId="1726" priority="758">
      <formula>LEN(TRIM(U1872))=0</formula>
    </cfRule>
  </conditionalFormatting>
  <conditionalFormatting sqref="U1872:W1872">
    <cfRule type="containsBlanks" dxfId="1725" priority="757">
      <formula>LEN(TRIM(U1872))=0</formula>
    </cfRule>
  </conditionalFormatting>
  <conditionalFormatting sqref="X1872">
    <cfRule type="containsBlanks" dxfId="1724" priority="756">
      <formula>LEN(TRIM(X1872))=0</formula>
    </cfRule>
  </conditionalFormatting>
  <conditionalFormatting sqref="U1875:Z1875 Y1874:Z1874">
    <cfRule type="containsBlanks" dxfId="1723" priority="755">
      <formula>LEN(TRIM(U1874))=0</formula>
    </cfRule>
  </conditionalFormatting>
  <conditionalFormatting sqref="Y1874:Z1874">
    <cfRule type="containsBlanks" dxfId="1722" priority="754">
      <formula>LEN(TRIM(Y1874))=0</formula>
    </cfRule>
  </conditionalFormatting>
  <conditionalFormatting sqref="U1875:Z1875">
    <cfRule type="containsBlanks" dxfId="1721" priority="753">
      <formula>LEN(TRIM(U1875))=0</formula>
    </cfRule>
  </conditionalFormatting>
  <conditionalFormatting sqref="AC1874">
    <cfRule type="containsBlanks" dxfId="1720" priority="752">
      <formula>LEN(TRIM(AC1874))=0</formula>
    </cfRule>
  </conditionalFormatting>
  <conditionalFormatting sqref="AC1874">
    <cfRule type="containsBlanks" dxfId="1719" priority="751">
      <formula>LEN(TRIM(AC1874))=0</formula>
    </cfRule>
  </conditionalFormatting>
  <conditionalFormatting sqref="AC1875">
    <cfRule type="containsBlanks" dxfId="1718" priority="749">
      <formula>LEN(TRIM(AC1875))=0</formula>
    </cfRule>
  </conditionalFormatting>
  <conditionalFormatting sqref="AB1874">
    <cfRule type="containsBlanks" dxfId="1717" priority="750">
      <formula>LEN(TRIM(AB1874))=0</formula>
    </cfRule>
  </conditionalFormatting>
  <conditionalFormatting sqref="AC1875">
    <cfRule type="containsBlanks" dxfId="1716" priority="748">
      <formula>LEN(TRIM(AC1875))=0</formula>
    </cfRule>
  </conditionalFormatting>
  <conditionalFormatting sqref="AB1875">
    <cfRule type="containsBlanks" dxfId="1715" priority="747">
      <formula>LEN(TRIM(AB1875))=0</formula>
    </cfRule>
  </conditionalFormatting>
  <conditionalFormatting sqref="AA1874">
    <cfRule type="containsBlanks" dxfId="1714" priority="746">
      <formula>LEN(TRIM(AA1874))=0</formula>
    </cfRule>
  </conditionalFormatting>
  <conditionalFormatting sqref="AA1875">
    <cfRule type="containsBlanks" dxfId="1713" priority="745">
      <formula>LEN(TRIM(AA1875))=0</formula>
    </cfRule>
  </conditionalFormatting>
  <conditionalFormatting sqref="U1874:W1874">
    <cfRule type="containsBlanks" dxfId="1712" priority="744">
      <formula>LEN(TRIM(U1874))=0</formula>
    </cfRule>
  </conditionalFormatting>
  <conditionalFormatting sqref="U1874:W1874">
    <cfRule type="containsBlanks" dxfId="1711" priority="743">
      <formula>LEN(TRIM(U1874))=0</formula>
    </cfRule>
  </conditionalFormatting>
  <conditionalFormatting sqref="X1874">
    <cfRule type="containsBlanks" dxfId="1710" priority="742">
      <formula>LEN(TRIM(X1874))=0</formula>
    </cfRule>
  </conditionalFormatting>
  <conditionalFormatting sqref="U1877:Z1877 Y1876:Z1876">
    <cfRule type="containsBlanks" dxfId="1709" priority="741">
      <formula>LEN(TRIM(U1876))=0</formula>
    </cfRule>
  </conditionalFormatting>
  <conditionalFormatting sqref="Y1876:Z1876">
    <cfRule type="containsBlanks" dxfId="1708" priority="740">
      <formula>LEN(TRIM(Y1876))=0</formula>
    </cfRule>
  </conditionalFormatting>
  <conditionalFormatting sqref="U1877:Z1877">
    <cfRule type="containsBlanks" dxfId="1707" priority="739">
      <formula>LEN(TRIM(U1877))=0</formula>
    </cfRule>
  </conditionalFormatting>
  <conditionalFormatting sqref="AC1876">
    <cfRule type="containsBlanks" dxfId="1706" priority="738">
      <formula>LEN(TRIM(AC1876))=0</formula>
    </cfRule>
  </conditionalFormatting>
  <conditionalFormatting sqref="AC1876">
    <cfRule type="containsBlanks" dxfId="1705" priority="737">
      <formula>LEN(TRIM(AC1876))=0</formula>
    </cfRule>
  </conditionalFormatting>
  <conditionalFormatting sqref="AC1877">
    <cfRule type="containsBlanks" dxfId="1704" priority="735">
      <formula>LEN(TRIM(AC1877))=0</formula>
    </cfRule>
  </conditionalFormatting>
  <conditionalFormatting sqref="AB1876">
    <cfRule type="containsBlanks" dxfId="1703" priority="736">
      <formula>LEN(TRIM(AB1876))=0</formula>
    </cfRule>
  </conditionalFormatting>
  <conditionalFormatting sqref="AC1877">
    <cfRule type="containsBlanks" dxfId="1702" priority="734">
      <formula>LEN(TRIM(AC1877))=0</formula>
    </cfRule>
  </conditionalFormatting>
  <conditionalFormatting sqref="AB1877">
    <cfRule type="containsBlanks" dxfId="1701" priority="733">
      <formula>LEN(TRIM(AB1877))=0</formula>
    </cfRule>
  </conditionalFormatting>
  <conditionalFormatting sqref="AA1876">
    <cfRule type="containsBlanks" dxfId="1700" priority="732">
      <formula>LEN(TRIM(AA1876))=0</formula>
    </cfRule>
  </conditionalFormatting>
  <conditionalFormatting sqref="AA1877">
    <cfRule type="containsBlanks" dxfId="1699" priority="731">
      <formula>LEN(TRIM(AA1877))=0</formula>
    </cfRule>
  </conditionalFormatting>
  <conditionalFormatting sqref="U1876:W1876">
    <cfRule type="containsBlanks" dxfId="1698" priority="730">
      <formula>LEN(TRIM(U1876))=0</formula>
    </cfRule>
  </conditionalFormatting>
  <conditionalFormatting sqref="U1876:W1876">
    <cfRule type="containsBlanks" dxfId="1697" priority="729">
      <formula>LEN(TRIM(U1876))=0</formula>
    </cfRule>
  </conditionalFormatting>
  <conditionalFormatting sqref="X1876">
    <cfRule type="containsBlanks" dxfId="1696" priority="728">
      <formula>LEN(TRIM(X1876))=0</formula>
    </cfRule>
  </conditionalFormatting>
  <conditionalFormatting sqref="U1879:Z1879 Y1878:Z1878">
    <cfRule type="containsBlanks" dxfId="1695" priority="727">
      <formula>LEN(TRIM(U1878))=0</formula>
    </cfRule>
  </conditionalFormatting>
  <conditionalFormatting sqref="Y1878:Z1878">
    <cfRule type="containsBlanks" dxfId="1694" priority="726">
      <formula>LEN(TRIM(Y1878))=0</formula>
    </cfRule>
  </conditionalFormatting>
  <conditionalFormatting sqref="U1879:Z1879">
    <cfRule type="containsBlanks" dxfId="1693" priority="725">
      <formula>LEN(TRIM(U1879))=0</formula>
    </cfRule>
  </conditionalFormatting>
  <conditionalFormatting sqref="AC1878">
    <cfRule type="containsBlanks" dxfId="1692" priority="724">
      <formula>LEN(TRIM(AC1878))=0</formula>
    </cfRule>
  </conditionalFormatting>
  <conditionalFormatting sqref="AC1878">
    <cfRule type="containsBlanks" dxfId="1691" priority="723">
      <formula>LEN(TRIM(AC1878))=0</formula>
    </cfRule>
  </conditionalFormatting>
  <conditionalFormatting sqref="AC1879">
    <cfRule type="containsBlanks" dxfId="1690" priority="721">
      <formula>LEN(TRIM(AC1879))=0</formula>
    </cfRule>
  </conditionalFormatting>
  <conditionalFormatting sqref="AB1878">
    <cfRule type="containsBlanks" dxfId="1689" priority="722">
      <formula>LEN(TRIM(AB1878))=0</formula>
    </cfRule>
  </conditionalFormatting>
  <conditionalFormatting sqref="AC1879">
    <cfRule type="containsBlanks" dxfId="1688" priority="720">
      <formula>LEN(TRIM(AC1879))=0</formula>
    </cfRule>
  </conditionalFormatting>
  <conditionalFormatting sqref="AB1879">
    <cfRule type="containsBlanks" dxfId="1687" priority="719">
      <formula>LEN(TRIM(AB1879))=0</formula>
    </cfRule>
  </conditionalFormatting>
  <conditionalFormatting sqref="AA1878">
    <cfRule type="containsBlanks" dxfId="1686" priority="718">
      <formula>LEN(TRIM(AA1878))=0</formula>
    </cfRule>
  </conditionalFormatting>
  <conditionalFormatting sqref="AA1879">
    <cfRule type="containsBlanks" dxfId="1685" priority="717">
      <formula>LEN(TRIM(AA1879))=0</formula>
    </cfRule>
  </conditionalFormatting>
  <conditionalFormatting sqref="U1878:W1878">
    <cfRule type="containsBlanks" dxfId="1684" priority="716">
      <formula>LEN(TRIM(U1878))=0</formula>
    </cfRule>
  </conditionalFormatting>
  <conditionalFormatting sqref="U1878:W1878">
    <cfRule type="containsBlanks" dxfId="1683" priority="715">
      <formula>LEN(TRIM(U1878))=0</formula>
    </cfRule>
  </conditionalFormatting>
  <conditionalFormatting sqref="X1878">
    <cfRule type="containsBlanks" dxfId="1682" priority="714">
      <formula>LEN(TRIM(X1878))=0</formula>
    </cfRule>
  </conditionalFormatting>
  <conditionalFormatting sqref="U1881:Z1881 Y1880:Z1880">
    <cfRule type="containsBlanks" dxfId="1681" priority="713">
      <formula>LEN(TRIM(U1880))=0</formula>
    </cfRule>
  </conditionalFormatting>
  <conditionalFormatting sqref="Y1880:Z1880">
    <cfRule type="containsBlanks" dxfId="1680" priority="712">
      <formula>LEN(TRIM(Y1880))=0</formula>
    </cfRule>
  </conditionalFormatting>
  <conditionalFormatting sqref="U1881:Z1881">
    <cfRule type="containsBlanks" dxfId="1679" priority="711">
      <formula>LEN(TRIM(U1881))=0</formula>
    </cfRule>
  </conditionalFormatting>
  <conditionalFormatting sqref="AC1880">
    <cfRule type="containsBlanks" dxfId="1678" priority="710">
      <formula>LEN(TRIM(AC1880))=0</formula>
    </cfRule>
  </conditionalFormatting>
  <conditionalFormatting sqref="AC1880">
    <cfRule type="containsBlanks" dxfId="1677" priority="709">
      <formula>LEN(TRIM(AC1880))=0</formula>
    </cfRule>
  </conditionalFormatting>
  <conditionalFormatting sqref="AC1881">
    <cfRule type="containsBlanks" dxfId="1676" priority="707">
      <formula>LEN(TRIM(AC1881))=0</formula>
    </cfRule>
  </conditionalFormatting>
  <conditionalFormatting sqref="AB1880">
    <cfRule type="containsBlanks" dxfId="1675" priority="708">
      <formula>LEN(TRIM(AB1880))=0</formula>
    </cfRule>
  </conditionalFormatting>
  <conditionalFormatting sqref="AC1881">
    <cfRule type="containsBlanks" dxfId="1674" priority="706">
      <formula>LEN(TRIM(AC1881))=0</formula>
    </cfRule>
  </conditionalFormatting>
  <conditionalFormatting sqref="AB1881">
    <cfRule type="containsBlanks" dxfId="1673" priority="705">
      <formula>LEN(TRIM(AB1881))=0</formula>
    </cfRule>
  </conditionalFormatting>
  <conditionalFormatting sqref="AA1880">
    <cfRule type="containsBlanks" dxfId="1672" priority="704">
      <formula>LEN(TRIM(AA1880))=0</formula>
    </cfRule>
  </conditionalFormatting>
  <conditionalFormatting sqref="AA1881">
    <cfRule type="containsBlanks" dxfId="1671" priority="703">
      <formula>LEN(TRIM(AA1881))=0</formula>
    </cfRule>
  </conditionalFormatting>
  <conditionalFormatting sqref="U1880:W1880">
    <cfRule type="containsBlanks" dxfId="1670" priority="702">
      <formula>LEN(TRIM(U1880))=0</formula>
    </cfRule>
  </conditionalFormatting>
  <conditionalFormatting sqref="U1880:W1880">
    <cfRule type="containsBlanks" dxfId="1669" priority="701">
      <formula>LEN(TRIM(U1880))=0</formula>
    </cfRule>
  </conditionalFormatting>
  <conditionalFormatting sqref="X1880">
    <cfRule type="containsBlanks" dxfId="1668" priority="700">
      <formula>LEN(TRIM(X1880))=0</formula>
    </cfRule>
  </conditionalFormatting>
  <conditionalFormatting sqref="U1883:Z1883 Y1882:Z1882">
    <cfRule type="containsBlanks" dxfId="1667" priority="699">
      <formula>LEN(TRIM(U1882))=0</formula>
    </cfRule>
  </conditionalFormatting>
  <conditionalFormatting sqref="Y1882:Z1882">
    <cfRule type="containsBlanks" dxfId="1666" priority="698">
      <formula>LEN(TRIM(Y1882))=0</formula>
    </cfRule>
  </conditionalFormatting>
  <conditionalFormatting sqref="U1883:Z1883">
    <cfRule type="containsBlanks" dxfId="1665" priority="697">
      <formula>LEN(TRIM(U1883))=0</formula>
    </cfRule>
  </conditionalFormatting>
  <conditionalFormatting sqref="AC1882">
    <cfRule type="containsBlanks" dxfId="1664" priority="696">
      <formula>LEN(TRIM(AC1882))=0</formula>
    </cfRule>
  </conditionalFormatting>
  <conditionalFormatting sqref="AC1882">
    <cfRule type="containsBlanks" dxfId="1663" priority="695">
      <formula>LEN(TRIM(AC1882))=0</formula>
    </cfRule>
  </conditionalFormatting>
  <conditionalFormatting sqref="AC1883">
    <cfRule type="containsBlanks" dxfId="1662" priority="693">
      <formula>LEN(TRIM(AC1883))=0</formula>
    </cfRule>
  </conditionalFormatting>
  <conditionalFormatting sqref="AB1882">
    <cfRule type="containsBlanks" dxfId="1661" priority="694">
      <formula>LEN(TRIM(AB1882))=0</formula>
    </cfRule>
  </conditionalFormatting>
  <conditionalFormatting sqref="AC1883">
    <cfRule type="containsBlanks" dxfId="1660" priority="692">
      <formula>LEN(TRIM(AC1883))=0</formula>
    </cfRule>
  </conditionalFormatting>
  <conditionalFormatting sqref="AB1883">
    <cfRule type="containsBlanks" dxfId="1659" priority="691">
      <formula>LEN(TRIM(AB1883))=0</formula>
    </cfRule>
  </conditionalFormatting>
  <conditionalFormatting sqref="AA1882">
    <cfRule type="containsBlanks" dxfId="1658" priority="690">
      <formula>LEN(TRIM(AA1882))=0</formula>
    </cfRule>
  </conditionalFormatting>
  <conditionalFormatting sqref="AA1883">
    <cfRule type="containsBlanks" dxfId="1657" priority="689">
      <formula>LEN(TRIM(AA1883))=0</formula>
    </cfRule>
  </conditionalFormatting>
  <conditionalFormatting sqref="U1882:W1882">
    <cfRule type="containsBlanks" dxfId="1656" priority="688">
      <formula>LEN(TRIM(U1882))=0</formula>
    </cfRule>
  </conditionalFormatting>
  <conditionalFormatting sqref="U1882:W1882">
    <cfRule type="containsBlanks" dxfId="1655" priority="687">
      <formula>LEN(TRIM(U1882))=0</formula>
    </cfRule>
  </conditionalFormatting>
  <conditionalFormatting sqref="X1882">
    <cfRule type="containsBlanks" dxfId="1654" priority="686">
      <formula>LEN(TRIM(X1882))=0</formula>
    </cfRule>
  </conditionalFormatting>
  <conditionalFormatting sqref="U1885:Z1885 Y1884:Z1884">
    <cfRule type="containsBlanks" dxfId="1653" priority="685">
      <formula>LEN(TRIM(U1884))=0</formula>
    </cfRule>
  </conditionalFormatting>
  <conditionalFormatting sqref="Y1884:Z1884">
    <cfRule type="containsBlanks" dxfId="1652" priority="684">
      <formula>LEN(TRIM(Y1884))=0</formula>
    </cfRule>
  </conditionalFormatting>
  <conditionalFormatting sqref="U1885:Z1885">
    <cfRule type="containsBlanks" dxfId="1651" priority="683">
      <formula>LEN(TRIM(U1885))=0</formula>
    </cfRule>
  </conditionalFormatting>
  <conditionalFormatting sqref="AC1884">
    <cfRule type="containsBlanks" dxfId="1650" priority="682">
      <formula>LEN(TRIM(AC1884))=0</formula>
    </cfRule>
  </conditionalFormatting>
  <conditionalFormatting sqref="AC1884">
    <cfRule type="containsBlanks" dxfId="1649" priority="681">
      <formula>LEN(TRIM(AC1884))=0</formula>
    </cfRule>
  </conditionalFormatting>
  <conditionalFormatting sqref="AC1885">
    <cfRule type="containsBlanks" dxfId="1648" priority="679">
      <formula>LEN(TRIM(AC1885))=0</formula>
    </cfRule>
  </conditionalFormatting>
  <conditionalFormatting sqref="AB1884">
    <cfRule type="containsBlanks" dxfId="1647" priority="680">
      <formula>LEN(TRIM(AB1884))=0</formula>
    </cfRule>
  </conditionalFormatting>
  <conditionalFormatting sqref="AC1885">
    <cfRule type="containsBlanks" dxfId="1646" priority="678">
      <formula>LEN(TRIM(AC1885))=0</formula>
    </cfRule>
  </conditionalFormatting>
  <conditionalFormatting sqref="AB1885">
    <cfRule type="containsBlanks" dxfId="1645" priority="677">
      <formula>LEN(TRIM(AB1885))=0</formula>
    </cfRule>
  </conditionalFormatting>
  <conditionalFormatting sqref="AA1884">
    <cfRule type="containsBlanks" dxfId="1644" priority="676">
      <formula>LEN(TRIM(AA1884))=0</formula>
    </cfRule>
  </conditionalFormatting>
  <conditionalFormatting sqref="AA1885">
    <cfRule type="containsBlanks" dxfId="1643" priority="675">
      <formula>LEN(TRIM(AA1885))=0</formula>
    </cfRule>
  </conditionalFormatting>
  <conditionalFormatting sqref="U1884:W1884">
    <cfRule type="containsBlanks" dxfId="1642" priority="674">
      <formula>LEN(TRIM(U1884))=0</formula>
    </cfRule>
  </conditionalFormatting>
  <conditionalFormatting sqref="U1884:W1884">
    <cfRule type="containsBlanks" dxfId="1641" priority="673">
      <formula>LEN(TRIM(U1884))=0</formula>
    </cfRule>
  </conditionalFormatting>
  <conditionalFormatting sqref="X1884">
    <cfRule type="containsBlanks" dxfId="1640" priority="672">
      <formula>LEN(TRIM(X1884))=0</formula>
    </cfRule>
  </conditionalFormatting>
  <conditionalFormatting sqref="U1887:Z1887 Y1886:Z1886">
    <cfRule type="containsBlanks" dxfId="1639" priority="671">
      <formula>LEN(TRIM(U1886))=0</formula>
    </cfRule>
  </conditionalFormatting>
  <conditionalFormatting sqref="Y1886:Z1886">
    <cfRule type="containsBlanks" dxfId="1638" priority="670">
      <formula>LEN(TRIM(Y1886))=0</formula>
    </cfRule>
  </conditionalFormatting>
  <conditionalFormatting sqref="U1887:Z1887">
    <cfRule type="containsBlanks" dxfId="1637" priority="669">
      <formula>LEN(TRIM(U1887))=0</formula>
    </cfRule>
  </conditionalFormatting>
  <conditionalFormatting sqref="AC1886">
    <cfRule type="containsBlanks" dxfId="1636" priority="668">
      <formula>LEN(TRIM(AC1886))=0</formula>
    </cfRule>
  </conditionalFormatting>
  <conditionalFormatting sqref="AC1886">
    <cfRule type="containsBlanks" dxfId="1635" priority="667">
      <formula>LEN(TRIM(AC1886))=0</formula>
    </cfRule>
  </conditionalFormatting>
  <conditionalFormatting sqref="AC1887">
    <cfRule type="containsBlanks" dxfId="1634" priority="665">
      <formula>LEN(TRIM(AC1887))=0</formula>
    </cfRule>
  </conditionalFormatting>
  <conditionalFormatting sqref="AB1886">
    <cfRule type="containsBlanks" dxfId="1633" priority="666">
      <formula>LEN(TRIM(AB1886))=0</formula>
    </cfRule>
  </conditionalFormatting>
  <conditionalFormatting sqref="AC1887">
    <cfRule type="containsBlanks" dxfId="1632" priority="664">
      <formula>LEN(TRIM(AC1887))=0</formula>
    </cfRule>
  </conditionalFormatting>
  <conditionalFormatting sqref="AB1887">
    <cfRule type="containsBlanks" dxfId="1631" priority="663">
      <formula>LEN(TRIM(AB1887))=0</formula>
    </cfRule>
  </conditionalFormatting>
  <conditionalFormatting sqref="AA1886">
    <cfRule type="containsBlanks" dxfId="1630" priority="662">
      <formula>LEN(TRIM(AA1886))=0</formula>
    </cfRule>
  </conditionalFormatting>
  <conditionalFormatting sqref="AA1887">
    <cfRule type="containsBlanks" dxfId="1629" priority="661">
      <formula>LEN(TRIM(AA1887))=0</formula>
    </cfRule>
  </conditionalFormatting>
  <conditionalFormatting sqref="U1886:W1886">
    <cfRule type="containsBlanks" dxfId="1628" priority="660">
      <formula>LEN(TRIM(U1886))=0</formula>
    </cfRule>
  </conditionalFormatting>
  <conditionalFormatting sqref="U1886:W1886">
    <cfRule type="containsBlanks" dxfId="1627" priority="659">
      <formula>LEN(TRIM(U1886))=0</formula>
    </cfRule>
  </conditionalFormatting>
  <conditionalFormatting sqref="X1886">
    <cfRule type="containsBlanks" dxfId="1626" priority="658">
      <formula>LEN(TRIM(X1886))=0</formula>
    </cfRule>
  </conditionalFormatting>
  <conditionalFormatting sqref="U1889:Z1889 Y1888:Z1888">
    <cfRule type="containsBlanks" dxfId="1625" priority="657">
      <formula>LEN(TRIM(U1888))=0</formula>
    </cfRule>
  </conditionalFormatting>
  <conditionalFormatting sqref="Y1888:Z1888">
    <cfRule type="containsBlanks" dxfId="1624" priority="656">
      <formula>LEN(TRIM(Y1888))=0</formula>
    </cfRule>
  </conditionalFormatting>
  <conditionalFormatting sqref="U1889:Z1889">
    <cfRule type="containsBlanks" dxfId="1623" priority="655">
      <formula>LEN(TRIM(U1889))=0</formula>
    </cfRule>
  </conditionalFormatting>
  <conditionalFormatting sqref="AC1888">
    <cfRule type="containsBlanks" dxfId="1622" priority="654">
      <formula>LEN(TRIM(AC1888))=0</formula>
    </cfRule>
  </conditionalFormatting>
  <conditionalFormatting sqref="AC1888">
    <cfRule type="containsBlanks" dxfId="1621" priority="653">
      <formula>LEN(TRIM(AC1888))=0</formula>
    </cfRule>
  </conditionalFormatting>
  <conditionalFormatting sqref="AC1889">
    <cfRule type="containsBlanks" dxfId="1620" priority="651">
      <formula>LEN(TRIM(AC1889))=0</formula>
    </cfRule>
  </conditionalFormatting>
  <conditionalFormatting sqref="AB1888">
    <cfRule type="containsBlanks" dxfId="1619" priority="652">
      <formula>LEN(TRIM(AB1888))=0</formula>
    </cfRule>
  </conditionalFormatting>
  <conditionalFormatting sqref="AC1889">
    <cfRule type="containsBlanks" dxfId="1618" priority="650">
      <formula>LEN(TRIM(AC1889))=0</formula>
    </cfRule>
  </conditionalFormatting>
  <conditionalFormatting sqref="AB1889">
    <cfRule type="containsBlanks" dxfId="1617" priority="649">
      <formula>LEN(TRIM(AB1889))=0</formula>
    </cfRule>
  </conditionalFormatting>
  <conditionalFormatting sqref="AA1888">
    <cfRule type="containsBlanks" dxfId="1616" priority="648">
      <formula>LEN(TRIM(AA1888))=0</formula>
    </cfRule>
  </conditionalFormatting>
  <conditionalFormatting sqref="AA1889">
    <cfRule type="containsBlanks" dxfId="1615" priority="647">
      <formula>LEN(TRIM(AA1889))=0</formula>
    </cfRule>
  </conditionalFormatting>
  <conditionalFormatting sqref="U1888:W1888">
    <cfRule type="containsBlanks" dxfId="1614" priority="646">
      <formula>LEN(TRIM(U1888))=0</formula>
    </cfRule>
  </conditionalFormatting>
  <conditionalFormatting sqref="U1888:W1888">
    <cfRule type="containsBlanks" dxfId="1613" priority="645">
      <formula>LEN(TRIM(U1888))=0</formula>
    </cfRule>
  </conditionalFormatting>
  <conditionalFormatting sqref="X1888">
    <cfRule type="containsBlanks" dxfId="1612" priority="644">
      <formula>LEN(TRIM(X1888))=0</formula>
    </cfRule>
  </conditionalFormatting>
  <conditionalFormatting sqref="U1891:Z1891 Y1890:Z1890">
    <cfRule type="containsBlanks" dxfId="1611" priority="643">
      <formula>LEN(TRIM(U1890))=0</formula>
    </cfRule>
  </conditionalFormatting>
  <conditionalFormatting sqref="Y1890:Z1890">
    <cfRule type="containsBlanks" dxfId="1610" priority="642">
      <formula>LEN(TRIM(Y1890))=0</formula>
    </cfRule>
  </conditionalFormatting>
  <conditionalFormatting sqref="U1891:Z1891">
    <cfRule type="containsBlanks" dxfId="1609" priority="641">
      <formula>LEN(TRIM(U1891))=0</formula>
    </cfRule>
  </conditionalFormatting>
  <conditionalFormatting sqref="AC1890">
    <cfRule type="containsBlanks" dxfId="1608" priority="640">
      <formula>LEN(TRIM(AC1890))=0</formula>
    </cfRule>
  </conditionalFormatting>
  <conditionalFormatting sqref="AC1890">
    <cfRule type="containsBlanks" dxfId="1607" priority="639">
      <formula>LEN(TRIM(AC1890))=0</formula>
    </cfRule>
  </conditionalFormatting>
  <conditionalFormatting sqref="AC1891">
    <cfRule type="containsBlanks" dxfId="1606" priority="637">
      <formula>LEN(TRIM(AC1891))=0</formula>
    </cfRule>
  </conditionalFormatting>
  <conditionalFormatting sqref="AB1890">
    <cfRule type="containsBlanks" dxfId="1605" priority="638">
      <formula>LEN(TRIM(AB1890))=0</formula>
    </cfRule>
  </conditionalFormatting>
  <conditionalFormatting sqref="AC1891">
    <cfRule type="containsBlanks" dxfId="1604" priority="636">
      <formula>LEN(TRIM(AC1891))=0</formula>
    </cfRule>
  </conditionalFormatting>
  <conditionalFormatting sqref="AB1891">
    <cfRule type="containsBlanks" dxfId="1603" priority="635">
      <formula>LEN(TRIM(AB1891))=0</formula>
    </cfRule>
  </conditionalFormatting>
  <conditionalFormatting sqref="AA1890">
    <cfRule type="containsBlanks" dxfId="1602" priority="634">
      <formula>LEN(TRIM(AA1890))=0</formula>
    </cfRule>
  </conditionalFormatting>
  <conditionalFormatting sqref="AA1891">
    <cfRule type="containsBlanks" dxfId="1601" priority="633">
      <formula>LEN(TRIM(AA1891))=0</formula>
    </cfRule>
  </conditionalFormatting>
  <conditionalFormatting sqref="U1890:W1890">
    <cfRule type="containsBlanks" dxfId="1600" priority="632">
      <formula>LEN(TRIM(U1890))=0</formula>
    </cfRule>
  </conditionalFormatting>
  <conditionalFormatting sqref="U1890:W1890">
    <cfRule type="containsBlanks" dxfId="1599" priority="631">
      <formula>LEN(TRIM(U1890))=0</formula>
    </cfRule>
  </conditionalFormatting>
  <conditionalFormatting sqref="X1890">
    <cfRule type="containsBlanks" dxfId="1598" priority="630">
      <formula>LEN(TRIM(X1890))=0</formula>
    </cfRule>
  </conditionalFormatting>
  <conditionalFormatting sqref="U1893:Z1893 Y1892:Z1892">
    <cfRule type="containsBlanks" dxfId="1597" priority="629">
      <formula>LEN(TRIM(U1892))=0</formula>
    </cfRule>
  </conditionalFormatting>
  <conditionalFormatting sqref="Y1892:Z1892">
    <cfRule type="containsBlanks" dxfId="1596" priority="628">
      <formula>LEN(TRIM(Y1892))=0</formula>
    </cfRule>
  </conditionalFormatting>
  <conditionalFormatting sqref="U1893:Z1893">
    <cfRule type="containsBlanks" dxfId="1595" priority="627">
      <formula>LEN(TRIM(U1893))=0</formula>
    </cfRule>
  </conditionalFormatting>
  <conditionalFormatting sqref="AC1892">
    <cfRule type="containsBlanks" dxfId="1594" priority="626">
      <formula>LEN(TRIM(AC1892))=0</formula>
    </cfRule>
  </conditionalFormatting>
  <conditionalFormatting sqref="AC1892">
    <cfRule type="containsBlanks" dxfId="1593" priority="625">
      <formula>LEN(TRIM(AC1892))=0</formula>
    </cfRule>
  </conditionalFormatting>
  <conditionalFormatting sqref="AC1893">
    <cfRule type="containsBlanks" dxfId="1592" priority="623">
      <formula>LEN(TRIM(AC1893))=0</formula>
    </cfRule>
  </conditionalFormatting>
  <conditionalFormatting sqref="AB1892">
    <cfRule type="containsBlanks" dxfId="1591" priority="624">
      <formula>LEN(TRIM(AB1892))=0</formula>
    </cfRule>
  </conditionalFormatting>
  <conditionalFormatting sqref="AC1893">
    <cfRule type="containsBlanks" dxfId="1590" priority="622">
      <formula>LEN(TRIM(AC1893))=0</formula>
    </cfRule>
  </conditionalFormatting>
  <conditionalFormatting sqref="AB1893">
    <cfRule type="containsBlanks" dxfId="1589" priority="621">
      <formula>LEN(TRIM(AB1893))=0</formula>
    </cfRule>
  </conditionalFormatting>
  <conditionalFormatting sqref="AA1892">
    <cfRule type="containsBlanks" dxfId="1588" priority="620">
      <formula>LEN(TRIM(AA1892))=0</formula>
    </cfRule>
  </conditionalFormatting>
  <conditionalFormatting sqref="AA1893">
    <cfRule type="containsBlanks" dxfId="1587" priority="619">
      <formula>LEN(TRIM(AA1893))=0</formula>
    </cfRule>
  </conditionalFormatting>
  <conditionalFormatting sqref="U1892:W1892">
    <cfRule type="containsBlanks" dxfId="1586" priority="618">
      <formula>LEN(TRIM(U1892))=0</formula>
    </cfRule>
  </conditionalFormatting>
  <conditionalFormatting sqref="U1892:W1892">
    <cfRule type="containsBlanks" dxfId="1585" priority="617">
      <formula>LEN(TRIM(U1892))=0</formula>
    </cfRule>
  </conditionalFormatting>
  <conditionalFormatting sqref="X1892">
    <cfRule type="containsBlanks" dxfId="1584" priority="616">
      <formula>LEN(TRIM(X1892))=0</formula>
    </cfRule>
  </conditionalFormatting>
  <conditionalFormatting sqref="U1895:Z1895 Y1894:Z1894">
    <cfRule type="containsBlanks" dxfId="1583" priority="615">
      <formula>LEN(TRIM(U1894))=0</formula>
    </cfRule>
  </conditionalFormatting>
  <conditionalFormatting sqref="Y1894:Z1894">
    <cfRule type="containsBlanks" dxfId="1582" priority="614">
      <formula>LEN(TRIM(Y1894))=0</formula>
    </cfRule>
  </conditionalFormatting>
  <conditionalFormatting sqref="U1895:Z1895">
    <cfRule type="containsBlanks" dxfId="1581" priority="613">
      <formula>LEN(TRIM(U1895))=0</formula>
    </cfRule>
  </conditionalFormatting>
  <conditionalFormatting sqref="AC1894">
    <cfRule type="containsBlanks" dxfId="1580" priority="612">
      <formula>LEN(TRIM(AC1894))=0</formula>
    </cfRule>
  </conditionalFormatting>
  <conditionalFormatting sqref="AC1894">
    <cfRule type="containsBlanks" dxfId="1579" priority="611">
      <formula>LEN(TRIM(AC1894))=0</formula>
    </cfRule>
  </conditionalFormatting>
  <conditionalFormatting sqref="AC1895">
    <cfRule type="containsBlanks" dxfId="1578" priority="609">
      <formula>LEN(TRIM(AC1895))=0</formula>
    </cfRule>
  </conditionalFormatting>
  <conditionalFormatting sqref="AB1894">
    <cfRule type="containsBlanks" dxfId="1577" priority="610">
      <formula>LEN(TRIM(AB1894))=0</formula>
    </cfRule>
  </conditionalFormatting>
  <conditionalFormatting sqref="AC1895">
    <cfRule type="containsBlanks" dxfId="1576" priority="608">
      <formula>LEN(TRIM(AC1895))=0</formula>
    </cfRule>
  </conditionalFormatting>
  <conditionalFormatting sqref="AB1895">
    <cfRule type="containsBlanks" dxfId="1575" priority="607">
      <formula>LEN(TRIM(AB1895))=0</formula>
    </cfRule>
  </conditionalFormatting>
  <conditionalFormatting sqref="AA1894">
    <cfRule type="containsBlanks" dxfId="1574" priority="606">
      <formula>LEN(TRIM(AA1894))=0</formula>
    </cfRule>
  </conditionalFormatting>
  <conditionalFormatting sqref="AA1895">
    <cfRule type="containsBlanks" dxfId="1573" priority="605">
      <formula>LEN(TRIM(AA1895))=0</formula>
    </cfRule>
  </conditionalFormatting>
  <conditionalFormatting sqref="U1894:W1894">
    <cfRule type="containsBlanks" dxfId="1572" priority="604">
      <formula>LEN(TRIM(U1894))=0</formula>
    </cfRule>
  </conditionalFormatting>
  <conditionalFormatting sqref="U1894:W1894">
    <cfRule type="containsBlanks" dxfId="1571" priority="603">
      <formula>LEN(TRIM(U1894))=0</formula>
    </cfRule>
  </conditionalFormatting>
  <conditionalFormatting sqref="X1894">
    <cfRule type="containsBlanks" dxfId="1570" priority="602">
      <formula>LEN(TRIM(X1894))=0</formula>
    </cfRule>
  </conditionalFormatting>
  <conditionalFormatting sqref="U1897:Z1897 Y1896:Z1896">
    <cfRule type="containsBlanks" dxfId="1569" priority="601">
      <formula>LEN(TRIM(U1896))=0</formula>
    </cfRule>
  </conditionalFormatting>
  <conditionalFormatting sqref="Y1896:Z1896">
    <cfRule type="containsBlanks" dxfId="1568" priority="600">
      <formula>LEN(TRIM(Y1896))=0</formula>
    </cfRule>
  </conditionalFormatting>
  <conditionalFormatting sqref="U1897:Z1897">
    <cfRule type="containsBlanks" dxfId="1567" priority="599">
      <formula>LEN(TRIM(U1897))=0</formula>
    </cfRule>
  </conditionalFormatting>
  <conditionalFormatting sqref="AC1896">
    <cfRule type="containsBlanks" dxfId="1566" priority="598">
      <formula>LEN(TRIM(AC1896))=0</formula>
    </cfRule>
  </conditionalFormatting>
  <conditionalFormatting sqref="AC1896">
    <cfRule type="containsBlanks" dxfId="1565" priority="597">
      <formula>LEN(TRIM(AC1896))=0</formula>
    </cfRule>
  </conditionalFormatting>
  <conditionalFormatting sqref="AC1897">
    <cfRule type="containsBlanks" dxfId="1564" priority="595">
      <formula>LEN(TRIM(AC1897))=0</formula>
    </cfRule>
  </conditionalFormatting>
  <conditionalFormatting sqref="AB1896">
    <cfRule type="containsBlanks" dxfId="1563" priority="596">
      <formula>LEN(TRIM(AB1896))=0</formula>
    </cfRule>
  </conditionalFormatting>
  <conditionalFormatting sqref="AC1897">
    <cfRule type="containsBlanks" dxfId="1562" priority="594">
      <formula>LEN(TRIM(AC1897))=0</formula>
    </cfRule>
  </conditionalFormatting>
  <conditionalFormatting sqref="AB1897">
    <cfRule type="containsBlanks" dxfId="1561" priority="593">
      <formula>LEN(TRIM(AB1897))=0</formula>
    </cfRule>
  </conditionalFormatting>
  <conditionalFormatting sqref="AA1896">
    <cfRule type="containsBlanks" dxfId="1560" priority="592">
      <formula>LEN(TRIM(AA1896))=0</formula>
    </cfRule>
  </conditionalFormatting>
  <conditionalFormatting sqref="AA1897">
    <cfRule type="containsBlanks" dxfId="1559" priority="591">
      <formula>LEN(TRIM(AA1897))=0</formula>
    </cfRule>
  </conditionalFormatting>
  <conditionalFormatting sqref="U1896:W1896">
    <cfRule type="containsBlanks" dxfId="1558" priority="590">
      <formula>LEN(TRIM(U1896))=0</formula>
    </cfRule>
  </conditionalFormatting>
  <conditionalFormatting sqref="U1896:W1896">
    <cfRule type="containsBlanks" dxfId="1557" priority="589">
      <formula>LEN(TRIM(U1896))=0</formula>
    </cfRule>
  </conditionalFormatting>
  <conditionalFormatting sqref="X1896">
    <cfRule type="containsBlanks" dxfId="1556" priority="588">
      <formula>LEN(TRIM(X1896))=0</formula>
    </cfRule>
  </conditionalFormatting>
  <conditionalFormatting sqref="U1899:Z1899 Y1898:Z1898">
    <cfRule type="containsBlanks" dxfId="1555" priority="587">
      <formula>LEN(TRIM(U1898))=0</formula>
    </cfRule>
  </conditionalFormatting>
  <conditionalFormatting sqref="Y1898:Z1898">
    <cfRule type="containsBlanks" dxfId="1554" priority="586">
      <formula>LEN(TRIM(Y1898))=0</formula>
    </cfRule>
  </conditionalFormatting>
  <conditionalFormatting sqref="U1899:Z1899">
    <cfRule type="containsBlanks" dxfId="1553" priority="585">
      <formula>LEN(TRIM(U1899))=0</formula>
    </cfRule>
  </conditionalFormatting>
  <conditionalFormatting sqref="AC1898">
    <cfRule type="containsBlanks" dxfId="1552" priority="584">
      <formula>LEN(TRIM(AC1898))=0</formula>
    </cfRule>
  </conditionalFormatting>
  <conditionalFormatting sqref="AC1898">
    <cfRule type="containsBlanks" dxfId="1551" priority="583">
      <formula>LEN(TRIM(AC1898))=0</formula>
    </cfRule>
  </conditionalFormatting>
  <conditionalFormatting sqref="AC1899">
    <cfRule type="containsBlanks" dxfId="1550" priority="581">
      <formula>LEN(TRIM(AC1899))=0</formula>
    </cfRule>
  </conditionalFormatting>
  <conditionalFormatting sqref="AB1898">
    <cfRule type="containsBlanks" dxfId="1549" priority="582">
      <formula>LEN(TRIM(AB1898))=0</formula>
    </cfRule>
  </conditionalFormatting>
  <conditionalFormatting sqref="AC1899">
    <cfRule type="containsBlanks" dxfId="1548" priority="580">
      <formula>LEN(TRIM(AC1899))=0</formula>
    </cfRule>
  </conditionalFormatting>
  <conditionalFormatting sqref="AB1899">
    <cfRule type="containsBlanks" dxfId="1547" priority="579">
      <formula>LEN(TRIM(AB1899))=0</formula>
    </cfRule>
  </conditionalFormatting>
  <conditionalFormatting sqref="AA1898">
    <cfRule type="containsBlanks" dxfId="1546" priority="578">
      <formula>LEN(TRIM(AA1898))=0</formula>
    </cfRule>
  </conditionalFormatting>
  <conditionalFormatting sqref="AA1899">
    <cfRule type="containsBlanks" dxfId="1545" priority="577">
      <formula>LEN(TRIM(AA1899))=0</formula>
    </cfRule>
  </conditionalFormatting>
  <conditionalFormatting sqref="U1898:W1898">
    <cfRule type="containsBlanks" dxfId="1544" priority="576">
      <formula>LEN(TRIM(U1898))=0</formula>
    </cfRule>
  </conditionalFormatting>
  <conditionalFormatting sqref="U1898:W1898">
    <cfRule type="containsBlanks" dxfId="1543" priority="575">
      <formula>LEN(TRIM(U1898))=0</formula>
    </cfRule>
  </conditionalFormatting>
  <conditionalFormatting sqref="X1898">
    <cfRule type="containsBlanks" dxfId="1542" priority="574">
      <formula>LEN(TRIM(X1898))=0</formula>
    </cfRule>
  </conditionalFormatting>
  <conditionalFormatting sqref="U1901:Z1901 Y1900:Z1900">
    <cfRule type="containsBlanks" dxfId="1541" priority="573">
      <formula>LEN(TRIM(U1900))=0</formula>
    </cfRule>
  </conditionalFormatting>
  <conditionalFormatting sqref="Y1900:Z1900">
    <cfRule type="containsBlanks" dxfId="1540" priority="572">
      <formula>LEN(TRIM(Y1900))=0</formula>
    </cfRule>
  </conditionalFormatting>
  <conditionalFormatting sqref="U1901:Z1901">
    <cfRule type="containsBlanks" dxfId="1539" priority="571">
      <formula>LEN(TRIM(U1901))=0</formula>
    </cfRule>
  </conditionalFormatting>
  <conditionalFormatting sqref="AC1900">
    <cfRule type="containsBlanks" dxfId="1538" priority="570">
      <formula>LEN(TRIM(AC1900))=0</formula>
    </cfRule>
  </conditionalFormatting>
  <conditionalFormatting sqref="AC1900">
    <cfRule type="containsBlanks" dxfId="1537" priority="569">
      <formula>LEN(TRIM(AC1900))=0</formula>
    </cfRule>
  </conditionalFormatting>
  <conditionalFormatting sqref="AC1901">
    <cfRule type="containsBlanks" dxfId="1536" priority="567">
      <formula>LEN(TRIM(AC1901))=0</formula>
    </cfRule>
  </conditionalFormatting>
  <conditionalFormatting sqref="AB1900">
    <cfRule type="containsBlanks" dxfId="1535" priority="568">
      <formula>LEN(TRIM(AB1900))=0</formula>
    </cfRule>
  </conditionalFormatting>
  <conditionalFormatting sqref="AC1901">
    <cfRule type="containsBlanks" dxfId="1534" priority="566">
      <formula>LEN(TRIM(AC1901))=0</formula>
    </cfRule>
  </conditionalFormatting>
  <conditionalFormatting sqref="AB1901">
    <cfRule type="containsBlanks" dxfId="1533" priority="565">
      <formula>LEN(TRIM(AB1901))=0</formula>
    </cfRule>
  </conditionalFormatting>
  <conditionalFormatting sqref="AA1900">
    <cfRule type="containsBlanks" dxfId="1532" priority="564">
      <formula>LEN(TRIM(AA1900))=0</formula>
    </cfRule>
  </conditionalFormatting>
  <conditionalFormatting sqref="AA1901">
    <cfRule type="containsBlanks" dxfId="1531" priority="563">
      <formula>LEN(TRIM(AA1901))=0</formula>
    </cfRule>
  </conditionalFormatting>
  <conditionalFormatting sqref="U1900:W1900">
    <cfRule type="containsBlanks" dxfId="1530" priority="562">
      <formula>LEN(TRIM(U1900))=0</formula>
    </cfRule>
  </conditionalFormatting>
  <conditionalFormatting sqref="U1900:W1900">
    <cfRule type="containsBlanks" dxfId="1529" priority="561">
      <formula>LEN(TRIM(U1900))=0</formula>
    </cfRule>
  </conditionalFormatting>
  <conditionalFormatting sqref="X1900">
    <cfRule type="containsBlanks" dxfId="1528" priority="560">
      <formula>LEN(TRIM(X1900))=0</formula>
    </cfRule>
  </conditionalFormatting>
  <conditionalFormatting sqref="U1903:Z1903 Y1902:Z1902">
    <cfRule type="containsBlanks" dxfId="1527" priority="559">
      <formula>LEN(TRIM(U1902))=0</formula>
    </cfRule>
  </conditionalFormatting>
  <conditionalFormatting sqref="Y1902:Z1902">
    <cfRule type="containsBlanks" dxfId="1526" priority="558">
      <formula>LEN(TRIM(Y1902))=0</formula>
    </cfRule>
  </conditionalFormatting>
  <conditionalFormatting sqref="U1903:Z1903">
    <cfRule type="containsBlanks" dxfId="1525" priority="557">
      <formula>LEN(TRIM(U1903))=0</formula>
    </cfRule>
  </conditionalFormatting>
  <conditionalFormatting sqref="J1975:L1975 J1976:J2000 L1976:L2000">
    <cfRule type="containsBlanks" dxfId="1524" priority="118">
      <formula>LEN(TRIM(J1975))=0</formula>
    </cfRule>
  </conditionalFormatting>
  <conditionalFormatting sqref="J1975:L1975 J1976:J2000 L1976:L2000">
    <cfRule type="containsBlanks" dxfId="1523" priority="117">
      <formula>LEN(TRIM(J1975))=0</formula>
    </cfRule>
  </conditionalFormatting>
  <conditionalFormatting sqref="C1822:E1822 C1824:E1824 C1826:E1826 C1828:E1828 C1830:E1830 C1832:E1832 C1834:E1834 C1836:E1836 C1838:E1838 C1840:E1840 C1842:E1842 C1844:E1844 C1846:E1846 C1848:E1848 C1850:E1850 C1852:E1852 C1854:E1854 C1856:E1856 C1858:E1858 C1860:E1860 C1862:E1862 C1864:E1864 C1866:E1866 C1868:E1868 C1870:E1870 C1872:E1872 C1874:E1874 C1876:E1876 C1878:E1878 C1880:E1880 C1882:E1882 C1884:E1884 C1886:E1886 C1888:E1888 C1890:E1890 C1892:E1892 C1894:E1894 C1896:E1896 C1898:E1898 C1900:E1900 C1902:E1902 C1904:E1904 C1906:E1906 C1908:E1908 C1910:E1910">
    <cfRule type="containsBlanks" dxfId="1522" priority="70">
      <formula>LEN(TRIM(C1822))=0</formula>
    </cfRule>
  </conditionalFormatting>
  <conditionalFormatting sqref="C1912:E1975">
    <cfRule type="containsBlanks" dxfId="1521" priority="67">
      <formula>LEN(TRIM(C1912))=0</formula>
    </cfRule>
  </conditionalFormatting>
  <conditionalFormatting sqref="A1976:B1976 M1976 Y1976:Z1976 AD1976:AI1976 O1976:T1976 F1976:I1976">
    <cfRule type="containsBlanks" dxfId="1520" priority="111">
      <formula>LEN(TRIM(A1976))=0</formula>
    </cfRule>
  </conditionalFormatting>
  <conditionalFormatting sqref="AC1936:AC1950">
    <cfRule type="containsBlanks" dxfId="1519" priority="92">
      <formula>LEN(TRIM(AC1936))=0</formula>
    </cfRule>
  </conditionalFormatting>
  <conditionalFormatting sqref="AB1936:AB1950">
    <cfRule type="containsBlanks" dxfId="1518" priority="91">
      <formula>LEN(TRIM(AB1936))=0</formula>
    </cfRule>
  </conditionalFormatting>
  <conditionalFormatting sqref="AC1921:AC1935">
    <cfRule type="containsBlanks" dxfId="1517" priority="102">
      <formula>LEN(TRIM(AC1921))=0</formula>
    </cfRule>
  </conditionalFormatting>
  <conditionalFormatting sqref="F1042:F1537 F1583:F1931">
    <cfRule type="duplicateValues" dxfId="1516" priority="5326"/>
  </conditionalFormatting>
  <conditionalFormatting sqref="G1042:G1537 G1583:G1931">
    <cfRule type="duplicateValues" dxfId="1515" priority="5329"/>
  </conditionalFormatting>
  <conditionalFormatting sqref="H1042:H1537 H1583:H1931">
    <cfRule type="duplicateValues" dxfId="1514" priority="5332"/>
  </conditionalFormatting>
  <conditionalFormatting sqref="U1902:W1902">
    <cfRule type="containsBlanks" dxfId="1513" priority="545">
      <formula>LEN(TRIM(U1902))=0</formula>
    </cfRule>
  </conditionalFormatting>
  <conditionalFormatting sqref="U1902:W1902">
    <cfRule type="containsBlanks" dxfId="1512" priority="544">
      <formula>LEN(TRIM(U1902))=0</formula>
    </cfRule>
  </conditionalFormatting>
  <conditionalFormatting sqref="U1904:W1904">
    <cfRule type="containsBlanks" dxfId="1511" priority="543">
      <formula>LEN(TRIM(U1904))=0</formula>
    </cfRule>
  </conditionalFormatting>
  <conditionalFormatting sqref="U1904:W1904">
    <cfRule type="containsBlanks" dxfId="1510" priority="542">
      <formula>LEN(TRIM(U1904))=0</formula>
    </cfRule>
  </conditionalFormatting>
  <conditionalFormatting sqref="U1906:W1906">
    <cfRule type="containsBlanks" dxfId="1509" priority="541">
      <formula>LEN(TRIM(U1906))=0</formula>
    </cfRule>
  </conditionalFormatting>
  <conditionalFormatting sqref="U1906:W1906">
    <cfRule type="containsBlanks" dxfId="1508" priority="540">
      <formula>LEN(TRIM(U1906))=0</formula>
    </cfRule>
  </conditionalFormatting>
  <conditionalFormatting sqref="U1908:W1908">
    <cfRule type="containsBlanks" dxfId="1507" priority="539">
      <formula>LEN(TRIM(U1908))=0</formula>
    </cfRule>
  </conditionalFormatting>
  <conditionalFormatting sqref="U1908:W1908">
    <cfRule type="containsBlanks" dxfId="1506" priority="538">
      <formula>LEN(TRIM(U1908))=0</formula>
    </cfRule>
  </conditionalFormatting>
  <conditionalFormatting sqref="U1910:W1910">
    <cfRule type="containsBlanks" dxfId="1505" priority="537">
      <formula>LEN(TRIM(U1910))=0</formula>
    </cfRule>
  </conditionalFormatting>
  <conditionalFormatting sqref="U1910:W1910">
    <cfRule type="containsBlanks" dxfId="1504" priority="536">
      <formula>LEN(TRIM(U1910))=0</formula>
    </cfRule>
  </conditionalFormatting>
  <conditionalFormatting sqref="U1912:W1920">
    <cfRule type="containsBlanks" dxfId="1503" priority="535">
      <formula>LEN(TRIM(U1912))=0</formula>
    </cfRule>
  </conditionalFormatting>
  <conditionalFormatting sqref="U1912:W1920">
    <cfRule type="containsBlanks" dxfId="1502" priority="534">
      <formula>LEN(TRIM(U1912))=0</formula>
    </cfRule>
  </conditionalFormatting>
  <conditionalFormatting sqref="X1902">
    <cfRule type="containsBlanks" dxfId="1501" priority="533">
      <formula>LEN(TRIM(X1902))=0</formula>
    </cfRule>
  </conditionalFormatting>
  <conditionalFormatting sqref="X1904">
    <cfRule type="containsBlanks" dxfId="1500" priority="532">
      <formula>LEN(TRIM(X1904))=0</formula>
    </cfRule>
  </conditionalFormatting>
  <conditionalFormatting sqref="X1906">
    <cfRule type="containsBlanks" dxfId="1499" priority="531">
      <formula>LEN(TRIM(X1906))=0</formula>
    </cfRule>
  </conditionalFormatting>
  <conditionalFormatting sqref="X1908">
    <cfRule type="containsBlanks" dxfId="1498" priority="530">
      <formula>LEN(TRIM(X1908))=0</formula>
    </cfRule>
  </conditionalFormatting>
  <conditionalFormatting sqref="X1910">
    <cfRule type="containsBlanks" dxfId="1497" priority="529">
      <formula>LEN(TRIM(X1910))=0</formula>
    </cfRule>
  </conditionalFormatting>
  <conditionalFormatting sqref="X1912:X1920">
    <cfRule type="containsBlanks" dxfId="1496" priority="528">
      <formula>LEN(TRIM(X1912))=0</formula>
    </cfRule>
  </conditionalFormatting>
  <conditionalFormatting sqref="AC1902">
    <cfRule type="containsBlanks" dxfId="1495" priority="527">
      <formula>LEN(TRIM(AC1902))=0</formula>
    </cfRule>
  </conditionalFormatting>
  <conditionalFormatting sqref="AC1902">
    <cfRule type="containsBlanks" dxfId="1494" priority="526">
      <formula>LEN(TRIM(AC1902))=0</formula>
    </cfRule>
  </conditionalFormatting>
  <conditionalFormatting sqref="AC1903">
    <cfRule type="containsBlanks" dxfId="1493" priority="524">
      <formula>LEN(TRIM(AC1903))=0</formula>
    </cfRule>
  </conditionalFormatting>
  <conditionalFormatting sqref="AB1902">
    <cfRule type="containsBlanks" dxfId="1492" priority="525">
      <formula>LEN(TRIM(AB1902))=0</formula>
    </cfRule>
  </conditionalFormatting>
  <conditionalFormatting sqref="AC1903">
    <cfRule type="containsBlanks" dxfId="1491" priority="523">
      <formula>LEN(TRIM(AC1903))=0</formula>
    </cfRule>
  </conditionalFormatting>
  <conditionalFormatting sqref="AB1903">
    <cfRule type="containsBlanks" dxfId="1490" priority="522">
      <formula>LEN(TRIM(AB1903))=0</formula>
    </cfRule>
  </conditionalFormatting>
  <conditionalFormatting sqref="AA1902">
    <cfRule type="containsBlanks" dxfId="1489" priority="521">
      <formula>LEN(TRIM(AA1902))=0</formula>
    </cfRule>
  </conditionalFormatting>
  <conditionalFormatting sqref="AA1903">
    <cfRule type="containsBlanks" dxfId="1488" priority="520">
      <formula>LEN(TRIM(AA1903))=0</formula>
    </cfRule>
  </conditionalFormatting>
  <conditionalFormatting sqref="AC1904">
    <cfRule type="containsBlanks" dxfId="1487" priority="519">
      <formula>LEN(TRIM(AC1904))=0</formula>
    </cfRule>
  </conditionalFormatting>
  <conditionalFormatting sqref="AC1904">
    <cfRule type="containsBlanks" dxfId="1486" priority="518">
      <formula>LEN(TRIM(AC1904))=0</formula>
    </cfRule>
  </conditionalFormatting>
  <conditionalFormatting sqref="AC1905">
    <cfRule type="containsBlanks" dxfId="1485" priority="516">
      <formula>LEN(TRIM(AC1905))=0</formula>
    </cfRule>
  </conditionalFormatting>
  <conditionalFormatting sqref="AB1904">
    <cfRule type="containsBlanks" dxfId="1484" priority="517">
      <formula>LEN(TRIM(AB1904))=0</formula>
    </cfRule>
  </conditionalFormatting>
  <conditionalFormatting sqref="AC1905">
    <cfRule type="containsBlanks" dxfId="1483" priority="515">
      <formula>LEN(TRIM(AC1905))=0</formula>
    </cfRule>
  </conditionalFormatting>
  <conditionalFormatting sqref="AB1905">
    <cfRule type="containsBlanks" dxfId="1482" priority="514">
      <formula>LEN(TRIM(AB1905))=0</formula>
    </cfRule>
  </conditionalFormatting>
  <conditionalFormatting sqref="AA1904">
    <cfRule type="containsBlanks" dxfId="1481" priority="513">
      <formula>LEN(TRIM(AA1904))=0</formula>
    </cfRule>
  </conditionalFormatting>
  <conditionalFormatting sqref="AA1905">
    <cfRule type="containsBlanks" dxfId="1480" priority="512">
      <formula>LEN(TRIM(AA1905))=0</formula>
    </cfRule>
  </conditionalFormatting>
  <conditionalFormatting sqref="AC1906">
    <cfRule type="containsBlanks" dxfId="1479" priority="511">
      <formula>LEN(TRIM(AC1906))=0</formula>
    </cfRule>
  </conditionalFormatting>
  <conditionalFormatting sqref="AC1906">
    <cfRule type="containsBlanks" dxfId="1478" priority="510">
      <formula>LEN(TRIM(AC1906))=0</formula>
    </cfRule>
  </conditionalFormatting>
  <conditionalFormatting sqref="AC1907">
    <cfRule type="containsBlanks" dxfId="1477" priority="508">
      <formula>LEN(TRIM(AC1907))=0</formula>
    </cfRule>
  </conditionalFormatting>
  <conditionalFormatting sqref="AB1906">
    <cfRule type="containsBlanks" dxfId="1476" priority="509">
      <formula>LEN(TRIM(AB1906))=0</formula>
    </cfRule>
  </conditionalFormatting>
  <conditionalFormatting sqref="AC1907">
    <cfRule type="containsBlanks" dxfId="1475" priority="507">
      <formula>LEN(TRIM(AC1907))=0</formula>
    </cfRule>
  </conditionalFormatting>
  <conditionalFormatting sqref="AB1907">
    <cfRule type="containsBlanks" dxfId="1474" priority="506">
      <formula>LEN(TRIM(AB1907))=0</formula>
    </cfRule>
  </conditionalFormatting>
  <conditionalFormatting sqref="AA1906">
    <cfRule type="containsBlanks" dxfId="1473" priority="505">
      <formula>LEN(TRIM(AA1906))=0</formula>
    </cfRule>
  </conditionalFormatting>
  <conditionalFormatting sqref="AA1907">
    <cfRule type="containsBlanks" dxfId="1472" priority="504">
      <formula>LEN(TRIM(AA1907))=0</formula>
    </cfRule>
  </conditionalFormatting>
  <conditionalFormatting sqref="AC1908">
    <cfRule type="containsBlanks" dxfId="1471" priority="503">
      <formula>LEN(TRIM(AC1908))=0</formula>
    </cfRule>
  </conditionalFormatting>
  <conditionalFormatting sqref="AC1908">
    <cfRule type="containsBlanks" dxfId="1470" priority="502">
      <formula>LEN(TRIM(AC1908))=0</formula>
    </cfRule>
  </conditionalFormatting>
  <conditionalFormatting sqref="AC1909">
    <cfRule type="containsBlanks" dxfId="1469" priority="500">
      <formula>LEN(TRIM(AC1909))=0</formula>
    </cfRule>
  </conditionalFormatting>
  <conditionalFormatting sqref="AB1908">
    <cfRule type="containsBlanks" dxfId="1468" priority="501">
      <formula>LEN(TRIM(AB1908))=0</formula>
    </cfRule>
  </conditionalFormatting>
  <conditionalFormatting sqref="AC1909">
    <cfRule type="containsBlanks" dxfId="1467" priority="499">
      <formula>LEN(TRIM(AC1909))=0</formula>
    </cfRule>
  </conditionalFormatting>
  <conditionalFormatting sqref="AB1909">
    <cfRule type="containsBlanks" dxfId="1466" priority="498">
      <formula>LEN(TRIM(AB1909))=0</formula>
    </cfRule>
  </conditionalFormatting>
  <conditionalFormatting sqref="AA1908">
    <cfRule type="containsBlanks" dxfId="1465" priority="497">
      <formula>LEN(TRIM(AA1908))=0</formula>
    </cfRule>
  </conditionalFormatting>
  <conditionalFormatting sqref="AA1909">
    <cfRule type="containsBlanks" dxfId="1464" priority="496">
      <formula>LEN(TRIM(AA1909))=0</formula>
    </cfRule>
  </conditionalFormatting>
  <conditionalFormatting sqref="AC1910">
    <cfRule type="containsBlanks" dxfId="1463" priority="495">
      <formula>LEN(TRIM(AC1910))=0</formula>
    </cfRule>
  </conditionalFormatting>
  <conditionalFormatting sqref="AC1910">
    <cfRule type="containsBlanks" dxfId="1462" priority="494">
      <formula>LEN(TRIM(AC1910))=0</formula>
    </cfRule>
  </conditionalFormatting>
  <conditionalFormatting sqref="AC1911">
    <cfRule type="containsBlanks" dxfId="1461" priority="492">
      <formula>LEN(TRIM(AC1911))=0</formula>
    </cfRule>
  </conditionalFormatting>
  <conditionalFormatting sqref="AB1910">
    <cfRule type="containsBlanks" dxfId="1460" priority="493">
      <formula>LEN(TRIM(AB1910))=0</formula>
    </cfRule>
  </conditionalFormatting>
  <conditionalFormatting sqref="AC1911">
    <cfRule type="containsBlanks" dxfId="1459" priority="491">
      <formula>LEN(TRIM(AC1911))=0</formula>
    </cfRule>
  </conditionalFormatting>
  <conditionalFormatting sqref="AB1911">
    <cfRule type="containsBlanks" dxfId="1458" priority="490">
      <formula>LEN(TRIM(AB1911))=0</formula>
    </cfRule>
  </conditionalFormatting>
  <conditionalFormatting sqref="AA1910">
    <cfRule type="containsBlanks" dxfId="1457" priority="489">
      <formula>LEN(TRIM(AA1910))=0</formula>
    </cfRule>
  </conditionalFormatting>
  <conditionalFormatting sqref="AA1911">
    <cfRule type="containsBlanks" dxfId="1456" priority="488">
      <formula>LEN(TRIM(AA1911))=0</formula>
    </cfRule>
  </conditionalFormatting>
  <conditionalFormatting sqref="AC1912:AC1920">
    <cfRule type="containsBlanks" dxfId="1455" priority="487">
      <formula>LEN(TRIM(AC1912))=0</formula>
    </cfRule>
  </conditionalFormatting>
  <conditionalFormatting sqref="AC1912:AC1920">
    <cfRule type="containsBlanks" dxfId="1454" priority="486">
      <formula>LEN(TRIM(AC1912))=0</formula>
    </cfRule>
  </conditionalFormatting>
  <conditionalFormatting sqref="AB1912:AB1920">
    <cfRule type="containsBlanks" dxfId="1453" priority="485">
      <formula>LEN(TRIM(AB1912))=0</formula>
    </cfRule>
  </conditionalFormatting>
  <conditionalFormatting sqref="AA1912:AA1920">
    <cfRule type="containsBlanks" dxfId="1452" priority="484">
      <formula>LEN(TRIM(AA1912))=0</formula>
    </cfRule>
  </conditionalFormatting>
  <conditionalFormatting sqref="AB1921:AB1935">
    <cfRule type="containsBlanks" dxfId="1451" priority="100">
      <formula>LEN(TRIM(AB1921))=0</formula>
    </cfRule>
  </conditionalFormatting>
  <conditionalFormatting sqref="X1921:X1935">
    <cfRule type="containsBlanks" dxfId="1450" priority="103">
      <formula>LEN(TRIM(X1921))=0</formula>
    </cfRule>
  </conditionalFormatting>
  <conditionalFormatting sqref="U1921:W1935">
    <cfRule type="containsBlanks" dxfId="1449" priority="104">
      <formula>LEN(TRIM(U1921))=0</formula>
    </cfRule>
  </conditionalFormatting>
  <conditionalFormatting sqref="AC1921:AC1935">
    <cfRule type="containsBlanks" dxfId="1448" priority="101">
      <formula>LEN(TRIM(AC1921))=0</formula>
    </cfRule>
  </conditionalFormatting>
  <conditionalFormatting sqref="AA1921:AA1935">
    <cfRule type="containsBlanks" dxfId="1447" priority="99">
      <formula>LEN(TRIM(AA1921))=0</formula>
    </cfRule>
  </conditionalFormatting>
  <conditionalFormatting sqref="X1936:X1950">
    <cfRule type="containsBlanks" dxfId="1446" priority="94">
      <formula>LEN(TRIM(X1936))=0</formula>
    </cfRule>
  </conditionalFormatting>
  <conditionalFormatting sqref="AC1936:AC1950">
    <cfRule type="containsBlanks" dxfId="1445" priority="93">
      <formula>LEN(TRIM(AC1936))=0</formula>
    </cfRule>
  </conditionalFormatting>
  <conditionalFormatting sqref="U1936:W1950">
    <cfRule type="containsBlanks" dxfId="1444" priority="95">
      <formula>LEN(TRIM(U1936))=0</formula>
    </cfRule>
  </conditionalFormatting>
  <conditionalFormatting sqref="AA1936:AA1950">
    <cfRule type="containsBlanks" dxfId="1443" priority="90">
      <formula>LEN(TRIM(AA1936))=0</formula>
    </cfRule>
  </conditionalFormatting>
  <conditionalFormatting sqref="J1934:L1934">
    <cfRule type="containsBlanks" dxfId="1442" priority="442">
      <formula>LEN(TRIM(J1934))=0</formula>
    </cfRule>
  </conditionalFormatting>
  <conditionalFormatting sqref="A1932:B1933 M1932:T1933 Y1932:Z1933 AD1932:AI1933 F1932:I1933">
    <cfRule type="containsBlanks" dxfId="1441" priority="461">
      <formula>LEN(TRIM(A1932))=0</formula>
    </cfRule>
  </conditionalFormatting>
  <conditionalFormatting sqref="J1932:L1933">
    <cfRule type="containsBlanks" dxfId="1440" priority="460">
      <formula>LEN(TRIM(J1932))=0</formula>
    </cfRule>
  </conditionalFormatting>
  <conditionalFormatting sqref="A1932:B1933 M1932:T1933 Y1932:Z1933 AD1932:AI1933 F1932:I1933">
    <cfRule type="containsBlanks" dxfId="1439" priority="462">
      <formula>LEN(TRIM(A1932))=0</formula>
    </cfRule>
  </conditionalFormatting>
  <conditionalFormatting sqref="J1932:L1933">
    <cfRule type="containsBlanks" dxfId="1438" priority="459">
      <formula>LEN(TRIM(J1932))=0</formula>
    </cfRule>
  </conditionalFormatting>
  <conditionalFormatting sqref="A1934:B1934 M1934:T1934 Y1934:Z1934 AD1934:AI1934 F1934:I1934">
    <cfRule type="containsBlanks" dxfId="1437" priority="444">
      <formula>LEN(TRIM(A1934))=0</formula>
    </cfRule>
  </conditionalFormatting>
  <conditionalFormatting sqref="F1932:F1933">
    <cfRule type="duplicateValues" dxfId="1436" priority="463"/>
  </conditionalFormatting>
  <conditionalFormatting sqref="G1932:G1933">
    <cfRule type="duplicateValues" dxfId="1435" priority="464"/>
  </conditionalFormatting>
  <conditionalFormatting sqref="H1932:H1933">
    <cfRule type="duplicateValues" dxfId="1434" priority="465"/>
  </conditionalFormatting>
  <conditionalFormatting sqref="J1936:L1936">
    <cfRule type="containsBlanks" dxfId="1433" priority="424">
      <formula>LEN(TRIM(J1936))=0</formula>
    </cfRule>
  </conditionalFormatting>
  <conditionalFormatting sqref="A1934:B1934 M1934:T1934 Y1934:Z1934 AD1934:AI1934 F1934:I1934">
    <cfRule type="containsBlanks" dxfId="1432" priority="443">
      <formula>LEN(TRIM(A1934))=0</formula>
    </cfRule>
  </conditionalFormatting>
  <conditionalFormatting sqref="J1934:L1934">
    <cfRule type="containsBlanks" dxfId="1431" priority="441">
      <formula>LEN(TRIM(J1934))=0</formula>
    </cfRule>
  </conditionalFormatting>
  <conditionalFormatting sqref="A1936:B1936 M1936:T1936 AD1936:AI1936 F1936:I1936">
    <cfRule type="containsBlanks" dxfId="1430" priority="426">
      <formula>LEN(TRIM(A1936))=0</formula>
    </cfRule>
  </conditionalFormatting>
  <conditionalFormatting sqref="F1934">
    <cfRule type="duplicateValues" dxfId="1429" priority="445"/>
  </conditionalFormatting>
  <conditionalFormatting sqref="G1934">
    <cfRule type="duplicateValues" dxfId="1428" priority="446"/>
  </conditionalFormatting>
  <conditionalFormatting sqref="H1934">
    <cfRule type="duplicateValues" dxfId="1427" priority="447"/>
  </conditionalFormatting>
  <conditionalFormatting sqref="J1937:L1938">
    <cfRule type="containsBlanks" dxfId="1426" priority="415">
      <formula>LEN(TRIM(J1937))=0</formula>
    </cfRule>
  </conditionalFormatting>
  <conditionalFormatting sqref="A1935:B1935 M1935:T1935 Y1935:Z1935 AD1935:AI1935 F1935:I1935">
    <cfRule type="containsBlanks" dxfId="1425" priority="434">
      <formula>LEN(TRIM(A1935))=0</formula>
    </cfRule>
  </conditionalFormatting>
  <conditionalFormatting sqref="J1935:L1935">
    <cfRule type="containsBlanks" dxfId="1424" priority="433">
      <formula>LEN(TRIM(J1935))=0</formula>
    </cfRule>
  </conditionalFormatting>
  <conditionalFormatting sqref="A1935:B1935 M1935:T1935 Y1935:Z1935 AD1935:AI1935 F1935:I1935">
    <cfRule type="containsBlanks" dxfId="1423" priority="435">
      <formula>LEN(TRIM(A1935))=0</formula>
    </cfRule>
  </conditionalFormatting>
  <conditionalFormatting sqref="J1935:L1935">
    <cfRule type="containsBlanks" dxfId="1422" priority="432">
      <formula>LEN(TRIM(J1935))=0</formula>
    </cfRule>
  </conditionalFormatting>
  <conditionalFormatting sqref="A1937:B1938 M1937:T1938 AD1937:AI1938 F1937:I1938">
    <cfRule type="containsBlanks" dxfId="1421" priority="417">
      <formula>LEN(TRIM(A1937))=0</formula>
    </cfRule>
  </conditionalFormatting>
  <conditionalFormatting sqref="F1935">
    <cfRule type="duplicateValues" dxfId="1420" priority="436"/>
  </conditionalFormatting>
  <conditionalFormatting sqref="G1935">
    <cfRule type="duplicateValues" dxfId="1419" priority="437"/>
  </conditionalFormatting>
  <conditionalFormatting sqref="H1935">
    <cfRule type="duplicateValues" dxfId="1418" priority="438"/>
  </conditionalFormatting>
  <conditionalFormatting sqref="A1936:B1936 M1936:T1936 AD1936:AI1936 F1936:I1936">
    <cfRule type="containsBlanks" dxfId="1417" priority="425">
      <formula>LEN(TRIM(A1936))=0</formula>
    </cfRule>
  </conditionalFormatting>
  <conditionalFormatting sqref="J1936:L1936">
    <cfRule type="containsBlanks" dxfId="1416" priority="423">
      <formula>LEN(TRIM(J1936))=0</formula>
    </cfRule>
  </conditionalFormatting>
  <conditionalFormatting sqref="F1936">
    <cfRule type="duplicateValues" dxfId="1415" priority="427"/>
  </conditionalFormatting>
  <conditionalFormatting sqref="G1936">
    <cfRule type="duplicateValues" dxfId="1414" priority="428"/>
  </conditionalFormatting>
  <conditionalFormatting sqref="H1936">
    <cfRule type="duplicateValues" dxfId="1413" priority="429"/>
  </conditionalFormatting>
  <conditionalFormatting sqref="A1937:B1938 M1937:T1938 AD1937:AI1938 F1937:I1938">
    <cfRule type="containsBlanks" dxfId="1412" priority="416">
      <formula>LEN(TRIM(A1937))=0</formula>
    </cfRule>
  </conditionalFormatting>
  <conditionalFormatting sqref="J1937:L1938">
    <cfRule type="containsBlanks" dxfId="1411" priority="414">
      <formula>LEN(TRIM(J1937))=0</formula>
    </cfRule>
  </conditionalFormatting>
  <conditionalFormatting sqref="F1937:F1938">
    <cfRule type="duplicateValues" dxfId="1410" priority="418"/>
  </conditionalFormatting>
  <conditionalFormatting sqref="G1937:G1938">
    <cfRule type="duplicateValues" dxfId="1409" priority="419"/>
  </conditionalFormatting>
  <conditionalFormatting sqref="H1937:H1938">
    <cfRule type="duplicateValues" dxfId="1408" priority="420"/>
  </conditionalFormatting>
  <conditionalFormatting sqref="A1939:B1939 M1939:T1939 AD1939:AI1939 F1939:I1939">
    <cfRule type="containsBlanks" dxfId="1407" priority="407">
      <formula>LEN(TRIM(A1939))=0</formula>
    </cfRule>
  </conditionalFormatting>
  <conditionalFormatting sqref="J1939:L1939">
    <cfRule type="containsBlanks" dxfId="1406" priority="406">
      <formula>LEN(TRIM(J1939))=0</formula>
    </cfRule>
  </conditionalFormatting>
  <conditionalFormatting sqref="A1939:B1939 M1939:T1939 AD1939:AI1939 F1939:I1939">
    <cfRule type="containsBlanks" dxfId="1405" priority="408">
      <formula>LEN(TRIM(A1939))=0</formula>
    </cfRule>
  </conditionalFormatting>
  <conditionalFormatting sqref="J1939:L1939">
    <cfRule type="containsBlanks" dxfId="1404" priority="405">
      <formula>LEN(TRIM(J1939))=0</formula>
    </cfRule>
  </conditionalFormatting>
  <conditionalFormatting sqref="F1939">
    <cfRule type="duplicateValues" dxfId="1403" priority="409"/>
  </conditionalFormatting>
  <conditionalFormatting sqref="G1939">
    <cfRule type="duplicateValues" dxfId="1402" priority="410"/>
  </conditionalFormatting>
  <conditionalFormatting sqref="H1939">
    <cfRule type="duplicateValues" dxfId="1401" priority="411"/>
  </conditionalFormatting>
  <conditionalFormatting sqref="A1940:B1940 M1940:T1940 AD1940:AI1940 F1940:I1940">
    <cfRule type="containsBlanks" dxfId="1400" priority="398">
      <formula>LEN(TRIM(A1940))=0</formula>
    </cfRule>
  </conditionalFormatting>
  <conditionalFormatting sqref="J1940:L1940">
    <cfRule type="containsBlanks" dxfId="1399" priority="397">
      <formula>LEN(TRIM(J1940))=0</formula>
    </cfRule>
  </conditionalFormatting>
  <conditionalFormatting sqref="A1940:B1940 M1940:T1940 AD1940:AI1940 F1940:I1940">
    <cfRule type="containsBlanks" dxfId="1398" priority="399">
      <formula>LEN(TRIM(A1940))=0</formula>
    </cfRule>
  </conditionalFormatting>
  <conditionalFormatting sqref="J1940:L1940">
    <cfRule type="containsBlanks" dxfId="1397" priority="396">
      <formula>LEN(TRIM(J1940))=0</formula>
    </cfRule>
  </conditionalFormatting>
  <conditionalFormatting sqref="F1940">
    <cfRule type="duplicateValues" dxfId="1396" priority="400"/>
  </conditionalFormatting>
  <conditionalFormatting sqref="G1940">
    <cfRule type="duplicateValues" dxfId="1395" priority="401"/>
  </conditionalFormatting>
  <conditionalFormatting sqref="H1940">
    <cfRule type="duplicateValues" dxfId="1394" priority="402"/>
  </conditionalFormatting>
  <conditionalFormatting sqref="A1975:B1975 M1975:T1975 Y1975:Z1975 AD1975:AI1975 F1975:I1975 N1976:N2000">
    <cfRule type="containsBlanks" dxfId="1393" priority="120">
      <formula>LEN(TRIM(A1975))=0</formula>
    </cfRule>
  </conditionalFormatting>
  <conditionalFormatting sqref="A1975:B1975 M1975:T1975 Y1975:Z1975 AD1975:AI1975 F1975:I1975 N1976:N2000">
    <cfRule type="containsBlanks" dxfId="1392" priority="119">
      <formula>LEN(TRIM(A1975))=0</formula>
    </cfRule>
  </conditionalFormatting>
  <conditionalFormatting sqref="K1976">
    <cfRule type="containsBlanks" dxfId="1391" priority="109">
      <formula>LEN(TRIM(K1976))=0</formula>
    </cfRule>
  </conditionalFormatting>
  <conditionalFormatting sqref="A1976:B1976 M1976 Y1976:Z1976 AD1976:AI1976 O1976:T1976 F1976:I1976">
    <cfRule type="containsBlanks" dxfId="1390" priority="110">
      <formula>LEN(TRIM(A1976))=0</formula>
    </cfRule>
  </conditionalFormatting>
  <conditionalFormatting sqref="K1976">
    <cfRule type="containsBlanks" dxfId="1389" priority="108">
      <formula>LEN(TRIM(K1976))=0</formula>
    </cfRule>
  </conditionalFormatting>
  <conditionalFormatting sqref="A1941:B1941 M1941:T1941 AD1941:AI1941 F1941:I1941">
    <cfRule type="containsBlanks" dxfId="1388" priority="353">
      <formula>LEN(TRIM(A1941))=0</formula>
    </cfRule>
  </conditionalFormatting>
  <conditionalFormatting sqref="J1941:L1941">
    <cfRule type="containsBlanks" dxfId="1387" priority="352">
      <formula>LEN(TRIM(J1941))=0</formula>
    </cfRule>
  </conditionalFormatting>
  <conditionalFormatting sqref="A1941:B1941 M1941:T1941 AD1941:AI1941 F1941:I1941">
    <cfRule type="containsBlanks" dxfId="1386" priority="354">
      <formula>LEN(TRIM(A1941))=0</formula>
    </cfRule>
  </conditionalFormatting>
  <conditionalFormatting sqref="J1941:L1941">
    <cfRule type="containsBlanks" dxfId="1385" priority="351">
      <formula>LEN(TRIM(J1941))=0</formula>
    </cfRule>
  </conditionalFormatting>
  <conditionalFormatting sqref="F1941">
    <cfRule type="duplicateValues" dxfId="1384" priority="355"/>
  </conditionalFormatting>
  <conditionalFormatting sqref="G1941">
    <cfRule type="duplicateValues" dxfId="1383" priority="356"/>
  </conditionalFormatting>
  <conditionalFormatting sqref="H1941">
    <cfRule type="duplicateValues" dxfId="1382" priority="357"/>
  </conditionalFormatting>
  <conditionalFormatting sqref="A1942:B1943 M1942:T1943 AD1942:AI1943 F1942:I1943">
    <cfRule type="containsBlanks" dxfId="1381" priority="344">
      <formula>LEN(TRIM(A1942))=0</formula>
    </cfRule>
  </conditionalFormatting>
  <conditionalFormatting sqref="J1942:L1943">
    <cfRule type="containsBlanks" dxfId="1380" priority="343">
      <formula>LEN(TRIM(J1942))=0</formula>
    </cfRule>
  </conditionalFormatting>
  <conditionalFormatting sqref="A1942:B1943 M1942:T1943 AD1942:AI1943 F1942:I1943">
    <cfRule type="containsBlanks" dxfId="1379" priority="345">
      <formula>LEN(TRIM(A1942))=0</formula>
    </cfRule>
  </conditionalFormatting>
  <conditionalFormatting sqref="J1942:L1943">
    <cfRule type="containsBlanks" dxfId="1378" priority="342">
      <formula>LEN(TRIM(J1942))=0</formula>
    </cfRule>
  </conditionalFormatting>
  <conditionalFormatting sqref="F1942:F1943">
    <cfRule type="duplicateValues" dxfId="1377" priority="346"/>
  </conditionalFormatting>
  <conditionalFormatting sqref="G1942:G1943">
    <cfRule type="duplicateValues" dxfId="1376" priority="347"/>
  </conditionalFormatting>
  <conditionalFormatting sqref="H1942:H1943">
    <cfRule type="duplicateValues" dxfId="1375" priority="348"/>
  </conditionalFormatting>
  <conditionalFormatting sqref="A1944:B1944 M1944:T1944 AD1944:AI1944 F1944:I1944">
    <cfRule type="containsBlanks" dxfId="1374" priority="335">
      <formula>LEN(TRIM(A1944))=0</formula>
    </cfRule>
  </conditionalFormatting>
  <conditionalFormatting sqref="J1944:L1944">
    <cfRule type="containsBlanks" dxfId="1373" priority="334">
      <formula>LEN(TRIM(J1944))=0</formula>
    </cfRule>
  </conditionalFormatting>
  <conditionalFormatting sqref="A1944:B1944 M1944:T1944 AD1944:AI1944 F1944:I1944">
    <cfRule type="containsBlanks" dxfId="1372" priority="336">
      <formula>LEN(TRIM(A1944))=0</formula>
    </cfRule>
  </conditionalFormatting>
  <conditionalFormatting sqref="J1944:L1944">
    <cfRule type="containsBlanks" dxfId="1371" priority="333">
      <formula>LEN(TRIM(J1944))=0</formula>
    </cfRule>
  </conditionalFormatting>
  <conditionalFormatting sqref="F1944">
    <cfRule type="duplicateValues" dxfId="1370" priority="337"/>
  </conditionalFormatting>
  <conditionalFormatting sqref="G1944">
    <cfRule type="duplicateValues" dxfId="1369" priority="338"/>
  </conditionalFormatting>
  <conditionalFormatting sqref="H1944">
    <cfRule type="duplicateValues" dxfId="1368" priority="339"/>
  </conditionalFormatting>
  <conditionalFormatting sqref="A1945:B1945 M1945:T1945 AD1945:AI1945 F1945:I1945">
    <cfRule type="containsBlanks" dxfId="1367" priority="326">
      <formula>LEN(TRIM(A1945))=0</formula>
    </cfRule>
  </conditionalFormatting>
  <conditionalFormatting sqref="J1945:L1945">
    <cfRule type="containsBlanks" dxfId="1366" priority="325">
      <formula>LEN(TRIM(J1945))=0</formula>
    </cfRule>
  </conditionalFormatting>
  <conditionalFormatting sqref="A1945:B1945 M1945:T1945 AD1945:AI1945 F1945:I1945">
    <cfRule type="containsBlanks" dxfId="1365" priority="327">
      <formula>LEN(TRIM(A1945))=0</formula>
    </cfRule>
  </conditionalFormatting>
  <conditionalFormatting sqref="J1945:L1945">
    <cfRule type="containsBlanks" dxfId="1364" priority="324">
      <formula>LEN(TRIM(J1945))=0</formula>
    </cfRule>
  </conditionalFormatting>
  <conditionalFormatting sqref="F1945">
    <cfRule type="duplicateValues" dxfId="1363" priority="328"/>
  </conditionalFormatting>
  <conditionalFormatting sqref="G1945">
    <cfRule type="duplicateValues" dxfId="1362" priority="329"/>
  </conditionalFormatting>
  <conditionalFormatting sqref="H1945">
    <cfRule type="duplicateValues" dxfId="1361" priority="330"/>
  </conditionalFormatting>
  <conditionalFormatting sqref="A1946:B1946 M1946:T1946 AD1946:AI1946 F1946:I1946">
    <cfRule type="containsBlanks" dxfId="1360" priority="317">
      <formula>LEN(TRIM(A1946))=0</formula>
    </cfRule>
  </conditionalFormatting>
  <conditionalFormatting sqref="J1946:L1946">
    <cfRule type="containsBlanks" dxfId="1359" priority="316">
      <formula>LEN(TRIM(J1946))=0</formula>
    </cfRule>
  </conditionalFormatting>
  <conditionalFormatting sqref="A1946:B1946 M1946:T1946 AD1946:AI1946 F1946:I1946">
    <cfRule type="containsBlanks" dxfId="1358" priority="318">
      <formula>LEN(TRIM(A1946))=0</formula>
    </cfRule>
  </conditionalFormatting>
  <conditionalFormatting sqref="J1946:L1946">
    <cfRule type="containsBlanks" dxfId="1357" priority="315">
      <formula>LEN(TRIM(J1946))=0</formula>
    </cfRule>
  </conditionalFormatting>
  <conditionalFormatting sqref="F1946">
    <cfRule type="duplicateValues" dxfId="1356" priority="319"/>
  </conditionalFormatting>
  <conditionalFormatting sqref="G1946">
    <cfRule type="duplicateValues" dxfId="1355" priority="320"/>
  </conditionalFormatting>
  <conditionalFormatting sqref="H1946">
    <cfRule type="duplicateValues" dxfId="1354" priority="321"/>
  </conditionalFormatting>
  <conditionalFormatting sqref="A1947:B1948 M1947:T1948 AD1947:AI1948 F1947:I1948">
    <cfRule type="containsBlanks" dxfId="1353" priority="308">
      <formula>LEN(TRIM(A1947))=0</formula>
    </cfRule>
  </conditionalFormatting>
  <conditionalFormatting sqref="J1947:L1948">
    <cfRule type="containsBlanks" dxfId="1352" priority="307">
      <formula>LEN(TRIM(J1947))=0</formula>
    </cfRule>
  </conditionalFormatting>
  <conditionalFormatting sqref="A1947:B1948 M1947:T1948 AD1947:AI1948 F1947:I1948">
    <cfRule type="containsBlanks" dxfId="1351" priority="309">
      <formula>LEN(TRIM(A1947))=0</formula>
    </cfRule>
  </conditionalFormatting>
  <conditionalFormatting sqref="J1947:L1948">
    <cfRule type="containsBlanks" dxfId="1350" priority="306">
      <formula>LEN(TRIM(J1947))=0</formula>
    </cfRule>
  </conditionalFormatting>
  <conditionalFormatting sqref="F1947:F1948">
    <cfRule type="duplicateValues" dxfId="1349" priority="310"/>
  </conditionalFormatting>
  <conditionalFormatting sqref="G1947:G1948">
    <cfRule type="duplicateValues" dxfId="1348" priority="311"/>
  </conditionalFormatting>
  <conditionalFormatting sqref="H1947:H1948">
    <cfRule type="duplicateValues" dxfId="1347" priority="312"/>
  </conditionalFormatting>
  <conditionalFormatting sqref="A1949:B1949 M1949:T1949 AD1949:AI1949 F1949:I1949">
    <cfRule type="containsBlanks" dxfId="1346" priority="299">
      <formula>LEN(TRIM(A1949))=0</formula>
    </cfRule>
  </conditionalFormatting>
  <conditionalFormatting sqref="J1949:L1949">
    <cfRule type="containsBlanks" dxfId="1345" priority="298">
      <formula>LEN(TRIM(J1949))=0</formula>
    </cfRule>
  </conditionalFormatting>
  <conditionalFormatting sqref="A1949:B1949 M1949:T1949 AD1949:AI1949 F1949:I1949">
    <cfRule type="containsBlanks" dxfId="1344" priority="300">
      <formula>LEN(TRIM(A1949))=0</formula>
    </cfRule>
  </conditionalFormatting>
  <conditionalFormatting sqref="J1949:L1949">
    <cfRule type="containsBlanks" dxfId="1343" priority="297">
      <formula>LEN(TRIM(J1949))=0</formula>
    </cfRule>
  </conditionalFormatting>
  <conditionalFormatting sqref="F1949">
    <cfRule type="duplicateValues" dxfId="1342" priority="301"/>
  </conditionalFormatting>
  <conditionalFormatting sqref="G1949">
    <cfRule type="duplicateValues" dxfId="1341" priority="302"/>
  </conditionalFormatting>
  <conditionalFormatting sqref="H1949">
    <cfRule type="duplicateValues" dxfId="1340" priority="303"/>
  </conditionalFormatting>
  <conditionalFormatting sqref="A1950:B1950 M1950:T1950 AD1950:AI1950 F1950:I1950">
    <cfRule type="containsBlanks" dxfId="1339" priority="290">
      <formula>LEN(TRIM(A1950))=0</formula>
    </cfRule>
  </conditionalFormatting>
  <conditionalFormatting sqref="J1950:L1950">
    <cfRule type="containsBlanks" dxfId="1338" priority="289">
      <formula>LEN(TRIM(J1950))=0</formula>
    </cfRule>
  </conditionalFormatting>
  <conditionalFormatting sqref="A1950:B1950 M1950:T1950 AD1950:AI1950 F1950:I1950">
    <cfRule type="containsBlanks" dxfId="1337" priority="291">
      <formula>LEN(TRIM(A1950))=0</formula>
    </cfRule>
  </conditionalFormatting>
  <conditionalFormatting sqref="J1950:L1950">
    <cfRule type="containsBlanks" dxfId="1336" priority="288">
      <formula>LEN(TRIM(J1950))=0</formula>
    </cfRule>
  </conditionalFormatting>
  <conditionalFormatting sqref="F1950">
    <cfRule type="duplicateValues" dxfId="1335" priority="292"/>
  </conditionalFormatting>
  <conditionalFormatting sqref="G1950">
    <cfRule type="duplicateValues" dxfId="1334" priority="293"/>
  </conditionalFormatting>
  <conditionalFormatting sqref="H1950">
    <cfRule type="duplicateValues" dxfId="1333" priority="294"/>
  </conditionalFormatting>
  <conditionalFormatting sqref="A1951:B1951 M1951:T1951 AD1951:AI1951 F1951:I1951">
    <cfRule type="containsBlanks" dxfId="1332" priority="281">
      <formula>LEN(TRIM(A1951))=0</formula>
    </cfRule>
  </conditionalFormatting>
  <conditionalFormatting sqref="J1951:L1951">
    <cfRule type="containsBlanks" dxfId="1331" priority="280">
      <formula>LEN(TRIM(J1951))=0</formula>
    </cfRule>
  </conditionalFormatting>
  <conditionalFormatting sqref="A1951:B1951 M1951:T1951 AD1951:AI1951 F1951:I1951">
    <cfRule type="containsBlanks" dxfId="1330" priority="282">
      <formula>LEN(TRIM(A1951))=0</formula>
    </cfRule>
  </conditionalFormatting>
  <conditionalFormatting sqref="J1951:L1951">
    <cfRule type="containsBlanks" dxfId="1329" priority="279">
      <formula>LEN(TRIM(J1951))=0</formula>
    </cfRule>
  </conditionalFormatting>
  <conditionalFormatting sqref="F1951">
    <cfRule type="duplicateValues" dxfId="1328" priority="283"/>
  </conditionalFormatting>
  <conditionalFormatting sqref="G1951">
    <cfRule type="duplicateValues" dxfId="1327" priority="284"/>
  </conditionalFormatting>
  <conditionalFormatting sqref="H1951">
    <cfRule type="duplicateValues" dxfId="1326" priority="285"/>
  </conditionalFormatting>
  <conditionalFormatting sqref="A1952:B1953 M1952:T1953 AD1952:AI1953 F1952:I1953">
    <cfRule type="containsBlanks" dxfId="1325" priority="272">
      <formula>LEN(TRIM(A1952))=0</formula>
    </cfRule>
  </conditionalFormatting>
  <conditionalFormatting sqref="J1952:L1953">
    <cfRule type="containsBlanks" dxfId="1324" priority="271">
      <formula>LEN(TRIM(J1952))=0</formula>
    </cfRule>
  </conditionalFormatting>
  <conditionalFormatting sqref="A1952:B1953 M1952:T1953 AD1952:AI1953 F1952:I1953">
    <cfRule type="containsBlanks" dxfId="1323" priority="273">
      <formula>LEN(TRIM(A1952))=0</formula>
    </cfRule>
  </conditionalFormatting>
  <conditionalFormatting sqref="J1952:L1953">
    <cfRule type="containsBlanks" dxfId="1322" priority="270">
      <formula>LEN(TRIM(J1952))=0</formula>
    </cfRule>
  </conditionalFormatting>
  <conditionalFormatting sqref="F1952:F1953">
    <cfRule type="duplicateValues" dxfId="1321" priority="274"/>
  </conditionalFormatting>
  <conditionalFormatting sqref="G1952:G1953">
    <cfRule type="duplicateValues" dxfId="1320" priority="275"/>
  </conditionalFormatting>
  <conditionalFormatting sqref="H1952:H1953">
    <cfRule type="duplicateValues" dxfId="1319" priority="276"/>
  </conditionalFormatting>
  <conditionalFormatting sqref="M1954:T1954 AD1954:AI1954">
    <cfRule type="containsBlanks" dxfId="1318" priority="263">
      <formula>LEN(TRIM(M1954))=0</formula>
    </cfRule>
  </conditionalFormatting>
  <conditionalFormatting sqref="J1954:L1954">
    <cfRule type="containsBlanks" dxfId="1317" priority="262">
      <formula>LEN(TRIM(J1954))=0</formula>
    </cfRule>
  </conditionalFormatting>
  <conditionalFormatting sqref="M1954:T1954 AD1954:AI1954">
    <cfRule type="containsBlanks" dxfId="1316" priority="264">
      <formula>LEN(TRIM(M1954))=0</formula>
    </cfRule>
  </conditionalFormatting>
  <conditionalFormatting sqref="J1954:L1954">
    <cfRule type="containsBlanks" dxfId="1315" priority="261">
      <formula>LEN(TRIM(J1954))=0</formula>
    </cfRule>
  </conditionalFormatting>
  <conditionalFormatting sqref="F1954">
    <cfRule type="duplicateValues" dxfId="1314" priority="265"/>
  </conditionalFormatting>
  <conditionalFormatting sqref="G1954">
    <cfRule type="duplicateValues" dxfId="1313" priority="266"/>
  </conditionalFormatting>
  <conditionalFormatting sqref="H1954">
    <cfRule type="duplicateValues" dxfId="1312" priority="267"/>
  </conditionalFormatting>
  <conditionalFormatting sqref="M1955:T1956 AD1955:AI1956 A1956:B1956 F1956:H1956">
    <cfRule type="containsBlanks" dxfId="1311" priority="254">
      <formula>LEN(TRIM(A1955))=0</formula>
    </cfRule>
  </conditionalFormatting>
  <conditionalFormatting sqref="J1955:L1956">
    <cfRule type="containsBlanks" dxfId="1310" priority="253">
      <formula>LEN(TRIM(J1955))=0</formula>
    </cfRule>
  </conditionalFormatting>
  <conditionalFormatting sqref="M1955:T1956 AD1955:AI1956 A1956:B1956 F1956:H1956">
    <cfRule type="containsBlanks" dxfId="1309" priority="255">
      <formula>LEN(TRIM(A1955))=0</formula>
    </cfRule>
  </conditionalFormatting>
  <conditionalFormatting sqref="J1955:L1956">
    <cfRule type="containsBlanks" dxfId="1308" priority="252">
      <formula>LEN(TRIM(J1955))=0</formula>
    </cfRule>
  </conditionalFormatting>
  <conditionalFormatting sqref="F1955:F1956">
    <cfRule type="duplicateValues" dxfId="1307" priority="256"/>
  </conditionalFormatting>
  <conditionalFormatting sqref="G1955:G1956">
    <cfRule type="duplicateValues" dxfId="1306" priority="257"/>
  </conditionalFormatting>
  <conditionalFormatting sqref="H1955:H1956">
    <cfRule type="duplicateValues" dxfId="1305" priority="258"/>
  </conditionalFormatting>
  <conditionalFormatting sqref="A1957:B1957 M1957:T1957 AD1957:AI1957 F1957:I1957">
    <cfRule type="containsBlanks" dxfId="1304" priority="245">
      <formula>LEN(TRIM(A1957))=0</formula>
    </cfRule>
  </conditionalFormatting>
  <conditionalFormatting sqref="J1957:L1957">
    <cfRule type="containsBlanks" dxfId="1303" priority="244">
      <formula>LEN(TRIM(J1957))=0</formula>
    </cfRule>
  </conditionalFormatting>
  <conditionalFormatting sqref="A1957:B1957 M1957:T1957 AD1957:AI1957 F1957:I1957">
    <cfRule type="containsBlanks" dxfId="1302" priority="246">
      <formula>LEN(TRIM(A1957))=0</formula>
    </cfRule>
  </conditionalFormatting>
  <conditionalFormatting sqref="J1957:L1957">
    <cfRule type="containsBlanks" dxfId="1301" priority="243">
      <formula>LEN(TRIM(J1957))=0</formula>
    </cfRule>
  </conditionalFormatting>
  <conditionalFormatting sqref="F1957">
    <cfRule type="duplicateValues" dxfId="1300" priority="247"/>
  </conditionalFormatting>
  <conditionalFormatting sqref="G1957">
    <cfRule type="duplicateValues" dxfId="1299" priority="248"/>
  </conditionalFormatting>
  <conditionalFormatting sqref="H1957">
    <cfRule type="duplicateValues" dxfId="1298" priority="249"/>
  </conditionalFormatting>
  <conditionalFormatting sqref="A1958:B1959 M1958:T1959 AD1958:AI1959 F1958:I1959">
    <cfRule type="containsBlanks" dxfId="1297" priority="236">
      <formula>LEN(TRIM(A1958))=0</formula>
    </cfRule>
  </conditionalFormatting>
  <conditionalFormatting sqref="J1958:L1959">
    <cfRule type="containsBlanks" dxfId="1296" priority="235">
      <formula>LEN(TRIM(J1958))=0</formula>
    </cfRule>
  </conditionalFormatting>
  <conditionalFormatting sqref="A1958:B1959 M1958:T1959 AD1958:AI1959 F1958:I1959">
    <cfRule type="containsBlanks" dxfId="1295" priority="237">
      <formula>LEN(TRIM(A1958))=0</formula>
    </cfRule>
  </conditionalFormatting>
  <conditionalFormatting sqref="J1958:L1959">
    <cfRule type="containsBlanks" dxfId="1294" priority="234">
      <formula>LEN(TRIM(J1958))=0</formula>
    </cfRule>
  </conditionalFormatting>
  <conditionalFormatting sqref="F1958:F1959">
    <cfRule type="duplicateValues" dxfId="1293" priority="238"/>
  </conditionalFormatting>
  <conditionalFormatting sqref="G1958:G1959">
    <cfRule type="duplicateValues" dxfId="1292" priority="239"/>
  </conditionalFormatting>
  <conditionalFormatting sqref="H1958:H1959">
    <cfRule type="duplicateValues" dxfId="1291" priority="240"/>
  </conditionalFormatting>
  <conditionalFormatting sqref="A1960:B1960 M1960:T1960 AD1960:AI1960 F1960:I1960">
    <cfRule type="containsBlanks" dxfId="1290" priority="227">
      <formula>LEN(TRIM(A1960))=0</formula>
    </cfRule>
  </conditionalFormatting>
  <conditionalFormatting sqref="J1960:L1960">
    <cfRule type="containsBlanks" dxfId="1289" priority="226">
      <formula>LEN(TRIM(J1960))=0</formula>
    </cfRule>
  </conditionalFormatting>
  <conditionalFormatting sqref="A1960:B1960 M1960:T1960 AD1960:AI1960 F1960:I1960">
    <cfRule type="containsBlanks" dxfId="1288" priority="228">
      <formula>LEN(TRIM(A1960))=0</formula>
    </cfRule>
  </conditionalFormatting>
  <conditionalFormatting sqref="J1960:L1960">
    <cfRule type="containsBlanks" dxfId="1287" priority="225">
      <formula>LEN(TRIM(J1960))=0</formula>
    </cfRule>
  </conditionalFormatting>
  <conditionalFormatting sqref="F1960">
    <cfRule type="duplicateValues" dxfId="1286" priority="229"/>
  </conditionalFormatting>
  <conditionalFormatting sqref="G1960">
    <cfRule type="duplicateValues" dxfId="1285" priority="230"/>
  </conditionalFormatting>
  <conditionalFormatting sqref="H1960">
    <cfRule type="duplicateValues" dxfId="1284" priority="231"/>
  </conditionalFormatting>
  <conditionalFormatting sqref="V1961:X1961">
    <cfRule type="containsBlanks" dxfId="1283" priority="215">
      <formula>LEN(TRIM(V1961))=0</formula>
    </cfRule>
  </conditionalFormatting>
  <conditionalFormatting sqref="A1961:B1961 M1961:U1961 Y1961:Z1961 AC1961:AI1961 AC1963 AC1965 AC1967 AC1969 AC1971 AC1973 AC1975 F1961:I1961 AC1977 AC1979 AC1981 AC1983 AC1985 AC1987 AC1989 AC1991 AC1993 AC1995 AC1997 AC1999">
    <cfRule type="containsBlanks" dxfId="1282" priority="218">
      <formula>LEN(TRIM(A1961))=0</formula>
    </cfRule>
  </conditionalFormatting>
  <conditionalFormatting sqref="J1961:L1961">
    <cfRule type="containsBlanks" dxfId="1281" priority="217">
      <formula>LEN(TRIM(J1961))=0</formula>
    </cfRule>
  </conditionalFormatting>
  <conditionalFormatting sqref="A1961:B1961 M1961:U1961 Y1961:Z1961 AC1961:AI1961 AC1963 AC1965 AC1967 AC1969 AC1971 AC1973 AC1975 F1961:I1961 AC1977 AC1979 AC1981 AC1983 AC1985 AC1987 AC1989 AC1991 AC1993 AC1995 AC1997 AC1999">
    <cfRule type="containsBlanks" dxfId="1280" priority="219">
      <formula>LEN(TRIM(A1961))=0</formula>
    </cfRule>
  </conditionalFormatting>
  <conditionalFormatting sqref="J1961:L1961">
    <cfRule type="containsBlanks" dxfId="1279" priority="216">
      <formula>LEN(TRIM(J1961))=0</formula>
    </cfRule>
  </conditionalFormatting>
  <conditionalFormatting sqref="F1961">
    <cfRule type="duplicateValues" dxfId="1278" priority="220"/>
  </conditionalFormatting>
  <conditionalFormatting sqref="G1961">
    <cfRule type="duplicateValues" dxfId="1277" priority="221"/>
  </conditionalFormatting>
  <conditionalFormatting sqref="H1961">
    <cfRule type="duplicateValues" dxfId="1276" priority="222"/>
  </conditionalFormatting>
  <conditionalFormatting sqref="A1962:B1962 M1962:T1962 Y1962:Z1962 AC1962:AI1962 AC1964 AC1966 AC1968 AC1970 AC1972 AC1974 F1962:H1962 AC1976 AC1978 AC1980 AC1982 AC1984 AC1986 AC1988 AC1990 AC1992 AC1994 AC1996 AC1998 AC2000">
    <cfRule type="containsBlanks" dxfId="1275" priority="209">
      <formula>LEN(TRIM(A1962))=0</formula>
    </cfRule>
  </conditionalFormatting>
  <conditionalFormatting sqref="J1962:L1962">
    <cfRule type="containsBlanks" dxfId="1274" priority="208">
      <formula>LEN(TRIM(J1962))=0</formula>
    </cfRule>
  </conditionalFormatting>
  <conditionalFormatting sqref="A1962:B1962 M1962:T1962 Y1962:Z1962 AC1962:AI1962 AC1964 AC1966 AC1968 AC1970 AC1972 AC1974 F1962:H1962 AC1976 AC1978 AC1980 AC1982 AC1984 AC1986 AC1988 AC1990 AC1992 AC1994 AC1996 AC1998 AC2000">
    <cfRule type="containsBlanks" dxfId="1273" priority="210">
      <formula>LEN(TRIM(A1962))=0</formula>
    </cfRule>
  </conditionalFormatting>
  <conditionalFormatting sqref="J1962:L1962">
    <cfRule type="containsBlanks" dxfId="1272" priority="207">
      <formula>LEN(TRIM(J1962))=0</formula>
    </cfRule>
  </conditionalFormatting>
  <conditionalFormatting sqref="F1962">
    <cfRule type="duplicateValues" dxfId="1271" priority="211"/>
  </conditionalFormatting>
  <conditionalFormatting sqref="G1962">
    <cfRule type="duplicateValues" dxfId="1270" priority="212"/>
  </conditionalFormatting>
  <conditionalFormatting sqref="H1962">
    <cfRule type="duplicateValues" dxfId="1269" priority="213"/>
  </conditionalFormatting>
  <conditionalFormatting sqref="A1963:B1964 M1963:T1964 Y1963:Z1964 AD1963:AI1964 F1963:I1964">
    <cfRule type="containsBlanks" dxfId="1268" priority="200">
      <formula>LEN(TRIM(A1963))=0</formula>
    </cfRule>
  </conditionalFormatting>
  <conditionalFormatting sqref="J1963:L1964">
    <cfRule type="containsBlanks" dxfId="1267" priority="199">
      <formula>LEN(TRIM(J1963))=0</formula>
    </cfRule>
  </conditionalFormatting>
  <conditionalFormatting sqref="A1963:B1964 M1963:T1964 Y1963:Z1964 AD1963:AI1964 F1963:I1964">
    <cfRule type="containsBlanks" dxfId="1266" priority="201">
      <formula>LEN(TRIM(A1963))=0</formula>
    </cfRule>
  </conditionalFormatting>
  <conditionalFormatting sqref="J1963:L1964">
    <cfRule type="containsBlanks" dxfId="1265" priority="198">
      <formula>LEN(TRIM(J1963))=0</formula>
    </cfRule>
  </conditionalFormatting>
  <conditionalFormatting sqref="F1963:F1964">
    <cfRule type="duplicateValues" dxfId="1264" priority="202"/>
  </conditionalFormatting>
  <conditionalFormatting sqref="G1963:G1964">
    <cfRule type="duplicateValues" dxfId="1263" priority="203"/>
  </conditionalFormatting>
  <conditionalFormatting sqref="H1963:H1964">
    <cfRule type="duplicateValues" dxfId="1262" priority="204"/>
  </conditionalFormatting>
  <conditionalFormatting sqref="A1965:B1965 M1965:T1965 Y1965:Z1965 AD1965:AI1965 F1965:I1965">
    <cfRule type="containsBlanks" dxfId="1261" priority="191">
      <formula>LEN(TRIM(A1965))=0</formula>
    </cfRule>
  </conditionalFormatting>
  <conditionalFormatting sqref="J1965:L1965">
    <cfRule type="containsBlanks" dxfId="1260" priority="190">
      <formula>LEN(TRIM(J1965))=0</formula>
    </cfRule>
  </conditionalFormatting>
  <conditionalFormatting sqref="A1965:B1965 M1965:T1965 Y1965:Z1965 AD1965:AI1965 F1965:I1965">
    <cfRule type="containsBlanks" dxfId="1259" priority="192">
      <formula>LEN(TRIM(A1965))=0</formula>
    </cfRule>
  </conditionalFormatting>
  <conditionalFormatting sqref="J1965:L1965">
    <cfRule type="containsBlanks" dxfId="1258" priority="189">
      <formula>LEN(TRIM(J1965))=0</formula>
    </cfRule>
  </conditionalFormatting>
  <conditionalFormatting sqref="F1965">
    <cfRule type="duplicateValues" dxfId="1257" priority="193"/>
  </conditionalFormatting>
  <conditionalFormatting sqref="G1965">
    <cfRule type="duplicateValues" dxfId="1256" priority="194"/>
  </conditionalFormatting>
  <conditionalFormatting sqref="H1965">
    <cfRule type="duplicateValues" dxfId="1255" priority="195"/>
  </conditionalFormatting>
  <conditionalFormatting sqref="A1966:B1966 M1966:T1966 Y1966:Z1966 AD1966:AI1966 F1966:I1966">
    <cfRule type="containsBlanks" dxfId="1254" priority="182">
      <formula>LEN(TRIM(A1966))=0</formula>
    </cfRule>
  </conditionalFormatting>
  <conditionalFormatting sqref="J1966:L1966">
    <cfRule type="containsBlanks" dxfId="1253" priority="181">
      <formula>LEN(TRIM(J1966))=0</formula>
    </cfRule>
  </conditionalFormatting>
  <conditionalFormatting sqref="A1966:B1966 M1966:T1966 Y1966:Z1966 AD1966:AI1966 F1966:I1966">
    <cfRule type="containsBlanks" dxfId="1252" priority="183">
      <formula>LEN(TRIM(A1966))=0</formula>
    </cfRule>
  </conditionalFormatting>
  <conditionalFormatting sqref="J1966:L1966">
    <cfRule type="containsBlanks" dxfId="1251" priority="180">
      <formula>LEN(TRIM(J1966))=0</formula>
    </cfRule>
  </conditionalFormatting>
  <conditionalFormatting sqref="F1966">
    <cfRule type="duplicateValues" dxfId="1250" priority="184"/>
  </conditionalFormatting>
  <conditionalFormatting sqref="G1966">
    <cfRule type="duplicateValues" dxfId="1249" priority="185"/>
  </conditionalFormatting>
  <conditionalFormatting sqref="H1966">
    <cfRule type="duplicateValues" dxfId="1248" priority="186"/>
  </conditionalFormatting>
  <conditionalFormatting sqref="A1967:B1967 M1967:T1967 Y1967:Z1967 AD1967:AI1967 F1967:I1967">
    <cfRule type="containsBlanks" dxfId="1247" priority="173">
      <formula>LEN(TRIM(A1967))=0</formula>
    </cfRule>
  </conditionalFormatting>
  <conditionalFormatting sqref="J1967:L1967">
    <cfRule type="containsBlanks" dxfId="1246" priority="172">
      <formula>LEN(TRIM(J1967))=0</formula>
    </cfRule>
  </conditionalFormatting>
  <conditionalFormatting sqref="A1967:B1967 M1967:T1967 Y1967:Z1967 AD1967:AI1967 F1967:I1967">
    <cfRule type="containsBlanks" dxfId="1245" priority="174">
      <formula>LEN(TRIM(A1967))=0</formula>
    </cfRule>
  </conditionalFormatting>
  <conditionalFormatting sqref="J1967:L1967">
    <cfRule type="containsBlanks" dxfId="1244" priority="171">
      <formula>LEN(TRIM(J1967))=0</formula>
    </cfRule>
  </conditionalFormatting>
  <conditionalFormatting sqref="F1967">
    <cfRule type="duplicateValues" dxfId="1243" priority="175"/>
  </conditionalFormatting>
  <conditionalFormatting sqref="G1967">
    <cfRule type="duplicateValues" dxfId="1242" priority="176"/>
  </conditionalFormatting>
  <conditionalFormatting sqref="H1967">
    <cfRule type="duplicateValues" dxfId="1241" priority="177"/>
  </conditionalFormatting>
  <conditionalFormatting sqref="A1968:B1969 M1968:T1969 Y1968:Z1969 AD1968:AI1969 F1968:I1969">
    <cfRule type="containsBlanks" dxfId="1240" priority="164">
      <formula>LEN(TRIM(A1968))=0</formula>
    </cfRule>
  </conditionalFormatting>
  <conditionalFormatting sqref="J1968:L1969">
    <cfRule type="containsBlanks" dxfId="1239" priority="163">
      <formula>LEN(TRIM(J1968))=0</formula>
    </cfRule>
  </conditionalFormatting>
  <conditionalFormatting sqref="A1968:B1969 M1968:T1969 Y1968:Z1969 AD1968:AI1969 F1968:I1969">
    <cfRule type="containsBlanks" dxfId="1238" priority="165">
      <formula>LEN(TRIM(A1968))=0</formula>
    </cfRule>
  </conditionalFormatting>
  <conditionalFormatting sqref="J1968:L1969">
    <cfRule type="containsBlanks" dxfId="1237" priority="162">
      <formula>LEN(TRIM(J1968))=0</formula>
    </cfRule>
  </conditionalFormatting>
  <conditionalFormatting sqref="F1968:F1969">
    <cfRule type="duplicateValues" dxfId="1236" priority="166"/>
  </conditionalFormatting>
  <conditionalFormatting sqref="G1968:G1969">
    <cfRule type="duplicateValues" dxfId="1235" priority="167"/>
  </conditionalFormatting>
  <conditionalFormatting sqref="H1968:H1969">
    <cfRule type="duplicateValues" dxfId="1234" priority="168"/>
  </conditionalFormatting>
  <conditionalFormatting sqref="A1970:B1970 M1970:T1970 Y1970:Z1970 AD1970:AI1970 F1970:I1970">
    <cfRule type="containsBlanks" dxfId="1233" priority="155">
      <formula>LEN(TRIM(A1970))=0</formula>
    </cfRule>
  </conditionalFormatting>
  <conditionalFormatting sqref="J1970:L1970">
    <cfRule type="containsBlanks" dxfId="1232" priority="154">
      <formula>LEN(TRIM(J1970))=0</formula>
    </cfRule>
  </conditionalFormatting>
  <conditionalFormatting sqref="A1970:B1970 M1970:T1970 Y1970:Z1970 AD1970:AI1970 F1970:I1970">
    <cfRule type="containsBlanks" dxfId="1231" priority="156">
      <formula>LEN(TRIM(A1970))=0</formula>
    </cfRule>
  </conditionalFormatting>
  <conditionalFormatting sqref="J1970:L1970">
    <cfRule type="containsBlanks" dxfId="1230" priority="153">
      <formula>LEN(TRIM(J1970))=0</formula>
    </cfRule>
  </conditionalFormatting>
  <conditionalFormatting sqref="F1970">
    <cfRule type="duplicateValues" dxfId="1229" priority="157"/>
  </conditionalFormatting>
  <conditionalFormatting sqref="G1970">
    <cfRule type="duplicateValues" dxfId="1228" priority="158"/>
  </conditionalFormatting>
  <conditionalFormatting sqref="H1970">
    <cfRule type="duplicateValues" dxfId="1227" priority="159"/>
  </conditionalFormatting>
  <conditionalFormatting sqref="A1971:B1971 M1971:T1971 Y1971:Z1971 AD1971:AI1971 F1971:I1971">
    <cfRule type="containsBlanks" dxfId="1226" priority="146">
      <formula>LEN(TRIM(A1971))=0</formula>
    </cfRule>
  </conditionalFormatting>
  <conditionalFormatting sqref="J1971:L1971">
    <cfRule type="containsBlanks" dxfId="1225" priority="145">
      <formula>LEN(TRIM(J1971))=0</formula>
    </cfRule>
  </conditionalFormatting>
  <conditionalFormatting sqref="A1971:B1971 M1971:T1971 Y1971:Z1971 AD1971:AI1971 F1971:I1971">
    <cfRule type="containsBlanks" dxfId="1224" priority="147">
      <formula>LEN(TRIM(A1971))=0</formula>
    </cfRule>
  </conditionalFormatting>
  <conditionalFormatting sqref="J1971:L1971">
    <cfRule type="containsBlanks" dxfId="1223" priority="144">
      <formula>LEN(TRIM(J1971))=0</formula>
    </cfRule>
  </conditionalFormatting>
  <conditionalFormatting sqref="Y1936:Z1950">
    <cfRule type="containsBlanks" dxfId="1222" priority="97">
      <formula>LEN(TRIM(Y1936))=0</formula>
    </cfRule>
  </conditionalFormatting>
  <conditionalFormatting sqref="F1971">
    <cfRule type="duplicateValues" dxfId="1221" priority="148"/>
  </conditionalFormatting>
  <conditionalFormatting sqref="G1971">
    <cfRule type="duplicateValues" dxfId="1220" priority="149"/>
  </conditionalFormatting>
  <conditionalFormatting sqref="H1971">
    <cfRule type="duplicateValues" dxfId="1219" priority="150"/>
  </conditionalFormatting>
  <conditionalFormatting sqref="X1951:X1960">
    <cfRule type="containsBlanks" dxfId="1218" priority="85">
      <formula>LEN(TRIM(X1951))=0</formula>
    </cfRule>
  </conditionalFormatting>
  <conditionalFormatting sqref="A1972:B1972 M1972:T1972 Y1972:Z1972 AD1972:AI1972 F1972:I1972">
    <cfRule type="containsBlanks" dxfId="1217" priority="137">
      <formula>LEN(TRIM(A1972))=0</formula>
    </cfRule>
  </conditionalFormatting>
  <conditionalFormatting sqref="J1972:L1972">
    <cfRule type="containsBlanks" dxfId="1216" priority="136">
      <formula>LEN(TRIM(J1972))=0</formula>
    </cfRule>
  </conditionalFormatting>
  <conditionalFormatting sqref="A1972:B1972 M1972:T1972 Y1972:Z1972 AD1972:AI1972 F1972:I1972">
    <cfRule type="containsBlanks" dxfId="1215" priority="138">
      <formula>LEN(TRIM(A1972))=0</formula>
    </cfRule>
  </conditionalFormatting>
  <conditionalFormatting sqref="J1972:L1972">
    <cfRule type="containsBlanks" dxfId="1214" priority="135">
      <formula>LEN(TRIM(J1972))=0</formula>
    </cfRule>
  </conditionalFormatting>
  <conditionalFormatting sqref="Y1951:Z1960">
    <cfRule type="containsBlanks" dxfId="1213" priority="88">
      <formula>LEN(TRIM(Y1951))=0</formula>
    </cfRule>
  </conditionalFormatting>
  <conditionalFormatting sqref="F1972">
    <cfRule type="duplicateValues" dxfId="1212" priority="139"/>
  </conditionalFormatting>
  <conditionalFormatting sqref="G1972">
    <cfRule type="duplicateValues" dxfId="1211" priority="140"/>
  </conditionalFormatting>
  <conditionalFormatting sqref="H1972">
    <cfRule type="duplicateValues" dxfId="1210" priority="141"/>
  </conditionalFormatting>
  <conditionalFormatting sqref="C1818:E1818">
    <cfRule type="containsBlanks" dxfId="1209" priority="76">
      <formula>LEN(TRIM(C1818))=0</formula>
    </cfRule>
  </conditionalFormatting>
  <conditionalFormatting sqref="A1973:B1974 M1973:T1974 Y1973:Z1974 AD1973:AI1974 F1973:I1974">
    <cfRule type="containsBlanks" dxfId="1208" priority="128">
      <formula>LEN(TRIM(A1973))=0</formula>
    </cfRule>
  </conditionalFormatting>
  <conditionalFormatting sqref="J1973:L1974">
    <cfRule type="containsBlanks" dxfId="1207" priority="127">
      <formula>LEN(TRIM(J1973))=0</formula>
    </cfRule>
  </conditionalFormatting>
  <conditionalFormatting sqref="A1973:B1974 M1973:T1974 Y1973:Z1974 AD1973:AI1974 F1973:I1974">
    <cfRule type="containsBlanks" dxfId="1206" priority="129">
      <formula>LEN(TRIM(A1973))=0</formula>
    </cfRule>
  </conditionalFormatting>
  <conditionalFormatting sqref="J1973:L1974">
    <cfRule type="containsBlanks" dxfId="1205" priority="126">
      <formula>LEN(TRIM(J1973))=0</formula>
    </cfRule>
  </conditionalFormatting>
  <conditionalFormatting sqref="C1814:E1814">
    <cfRule type="containsBlanks" dxfId="1204" priority="79">
      <formula>LEN(TRIM(C1814))=0</formula>
    </cfRule>
  </conditionalFormatting>
  <conditionalFormatting sqref="F1973:F1974">
    <cfRule type="duplicateValues" dxfId="1203" priority="130"/>
  </conditionalFormatting>
  <conditionalFormatting sqref="G1973:G1974">
    <cfRule type="duplicateValues" dxfId="1202" priority="131"/>
  </conditionalFormatting>
  <conditionalFormatting sqref="H1973:H1974">
    <cfRule type="duplicateValues" dxfId="1201" priority="132"/>
  </conditionalFormatting>
  <conditionalFormatting sqref="F1975">
    <cfRule type="duplicateValues" dxfId="1200" priority="121"/>
  </conditionalFormatting>
  <conditionalFormatting sqref="G1975">
    <cfRule type="duplicateValues" dxfId="1199" priority="122"/>
  </conditionalFormatting>
  <conditionalFormatting sqref="H1975">
    <cfRule type="duplicateValues" dxfId="1198" priority="123"/>
  </conditionalFormatting>
  <conditionalFormatting sqref="F1976">
    <cfRule type="duplicateValues" dxfId="1197" priority="112"/>
  </conditionalFormatting>
  <conditionalFormatting sqref="G1976">
    <cfRule type="duplicateValues" dxfId="1196" priority="113"/>
  </conditionalFormatting>
  <conditionalFormatting sqref="H1976">
    <cfRule type="duplicateValues" dxfId="1195" priority="114"/>
  </conditionalFormatting>
  <conditionalFormatting sqref="U1921:W1935">
    <cfRule type="containsBlanks" dxfId="1194" priority="105">
      <formula>LEN(TRIM(U1921))=0</formula>
    </cfRule>
  </conditionalFormatting>
  <conditionalFormatting sqref="Y1936:Z1950">
    <cfRule type="containsBlanks" dxfId="1193" priority="98">
      <formula>LEN(TRIM(Y1936))=0</formula>
    </cfRule>
  </conditionalFormatting>
  <conditionalFormatting sqref="U1936:W1950">
    <cfRule type="containsBlanks" dxfId="1192" priority="96">
      <formula>LEN(TRIM(U1936))=0</formula>
    </cfRule>
  </conditionalFormatting>
  <conditionalFormatting sqref="AC1951:AC1960">
    <cfRule type="containsBlanks" dxfId="1191" priority="83">
      <formula>LEN(TRIM(AC1951))=0</formula>
    </cfRule>
  </conditionalFormatting>
  <conditionalFormatting sqref="AB1951:AB2000">
    <cfRule type="containsBlanks" dxfId="1190" priority="82">
      <formula>LEN(TRIM(AB1951))=0</formula>
    </cfRule>
  </conditionalFormatting>
  <conditionalFormatting sqref="AC1951:AC1960">
    <cfRule type="containsBlanks" dxfId="1189" priority="84">
      <formula>LEN(TRIM(AC1951))=0</formula>
    </cfRule>
  </conditionalFormatting>
  <conditionalFormatting sqref="U1951:W1960">
    <cfRule type="containsBlanks" dxfId="1188" priority="86">
      <formula>LEN(TRIM(U1951))=0</formula>
    </cfRule>
  </conditionalFormatting>
  <conditionalFormatting sqref="AA1951:AA1960">
    <cfRule type="containsBlanks" dxfId="1187" priority="81">
      <formula>LEN(TRIM(AA1951))=0</formula>
    </cfRule>
  </conditionalFormatting>
  <conditionalFormatting sqref="Y1951:Z1960">
    <cfRule type="containsBlanks" dxfId="1186" priority="89">
      <formula>LEN(TRIM(Y1951))=0</formula>
    </cfRule>
  </conditionalFormatting>
  <conditionalFormatting sqref="U1951:W1960">
    <cfRule type="containsBlanks" dxfId="1185" priority="87">
      <formula>LEN(TRIM(U1951))=0</formula>
    </cfRule>
  </conditionalFormatting>
  <conditionalFormatting sqref="C1814:E1814">
    <cfRule type="containsBlanks" dxfId="1184" priority="80">
      <formula>LEN(TRIM(C1814))=0</formula>
    </cfRule>
  </conditionalFormatting>
  <conditionalFormatting sqref="C1816:E1816">
    <cfRule type="containsBlanks" dxfId="1183" priority="78">
      <formula>LEN(TRIM(C1816))=0</formula>
    </cfRule>
  </conditionalFormatting>
  <conditionalFormatting sqref="C1816:E1816">
    <cfRule type="containsBlanks" dxfId="1182" priority="77">
      <formula>LEN(TRIM(C1816))=0</formula>
    </cfRule>
  </conditionalFormatting>
  <conditionalFormatting sqref="C1818:E1818">
    <cfRule type="containsBlanks" dxfId="1181" priority="75">
      <formula>LEN(TRIM(C1818))=0</formula>
    </cfRule>
  </conditionalFormatting>
  <conditionalFormatting sqref="C1820:E1820">
    <cfRule type="containsBlanks" dxfId="1180" priority="74">
      <formula>LEN(TRIM(C1820))=0</formula>
    </cfRule>
  </conditionalFormatting>
  <conditionalFormatting sqref="C1820:E1820">
    <cfRule type="containsBlanks" dxfId="1179" priority="73">
      <formula>LEN(TRIM(C1820))=0</formula>
    </cfRule>
  </conditionalFormatting>
  <conditionalFormatting sqref="C1823:E1823 C1825:E1825 C1827:E1827 C1829:E1829 C1831:E1831 C1833:E1833 C1835:E1835 C1837:E1837 C1839:E1839 C1841:E1841 C1843:E1843 C1845:E1845 C1847:E1847 C1849:E1849 C1851:E1851 C1853:E1853 C1855:E1855 C1857:E1857 C1859:E1859 C1861:E1861 C1863:E1863 C1865:E1865 C1867:E1867 C1869:E1869 C1871:E1871 C1873:E1873 C1875:E1875 C1877:E1877 C1879:E1879 C1881:E1881 C1883:E1883 C1885:E1885 C1887:E1887 C1889:E1889 C1891:E1891 C1893:E1893 C1895:E1895 C1897:E1897 C1899:E1899 C1901:E1901 C1903:E1903 C1905:E1905 C1907:E1907 C1909:E1909 C1911:E1911">
    <cfRule type="containsBlanks" dxfId="1178" priority="72">
      <formula>LEN(TRIM(C1823))=0</formula>
    </cfRule>
  </conditionalFormatting>
  <conditionalFormatting sqref="C1823:E1823 C1825:E1825 C1827:E1827 C1829:E1829 C1831:E1831 C1833:E1833 C1835:E1835 C1837:E1837 C1839:E1839 C1841:E1841 C1843:E1843 C1845:E1845 C1847:E1847 C1849:E1849 C1851:E1851 C1853:E1853 C1855:E1855 C1857:E1857 C1859:E1859 C1861:E1861 C1863:E1863 C1865:E1865 C1867:E1867 C1869:E1869 C1871:E1871 C1873:E1873 C1875:E1875 C1877:E1877 C1879:E1879 C1881:E1881 C1883:E1883 C1885:E1885 C1887:E1887 C1889:E1889 C1891:E1891 C1893:E1893 C1895:E1895 C1897:E1897 C1899:E1899 C1901:E1901 C1903:E1903 C1905:E1905 C1907:E1907 C1909:E1909 C1911:E1911">
    <cfRule type="containsBlanks" dxfId="1177" priority="71">
      <formula>LEN(TRIM(C1823))=0</formula>
    </cfRule>
  </conditionalFormatting>
  <conditionalFormatting sqref="C1822:E1822 C1824:E1824 C1826:E1826 C1828:E1828 C1830:E1830 C1832:E1832 C1834:E1834 C1836:E1836 C1838:E1838 C1840:E1840 C1842:E1842 C1844:E1844 C1846:E1846 C1848:E1848 C1850:E1850 C1852:E1852 C1854:E1854 C1856:E1856 C1858:E1858 C1860:E1860 C1862:E1862 C1864:E1864 C1866:E1866 C1868:E1868 C1870:E1870 C1872:E1872 C1874:E1874 C1876:E1876 C1878:E1878 C1880:E1880 C1882:E1882 C1884:E1884 C1886:E1886 C1888:E1888 C1890:E1890 C1892:E1892 C1894:E1894 C1896:E1896 C1898:E1898 C1900:E1900 C1902:E1902 C1904:E1904 C1906:E1906 C1908:E1908 C1910:E1910">
    <cfRule type="containsBlanks" dxfId="1176" priority="69">
      <formula>LEN(TRIM(C1822))=0</formula>
    </cfRule>
  </conditionalFormatting>
  <conditionalFormatting sqref="C1912:E1975">
    <cfRule type="containsBlanks" dxfId="1175" priority="68">
      <formula>LEN(TRIM(C1912))=0</formula>
    </cfRule>
  </conditionalFormatting>
  <conditionalFormatting sqref="I1962">
    <cfRule type="containsBlanks" dxfId="1174" priority="65">
      <formula>LEN(TRIM(I1962))=0</formula>
    </cfRule>
  </conditionalFormatting>
  <conditionalFormatting sqref="I1962">
    <cfRule type="containsBlanks" dxfId="1173" priority="66">
      <formula>LEN(TRIM(I1962))=0</formula>
    </cfRule>
  </conditionalFormatting>
  <conditionalFormatting sqref="V1962:X1975">
    <cfRule type="containsBlanks" dxfId="1172" priority="62">
      <formula>LEN(TRIM(V1962))=0</formula>
    </cfRule>
  </conditionalFormatting>
  <conditionalFormatting sqref="U1962:U1975">
    <cfRule type="containsBlanks" dxfId="1171" priority="63">
      <formula>LEN(TRIM(U1962))=0</formula>
    </cfRule>
  </conditionalFormatting>
  <conditionalFormatting sqref="U1962:U1975">
    <cfRule type="containsBlanks" dxfId="1170" priority="64">
      <formula>LEN(TRIM(U1962))=0</formula>
    </cfRule>
  </conditionalFormatting>
  <conditionalFormatting sqref="AA1961:AA2000">
    <cfRule type="containsBlanks" dxfId="1169" priority="61">
      <formula>LEN(TRIM(AA1961))=0</formula>
    </cfRule>
  </conditionalFormatting>
  <conditionalFormatting sqref="M1977:M1988 Y1977:Z1988 AD1977:AI1988 A1977:B1984 O1977:T1988 F1983:H1984 F1977:I1982">
    <cfRule type="containsBlanks" dxfId="1168" priority="57">
      <formula>LEN(TRIM(A1977))=0</formula>
    </cfRule>
  </conditionalFormatting>
  <conditionalFormatting sqref="K1977:K1988">
    <cfRule type="containsBlanks" dxfId="1167" priority="55">
      <formula>LEN(TRIM(K1977))=0</formula>
    </cfRule>
  </conditionalFormatting>
  <conditionalFormatting sqref="M1977:M1988 Y1977:Z1988 AD1977:AI1988 A1977:B1984 O1977:T1988 F1983:H1984 F1977:I1982">
    <cfRule type="containsBlanks" dxfId="1166" priority="56">
      <formula>LEN(TRIM(A1977))=0</formula>
    </cfRule>
  </conditionalFormatting>
  <conditionalFormatting sqref="K1977:K1988">
    <cfRule type="containsBlanks" dxfId="1165" priority="54">
      <formula>LEN(TRIM(K1977))=0</formula>
    </cfRule>
  </conditionalFormatting>
  <conditionalFormatting sqref="F1977:F1988">
    <cfRule type="duplicateValues" dxfId="1164" priority="58"/>
  </conditionalFormatting>
  <conditionalFormatting sqref="G1977:G1988">
    <cfRule type="duplicateValues" dxfId="1163" priority="59"/>
  </conditionalFormatting>
  <conditionalFormatting sqref="H1977:H1988">
    <cfRule type="duplicateValues" dxfId="1162" priority="60"/>
  </conditionalFormatting>
  <conditionalFormatting sqref="M2001:U2001 Y1989:Z2036 AC2012:AI2036 M1989:M2000 O1989:T2000 M2012:U2036 M2002:T2011 AD1989:AI2011">
    <cfRule type="containsBlanks" dxfId="1161" priority="48">
      <formula>LEN(TRIM(M1989))=0</formula>
    </cfRule>
  </conditionalFormatting>
  <conditionalFormatting sqref="J2001:L2036 K1989:K2000">
    <cfRule type="containsBlanks" dxfId="1160" priority="46">
      <formula>LEN(TRIM(J1989))=0</formula>
    </cfRule>
  </conditionalFormatting>
  <conditionalFormatting sqref="M2001:U2001 Y1989:Z2036 AC2012:AI2036 M1989:M2000 O1989:T2000 M2012:U2036 M2002:T2011 AD1989:AI2011">
    <cfRule type="containsBlanks" dxfId="1159" priority="47">
      <formula>LEN(TRIM(M1989))=0</formula>
    </cfRule>
  </conditionalFormatting>
  <conditionalFormatting sqref="J2001:L2036 K1989:K2000">
    <cfRule type="containsBlanks" dxfId="1158" priority="45">
      <formula>LEN(TRIM(J1989))=0</formula>
    </cfRule>
  </conditionalFormatting>
  <conditionalFormatting sqref="V2001:X2001 V2012:X2036">
    <cfRule type="containsBlanks" dxfId="1157" priority="44">
      <formula>LEN(TRIM(V2001))=0</formula>
    </cfRule>
  </conditionalFormatting>
  <conditionalFormatting sqref="AA2012:AB2036">
    <cfRule type="containsBlanks" dxfId="1156" priority="43">
      <formula>LEN(TRIM(AA2012))=0</formula>
    </cfRule>
  </conditionalFormatting>
  <conditionalFormatting sqref="F1989:F2036">
    <cfRule type="duplicateValues" dxfId="1155" priority="49"/>
  </conditionalFormatting>
  <conditionalFormatting sqref="G1989:G2036">
    <cfRule type="duplicateValues" dxfId="1154" priority="50"/>
  </conditionalFormatting>
  <conditionalFormatting sqref="H1989:H2036">
    <cfRule type="duplicateValues" dxfId="1153" priority="51"/>
  </conditionalFormatting>
  <conditionalFormatting sqref="A2037:I2057 M2037:U2057 Y2037:Z2057 AC2037:AI2057">
    <cfRule type="containsBlanks" dxfId="1152" priority="39">
      <formula>LEN(TRIM(A2037))=0</formula>
    </cfRule>
  </conditionalFormatting>
  <conditionalFormatting sqref="J2037:L2057">
    <cfRule type="containsBlanks" dxfId="1151" priority="37">
      <formula>LEN(TRIM(J2037))=0</formula>
    </cfRule>
  </conditionalFormatting>
  <conditionalFormatting sqref="A2037:I2057 M2037:U2057 Y2037:Z2057 AC2037:AI2057">
    <cfRule type="containsBlanks" dxfId="1150" priority="38">
      <formula>LEN(TRIM(A2037))=0</formula>
    </cfRule>
  </conditionalFormatting>
  <conditionalFormatting sqref="J2037:L2057">
    <cfRule type="containsBlanks" dxfId="1149" priority="36">
      <formula>LEN(TRIM(J2037))=0</formula>
    </cfRule>
  </conditionalFormatting>
  <conditionalFormatting sqref="V2037:X2057">
    <cfRule type="containsBlanks" dxfId="1148" priority="35">
      <formula>LEN(TRIM(V2037))=0</formula>
    </cfRule>
  </conditionalFormatting>
  <conditionalFormatting sqref="AA2037:AB2057">
    <cfRule type="containsBlanks" dxfId="1147" priority="34">
      <formula>LEN(TRIM(AA2037))=0</formula>
    </cfRule>
  </conditionalFormatting>
  <conditionalFormatting sqref="F2037:F2057">
    <cfRule type="duplicateValues" dxfId="1146" priority="40"/>
  </conditionalFormatting>
  <conditionalFormatting sqref="G2037:G2057">
    <cfRule type="duplicateValues" dxfId="1145" priority="41"/>
  </conditionalFormatting>
  <conditionalFormatting sqref="H2037:H2057">
    <cfRule type="duplicateValues" dxfId="1144" priority="42"/>
  </conditionalFormatting>
  <conditionalFormatting sqref="A2060:I2085 M2060:U2085 Y2060:Z2085 AC2060:AI2085">
    <cfRule type="containsBlanks" dxfId="1143" priority="30">
      <formula>LEN(TRIM(A2060))=0</formula>
    </cfRule>
  </conditionalFormatting>
  <conditionalFormatting sqref="J2060:L2085">
    <cfRule type="containsBlanks" dxfId="1142" priority="28">
      <formula>LEN(TRIM(J2060))=0</formula>
    </cfRule>
  </conditionalFormatting>
  <conditionalFormatting sqref="A2060:I2085 M2060:U2085 Y2060:Z2085 AC2060:AI2085">
    <cfRule type="containsBlanks" dxfId="1141" priority="29">
      <formula>LEN(TRIM(A2060))=0</formula>
    </cfRule>
  </conditionalFormatting>
  <conditionalFormatting sqref="J2060:L2085">
    <cfRule type="containsBlanks" dxfId="1140" priority="27">
      <formula>LEN(TRIM(J2060))=0</formula>
    </cfRule>
  </conditionalFormatting>
  <conditionalFormatting sqref="V2060:X2085">
    <cfRule type="containsBlanks" dxfId="1139" priority="26">
      <formula>LEN(TRIM(V2060))=0</formula>
    </cfRule>
  </conditionalFormatting>
  <conditionalFormatting sqref="AA2060:AB2085">
    <cfRule type="containsBlanks" dxfId="1138" priority="25">
      <formula>LEN(TRIM(AA2060))=0</formula>
    </cfRule>
  </conditionalFormatting>
  <conditionalFormatting sqref="F2060:F2085">
    <cfRule type="duplicateValues" dxfId="1137" priority="31"/>
  </conditionalFormatting>
  <conditionalFormatting sqref="G2060:G2085">
    <cfRule type="duplicateValues" dxfId="1136" priority="32"/>
  </conditionalFormatting>
  <conditionalFormatting sqref="H2060:H2085">
    <cfRule type="duplicateValues" dxfId="1135" priority="33"/>
  </conditionalFormatting>
  <conditionalFormatting sqref="A2058:I2059 M2058:U2059 Y2058:Z2059 AC2058:AI2059">
    <cfRule type="containsBlanks" dxfId="1134" priority="21">
      <formula>LEN(TRIM(A2058))=0</formula>
    </cfRule>
  </conditionalFormatting>
  <conditionalFormatting sqref="J2058:L2059">
    <cfRule type="containsBlanks" dxfId="1133" priority="19">
      <formula>LEN(TRIM(J2058))=0</formula>
    </cfRule>
  </conditionalFormatting>
  <conditionalFormatting sqref="A2058:I2059 M2058:U2059 Y2058:Z2059 AC2058:AI2059">
    <cfRule type="containsBlanks" dxfId="1132" priority="20">
      <formula>LEN(TRIM(A2058))=0</formula>
    </cfRule>
  </conditionalFormatting>
  <conditionalFormatting sqref="J2058:L2059">
    <cfRule type="containsBlanks" dxfId="1131" priority="18">
      <formula>LEN(TRIM(J2058))=0</formula>
    </cfRule>
  </conditionalFormatting>
  <conditionalFormatting sqref="V2058:X2059">
    <cfRule type="containsBlanks" dxfId="1130" priority="17">
      <formula>LEN(TRIM(V2058))=0</formula>
    </cfRule>
  </conditionalFormatting>
  <conditionalFormatting sqref="AA2058:AB2059">
    <cfRule type="containsBlanks" dxfId="1129" priority="16">
      <formula>LEN(TRIM(AA2058))=0</formula>
    </cfRule>
  </conditionalFormatting>
  <conditionalFormatting sqref="F2058:F2059">
    <cfRule type="duplicateValues" dxfId="1128" priority="22"/>
  </conditionalFormatting>
  <conditionalFormatting sqref="G2058:G2059">
    <cfRule type="duplicateValues" dxfId="1127" priority="23"/>
  </conditionalFormatting>
  <conditionalFormatting sqref="H2058:H2059">
    <cfRule type="duplicateValues" dxfId="1126" priority="24"/>
  </conditionalFormatting>
  <conditionalFormatting sqref="V1976:X2000">
    <cfRule type="containsBlanks" dxfId="1125" priority="13">
      <formula>LEN(TRIM(V1976))=0</formula>
    </cfRule>
  </conditionalFormatting>
  <conditionalFormatting sqref="U1976:U2000">
    <cfRule type="containsBlanks" dxfId="1124" priority="14">
      <formula>LEN(TRIM(U1976))=0</formula>
    </cfRule>
  </conditionalFormatting>
  <conditionalFormatting sqref="U1976:U2000">
    <cfRule type="containsBlanks" dxfId="1123" priority="15">
      <formula>LEN(TRIM(U1976))=0</formula>
    </cfRule>
  </conditionalFormatting>
  <conditionalFormatting sqref="F2004">
    <cfRule type="duplicateValues" dxfId="1122" priority="12"/>
  </conditionalFormatting>
  <conditionalFormatting sqref="U2002:U2011">
    <cfRule type="containsBlanks" dxfId="1121" priority="11">
      <formula>LEN(TRIM(U2002))=0</formula>
    </cfRule>
  </conditionalFormatting>
  <conditionalFormatting sqref="U2002:U2011">
    <cfRule type="containsBlanks" dxfId="1120" priority="10">
      <formula>LEN(TRIM(U2002))=0</formula>
    </cfRule>
  </conditionalFormatting>
  <conditionalFormatting sqref="V2002:X2011">
    <cfRule type="containsBlanks" dxfId="1119" priority="9">
      <formula>LEN(TRIM(V2002))=0</formula>
    </cfRule>
  </conditionalFormatting>
  <conditionalFormatting sqref="AC2001:AC2011">
    <cfRule type="containsBlanks" dxfId="1118" priority="7">
      <formula>LEN(TRIM(AC2001))=0</formula>
    </cfRule>
  </conditionalFormatting>
  <conditionalFormatting sqref="AC2001:AC2011">
    <cfRule type="containsBlanks" dxfId="1117" priority="8">
      <formula>LEN(TRIM(AC2001))=0</formula>
    </cfRule>
  </conditionalFormatting>
  <conditionalFormatting sqref="AB2001:AB2011">
    <cfRule type="containsBlanks" dxfId="1116" priority="6">
      <formula>LEN(TRIM(AB2001))=0</formula>
    </cfRule>
  </conditionalFormatting>
  <conditionalFormatting sqref="AA2001:AA2011">
    <cfRule type="containsBlanks" dxfId="1115" priority="5">
      <formula>LEN(TRIM(AA2001))=0</formula>
    </cfRule>
  </conditionalFormatting>
  <conditionalFormatting sqref="C1976:E2011">
    <cfRule type="containsBlanks" dxfId="1114" priority="3">
      <formula>LEN(TRIM(C1976))=0</formula>
    </cfRule>
  </conditionalFormatting>
  <conditionalFormatting sqref="C1976:E2011">
    <cfRule type="containsBlanks" dxfId="1113" priority="4">
      <formula>LEN(TRIM(C1976))=0</formula>
    </cfRule>
  </conditionalFormatting>
  <conditionalFormatting sqref="C2012:E2012">
    <cfRule type="containsBlanks" dxfId="1112" priority="1">
      <formula>LEN(TRIM(C2012))=0</formula>
    </cfRule>
  </conditionalFormatting>
  <conditionalFormatting sqref="C2012:E2012">
    <cfRule type="containsBlanks" dxfId="1111" priority="2">
      <formula>LEN(TRIM(C2012))=0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81"/>
  <sheetViews>
    <sheetView topLeftCell="A28" zoomScaleNormal="100" workbookViewId="0">
      <selection activeCell="M57" sqref="M57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91</v>
      </c>
    </row>
    <row r="3" spans="1:35"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0</v>
      </c>
      <c r="K4" s="24">
        <f>'[7]SUMMARY WFP 2022'!VX91</f>
        <v>0</v>
      </c>
      <c r="L4" s="25">
        <f>J4-K4</f>
        <v>0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1</v>
      </c>
      <c r="K5" s="24">
        <f>'[7]SUMMARY WFP 2022'!VY91</f>
        <v>0</v>
      </c>
      <c r="L5" s="25">
        <f>J5-K5</f>
        <v>1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1</v>
      </c>
      <c r="K6" s="25">
        <f>SUM(K4:K5)</f>
        <v>0</v>
      </c>
      <c r="L6" s="25">
        <f>J6-K6</f>
        <v>1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1</v>
      </c>
      <c r="K7" s="24">
        <f>'[7]SUMMARY WFP 2022'!WA91</f>
        <v>0</v>
      </c>
      <c r="L7" s="25">
        <f>J7-K7</f>
        <v>1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2607</v>
      </c>
      <c r="K8" s="24">
        <f>'[7]SUMMARY WFP 2022'!VM91</f>
        <v>0</v>
      </c>
      <c r="L8" s="25">
        <f>J8-K8</f>
        <v>2607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89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SUM(J14,J26,J58,J70)</f>
        <v>0</v>
      </c>
      <c r="K13" s="29">
        <f>SUM(K14,K26,K58,K70)</f>
        <v>1</v>
      </c>
      <c r="L13" s="29">
        <f>SUM(L14,L26,L58,L70)</f>
        <v>1</v>
      </c>
      <c r="M13" s="29">
        <f>SUM(M14,M26,M58,M70)</f>
        <v>0</v>
      </c>
      <c r="N13" s="29">
        <f>SUM(N14,N26,N58,N70)</f>
        <v>0</v>
      </c>
      <c r="O13" s="29"/>
      <c r="P13" s="29">
        <f>SUM(P14,P26,P58,P70)</f>
        <v>0</v>
      </c>
      <c r="Q13" s="29">
        <f>SUM(Q14,Q26,Q58,Q70)</f>
        <v>0</v>
      </c>
      <c r="R13" s="29"/>
      <c r="S13" s="29">
        <f>SUM(S14,S26,S58,S70)</f>
        <v>1</v>
      </c>
      <c r="T13" s="29">
        <f>SUM(T14,T26,T58,T70)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SUM(AC14,AC26,AC58,AC70)</f>
        <v>2607</v>
      </c>
      <c r="AD13" s="29">
        <f>SUM(AD14,AD26,AD58,AD70)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SUM(J27:J57)</f>
        <v>0</v>
      </c>
      <c r="K26" s="31">
        <f>SUM(K27:K57)</f>
        <v>1</v>
      </c>
      <c r="L26" s="31">
        <f>SUM(L27:L57)</f>
        <v>1</v>
      </c>
      <c r="M26" s="31">
        <f>SUM(M27:M57)</f>
        <v>0</v>
      </c>
      <c r="N26" s="31">
        <f>SUM(N27:N57)</f>
        <v>0</v>
      </c>
      <c r="O26" s="31"/>
      <c r="P26" s="31">
        <f>SUM(P27:P57)</f>
        <v>0</v>
      </c>
      <c r="Q26" s="31">
        <f>SUM(Q27:Q57)</f>
        <v>0</v>
      </c>
      <c r="R26" s="31"/>
      <c r="S26" s="31">
        <f>SUM(S27:S57)</f>
        <v>1</v>
      </c>
      <c r="T26" s="31">
        <f>SUM(T27:T57)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SUM(AC27:AC57)</f>
        <v>2607</v>
      </c>
      <c r="AD26" s="31">
        <f>SUM(AD27:AD57)</f>
        <v>0</v>
      </c>
      <c r="AE26" s="31" t="e">
        <f>AVERAGE(AE27:AE57)</f>
        <v>#DIV/0!</v>
      </c>
      <c r="AF26" s="31" t="e">
        <f>AVERAGE(AF27:AF57)</f>
        <v>#DIV/0!</v>
      </c>
      <c r="AG26" s="31" t="e">
        <f>AVERAGE(AG27:AG57)</f>
        <v>#DIV/0!</v>
      </c>
      <c r="AH26" s="19"/>
      <c r="AI26" s="41"/>
    </row>
    <row r="27" spans="1:35" ht="31.5">
      <c r="A27" s="14"/>
      <c r="B27" s="20"/>
      <c r="C27" s="89" t="s">
        <v>1432</v>
      </c>
      <c r="D27" s="89" t="s">
        <v>1782</v>
      </c>
      <c r="E27" s="53" t="s">
        <v>1811</v>
      </c>
      <c r="F27" s="89" t="s">
        <v>1812</v>
      </c>
      <c r="G27" s="89" t="s">
        <v>1813</v>
      </c>
      <c r="H27" s="89" t="s">
        <v>120</v>
      </c>
      <c r="I27" s="115"/>
      <c r="J27" s="90"/>
      <c r="K27" s="90">
        <v>1</v>
      </c>
      <c r="L27" s="90">
        <v>1</v>
      </c>
      <c r="M27" s="24"/>
      <c r="N27" s="24"/>
      <c r="O27" s="24"/>
      <c r="P27" s="24"/>
      <c r="Q27" s="24"/>
      <c r="R27" s="24"/>
      <c r="S27" s="90">
        <v>1</v>
      </c>
      <c r="T27" s="90"/>
      <c r="U27" s="89" t="s">
        <v>518</v>
      </c>
      <c r="V27" s="89" t="s">
        <v>503</v>
      </c>
      <c r="W27" s="89" t="s">
        <v>298</v>
      </c>
      <c r="X27" s="89" t="s">
        <v>227</v>
      </c>
      <c r="Y27" s="20"/>
      <c r="Z27" s="20"/>
      <c r="AA27" s="89" t="s">
        <v>1814</v>
      </c>
      <c r="AB27" s="89" t="s">
        <v>1815</v>
      </c>
      <c r="AC27" s="90">
        <v>1</v>
      </c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/>
      <c r="D28" s="20"/>
      <c r="E28" s="20"/>
      <c r="F28" s="20"/>
      <c r="G28" s="20"/>
      <c r="H28" s="20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0"/>
      <c r="V28" s="20"/>
      <c r="W28" s="20"/>
      <c r="X28" s="20"/>
      <c r="Y28" s="20"/>
      <c r="Z28" s="20"/>
      <c r="AA28" s="53" t="s">
        <v>1816</v>
      </c>
      <c r="AB28" s="53" t="s">
        <v>1815</v>
      </c>
      <c r="AC28" s="24">
        <v>1</v>
      </c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/>
      <c r="D29" s="20"/>
      <c r="E29" s="20"/>
      <c r="F29" s="20"/>
      <c r="G29" s="20"/>
      <c r="H29" s="20"/>
      <c r="I29" s="3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0"/>
      <c r="V29" s="20"/>
      <c r="W29" s="20"/>
      <c r="X29" s="20"/>
      <c r="Y29" s="20"/>
      <c r="Z29" s="20"/>
      <c r="AA29" s="53" t="s">
        <v>1817</v>
      </c>
      <c r="AB29" s="53" t="s">
        <v>1815</v>
      </c>
      <c r="AC29" s="24">
        <v>20</v>
      </c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/>
      <c r="D30" s="20"/>
      <c r="E30" s="20"/>
      <c r="F30" s="20"/>
      <c r="G30" s="20"/>
      <c r="H30" s="20"/>
      <c r="I30" s="3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0"/>
      <c r="V30" s="20"/>
      <c r="W30" s="20"/>
      <c r="X30" s="20"/>
      <c r="Y30" s="20"/>
      <c r="Z30" s="20"/>
      <c r="AA30" s="53" t="s">
        <v>1818</v>
      </c>
      <c r="AB30" s="53" t="s">
        <v>1815</v>
      </c>
      <c r="AC30" s="24">
        <v>7</v>
      </c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 t="s">
        <v>1866</v>
      </c>
      <c r="D31" s="20" t="s">
        <v>501</v>
      </c>
      <c r="E31" s="20"/>
      <c r="F31" s="20" t="s">
        <v>2442</v>
      </c>
      <c r="G31" s="20" t="s">
        <v>2443</v>
      </c>
      <c r="H31" s="20" t="s">
        <v>286</v>
      </c>
      <c r="I31" s="116">
        <v>25911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0"/>
      <c r="V31" s="20"/>
      <c r="W31" s="20"/>
      <c r="X31" s="20"/>
      <c r="Y31" s="20"/>
      <c r="Z31" s="20"/>
      <c r="AA31" s="53"/>
      <c r="AB31" s="53"/>
      <c r="AC31" s="24"/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/>
      <c r="D32" s="20"/>
      <c r="E32" s="20"/>
      <c r="F32" s="20" t="s">
        <v>2444</v>
      </c>
      <c r="G32" s="20" t="s">
        <v>2445</v>
      </c>
      <c r="H32" s="20" t="s">
        <v>160</v>
      </c>
      <c r="I32" s="116">
        <v>33274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0"/>
      <c r="V32" s="20"/>
      <c r="W32" s="20"/>
      <c r="X32" s="20"/>
      <c r="Y32" s="20"/>
      <c r="Z32" s="20"/>
      <c r="AA32" s="53"/>
      <c r="AB32" s="53"/>
      <c r="AC32" s="24"/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/>
      <c r="D33" s="20"/>
      <c r="E33" s="20"/>
      <c r="F33" s="20" t="s">
        <v>2446</v>
      </c>
      <c r="G33" s="20" t="s">
        <v>1924</v>
      </c>
      <c r="H33" s="20" t="s">
        <v>120</v>
      </c>
      <c r="I33" s="116" t="s">
        <v>2467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0"/>
      <c r="V33" s="20"/>
      <c r="W33" s="20"/>
      <c r="X33" s="20"/>
      <c r="Y33" s="20"/>
      <c r="Z33" s="20"/>
      <c r="AA33" s="53"/>
      <c r="AB33" s="53"/>
      <c r="AC33" s="24"/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/>
      <c r="D34" s="20"/>
      <c r="E34" s="20"/>
      <c r="F34" s="20" t="s">
        <v>2447</v>
      </c>
      <c r="G34" s="20" t="s">
        <v>1330</v>
      </c>
      <c r="H34" s="20" t="s">
        <v>120</v>
      </c>
      <c r="I34" s="116">
        <v>22802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0"/>
      <c r="V34" s="20"/>
      <c r="W34" s="20"/>
      <c r="X34" s="20"/>
      <c r="Y34" s="20"/>
      <c r="Z34" s="20"/>
      <c r="AA34" s="53"/>
      <c r="AB34" s="53"/>
      <c r="AC34" s="24"/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/>
      <c r="D35" s="20"/>
      <c r="E35" s="20"/>
      <c r="F35" s="20" t="s">
        <v>2448</v>
      </c>
      <c r="G35" s="20" t="s">
        <v>2449</v>
      </c>
      <c r="H35" s="20" t="s">
        <v>160</v>
      </c>
      <c r="I35" s="116">
        <v>35562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0"/>
      <c r="V35" s="20"/>
      <c r="W35" s="20"/>
      <c r="X35" s="20"/>
      <c r="Y35" s="20"/>
      <c r="Z35" s="20"/>
      <c r="AA35" s="53"/>
      <c r="AB35" s="53"/>
      <c r="AC35" s="24"/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 t="s">
        <v>2444</v>
      </c>
      <c r="G36" s="20" t="s">
        <v>2450</v>
      </c>
      <c r="H36" s="20" t="s">
        <v>120</v>
      </c>
      <c r="I36" s="116" t="s">
        <v>2466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0"/>
      <c r="V36" s="20"/>
      <c r="W36" s="20"/>
      <c r="X36" s="20"/>
      <c r="Y36" s="20"/>
      <c r="Z36" s="20"/>
      <c r="AA36" s="53"/>
      <c r="AB36" s="53"/>
      <c r="AC36" s="24"/>
      <c r="AD36" s="24"/>
      <c r="AE36" s="24"/>
      <c r="AF36" s="24"/>
      <c r="AG36" s="24"/>
      <c r="AH36" s="20"/>
      <c r="AI36" s="42"/>
    </row>
    <row r="37" spans="1:35">
      <c r="A37" s="14"/>
      <c r="B37" s="20"/>
      <c r="C37" s="20"/>
      <c r="D37" s="20"/>
      <c r="E37" s="20"/>
      <c r="F37" s="20" t="s">
        <v>2451</v>
      </c>
      <c r="G37" s="20" t="s">
        <v>2452</v>
      </c>
      <c r="H37" s="20" t="s">
        <v>120</v>
      </c>
      <c r="I37" s="116">
        <v>26458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0"/>
      <c r="V37" s="20"/>
      <c r="W37" s="20"/>
      <c r="X37" s="20"/>
      <c r="Y37" s="20"/>
      <c r="Z37" s="20"/>
      <c r="AA37" s="53"/>
      <c r="AB37" s="53"/>
      <c r="AC37" s="24"/>
      <c r="AD37" s="24"/>
      <c r="AE37" s="24"/>
      <c r="AF37" s="24"/>
      <c r="AG37" s="24"/>
      <c r="AH37" s="20"/>
      <c r="AI37" s="42"/>
    </row>
    <row r="38" spans="1:35">
      <c r="A38" s="14"/>
      <c r="B38" s="20"/>
      <c r="C38" s="20"/>
      <c r="D38" s="20"/>
      <c r="E38" s="20"/>
      <c r="F38" s="20" t="s">
        <v>2447</v>
      </c>
      <c r="G38" s="20" t="s">
        <v>2453</v>
      </c>
      <c r="H38" s="20" t="s">
        <v>120</v>
      </c>
      <c r="I38" s="116">
        <v>34828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0"/>
      <c r="V38" s="20"/>
      <c r="W38" s="20"/>
      <c r="X38" s="20"/>
      <c r="Y38" s="20"/>
      <c r="Z38" s="20"/>
      <c r="AA38" s="53"/>
      <c r="AB38" s="53"/>
      <c r="AC38" s="24"/>
      <c r="AD38" s="24"/>
      <c r="AE38" s="24"/>
      <c r="AF38" s="24"/>
      <c r="AG38" s="24"/>
      <c r="AH38" s="20"/>
      <c r="AI38" s="42"/>
    </row>
    <row r="39" spans="1:35">
      <c r="A39" s="14"/>
      <c r="B39" s="20"/>
      <c r="C39" s="20"/>
      <c r="D39" s="20"/>
      <c r="E39" s="20"/>
      <c r="F39" s="20" t="s">
        <v>2444</v>
      </c>
      <c r="G39" s="20" t="s">
        <v>2454</v>
      </c>
      <c r="H39" s="20" t="s">
        <v>81</v>
      </c>
      <c r="I39" s="116">
        <v>28672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53"/>
      <c r="AB39" s="53"/>
      <c r="AC39" s="24"/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/>
      <c r="D40" s="20"/>
      <c r="E40" s="20"/>
      <c r="F40" s="20" t="s">
        <v>2444</v>
      </c>
      <c r="G40" s="20" t="s">
        <v>2455</v>
      </c>
      <c r="H40" s="20" t="s">
        <v>120</v>
      </c>
      <c r="I40" s="116" t="s">
        <v>2465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0"/>
      <c r="V40" s="20"/>
      <c r="W40" s="20"/>
      <c r="X40" s="20"/>
      <c r="Y40" s="20"/>
      <c r="Z40" s="20"/>
      <c r="AA40" s="53"/>
      <c r="AB40" s="53"/>
      <c r="AC40" s="24"/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/>
      <c r="D41" s="20"/>
      <c r="E41" s="20"/>
      <c r="F41" s="20" t="s">
        <v>2444</v>
      </c>
      <c r="G41" s="20" t="s">
        <v>156</v>
      </c>
      <c r="H41" s="20" t="s">
        <v>120</v>
      </c>
      <c r="I41" s="116" t="s">
        <v>2464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53"/>
      <c r="AB41" s="53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 t="s">
        <v>2442</v>
      </c>
      <c r="G42" s="20" t="s">
        <v>2456</v>
      </c>
      <c r="H42" s="20" t="s">
        <v>120</v>
      </c>
      <c r="I42" s="116" t="s">
        <v>2463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53"/>
      <c r="AB42" s="53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 t="s">
        <v>2444</v>
      </c>
      <c r="G43" s="20" t="s">
        <v>2457</v>
      </c>
      <c r="H43" s="20" t="s">
        <v>133</v>
      </c>
      <c r="I43" s="116" t="s">
        <v>2462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53"/>
      <c r="AB43" s="53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 t="s">
        <v>2447</v>
      </c>
      <c r="G44" s="20" t="s">
        <v>2458</v>
      </c>
      <c r="H44" s="20" t="s">
        <v>120</v>
      </c>
      <c r="I44" s="116" t="s">
        <v>2461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53"/>
      <c r="AB44" s="53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 t="s">
        <v>2444</v>
      </c>
      <c r="G45" s="20" t="s">
        <v>2459</v>
      </c>
      <c r="H45" s="20" t="s">
        <v>115</v>
      </c>
      <c r="I45" s="116" t="s">
        <v>2460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53"/>
      <c r="AB45" s="53"/>
      <c r="AC45" s="24"/>
      <c r="AD45" s="24"/>
      <c r="AE45" s="24"/>
      <c r="AF45" s="24"/>
      <c r="AG45" s="24"/>
      <c r="AH45" s="20"/>
      <c r="AI45" s="42"/>
    </row>
    <row r="46" spans="1:35">
      <c r="A46" s="14" t="s">
        <v>93</v>
      </c>
      <c r="B46" s="20"/>
      <c r="C46" s="20"/>
      <c r="D46" s="20"/>
      <c r="E46" s="20"/>
      <c r="F46" s="20" t="s">
        <v>2444</v>
      </c>
      <c r="G46" s="20" t="s">
        <v>922</v>
      </c>
      <c r="H46" s="20" t="s">
        <v>120</v>
      </c>
      <c r="I46" s="116" t="s">
        <v>2469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53"/>
      <c r="AB46" s="53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 t="s">
        <v>2444</v>
      </c>
      <c r="G47" s="20" t="s">
        <v>2468</v>
      </c>
      <c r="H47" s="20" t="s">
        <v>120</v>
      </c>
      <c r="I47" s="116" t="s">
        <v>2470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53"/>
      <c r="AB47" s="53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 t="s">
        <v>2448</v>
      </c>
      <c r="G48" s="20" t="s">
        <v>2471</v>
      </c>
      <c r="H48" s="20" t="s">
        <v>120</v>
      </c>
      <c r="I48" s="116" t="s">
        <v>2473</v>
      </c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53"/>
      <c r="AB48" s="53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 t="s">
        <v>2447</v>
      </c>
      <c r="G49" s="20" t="s">
        <v>2472</v>
      </c>
      <c r="H49" s="20" t="s">
        <v>120</v>
      </c>
      <c r="I49" s="116">
        <v>24746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53"/>
      <c r="AB49" s="53"/>
      <c r="AC49" s="24"/>
      <c r="AD49" s="24"/>
      <c r="AE49" s="24"/>
      <c r="AF49" s="24"/>
      <c r="AG49" s="24"/>
      <c r="AH49" s="20"/>
      <c r="AI49" s="42"/>
    </row>
    <row r="50" spans="1:35">
      <c r="A50" s="14"/>
      <c r="B50" s="20"/>
      <c r="C50" s="20"/>
      <c r="D50" s="20"/>
      <c r="E50" s="20"/>
      <c r="F50" s="20" t="s">
        <v>529</v>
      </c>
      <c r="G50" s="20" t="s">
        <v>2474</v>
      </c>
      <c r="H50" s="20" t="s">
        <v>1040</v>
      </c>
      <c r="I50" s="116" t="s">
        <v>2475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0"/>
      <c r="V50" s="20"/>
      <c r="W50" s="20"/>
      <c r="X50" s="20"/>
      <c r="Y50" s="20"/>
      <c r="Z50" s="20"/>
      <c r="AA50" s="53" t="s">
        <v>1819</v>
      </c>
      <c r="AB50" s="53" t="s">
        <v>1815</v>
      </c>
      <c r="AC50" s="24">
        <v>15</v>
      </c>
      <c r="AD50" s="24"/>
      <c r="AE50" s="24"/>
      <c r="AF50" s="24"/>
      <c r="AG50" s="24"/>
      <c r="AH50" s="20"/>
      <c r="AI50" s="42"/>
    </row>
    <row r="51" spans="1:35">
      <c r="A51" s="14"/>
      <c r="B51" s="20"/>
      <c r="C51" s="20"/>
      <c r="D51" s="20"/>
      <c r="E51" s="20"/>
      <c r="F51" s="20" t="s">
        <v>2476</v>
      </c>
      <c r="G51" s="20" t="s">
        <v>2085</v>
      </c>
      <c r="H51" s="20" t="s">
        <v>1040</v>
      </c>
      <c r="I51" s="116">
        <v>29137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53" t="s">
        <v>1820</v>
      </c>
      <c r="AB51" s="53" t="s">
        <v>1821</v>
      </c>
      <c r="AC51" s="24">
        <v>2</v>
      </c>
      <c r="AD51" s="24"/>
      <c r="AE51" s="24"/>
      <c r="AF51" s="24"/>
      <c r="AG51" s="24"/>
      <c r="AH51" s="20"/>
      <c r="AI51" s="42"/>
    </row>
    <row r="52" spans="1:35">
      <c r="A52" s="14"/>
      <c r="B52" s="20"/>
      <c r="C52" s="20"/>
      <c r="D52" s="20"/>
      <c r="E52" s="20"/>
      <c r="F52" s="20" t="s">
        <v>2477</v>
      </c>
      <c r="G52" s="20" t="s">
        <v>2478</v>
      </c>
      <c r="H52" s="20" t="s">
        <v>120</v>
      </c>
      <c r="I52" s="116">
        <v>35500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0"/>
      <c r="V52" s="20"/>
      <c r="W52" s="20"/>
      <c r="X52" s="20"/>
      <c r="Y52" s="20"/>
      <c r="Z52" s="20"/>
      <c r="AA52" s="53" t="s">
        <v>1822</v>
      </c>
      <c r="AB52" s="53" t="s">
        <v>526</v>
      </c>
      <c r="AC52" s="24">
        <v>4</v>
      </c>
      <c r="AD52" s="24"/>
      <c r="AE52" s="24"/>
      <c r="AF52" s="24"/>
      <c r="AG52" s="24"/>
      <c r="AH52" s="20"/>
      <c r="AI52" s="42"/>
    </row>
    <row r="53" spans="1:35">
      <c r="A53" s="14"/>
      <c r="B53" s="20"/>
      <c r="C53" s="20"/>
      <c r="D53" s="20"/>
      <c r="E53" s="20"/>
      <c r="F53" s="20"/>
      <c r="G53" s="20"/>
      <c r="H53" s="20"/>
      <c r="I53" s="116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53" t="s">
        <v>1823</v>
      </c>
      <c r="AB53" s="53" t="s">
        <v>526</v>
      </c>
      <c r="AC53" s="24">
        <v>4</v>
      </c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116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53" t="s">
        <v>1824</v>
      </c>
      <c r="AB54" s="53" t="s">
        <v>526</v>
      </c>
      <c r="AC54" s="24">
        <v>3</v>
      </c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116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53" t="s">
        <v>1825</v>
      </c>
      <c r="AB55" s="53" t="s">
        <v>1826</v>
      </c>
      <c r="AC55" s="24">
        <v>50</v>
      </c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1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53" t="s">
        <v>1827</v>
      </c>
      <c r="AB56" s="53" t="s">
        <v>1821</v>
      </c>
      <c r="AC56" s="24">
        <v>2500</v>
      </c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116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 s="6" customFormat="1">
      <c r="A58" s="18"/>
      <c r="B58" s="19"/>
      <c r="C58" s="19" t="s">
        <v>83</v>
      </c>
      <c r="D58" s="19"/>
      <c r="E58" s="19"/>
      <c r="F58" s="19"/>
      <c r="G58" s="19"/>
      <c r="H58" s="19"/>
      <c r="I58" s="129"/>
      <c r="J58" s="31">
        <f>SUM(J59:J69)</f>
        <v>0</v>
      </c>
      <c r="K58" s="31">
        <f>SUM(K59:K69)</f>
        <v>0</v>
      </c>
      <c r="L58" s="31">
        <f>SUM(L59:L69)</f>
        <v>0</v>
      </c>
      <c r="M58" s="31">
        <f>SUM(M59:M69)</f>
        <v>0</v>
      </c>
      <c r="N58" s="31">
        <f>SUM(N59:N69)</f>
        <v>0</v>
      </c>
      <c r="O58" s="31"/>
      <c r="P58" s="31">
        <f>SUM(P59:P69)</f>
        <v>0</v>
      </c>
      <c r="Q58" s="31">
        <f>SUM(Q59:Q69)</f>
        <v>0</v>
      </c>
      <c r="R58" s="31"/>
      <c r="S58" s="31">
        <f>SUM(S59:S69)</f>
        <v>0</v>
      </c>
      <c r="T58" s="31">
        <f>SUM(T59:T69)</f>
        <v>0</v>
      </c>
      <c r="U58" s="19"/>
      <c r="V58" s="19"/>
      <c r="W58" s="19"/>
      <c r="X58" s="19"/>
      <c r="Y58" s="19"/>
      <c r="Z58" s="19"/>
      <c r="AA58" s="19"/>
      <c r="AB58" s="19"/>
      <c r="AC58" s="31">
        <f>SUM(AC59:AC69)</f>
        <v>0</v>
      </c>
      <c r="AD58" s="31">
        <f>SUM(AD59:AD69)</f>
        <v>0</v>
      </c>
      <c r="AE58" s="31" t="e">
        <f>AVERAGE(AE59:AE69)</f>
        <v>#DIV/0!</v>
      </c>
      <c r="AF58" s="31" t="e">
        <f>AVERAGE(AF59:AF69)</f>
        <v>#DIV/0!</v>
      </c>
      <c r="AG58" s="31" t="e">
        <f>AVERAGE(AG59:AG69)</f>
        <v>#DIV/0!</v>
      </c>
      <c r="AH58" s="19"/>
      <c r="AI58" s="41"/>
    </row>
    <row r="59" spans="1:35">
      <c r="A59" s="14"/>
      <c r="B59" s="20"/>
      <c r="C59" s="20"/>
      <c r="D59" s="20"/>
      <c r="E59" s="20"/>
      <c r="F59" s="20"/>
      <c r="G59" s="20"/>
      <c r="H59" s="20"/>
      <c r="I59" s="116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116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116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  <row r="62" spans="1:35">
      <c r="A62" s="14"/>
      <c r="B62" s="20"/>
      <c r="C62" s="20"/>
      <c r="D62" s="20"/>
      <c r="E62" s="20"/>
      <c r="F62" s="20"/>
      <c r="G62" s="20"/>
      <c r="H62" s="20"/>
      <c r="I62" s="116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0"/>
      <c r="V62" s="20"/>
      <c r="W62" s="20"/>
      <c r="X62" s="20"/>
      <c r="Y62" s="20"/>
      <c r="Z62" s="20"/>
      <c r="AA62" s="20"/>
      <c r="AB62" s="20"/>
      <c r="AC62" s="24"/>
      <c r="AD62" s="24"/>
      <c r="AE62" s="24"/>
      <c r="AF62" s="24"/>
      <c r="AG62" s="24"/>
      <c r="AH62" s="20"/>
      <c r="AI62" s="42"/>
    </row>
    <row r="63" spans="1:35">
      <c r="A63" s="14"/>
      <c r="B63" s="20"/>
      <c r="C63" s="20"/>
      <c r="D63" s="20"/>
      <c r="E63" s="20"/>
      <c r="F63" s="20"/>
      <c r="G63" s="20"/>
      <c r="H63" s="20"/>
      <c r="I63" s="116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0"/>
      <c r="V63" s="20"/>
      <c r="W63" s="20"/>
      <c r="X63" s="20"/>
      <c r="Y63" s="20"/>
      <c r="Z63" s="20"/>
      <c r="AA63" s="20"/>
      <c r="AB63" s="20"/>
      <c r="AC63" s="24"/>
      <c r="AD63" s="24"/>
      <c r="AE63" s="24"/>
      <c r="AF63" s="24"/>
      <c r="AG63" s="24"/>
      <c r="AH63" s="20"/>
      <c r="AI63" s="42"/>
    </row>
    <row r="64" spans="1:35">
      <c r="A64" s="14"/>
      <c r="B64" s="20"/>
      <c r="C64" s="20"/>
      <c r="D64" s="20"/>
      <c r="E64" s="20"/>
      <c r="F64" s="20"/>
      <c r="G64" s="20"/>
      <c r="H64" s="20"/>
      <c r="I64" s="116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0"/>
      <c r="V64" s="20"/>
      <c r="W64" s="20"/>
      <c r="X64" s="20"/>
      <c r="Y64" s="20"/>
      <c r="Z64" s="20"/>
      <c r="AA64" s="20"/>
      <c r="AB64" s="20"/>
      <c r="AC64" s="24"/>
      <c r="AD64" s="24"/>
      <c r="AE64" s="24"/>
      <c r="AF64" s="24"/>
      <c r="AG64" s="24"/>
      <c r="AH64" s="20"/>
      <c r="AI64" s="42"/>
    </row>
    <row r="65" spans="1:35">
      <c r="A65" s="14"/>
      <c r="B65" s="20"/>
      <c r="C65" s="20"/>
      <c r="D65" s="20"/>
      <c r="E65" s="20"/>
      <c r="F65" s="20"/>
      <c r="G65" s="20"/>
      <c r="H65" s="20"/>
      <c r="I65" s="116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0"/>
      <c r="V65" s="20"/>
      <c r="W65" s="20"/>
      <c r="X65" s="20"/>
      <c r="Y65" s="20"/>
      <c r="Z65" s="20"/>
      <c r="AA65" s="20"/>
      <c r="AB65" s="20"/>
      <c r="AC65" s="24"/>
      <c r="AD65" s="24"/>
      <c r="AE65" s="24"/>
      <c r="AF65" s="24"/>
      <c r="AG65" s="24"/>
      <c r="AH65" s="20"/>
      <c r="AI65" s="42"/>
    </row>
    <row r="66" spans="1:35">
      <c r="A66" s="14"/>
      <c r="B66" s="20"/>
      <c r="C66" s="20"/>
      <c r="D66" s="20"/>
      <c r="E66" s="20"/>
      <c r="F66" s="20"/>
      <c r="G66" s="20"/>
      <c r="H66" s="20"/>
      <c r="I66" s="116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0"/>
      <c r="V66" s="20"/>
      <c r="W66" s="20"/>
      <c r="X66" s="20"/>
      <c r="Y66" s="20"/>
      <c r="Z66" s="20"/>
      <c r="AA66" s="20"/>
      <c r="AB66" s="20"/>
      <c r="AC66" s="24"/>
      <c r="AD66" s="24"/>
      <c r="AE66" s="24"/>
      <c r="AF66" s="24"/>
      <c r="AG66" s="24"/>
      <c r="AH66" s="20"/>
      <c r="AI66" s="42"/>
    </row>
    <row r="67" spans="1:35">
      <c r="A67" s="14"/>
      <c r="B67" s="20"/>
      <c r="C67" s="20"/>
      <c r="D67" s="20"/>
      <c r="E67" s="20"/>
      <c r="F67" s="20"/>
      <c r="G67" s="20"/>
      <c r="H67" s="20"/>
      <c r="I67" s="116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0"/>
      <c r="V67" s="20"/>
      <c r="W67" s="20"/>
      <c r="X67" s="20"/>
      <c r="Y67" s="20"/>
      <c r="Z67" s="20"/>
      <c r="AA67" s="20"/>
      <c r="AB67" s="20"/>
      <c r="AC67" s="24"/>
      <c r="AD67" s="24"/>
      <c r="AE67" s="24"/>
      <c r="AF67" s="24"/>
      <c r="AG67" s="24"/>
      <c r="AH67" s="20"/>
      <c r="AI67" s="42"/>
    </row>
    <row r="68" spans="1:35">
      <c r="A68" s="14"/>
      <c r="B68" s="20"/>
      <c r="C68" s="20"/>
      <c r="D68" s="20"/>
      <c r="E68" s="20"/>
      <c r="F68" s="20"/>
      <c r="G68" s="20"/>
      <c r="H68" s="20"/>
      <c r="I68" s="116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0"/>
      <c r="V68" s="20"/>
      <c r="W68" s="20"/>
      <c r="X68" s="20"/>
      <c r="Y68" s="20"/>
      <c r="Z68" s="20"/>
      <c r="AA68" s="20"/>
      <c r="AB68" s="20"/>
      <c r="AC68" s="24"/>
      <c r="AD68" s="24"/>
      <c r="AE68" s="24"/>
      <c r="AF68" s="24"/>
      <c r="AG68" s="24"/>
      <c r="AH68" s="20"/>
      <c r="AI68" s="42"/>
    </row>
    <row r="69" spans="1:35">
      <c r="A69" s="14"/>
      <c r="B69" s="20"/>
      <c r="C69" s="20"/>
      <c r="D69" s="20"/>
      <c r="E69" s="20"/>
      <c r="F69" s="20"/>
      <c r="G69" s="20"/>
      <c r="H69" s="20"/>
      <c r="I69" s="116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0"/>
      <c r="V69" s="20"/>
      <c r="W69" s="20"/>
      <c r="X69" s="20"/>
      <c r="Y69" s="20"/>
      <c r="Z69" s="20"/>
      <c r="AA69" s="20"/>
      <c r="AB69" s="20"/>
      <c r="AC69" s="24"/>
      <c r="AD69" s="24"/>
      <c r="AE69" s="24"/>
      <c r="AF69" s="24"/>
      <c r="AG69" s="24"/>
      <c r="AH69" s="20"/>
      <c r="AI69" s="42"/>
    </row>
    <row r="70" spans="1:35" s="6" customFormat="1">
      <c r="A70" s="18"/>
      <c r="B70" s="19"/>
      <c r="C70" s="19" t="s">
        <v>84</v>
      </c>
      <c r="D70" s="19"/>
      <c r="E70" s="19"/>
      <c r="F70" s="19"/>
      <c r="G70" s="19"/>
      <c r="H70" s="19"/>
      <c r="I70" s="129"/>
      <c r="J70" s="31">
        <f>SUM(J71:J81)</f>
        <v>0</v>
      </c>
      <c r="K70" s="31">
        <f>SUM(K71:K81)</f>
        <v>0</v>
      </c>
      <c r="L70" s="31">
        <f>SUM(L71:L81)</f>
        <v>0</v>
      </c>
      <c r="M70" s="31">
        <f>SUM(M71:M81)</f>
        <v>0</v>
      </c>
      <c r="N70" s="31">
        <f>SUM(N71:N81)</f>
        <v>0</v>
      </c>
      <c r="O70" s="31"/>
      <c r="P70" s="31">
        <f>SUM(P71:P81)</f>
        <v>0</v>
      </c>
      <c r="Q70" s="31">
        <f>SUM(Q71:Q81)</f>
        <v>0</v>
      </c>
      <c r="R70" s="31"/>
      <c r="S70" s="31">
        <f>SUM(S71:S81)</f>
        <v>0</v>
      </c>
      <c r="T70" s="31">
        <f>SUM(T71:T81)</f>
        <v>0</v>
      </c>
      <c r="U70" s="19"/>
      <c r="V70" s="19"/>
      <c r="W70" s="19"/>
      <c r="X70" s="19"/>
      <c r="Y70" s="19"/>
      <c r="Z70" s="19"/>
      <c r="AA70" s="19"/>
      <c r="AB70" s="19"/>
      <c r="AC70" s="31">
        <f>SUM(AC71:AC81)</f>
        <v>0</v>
      </c>
      <c r="AD70" s="31">
        <f>SUM(AD71:AD81)</f>
        <v>0</v>
      </c>
      <c r="AE70" s="31" t="e">
        <f>AVERAGE(AE71:AE81)</f>
        <v>#DIV/0!</v>
      </c>
      <c r="AF70" s="31" t="e">
        <f>AVERAGE(AF71:AF81)</f>
        <v>#DIV/0!</v>
      </c>
      <c r="AG70" s="31" t="e">
        <f>AVERAGE(AG71:AG81)</f>
        <v>#DIV/0!</v>
      </c>
      <c r="AH70" s="19"/>
      <c r="AI70" s="41"/>
    </row>
    <row r="71" spans="1:35">
      <c r="A71" s="14"/>
      <c r="B71" s="20"/>
      <c r="C71" s="20"/>
      <c r="D71" s="20"/>
      <c r="E71" s="20"/>
      <c r="F71" s="20"/>
      <c r="G71" s="20"/>
      <c r="H71" s="20"/>
      <c r="I71" s="116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0"/>
      <c r="V71" s="20"/>
      <c r="W71" s="20"/>
      <c r="X71" s="20"/>
      <c r="Y71" s="20"/>
      <c r="Z71" s="20"/>
      <c r="AA71" s="20"/>
      <c r="AB71" s="20"/>
      <c r="AC71" s="24"/>
      <c r="AD71" s="24"/>
      <c r="AE71" s="24"/>
      <c r="AF71" s="24"/>
      <c r="AG71" s="24"/>
      <c r="AH71" s="20"/>
      <c r="AI71" s="42"/>
    </row>
    <row r="72" spans="1:35">
      <c r="A72" s="14"/>
      <c r="B72" s="20"/>
      <c r="C72" s="20"/>
      <c r="D72" s="20"/>
      <c r="E72" s="20"/>
      <c r="F72" s="20"/>
      <c r="G72" s="20"/>
      <c r="H72" s="20"/>
      <c r="I72" s="116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0"/>
      <c r="V72" s="20"/>
      <c r="W72" s="20"/>
      <c r="X72" s="20"/>
      <c r="Y72" s="20"/>
      <c r="Z72" s="20"/>
      <c r="AA72" s="20"/>
      <c r="AB72" s="20"/>
      <c r="AC72" s="24"/>
      <c r="AD72" s="24"/>
      <c r="AE72" s="24"/>
      <c r="AF72" s="24"/>
      <c r="AG72" s="24"/>
      <c r="AH72" s="20"/>
      <c r="AI72" s="42"/>
    </row>
    <row r="73" spans="1:35">
      <c r="A73" s="14"/>
      <c r="B73" s="20"/>
      <c r="C73" s="20"/>
      <c r="D73" s="20"/>
      <c r="E73" s="20"/>
      <c r="F73" s="20"/>
      <c r="G73" s="20"/>
      <c r="H73" s="20"/>
      <c r="I73" s="116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0"/>
      <c r="V73" s="20"/>
      <c r="W73" s="20"/>
      <c r="X73" s="20"/>
      <c r="Y73" s="20"/>
      <c r="Z73" s="20"/>
      <c r="AA73" s="20"/>
      <c r="AB73" s="20"/>
      <c r="AC73" s="24"/>
      <c r="AD73" s="24"/>
      <c r="AE73" s="24"/>
      <c r="AF73" s="24"/>
      <c r="AG73" s="24"/>
      <c r="AH73" s="20"/>
      <c r="AI73" s="42"/>
    </row>
    <row r="74" spans="1:35">
      <c r="A74" s="14"/>
      <c r="B74" s="20"/>
      <c r="C74" s="20"/>
      <c r="D74" s="20"/>
      <c r="E74" s="20"/>
      <c r="F74" s="20"/>
      <c r="G74" s="20"/>
      <c r="H74" s="20"/>
      <c r="I74" s="116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0"/>
      <c r="V74" s="20"/>
      <c r="W74" s="20"/>
      <c r="X74" s="20"/>
      <c r="Y74" s="20"/>
      <c r="Z74" s="20"/>
      <c r="AA74" s="20"/>
      <c r="AB74" s="20"/>
      <c r="AC74" s="24"/>
      <c r="AD74" s="24"/>
      <c r="AE74" s="24"/>
      <c r="AF74" s="24"/>
      <c r="AG74" s="24"/>
      <c r="AH74" s="20"/>
      <c r="AI74" s="42"/>
    </row>
    <row r="75" spans="1:35">
      <c r="A75" s="14"/>
      <c r="B75" s="20"/>
      <c r="C75" s="20"/>
      <c r="D75" s="20"/>
      <c r="E75" s="20"/>
      <c r="F75" s="20"/>
      <c r="G75" s="20"/>
      <c r="H75" s="20"/>
      <c r="I75" s="116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0"/>
      <c r="V75" s="20"/>
      <c r="W75" s="20"/>
      <c r="X75" s="20"/>
      <c r="Y75" s="20"/>
      <c r="Z75" s="20"/>
      <c r="AA75" s="20"/>
      <c r="AB75" s="20"/>
      <c r="AC75" s="24"/>
      <c r="AD75" s="24"/>
      <c r="AE75" s="24"/>
      <c r="AF75" s="24"/>
      <c r="AG75" s="24"/>
      <c r="AH75" s="20"/>
      <c r="AI75" s="42"/>
    </row>
    <row r="76" spans="1:35">
      <c r="A76" s="14"/>
      <c r="B76" s="20"/>
      <c r="C76" s="20"/>
      <c r="D76" s="20"/>
      <c r="E76" s="20"/>
      <c r="F76" s="20"/>
      <c r="G76" s="20"/>
      <c r="H76" s="20"/>
      <c r="I76" s="116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0"/>
      <c r="V76" s="20"/>
      <c r="W76" s="20"/>
      <c r="X76" s="20"/>
      <c r="Y76" s="20"/>
      <c r="Z76" s="20"/>
      <c r="AA76" s="20"/>
      <c r="AB76" s="20"/>
      <c r="AC76" s="24"/>
      <c r="AD76" s="24"/>
      <c r="AE76" s="24"/>
      <c r="AF76" s="24"/>
      <c r="AG76" s="24"/>
      <c r="AH76" s="20"/>
      <c r="AI76" s="42"/>
    </row>
    <row r="77" spans="1:35">
      <c r="A77" s="14"/>
      <c r="B77" s="20"/>
      <c r="C77" s="20"/>
      <c r="D77" s="20"/>
      <c r="E77" s="20"/>
      <c r="F77" s="20"/>
      <c r="G77" s="20"/>
      <c r="H77" s="20"/>
      <c r="I77" s="116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0"/>
      <c r="V77" s="20"/>
      <c r="W77" s="20"/>
      <c r="X77" s="20"/>
      <c r="Y77" s="20"/>
      <c r="Z77" s="20"/>
      <c r="AA77" s="20"/>
      <c r="AB77" s="20"/>
      <c r="AC77" s="24"/>
      <c r="AD77" s="24"/>
      <c r="AE77" s="24"/>
      <c r="AF77" s="24"/>
      <c r="AG77" s="24"/>
      <c r="AH77" s="20"/>
      <c r="AI77" s="42"/>
    </row>
    <row r="78" spans="1:35">
      <c r="A78" s="14"/>
      <c r="B78" s="20"/>
      <c r="C78" s="20"/>
      <c r="D78" s="20"/>
      <c r="E78" s="20"/>
      <c r="F78" s="20"/>
      <c r="G78" s="20"/>
      <c r="H78" s="20"/>
      <c r="I78" s="32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0"/>
      <c r="V78" s="20"/>
      <c r="W78" s="20"/>
      <c r="X78" s="20"/>
      <c r="Y78" s="20"/>
      <c r="Z78" s="20"/>
      <c r="AA78" s="20"/>
      <c r="AB78" s="20"/>
      <c r="AC78" s="24"/>
      <c r="AD78" s="24"/>
      <c r="AE78" s="24"/>
      <c r="AF78" s="24"/>
      <c r="AG78" s="24"/>
      <c r="AH78" s="20"/>
      <c r="AI78" s="42"/>
    </row>
    <row r="79" spans="1:35">
      <c r="A79" s="14"/>
      <c r="B79" s="20"/>
      <c r="C79" s="20"/>
      <c r="D79" s="20"/>
      <c r="E79" s="20"/>
      <c r="F79" s="20"/>
      <c r="G79" s="20"/>
      <c r="H79" s="20"/>
      <c r="I79" s="32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0"/>
      <c r="V79" s="20"/>
      <c r="W79" s="20"/>
      <c r="X79" s="20"/>
      <c r="Y79" s="20"/>
      <c r="Z79" s="20"/>
      <c r="AA79" s="20"/>
      <c r="AB79" s="20"/>
      <c r="AC79" s="24"/>
      <c r="AD79" s="24"/>
      <c r="AE79" s="24"/>
      <c r="AF79" s="24"/>
      <c r="AG79" s="24"/>
      <c r="AH79" s="20"/>
      <c r="AI79" s="42"/>
    </row>
    <row r="80" spans="1:35">
      <c r="A80" s="14"/>
      <c r="B80" s="20"/>
      <c r="C80" s="20"/>
      <c r="D80" s="20"/>
      <c r="E80" s="20"/>
      <c r="F80" s="20"/>
      <c r="G80" s="20"/>
      <c r="H80" s="20"/>
      <c r="I80" s="32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0"/>
      <c r="V80" s="20"/>
      <c r="W80" s="20"/>
      <c r="X80" s="20"/>
      <c r="Y80" s="20"/>
      <c r="Z80" s="20"/>
      <c r="AA80" s="20"/>
      <c r="AB80" s="20"/>
      <c r="AC80" s="24"/>
      <c r="AD80" s="24"/>
      <c r="AE80" s="24"/>
      <c r="AF80" s="24"/>
      <c r="AG80" s="24"/>
      <c r="AH80" s="20"/>
      <c r="AI80" s="42"/>
    </row>
    <row r="81" spans="1:35">
      <c r="A81" s="14"/>
      <c r="B81" s="20"/>
      <c r="C81" s="20"/>
      <c r="D81" s="20"/>
      <c r="E81" s="20"/>
      <c r="F81" s="20"/>
      <c r="G81" s="20"/>
      <c r="H81" s="20"/>
      <c r="I81" s="32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0"/>
      <c r="V81" s="20"/>
      <c r="W81" s="20"/>
      <c r="X81" s="20"/>
      <c r="Y81" s="20"/>
      <c r="Z81" s="20"/>
      <c r="AA81" s="20"/>
      <c r="AB81" s="20"/>
      <c r="AC81" s="24"/>
      <c r="AD81" s="24"/>
      <c r="AE81" s="24"/>
      <c r="AF81" s="24"/>
      <c r="AG81" s="24"/>
      <c r="AH81" s="20"/>
      <c r="AI81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conditionalFormatting sqref="L4:L8">
    <cfRule type="cellIs" dxfId="1110" priority="2" operator="greaterThan">
      <formula>0</formula>
    </cfRule>
    <cfRule type="cellIs" dxfId="1109" priority="3" operator="lessThan">
      <formula>0</formula>
    </cfRule>
  </conditionalFormatting>
  <conditionalFormatting sqref="A59:S69 A71:S81 A15:S25 U15:AI25 U71:AI81 U59:AI69 U27:AI57 A27:S57">
    <cfRule type="containsBlanks" dxfId="1108" priority="4">
      <formula>LEN(TRIM(A15))=0</formula>
    </cfRule>
  </conditionalFormatting>
  <conditionalFormatting sqref="F15:F25 F59:F69 F71:F81 F27:F57">
    <cfRule type="duplicateValues" dxfId="1107" priority="5"/>
  </conditionalFormatting>
  <conditionalFormatting sqref="G15:G25 G59:G69 G71:G81 G27:G57">
    <cfRule type="duplicateValues" dxfId="1106" priority="6"/>
  </conditionalFormatting>
  <conditionalFormatting sqref="H15:H25 H59:H69 H71:H81 H27:H57">
    <cfRule type="duplicateValues" dxfId="1105" priority="7"/>
  </conditionalFormatting>
  <conditionalFormatting sqref="T27:T57 T59:T69 T71:T81 T15:T25">
    <cfRule type="containsBlanks" dxfId="1104" priority="1">
      <formula>LEN(TRIM(T15))=0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61"/>
  <sheetViews>
    <sheetView topLeftCell="B16" zoomScale="120" zoomScaleNormal="120" workbookViewId="0">
      <selection activeCell="A11" sqref="A11:XFD11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92</v>
      </c>
    </row>
    <row r="3" spans="1:35">
      <c r="A3" s="7" t="s">
        <v>93</v>
      </c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0</v>
      </c>
      <c r="K4" s="24">
        <f>'[7]SUMMARY WFP 2022'!VX91</f>
        <v>0</v>
      </c>
      <c r="L4" s="25">
        <f>J4-K4</f>
        <v>0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0</v>
      </c>
      <c r="K5" s="24">
        <f>'[7]SUMMARY WFP 2022'!VY91</f>
        <v>0</v>
      </c>
      <c r="L5" s="25">
        <f>J5-K5</f>
        <v>0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0</v>
      </c>
      <c r="K6" s="25">
        <f>SUM(K4:K5)</f>
        <v>0</v>
      </c>
      <c r="L6" s="25">
        <f>J6-K6</f>
        <v>0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2022'!WA91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0</v>
      </c>
      <c r="K8" s="24">
        <f>'[7]SUMMARY WFP 2022'!VM91</f>
        <v>0</v>
      </c>
      <c r="L8" s="25">
        <f>J8-K8</f>
        <v>0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89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SUM(J14,J26,J38,J50)</f>
        <v>0</v>
      </c>
      <c r="K13" s="29">
        <f>SUM(K14,K26,K38,K50)</f>
        <v>0</v>
      </c>
      <c r="L13" s="29">
        <f>SUM(L14,L26,L38,L50)</f>
        <v>0</v>
      </c>
      <c r="M13" s="29">
        <f>SUM(M14,M26,M38,M50)</f>
        <v>0</v>
      </c>
      <c r="N13" s="29">
        <f>SUM(N14,N26,N38,N50)</f>
        <v>0</v>
      </c>
      <c r="O13" s="29"/>
      <c r="P13" s="29">
        <f>SUM(P14,P26,P38,P50)</f>
        <v>0</v>
      </c>
      <c r="Q13" s="29">
        <f>SUM(Q14,Q26,Q38,Q50)</f>
        <v>0</v>
      </c>
      <c r="R13" s="29"/>
      <c r="S13" s="29">
        <f>SUM(S14,S26,S38,S50)</f>
        <v>0</v>
      </c>
      <c r="T13" s="29">
        <f>SUM(T14,T26,T38,T50)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SUM(AC14,AC26,AC38,AC50)</f>
        <v>0</v>
      </c>
      <c r="AD13" s="29">
        <f>SUM(AD14,AD26,AD38,AD50)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SUM(J27:J37)</f>
        <v>0</v>
      </c>
      <c r="K26" s="31">
        <f>SUM(K27:K37)</f>
        <v>0</v>
      </c>
      <c r="L26" s="31">
        <f>SUM(L27:L37)</f>
        <v>0</v>
      </c>
      <c r="M26" s="31">
        <f>SUM(M27:M37)</f>
        <v>0</v>
      </c>
      <c r="N26" s="31">
        <f>SUM(N27:N37)</f>
        <v>0</v>
      </c>
      <c r="O26" s="31"/>
      <c r="P26" s="31">
        <f>SUM(P27:P37)</f>
        <v>0</v>
      </c>
      <c r="Q26" s="31">
        <f>SUM(Q27:Q37)</f>
        <v>0</v>
      </c>
      <c r="R26" s="31"/>
      <c r="S26" s="31">
        <f>SUM(S27:S37)</f>
        <v>0</v>
      </c>
      <c r="T26" s="31">
        <f>SUM(T27:T37)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SUM(AC27:AC37)</f>
        <v>0</v>
      </c>
      <c r="AD26" s="31">
        <f>SUM(AD27:AD37)</f>
        <v>0</v>
      </c>
      <c r="AE26" s="31" t="e">
        <f>AVERAGE(AE27:AE37)</f>
        <v>#DIV/0!</v>
      </c>
      <c r="AF26" s="31" t="e">
        <f>AVERAGE(AF27:AF37)</f>
        <v>#DIV/0!</v>
      </c>
      <c r="AG26" s="31" t="e">
        <f>AVERAGE(AG27:AG37)</f>
        <v>#DIV/0!</v>
      </c>
      <c r="AH26" s="19"/>
      <c r="AI26" s="41"/>
    </row>
    <row r="27" spans="1:35">
      <c r="A27" s="14"/>
      <c r="B27" s="20"/>
      <c r="C27" s="20"/>
      <c r="D27" s="20"/>
      <c r="E27" s="20"/>
      <c r="F27" s="20"/>
      <c r="G27" s="20"/>
      <c r="H27" s="20"/>
      <c r="I27" s="32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0"/>
      <c r="V27" s="20"/>
      <c r="W27" s="20"/>
      <c r="X27" s="20"/>
      <c r="Y27" s="20"/>
      <c r="Z27" s="20"/>
      <c r="AA27" s="20"/>
      <c r="AB27" s="20"/>
      <c r="AC27" s="24"/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/>
      <c r="D28" s="20"/>
      <c r="E28" s="20"/>
      <c r="F28" s="20"/>
      <c r="G28" s="20"/>
      <c r="H28" s="20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0"/>
      <c r="V28" s="20"/>
      <c r="W28" s="20"/>
      <c r="X28" s="20"/>
      <c r="Y28" s="20"/>
      <c r="Z28" s="20"/>
      <c r="AA28" s="20"/>
      <c r="AB28" s="20"/>
      <c r="AC28" s="24"/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/>
      <c r="D29" s="20"/>
      <c r="E29" s="20"/>
      <c r="F29" s="20"/>
      <c r="G29" s="20"/>
      <c r="H29" s="20"/>
      <c r="I29" s="3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0"/>
      <c r="V29" s="20"/>
      <c r="W29" s="20"/>
      <c r="X29" s="20"/>
      <c r="Y29" s="20"/>
      <c r="Z29" s="20"/>
      <c r="AA29" s="20"/>
      <c r="AB29" s="20"/>
      <c r="AC29" s="24"/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/>
      <c r="D30" s="20"/>
      <c r="E30" s="20"/>
      <c r="F30" s="20"/>
      <c r="G30" s="20"/>
      <c r="H30" s="20"/>
      <c r="I30" s="3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0"/>
      <c r="V30" s="20"/>
      <c r="W30" s="20"/>
      <c r="X30" s="20"/>
      <c r="Y30" s="20"/>
      <c r="Z30" s="20"/>
      <c r="AA30" s="20"/>
      <c r="AB30" s="20"/>
      <c r="AC30" s="24"/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/>
      <c r="D31" s="20"/>
      <c r="E31" s="20"/>
      <c r="F31" s="20"/>
      <c r="G31" s="20"/>
      <c r="H31" s="20"/>
      <c r="I31" s="32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0"/>
      <c r="V31" s="20"/>
      <c r="W31" s="20"/>
      <c r="X31" s="20"/>
      <c r="Y31" s="20"/>
      <c r="Z31" s="20"/>
      <c r="AA31" s="20"/>
      <c r="AB31" s="20"/>
      <c r="AC31" s="24"/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/>
      <c r="D32" s="20"/>
      <c r="E32" s="20"/>
      <c r="F32" s="20"/>
      <c r="G32" s="20"/>
      <c r="H32" s="20"/>
      <c r="I32" s="32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0"/>
      <c r="V32" s="20"/>
      <c r="W32" s="20"/>
      <c r="X32" s="20"/>
      <c r="Y32" s="20"/>
      <c r="Z32" s="20"/>
      <c r="AA32" s="20"/>
      <c r="AB32" s="20"/>
      <c r="AC32" s="24"/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/>
      <c r="D33" s="20"/>
      <c r="E33" s="20"/>
      <c r="F33" s="20"/>
      <c r="G33" s="20"/>
      <c r="H33" s="20"/>
      <c r="I33" s="32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0"/>
      <c r="V33" s="20"/>
      <c r="W33" s="20"/>
      <c r="X33" s="20"/>
      <c r="Y33" s="20"/>
      <c r="Z33" s="20"/>
      <c r="AA33" s="20"/>
      <c r="AB33" s="20"/>
      <c r="AC33" s="24"/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/>
      <c r="D34" s="20"/>
      <c r="E34" s="20"/>
      <c r="F34" s="20"/>
      <c r="G34" s="20"/>
      <c r="H34" s="20"/>
      <c r="I34" s="32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0"/>
      <c r="V34" s="20"/>
      <c r="W34" s="20"/>
      <c r="X34" s="20"/>
      <c r="Y34" s="20"/>
      <c r="Z34" s="20"/>
      <c r="AA34" s="20"/>
      <c r="AB34" s="20"/>
      <c r="AC34" s="24"/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/>
      <c r="D35" s="20"/>
      <c r="E35" s="20"/>
      <c r="F35" s="20"/>
      <c r="G35" s="20"/>
      <c r="H35" s="20"/>
      <c r="I35" s="32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0"/>
      <c r="V35" s="20"/>
      <c r="W35" s="20"/>
      <c r="X35" s="20"/>
      <c r="Y35" s="20"/>
      <c r="Z35" s="20"/>
      <c r="AA35" s="20"/>
      <c r="AB35" s="20"/>
      <c r="AC35" s="24"/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/>
      <c r="G36" s="20"/>
      <c r="H36" s="20"/>
      <c r="I36" s="32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0"/>
      <c r="V36" s="20"/>
      <c r="W36" s="20"/>
      <c r="X36" s="20"/>
      <c r="Y36" s="20"/>
      <c r="Z36" s="20"/>
      <c r="AA36" s="20"/>
      <c r="AB36" s="20"/>
      <c r="AC36" s="24"/>
      <c r="AD36" s="24"/>
      <c r="AE36" s="24"/>
      <c r="AF36" s="24"/>
      <c r="AG36" s="24"/>
      <c r="AH36" s="20"/>
      <c r="AI36" s="42"/>
    </row>
    <row r="37" spans="1:35">
      <c r="A37" s="14"/>
      <c r="B37" s="20"/>
      <c r="C37" s="20"/>
      <c r="D37" s="20"/>
      <c r="E37" s="20"/>
      <c r="F37" s="20"/>
      <c r="G37" s="20"/>
      <c r="H37" s="20"/>
      <c r="I37" s="32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0"/>
      <c r="V37" s="20"/>
      <c r="W37" s="20"/>
      <c r="X37" s="20"/>
      <c r="Y37" s="20"/>
      <c r="Z37" s="20"/>
      <c r="AA37" s="20"/>
      <c r="AB37" s="20"/>
      <c r="AC37" s="24"/>
      <c r="AD37" s="24"/>
      <c r="AE37" s="24"/>
      <c r="AF37" s="24"/>
      <c r="AG37" s="24"/>
      <c r="AH37" s="20"/>
      <c r="AI37" s="42"/>
    </row>
    <row r="38" spans="1:35" s="6" customFormat="1">
      <c r="A38" s="18"/>
      <c r="B38" s="19"/>
      <c r="C38" s="19" t="s">
        <v>83</v>
      </c>
      <c r="D38" s="19"/>
      <c r="E38" s="19"/>
      <c r="F38" s="19"/>
      <c r="G38" s="19"/>
      <c r="H38" s="19"/>
      <c r="I38" s="30"/>
      <c r="J38" s="31">
        <f>SUM(J39:J49)</f>
        <v>0</v>
      </c>
      <c r="K38" s="31">
        <f>SUM(K39:K49)</f>
        <v>0</v>
      </c>
      <c r="L38" s="31">
        <f>SUM(L39:L49)</f>
        <v>0</v>
      </c>
      <c r="M38" s="31">
        <f>SUM(M39:M49)</f>
        <v>0</v>
      </c>
      <c r="N38" s="31">
        <f>SUM(N39:N49)</f>
        <v>0</v>
      </c>
      <c r="O38" s="31"/>
      <c r="P38" s="31">
        <f>SUM(P39:P49)</f>
        <v>0</v>
      </c>
      <c r="Q38" s="31">
        <f>SUM(Q39:Q49)</f>
        <v>0</v>
      </c>
      <c r="R38" s="31"/>
      <c r="S38" s="31">
        <f>SUM(S39:S49)</f>
        <v>0</v>
      </c>
      <c r="T38" s="31">
        <f>SUM(T39:T49)</f>
        <v>0</v>
      </c>
      <c r="U38" s="19"/>
      <c r="V38" s="19"/>
      <c r="W38" s="19"/>
      <c r="X38" s="19"/>
      <c r="Y38" s="19"/>
      <c r="Z38" s="19"/>
      <c r="AA38" s="19"/>
      <c r="AB38" s="19"/>
      <c r="AC38" s="31">
        <f>SUM(AC39:AC49)</f>
        <v>0</v>
      </c>
      <c r="AD38" s="31">
        <f>SUM(AD39:AD49)</f>
        <v>0</v>
      </c>
      <c r="AE38" s="31" t="e">
        <f>AVERAGE(AE39:AE49)</f>
        <v>#DIV/0!</v>
      </c>
      <c r="AF38" s="31" t="e">
        <f>AVERAGE(AF39:AF49)</f>
        <v>#DIV/0!</v>
      </c>
      <c r="AG38" s="31" t="e">
        <f>AVERAGE(AG39:AG49)</f>
        <v>#DIV/0!</v>
      </c>
      <c r="AH38" s="19"/>
      <c r="AI38" s="41"/>
    </row>
    <row r="39" spans="1:35">
      <c r="A39" s="14"/>
      <c r="B39" s="20"/>
      <c r="C39" s="20"/>
      <c r="D39" s="20"/>
      <c r="E39" s="20"/>
      <c r="F39" s="20"/>
      <c r="G39" s="20"/>
      <c r="H39" s="20"/>
      <c r="I39" s="3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20"/>
      <c r="AB39" s="20"/>
      <c r="AC39" s="24"/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/>
      <c r="D40" s="20"/>
      <c r="E40" s="20"/>
      <c r="F40" s="20"/>
      <c r="G40" s="20"/>
      <c r="H40" s="20"/>
      <c r="I40" s="32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0"/>
      <c r="V40" s="20"/>
      <c r="W40" s="20"/>
      <c r="X40" s="20"/>
      <c r="Y40" s="20"/>
      <c r="Z40" s="20"/>
      <c r="AA40" s="20"/>
      <c r="AB40" s="20"/>
      <c r="AC40" s="24"/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/>
      <c r="D41" s="20"/>
      <c r="E41" s="20"/>
      <c r="F41" s="20"/>
      <c r="G41" s="20"/>
      <c r="H41" s="20"/>
      <c r="I41" s="3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20"/>
      <c r="AB41" s="20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/>
      <c r="G42" s="20"/>
      <c r="H42" s="20"/>
      <c r="I42" s="3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20"/>
      <c r="AB42" s="20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/>
      <c r="G43" s="20"/>
      <c r="H43" s="20"/>
      <c r="I43" s="3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20"/>
      <c r="AB43" s="20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/>
      <c r="G44" s="20"/>
      <c r="H44" s="20"/>
      <c r="I44" s="32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20"/>
      <c r="AB44" s="20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/>
      <c r="G45" s="20"/>
      <c r="H45" s="20"/>
      <c r="I45" s="32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20"/>
      <c r="AB45" s="20"/>
      <c r="AC45" s="24"/>
      <c r="AD45" s="24"/>
      <c r="AE45" s="24"/>
      <c r="AF45" s="24"/>
      <c r="AG45" s="24"/>
      <c r="AH45" s="20"/>
      <c r="AI45" s="42"/>
    </row>
    <row r="46" spans="1:35">
      <c r="A46" s="14"/>
      <c r="B46" s="20"/>
      <c r="C46" s="20"/>
      <c r="D46" s="20"/>
      <c r="E46" s="20"/>
      <c r="F46" s="20"/>
      <c r="G46" s="20"/>
      <c r="H46" s="20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/>
      <c r="G47" s="20"/>
      <c r="H47" s="20"/>
      <c r="I47" s="3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20"/>
      <c r="AB47" s="20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/>
      <c r="G48" s="20"/>
      <c r="H48" s="20"/>
      <c r="I48" s="32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20"/>
      <c r="AB48" s="20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/>
      <c r="G49" s="20"/>
      <c r="H49" s="20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20"/>
      <c r="AB49" s="20"/>
      <c r="AC49" s="24"/>
      <c r="AD49" s="24"/>
      <c r="AE49" s="24"/>
      <c r="AF49" s="24"/>
      <c r="AG49" s="24"/>
      <c r="AH49" s="20"/>
      <c r="AI49" s="42"/>
    </row>
    <row r="50" spans="1:35" s="6" customFormat="1">
      <c r="A50" s="18"/>
      <c r="B50" s="19"/>
      <c r="C50" s="19" t="s">
        <v>84</v>
      </c>
      <c r="D50" s="19"/>
      <c r="E50" s="19"/>
      <c r="F50" s="19"/>
      <c r="G50" s="19"/>
      <c r="H50" s="19"/>
      <c r="I50" s="30"/>
      <c r="J50" s="31">
        <f>SUM(J51:J61)</f>
        <v>0</v>
      </c>
      <c r="K50" s="31">
        <f>SUM(K51:K61)</f>
        <v>0</v>
      </c>
      <c r="L50" s="31">
        <f>SUM(L51:L61)</f>
        <v>0</v>
      </c>
      <c r="M50" s="31">
        <f>SUM(M51:M61)</f>
        <v>0</v>
      </c>
      <c r="N50" s="31">
        <f>SUM(N51:N61)</f>
        <v>0</v>
      </c>
      <c r="O50" s="31"/>
      <c r="P50" s="31">
        <f>SUM(P51:P61)</f>
        <v>0</v>
      </c>
      <c r="Q50" s="31">
        <f>SUM(Q51:Q61)</f>
        <v>0</v>
      </c>
      <c r="R50" s="31"/>
      <c r="S50" s="31">
        <f>SUM(S51:S61)</f>
        <v>0</v>
      </c>
      <c r="T50" s="31">
        <f>SUM(T51:T61)</f>
        <v>0</v>
      </c>
      <c r="U50" s="19"/>
      <c r="V50" s="19"/>
      <c r="W50" s="19"/>
      <c r="X50" s="19"/>
      <c r="Y50" s="19"/>
      <c r="Z50" s="19"/>
      <c r="AA50" s="19"/>
      <c r="AB50" s="19"/>
      <c r="AC50" s="31">
        <f>SUM(AC51:AC61)</f>
        <v>0</v>
      </c>
      <c r="AD50" s="31">
        <f>SUM(AD51:AD61)</f>
        <v>0</v>
      </c>
      <c r="AE50" s="31" t="e">
        <f>AVERAGE(AE51:AE61)</f>
        <v>#DIV/0!</v>
      </c>
      <c r="AF50" s="31" t="e">
        <f>AVERAGE(AF51:AF61)</f>
        <v>#DIV/0!</v>
      </c>
      <c r="AG50" s="31" t="e">
        <f>AVERAGE(AG51:AG61)</f>
        <v>#DIV/0!</v>
      </c>
      <c r="AH50" s="19"/>
      <c r="AI50" s="41"/>
    </row>
    <row r="51" spans="1:35">
      <c r="A51" s="14"/>
      <c r="B51" s="20"/>
      <c r="C51" s="20"/>
      <c r="D51" s="20"/>
      <c r="E51" s="20"/>
      <c r="F51" s="20"/>
      <c r="G51" s="20"/>
      <c r="H51" s="20"/>
      <c r="I51" s="3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20"/>
      <c r="AB51" s="20"/>
      <c r="AC51" s="24"/>
      <c r="AD51" s="24"/>
      <c r="AE51" s="24"/>
      <c r="AF51" s="24"/>
      <c r="AG51" s="24"/>
      <c r="AH51" s="20"/>
      <c r="AI51" s="42"/>
    </row>
    <row r="52" spans="1:35">
      <c r="A52" s="14"/>
      <c r="B52" s="20"/>
      <c r="C52" s="20"/>
      <c r="D52" s="20"/>
      <c r="E52" s="20"/>
      <c r="F52" s="20"/>
      <c r="G52" s="20"/>
      <c r="H52" s="20"/>
      <c r="I52" s="32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0"/>
      <c r="V52" s="20"/>
      <c r="W52" s="20"/>
      <c r="X52" s="20"/>
      <c r="Y52" s="20"/>
      <c r="Z52" s="20"/>
      <c r="AA52" s="20"/>
      <c r="AB52" s="20"/>
      <c r="AC52" s="24"/>
      <c r="AD52" s="24"/>
      <c r="AE52" s="24"/>
      <c r="AF52" s="24"/>
      <c r="AG52" s="24"/>
      <c r="AH52" s="20"/>
      <c r="AI52" s="42"/>
    </row>
    <row r="53" spans="1:35">
      <c r="A53" s="14"/>
      <c r="B53" s="20"/>
      <c r="C53" s="20"/>
      <c r="D53" s="20"/>
      <c r="E53" s="20"/>
      <c r="F53" s="20"/>
      <c r="G53" s="20"/>
      <c r="H53" s="20"/>
      <c r="I53" s="3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20"/>
      <c r="AB53" s="20"/>
      <c r="AC53" s="24"/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3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20"/>
      <c r="AB54" s="20"/>
      <c r="AC54" s="24"/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3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3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20"/>
      <c r="AB56" s="20"/>
      <c r="AC56" s="24"/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3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/>
      <c r="D58" s="20"/>
      <c r="E58" s="20"/>
      <c r="F58" s="20"/>
      <c r="G58" s="20"/>
      <c r="H58" s="20"/>
      <c r="I58" s="3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0"/>
      <c r="V58" s="20"/>
      <c r="W58" s="20"/>
      <c r="X58" s="20"/>
      <c r="Y58" s="20"/>
      <c r="Z58" s="20"/>
      <c r="AA58" s="20"/>
      <c r="AB58" s="20"/>
      <c r="AC58" s="24"/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/>
      <c r="D59" s="20"/>
      <c r="E59" s="20"/>
      <c r="F59" s="20"/>
      <c r="G59" s="20"/>
      <c r="H59" s="20"/>
      <c r="I59" s="3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3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conditionalFormatting sqref="L4:L8">
    <cfRule type="cellIs" dxfId="1103" priority="2" operator="greaterThan">
      <formula>0</formula>
    </cfRule>
    <cfRule type="cellIs" dxfId="1102" priority="3" operator="lessThan">
      <formula>0</formula>
    </cfRule>
  </conditionalFormatting>
  <conditionalFormatting sqref="A27:S37 A39:S49 A51:S61 A15:S25 U15:AI25 U51:AI61 U39:AI49 U27:AI37">
    <cfRule type="containsBlanks" dxfId="1101" priority="4">
      <formula>LEN(TRIM(A15))=0</formula>
    </cfRule>
  </conditionalFormatting>
  <conditionalFormatting sqref="F15:F25 F27:F37 F39:F49 F51:F61">
    <cfRule type="duplicateValues" dxfId="1100" priority="5"/>
  </conditionalFormatting>
  <conditionalFormatting sqref="G15:G25 G27:G37 G39:G49 G51:G61">
    <cfRule type="duplicateValues" dxfId="1099" priority="6"/>
  </conditionalFormatting>
  <conditionalFormatting sqref="H15:H25 H27:H37 H39:H49 H51:H61">
    <cfRule type="duplicateValues" dxfId="1098" priority="7"/>
  </conditionalFormatting>
  <conditionalFormatting sqref="T27:T37 T39:T49 T51:T61 T15:T25">
    <cfRule type="containsBlanks" dxfId="1097" priority="1">
      <formula>LEN(TRIM(T15))=0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61"/>
  <sheetViews>
    <sheetView topLeftCell="A19" zoomScale="70" zoomScaleNormal="70" workbookViewId="0">
      <selection activeCell="A11" sqref="A11:XFD11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94</v>
      </c>
    </row>
    <row r="3" spans="1:35">
      <c r="A3" s="7" t="s">
        <v>93</v>
      </c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0</v>
      </c>
      <c r="K4" s="24">
        <f>'[7]SUMMARY WFP 2022'!VX91</f>
        <v>0</v>
      </c>
      <c r="L4" s="25">
        <f>J4-K4</f>
        <v>0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0</v>
      </c>
      <c r="K5" s="24">
        <f>'[7]SUMMARY WFP 2022'!VY91</f>
        <v>0</v>
      </c>
      <c r="L5" s="25">
        <f>J5-K5</f>
        <v>0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0</v>
      </c>
      <c r="K6" s="25">
        <f>SUM(K4:K5)</f>
        <v>0</v>
      </c>
      <c r="L6" s="25">
        <f>J6-K6</f>
        <v>0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2022'!WA91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0</v>
      </c>
      <c r="K8" s="24">
        <f>'[7]SUMMARY WFP 2022'!VM91</f>
        <v>0</v>
      </c>
      <c r="L8" s="25">
        <f>J8-K8</f>
        <v>0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89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SUM(J14,J26,J38,J50)</f>
        <v>0</v>
      </c>
      <c r="K13" s="29">
        <f>SUM(K14,K26,K38,K50)</f>
        <v>0</v>
      </c>
      <c r="L13" s="29">
        <f>SUM(L14,L26,L38,L50)</f>
        <v>0</v>
      </c>
      <c r="M13" s="29">
        <f>SUM(M14,M26,M38,M50)</f>
        <v>0</v>
      </c>
      <c r="N13" s="29">
        <f>SUM(N14,N26,N38,N50)</f>
        <v>0</v>
      </c>
      <c r="O13" s="29"/>
      <c r="P13" s="29">
        <f>SUM(P14,P26,P38,P50)</f>
        <v>0</v>
      </c>
      <c r="Q13" s="29">
        <f>SUM(Q14,Q26,Q38,Q50)</f>
        <v>0</v>
      </c>
      <c r="R13" s="29"/>
      <c r="S13" s="29">
        <f>SUM(S14,S26,S38,S50)</f>
        <v>0</v>
      </c>
      <c r="T13" s="29">
        <f>SUM(T14,T26,T38,T50)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SUM(AC14,AC26,AC38,AC50)</f>
        <v>0</v>
      </c>
      <c r="AD13" s="29">
        <f>SUM(AD14,AD26,AD38,AD50)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SUM(J27:J37)</f>
        <v>0</v>
      </c>
      <c r="K26" s="31">
        <f>SUM(K27:K37)</f>
        <v>0</v>
      </c>
      <c r="L26" s="31">
        <f>SUM(L27:L37)</f>
        <v>0</v>
      </c>
      <c r="M26" s="31">
        <f>SUM(M27:M37)</f>
        <v>0</v>
      </c>
      <c r="N26" s="31">
        <f>SUM(N27:N37)</f>
        <v>0</v>
      </c>
      <c r="O26" s="31"/>
      <c r="P26" s="31">
        <f>SUM(P27:P37)</f>
        <v>0</v>
      </c>
      <c r="Q26" s="31">
        <f>SUM(Q27:Q37)</f>
        <v>0</v>
      </c>
      <c r="R26" s="31"/>
      <c r="S26" s="31">
        <f>SUM(S27:S37)</f>
        <v>0</v>
      </c>
      <c r="T26" s="31">
        <f>SUM(T27:T37)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SUM(AC27:AC37)</f>
        <v>0</v>
      </c>
      <c r="AD26" s="31">
        <f>SUM(AD27:AD37)</f>
        <v>0</v>
      </c>
      <c r="AE26" s="31" t="e">
        <f>AVERAGE(AE27:AE37)</f>
        <v>#DIV/0!</v>
      </c>
      <c r="AF26" s="31" t="e">
        <f>AVERAGE(AF27:AF37)</f>
        <v>#DIV/0!</v>
      </c>
      <c r="AG26" s="31" t="e">
        <f>AVERAGE(AG27:AG37)</f>
        <v>#DIV/0!</v>
      </c>
      <c r="AH26" s="19"/>
      <c r="AI26" s="41"/>
    </row>
    <row r="27" spans="1:35">
      <c r="A27" s="14"/>
      <c r="B27" s="20"/>
      <c r="C27" s="20"/>
      <c r="D27" s="20"/>
      <c r="E27" s="20"/>
      <c r="F27" s="20"/>
      <c r="G27" s="20"/>
      <c r="H27" s="20"/>
      <c r="I27" s="32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0"/>
      <c r="V27" s="20"/>
      <c r="W27" s="20"/>
      <c r="X27" s="20"/>
      <c r="Y27" s="20"/>
      <c r="Z27" s="20"/>
      <c r="AA27" s="20"/>
      <c r="AB27" s="20"/>
      <c r="AC27" s="24"/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/>
      <c r="D28" s="20"/>
      <c r="E28" s="20"/>
      <c r="F28" s="20"/>
      <c r="G28" s="20"/>
      <c r="H28" s="20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0"/>
      <c r="V28" s="20"/>
      <c r="W28" s="20"/>
      <c r="X28" s="20"/>
      <c r="Y28" s="20"/>
      <c r="Z28" s="20"/>
      <c r="AA28" s="20"/>
      <c r="AB28" s="20"/>
      <c r="AC28" s="24"/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/>
      <c r="D29" s="20"/>
      <c r="E29" s="20"/>
      <c r="F29" s="20"/>
      <c r="G29" s="20"/>
      <c r="H29" s="20"/>
      <c r="I29" s="3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0"/>
      <c r="V29" s="20"/>
      <c r="W29" s="20"/>
      <c r="X29" s="20"/>
      <c r="Y29" s="20"/>
      <c r="Z29" s="20"/>
      <c r="AA29" s="20"/>
      <c r="AB29" s="20"/>
      <c r="AC29" s="24"/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/>
      <c r="D30" s="20"/>
      <c r="E30" s="20"/>
      <c r="F30" s="20"/>
      <c r="G30" s="20"/>
      <c r="H30" s="20"/>
      <c r="I30" s="3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0"/>
      <c r="V30" s="20"/>
      <c r="W30" s="20"/>
      <c r="X30" s="20"/>
      <c r="Y30" s="20"/>
      <c r="Z30" s="20"/>
      <c r="AA30" s="20"/>
      <c r="AB30" s="20"/>
      <c r="AC30" s="24"/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/>
      <c r="D31" s="20"/>
      <c r="E31" s="20"/>
      <c r="F31" s="20"/>
      <c r="G31" s="20"/>
      <c r="H31" s="20"/>
      <c r="I31" s="32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0"/>
      <c r="V31" s="20"/>
      <c r="W31" s="20"/>
      <c r="X31" s="20"/>
      <c r="Y31" s="20"/>
      <c r="Z31" s="20"/>
      <c r="AA31" s="20"/>
      <c r="AB31" s="20"/>
      <c r="AC31" s="24"/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/>
      <c r="D32" s="20"/>
      <c r="E32" s="20"/>
      <c r="F32" s="20"/>
      <c r="G32" s="20"/>
      <c r="H32" s="20"/>
      <c r="I32" s="32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0"/>
      <c r="V32" s="20"/>
      <c r="W32" s="20"/>
      <c r="X32" s="20"/>
      <c r="Y32" s="20"/>
      <c r="Z32" s="20"/>
      <c r="AA32" s="20"/>
      <c r="AB32" s="20"/>
      <c r="AC32" s="24"/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/>
      <c r="D33" s="20"/>
      <c r="E33" s="20"/>
      <c r="F33" s="20"/>
      <c r="G33" s="20"/>
      <c r="H33" s="20"/>
      <c r="I33" s="32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0"/>
      <c r="V33" s="20"/>
      <c r="W33" s="20"/>
      <c r="X33" s="20"/>
      <c r="Y33" s="20"/>
      <c r="Z33" s="20"/>
      <c r="AA33" s="20"/>
      <c r="AB33" s="20"/>
      <c r="AC33" s="24"/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/>
      <c r="D34" s="20"/>
      <c r="E34" s="20"/>
      <c r="F34" s="20"/>
      <c r="G34" s="20"/>
      <c r="H34" s="20"/>
      <c r="I34" s="32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0"/>
      <c r="V34" s="20"/>
      <c r="W34" s="20"/>
      <c r="X34" s="20"/>
      <c r="Y34" s="20"/>
      <c r="Z34" s="20"/>
      <c r="AA34" s="20"/>
      <c r="AB34" s="20"/>
      <c r="AC34" s="24"/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/>
      <c r="D35" s="20"/>
      <c r="E35" s="20"/>
      <c r="F35" s="20"/>
      <c r="G35" s="20"/>
      <c r="H35" s="20"/>
      <c r="I35" s="32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0"/>
      <c r="V35" s="20"/>
      <c r="W35" s="20"/>
      <c r="X35" s="20"/>
      <c r="Y35" s="20"/>
      <c r="Z35" s="20"/>
      <c r="AA35" s="20"/>
      <c r="AB35" s="20"/>
      <c r="AC35" s="24"/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/>
      <c r="G36" s="20"/>
      <c r="H36" s="20"/>
      <c r="I36" s="32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0"/>
      <c r="V36" s="20"/>
      <c r="W36" s="20"/>
      <c r="X36" s="20"/>
      <c r="Y36" s="20"/>
      <c r="Z36" s="20"/>
      <c r="AA36" s="20"/>
      <c r="AB36" s="20"/>
      <c r="AC36" s="24"/>
      <c r="AD36" s="24"/>
      <c r="AE36" s="24"/>
      <c r="AF36" s="24"/>
      <c r="AG36" s="24"/>
      <c r="AH36" s="20"/>
      <c r="AI36" s="42"/>
    </row>
    <row r="37" spans="1:35">
      <c r="A37" s="14"/>
      <c r="B37" s="20"/>
      <c r="C37" s="20"/>
      <c r="D37" s="20"/>
      <c r="E37" s="20"/>
      <c r="F37" s="20"/>
      <c r="G37" s="20"/>
      <c r="H37" s="20"/>
      <c r="I37" s="32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0"/>
      <c r="V37" s="20"/>
      <c r="W37" s="20"/>
      <c r="X37" s="20"/>
      <c r="Y37" s="20"/>
      <c r="Z37" s="20"/>
      <c r="AA37" s="20"/>
      <c r="AB37" s="20"/>
      <c r="AC37" s="24"/>
      <c r="AD37" s="24"/>
      <c r="AE37" s="24"/>
      <c r="AF37" s="24"/>
      <c r="AG37" s="24"/>
      <c r="AH37" s="20"/>
      <c r="AI37" s="42"/>
    </row>
    <row r="38" spans="1:35" s="6" customFormat="1">
      <c r="A38" s="18"/>
      <c r="B38" s="19"/>
      <c r="C38" s="19" t="s">
        <v>83</v>
      </c>
      <c r="D38" s="19"/>
      <c r="E38" s="19"/>
      <c r="F38" s="19"/>
      <c r="G38" s="19"/>
      <c r="H38" s="19"/>
      <c r="I38" s="30"/>
      <c r="J38" s="31">
        <f>SUM(J39:J49)</f>
        <v>0</v>
      </c>
      <c r="K38" s="31">
        <f>SUM(K39:K49)</f>
        <v>0</v>
      </c>
      <c r="L38" s="31">
        <f>SUM(L39:L49)</f>
        <v>0</v>
      </c>
      <c r="M38" s="31">
        <f>SUM(M39:M49)</f>
        <v>0</v>
      </c>
      <c r="N38" s="31">
        <f>SUM(N39:N49)</f>
        <v>0</v>
      </c>
      <c r="O38" s="31"/>
      <c r="P38" s="31">
        <f>SUM(P39:P49)</f>
        <v>0</v>
      </c>
      <c r="Q38" s="31">
        <f>SUM(Q39:Q49)</f>
        <v>0</v>
      </c>
      <c r="R38" s="31"/>
      <c r="S38" s="31">
        <f>SUM(S39:S49)</f>
        <v>0</v>
      </c>
      <c r="T38" s="31">
        <f>SUM(T39:T49)</f>
        <v>0</v>
      </c>
      <c r="U38" s="19"/>
      <c r="V38" s="19"/>
      <c r="W38" s="19"/>
      <c r="X38" s="19"/>
      <c r="Y38" s="19"/>
      <c r="Z38" s="19"/>
      <c r="AA38" s="19"/>
      <c r="AB38" s="19"/>
      <c r="AC38" s="31">
        <f>SUM(AC39:AC49)</f>
        <v>0</v>
      </c>
      <c r="AD38" s="31">
        <f>SUM(AD39:AD49)</f>
        <v>0</v>
      </c>
      <c r="AE38" s="31" t="e">
        <f>AVERAGE(AE39:AE49)</f>
        <v>#DIV/0!</v>
      </c>
      <c r="AF38" s="31" t="e">
        <f>AVERAGE(AF39:AF49)</f>
        <v>#DIV/0!</v>
      </c>
      <c r="AG38" s="31" t="e">
        <f>AVERAGE(AG39:AG49)</f>
        <v>#DIV/0!</v>
      </c>
      <c r="AH38" s="19"/>
      <c r="AI38" s="41"/>
    </row>
    <row r="39" spans="1:35">
      <c r="A39" s="14"/>
      <c r="B39" s="20"/>
      <c r="C39" s="20"/>
      <c r="D39" s="20"/>
      <c r="E39" s="20"/>
      <c r="F39" s="20"/>
      <c r="G39" s="20"/>
      <c r="H39" s="20"/>
      <c r="I39" s="3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20"/>
      <c r="AB39" s="20"/>
      <c r="AC39" s="24"/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/>
      <c r="D40" s="20"/>
      <c r="E40" s="20"/>
      <c r="F40" s="20"/>
      <c r="G40" s="20"/>
      <c r="H40" s="20"/>
      <c r="I40" s="32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0"/>
      <c r="V40" s="20"/>
      <c r="W40" s="20"/>
      <c r="X40" s="20"/>
      <c r="Y40" s="20"/>
      <c r="Z40" s="20"/>
      <c r="AA40" s="20"/>
      <c r="AB40" s="20"/>
      <c r="AC40" s="24"/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/>
      <c r="D41" s="20"/>
      <c r="E41" s="20"/>
      <c r="F41" s="20"/>
      <c r="G41" s="20"/>
      <c r="H41" s="20"/>
      <c r="I41" s="3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20"/>
      <c r="AB41" s="20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/>
      <c r="G42" s="20"/>
      <c r="H42" s="20"/>
      <c r="I42" s="3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20"/>
      <c r="AB42" s="20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/>
      <c r="G43" s="20"/>
      <c r="H43" s="20"/>
      <c r="I43" s="3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20"/>
      <c r="AB43" s="20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/>
      <c r="G44" s="20"/>
      <c r="H44" s="20"/>
      <c r="I44" s="32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20"/>
      <c r="AB44" s="20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/>
      <c r="G45" s="20"/>
      <c r="H45" s="20"/>
      <c r="I45" s="32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20"/>
      <c r="AB45" s="20"/>
      <c r="AC45" s="24"/>
      <c r="AD45" s="24"/>
      <c r="AE45" s="24"/>
      <c r="AF45" s="24"/>
      <c r="AG45" s="24"/>
      <c r="AH45" s="20"/>
      <c r="AI45" s="42"/>
    </row>
    <row r="46" spans="1:35">
      <c r="A46" s="14"/>
      <c r="B46" s="20"/>
      <c r="C46" s="20"/>
      <c r="D46" s="20"/>
      <c r="E46" s="20"/>
      <c r="F46" s="20"/>
      <c r="G46" s="20"/>
      <c r="H46" s="20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/>
      <c r="G47" s="20"/>
      <c r="H47" s="20"/>
      <c r="I47" s="3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20"/>
      <c r="AB47" s="20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/>
      <c r="G48" s="20"/>
      <c r="H48" s="20"/>
      <c r="I48" s="32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20"/>
      <c r="AB48" s="20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/>
      <c r="G49" s="20"/>
      <c r="H49" s="20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20"/>
      <c r="AB49" s="20"/>
      <c r="AC49" s="24"/>
      <c r="AD49" s="24"/>
      <c r="AE49" s="24"/>
      <c r="AF49" s="24"/>
      <c r="AG49" s="24"/>
      <c r="AH49" s="20"/>
      <c r="AI49" s="42"/>
    </row>
    <row r="50" spans="1:35" s="6" customFormat="1">
      <c r="A50" s="18"/>
      <c r="B50" s="19"/>
      <c r="C50" s="19" t="s">
        <v>84</v>
      </c>
      <c r="D50" s="19"/>
      <c r="E50" s="19"/>
      <c r="F50" s="19"/>
      <c r="G50" s="19"/>
      <c r="H50" s="19"/>
      <c r="I50" s="30"/>
      <c r="J50" s="31">
        <f>SUM(J51:J61)</f>
        <v>0</v>
      </c>
      <c r="K50" s="31">
        <f>SUM(K51:K61)</f>
        <v>0</v>
      </c>
      <c r="L50" s="31">
        <f>SUM(L51:L61)</f>
        <v>0</v>
      </c>
      <c r="M50" s="31">
        <f>SUM(M51:M61)</f>
        <v>0</v>
      </c>
      <c r="N50" s="31">
        <f>SUM(N51:N61)</f>
        <v>0</v>
      </c>
      <c r="O50" s="31"/>
      <c r="P50" s="31">
        <f>SUM(P51:P61)</f>
        <v>0</v>
      </c>
      <c r="Q50" s="31">
        <f>SUM(Q51:Q61)</f>
        <v>0</v>
      </c>
      <c r="R50" s="31"/>
      <c r="S50" s="31">
        <f>SUM(S51:S61)</f>
        <v>0</v>
      </c>
      <c r="T50" s="31">
        <f>SUM(T51:T61)</f>
        <v>0</v>
      </c>
      <c r="U50" s="19"/>
      <c r="V50" s="19"/>
      <c r="W50" s="19"/>
      <c r="X50" s="19"/>
      <c r="Y50" s="19"/>
      <c r="Z50" s="19"/>
      <c r="AA50" s="19"/>
      <c r="AB50" s="19"/>
      <c r="AC50" s="31">
        <f>SUM(AC51:AC61)</f>
        <v>0</v>
      </c>
      <c r="AD50" s="31">
        <f>SUM(AD51:AD61)</f>
        <v>0</v>
      </c>
      <c r="AE50" s="31" t="e">
        <f>AVERAGE(AE51:AE61)</f>
        <v>#DIV/0!</v>
      </c>
      <c r="AF50" s="31" t="e">
        <f>AVERAGE(AF51:AF61)</f>
        <v>#DIV/0!</v>
      </c>
      <c r="AG50" s="31" t="e">
        <f>AVERAGE(AG51:AG61)</f>
        <v>#DIV/0!</v>
      </c>
      <c r="AH50" s="19"/>
      <c r="AI50" s="41"/>
    </row>
    <row r="51" spans="1:35">
      <c r="A51" s="14"/>
      <c r="B51" s="20"/>
      <c r="C51" s="20"/>
      <c r="D51" s="20"/>
      <c r="E51" s="20"/>
      <c r="F51" s="20"/>
      <c r="G51" s="20"/>
      <c r="H51" s="20"/>
      <c r="I51" s="3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20"/>
      <c r="AB51" s="20"/>
      <c r="AC51" s="24"/>
      <c r="AD51" s="24"/>
      <c r="AE51" s="24"/>
      <c r="AF51" s="24"/>
      <c r="AG51" s="24"/>
      <c r="AH51" s="20"/>
      <c r="AI51" s="42"/>
    </row>
    <row r="52" spans="1:35">
      <c r="A52" s="14"/>
      <c r="B52" s="20"/>
      <c r="C52" s="20"/>
      <c r="D52" s="20"/>
      <c r="E52" s="20"/>
      <c r="F52" s="20"/>
      <c r="G52" s="20"/>
      <c r="H52" s="20"/>
      <c r="I52" s="32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0"/>
      <c r="V52" s="20"/>
      <c r="W52" s="20"/>
      <c r="X52" s="20"/>
      <c r="Y52" s="20"/>
      <c r="Z52" s="20"/>
      <c r="AA52" s="20"/>
      <c r="AB52" s="20"/>
      <c r="AC52" s="24"/>
      <c r="AD52" s="24"/>
      <c r="AE52" s="24"/>
      <c r="AF52" s="24"/>
      <c r="AG52" s="24"/>
      <c r="AH52" s="20"/>
      <c r="AI52" s="42"/>
    </row>
    <row r="53" spans="1:35">
      <c r="A53" s="14"/>
      <c r="B53" s="20"/>
      <c r="C53" s="20"/>
      <c r="D53" s="20"/>
      <c r="E53" s="20"/>
      <c r="F53" s="20"/>
      <c r="G53" s="20"/>
      <c r="H53" s="20"/>
      <c r="I53" s="3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20"/>
      <c r="AB53" s="20"/>
      <c r="AC53" s="24"/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3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20"/>
      <c r="AB54" s="20"/>
      <c r="AC54" s="24"/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3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3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20"/>
      <c r="AB56" s="20"/>
      <c r="AC56" s="24"/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3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/>
      <c r="D58" s="20"/>
      <c r="E58" s="20"/>
      <c r="F58" s="20"/>
      <c r="G58" s="20"/>
      <c r="H58" s="20"/>
      <c r="I58" s="3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0"/>
      <c r="V58" s="20"/>
      <c r="W58" s="20"/>
      <c r="X58" s="20"/>
      <c r="Y58" s="20"/>
      <c r="Z58" s="20"/>
      <c r="AA58" s="20"/>
      <c r="AB58" s="20"/>
      <c r="AC58" s="24"/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/>
      <c r="D59" s="20"/>
      <c r="E59" s="20"/>
      <c r="F59" s="20"/>
      <c r="G59" s="20"/>
      <c r="H59" s="20"/>
      <c r="I59" s="3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3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conditionalFormatting sqref="L4:L8">
    <cfRule type="cellIs" dxfId="1096" priority="2" operator="greaterThan">
      <formula>0</formula>
    </cfRule>
    <cfRule type="cellIs" dxfId="1095" priority="3" operator="lessThan">
      <formula>0</formula>
    </cfRule>
  </conditionalFormatting>
  <conditionalFormatting sqref="A27:S37 A39:S49 A51:S61 A15:S25 U15:AI25 U51:AI61 U39:AI49 U27:AI37">
    <cfRule type="containsBlanks" dxfId="1094" priority="4">
      <formula>LEN(TRIM(A15))=0</formula>
    </cfRule>
  </conditionalFormatting>
  <conditionalFormatting sqref="F15:F25 F27:F37 F39:F49 F51:F61">
    <cfRule type="duplicateValues" dxfId="1093" priority="5"/>
  </conditionalFormatting>
  <conditionalFormatting sqref="G15:G25 G27:G37 G39:G49 G51:G61">
    <cfRule type="duplicateValues" dxfId="1092" priority="6"/>
  </conditionalFormatting>
  <conditionalFormatting sqref="H15:H25 H27:H37 H39:H49 H51:H61">
    <cfRule type="duplicateValues" dxfId="1091" priority="7"/>
  </conditionalFormatting>
  <conditionalFormatting sqref="T27:T37 T39:T49 T51:T61 T15:T25">
    <cfRule type="containsBlanks" dxfId="1090" priority="1">
      <formula>LEN(TRIM(T15))=0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138"/>
  <sheetViews>
    <sheetView topLeftCell="A109" zoomScale="70" zoomScaleNormal="70" workbookViewId="0">
      <selection activeCell="AC128" sqref="AC128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17" width="15" style="7" customWidth="1"/>
    <col min="18" max="18" width="16.75" style="7" customWidth="1"/>
    <col min="19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95</v>
      </c>
    </row>
    <row r="3" spans="1:35">
      <c r="A3" s="7" t="s">
        <v>93</v>
      </c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46</v>
      </c>
      <c r="K4" s="24">
        <f>'[7]SUMMARY WFP 2022'!VX91</f>
        <v>0</v>
      </c>
      <c r="L4" s="25">
        <f>J4-K4</f>
        <v>46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131</v>
      </c>
      <c r="K5" s="24">
        <f>'[7]SUMMARY WFP 2022'!VY91</f>
        <v>0</v>
      </c>
      <c r="L5" s="25">
        <f>J5-K5</f>
        <v>131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177</v>
      </c>
      <c r="K6" s="25">
        <f>SUM(K4:K5)</f>
        <v>0</v>
      </c>
      <c r="L6" s="25">
        <f>J6-K6</f>
        <v>177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2022'!WA91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251</v>
      </c>
      <c r="K8" s="24">
        <f>'[7]SUMMARY WFP 2022'!VM91</f>
        <v>0</v>
      </c>
      <c r="L8" s="25">
        <f>J8-K8</f>
        <v>251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24" t="s">
        <v>61</v>
      </c>
      <c r="K12" s="124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89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125">
        <f>SUM(J14,J37,J73,J123)</f>
        <v>46</v>
      </c>
      <c r="K13" s="125">
        <f>SUM(K14,K37,K73,K123)</f>
        <v>131</v>
      </c>
      <c r="L13" s="29">
        <f>SUM(L14,L37,L73,L123)</f>
        <v>4</v>
      </c>
      <c r="M13" s="29">
        <f>SUM(M14,M37,M73,M123)</f>
        <v>0</v>
      </c>
      <c r="N13" s="29">
        <f>SUM(N14,N37,N73,N123)</f>
        <v>0</v>
      </c>
      <c r="O13" s="29"/>
      <c r="P13" s="29">
        <f>SUM(P14,P37,P73,P123)</f>
        <v>0</v>
      </c>
      <c r="Q13" s="29">
        <f>SUM(Q14,Q37,Q73,Q123)</f>
        <v>175</v>
      </c>
      <c r="R13" s="29"/>
      <c r="S13" s="29">
        <f>SUM(S14,S37,S73,S123)</f>
        <v>0</v>
      </c>
      <c r="T13" s="29">
        <f>SUM(T14,T37,T73,T123)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SUM(AC14,AC37,AC73,AC123)</f>
        <v>251</v>
      </c>
      <c r="AD13" s="29">
        <f>SUM(AD14,AD37,AD73,AD123)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126">
        <f>SUM(J15:J36)</f>
        <v>8</v>
      </c>
      <c r="K14" s="126">
        <f>SUM(K15:K36)</f>
        <v>13</v>
      </c>
      <c r="L14" s="31">
        <f>SUM(L15:L36)</f>
        <v>2</v>
      </c>
      <c r="M14" s="31">
        <f>SUM(M15:M36)</f>
        <v>0</v>
      </c>
      <c r="N14" s="31">
        <f>SUM(N15:N36)</f>
        <v>0</v>
      </c>
      <c r="O14" s="31"/>
      <c r="P14" s="31">
        <f>SUM(P15:P36)</f>
        <v>0</v>
      </c>
      <c r="Q14" s="31">
        <f>SUM(Q15:Q36)</f>
        <v>19</v>
      </c>
      <c r="R14" s="31"/>
      <c r="S14" s="31">
        <f>SUM(S15:S36)</f>
        <v>0</v>
      </c>
      <c r="T14" s="31">
        <f>SUM(T15:T36)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SUM(AC15:AC36)</f>
        <v>39</v>
      </c>
      <c r="AD14" s="31">
        <f>SUM(AD15:AD36)</f>
        <v>0</v>
      </c>
      <c r="AE14" s="31" t="e">
        <f>AVERAGE(AE15:AE36)</f>
        <v>#DIV/0!</v>
      </c>
      <c r="AF14" s="31" t="e">
        <f>AVERAGE(AF15:AF36)</f>
        <v>#DIV/0!</v>
      </c>
      <c r="AG14" s="31" t="e">
        <f>AVERAGE(AG15:AG36)</f>
        <v>#DIV/0!</v>
      </c>
      <c r="AH14" s="19"/>
      <c r="AI14" s="41"/>
    </row>
    <row r="15" spans="1:35">
      <c r="A15" s="14"/>
      <c r="B15" s="20"/>
      <c r="C15" s="20" t="s">
        <v>78</v>
      </c>
      <c r="D15" s="20" t="s">
        <v>501</v>
      </c>
      <c r="E15" s="20" t="s">
        <v>80</v>
      </c>
      <c r="F15" s="20" t="s">
        <v>413</v>
      </c>
      <c r="G15" s="20" t="s">
        <v>414</v>
      </c>
      <c r="H15" s="20" t="s">
        <v>150</v>
      </c>
      <c r="I15" s="51">
        <v>23925</v>
      </c>
      <c r="J15" s="123"/>
      <c r="K15" s="123">
        <v>1</v>
      </c>
      <c r="L15" s="24"/>
      <c r="M15" s="24"/>
      <c r="N15" s="24"/>
      <c r="O15" s="24"/>
      <c r="P15" s="24"/>
      <c r="Q15" s="24">
        <v>1</v>
      </c>
      <c r="R15" s="85" t="s">
        <v>1348</v>
      </c>
      <c r="S15" s="24"/>
      <c r="T15" s="24"/>
      <c r="U15" s="69" t="s">
        <v>295</v>
      </c>
      <c r="V15" s="62" t="s">
        <v>956</v>
      </c>
      <c r="W15" s="62" t="s">
        <v>298</v>
      </c>
      <c r="X15" s="62" t="s">
        <v>227</v>
      </c>
      <c r="Y15" s="50">
        <v>9357514235</v>
      </c>
      <c r="Z15" s="20"/>
      <c r="AA15" s="62" t="s">
        <v>954</v>
      </c>
      <c r="AB15" s="62" t="s">
        <v>283</v>
      </c>
      <c r="AC15" s="24">
        <v>7</v>
      </c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 t="s">
        <v>78</v>
      </c>
      <c r="D16" s="20" t="s">
        <v>501</v>
      </c>
      <c r="E16" s="20" t="s">
        <v>80</v>
      </c>
      <c r="F16" s="50" t="s">
        <v>312</v>
      </c>
      <c r="G16" s="50" t="s">
        <v>955</v>
      </c>
      <c r="H16" s="50" t="s">
        <v>286</v>
      </c>
      <c r="I16" s="65">
        <v>23696</v>
      </c>
      <c r="J16" s="57"/>
      <c r="K16" s="123">
        <v>1</v>
      </c>
      <c r="L16" s="24"/>
      <c r="M16" s="24"/>
      <c r="N16" s="24"/>
      <c r="O16" s="24"/>
      <c r="P16" s="24"/>
      <c r="Q16" s="24">
        <v>1</v>
      </c>
      <c r="R16" s="85" t="s">
        <v>1348</v>
      </c>
      <c r="S16" s="24"/>
      <c r="T16" s="24"/>
      <c r="U16" s="67" t="s">
        <v>509</v>
      </c>
      <c r="V16" s="50" t="s">
        <v>503</v>
      </c>
      <c r="W16" s="62" t="s">
        <v>298</v>
      </c>
      <c r="X16" s="52" t="s">
        <v>227</v>
      </c>
      <c r="Y16" s="50"/>
      <c r="Z16" s="20"/>
      <c r="AA16" s="62" t="s">
        <v>954</v>
      </c>
      <c r="AB16" s="62" t="s">
        <v>526</v>
      </c>
      <c r="AC16" s="24">
        <v>2</v>
      </c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 t="s">
        <v>78</v>
      </c>
      <c r="D17" s="20" t="s">
        <v>501</v>
      </c>
      <c r="E17" s="20" t="s">
        <v>80</v>
      </c>
      <c r="F17" s="60" t="s">
        <v>445</v>
      </c>
      <c r="G17" s="60" t="s">
        <v>446</v>
      </c>
      <c r="H17" s="60"/>
      <c r="I17" s="66">
        <v>33127</v>
      </c>
      <c r="J17" s="74"/>
      <c r="K17" s="123">
        <v>1</v>
      </c>
      <c r="L17" s="24"/>
      <c r="M17" s="24"/>
      <c r="N17" s="24"/>
      <c r="O17" s="24"/>
      <c r="P17" s="24"/>
      <c r="Q17" s="24">
        <v>1</v>
      </c>
      <c r="R17" s="85" t="s">
        <v>1348</v>
      </c>
      <c r="S17" s="24"/>
      <c r="T17" s="24"/>
      <c r="U17" s="68" t="s">
        <v>295</v>
      </c>
      <c r="V17" s="60" t="s">
        <v>503</v>
      </c>
      <c r="W17" s="62" t="s">
        <v>298</v>
      </c>
      <c r="X17" s="52" t="s">
        <v>227</v>
      </c>
      <c r="Y17" s="60">
        <v>9759439905</v>
      </c>
      <c r="Z17" s="20"/>
      <c r="AA17" s="62" t="s">
        <v>954</v>
      </c>
      <c r="AB17" s="62" t="s">
        <v>526</v>
      </c>
      <c r="AC17" s="24">
        <v>2</v>
      </c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 t="s">
        <v>78</v>
      </c>
      <c r="D18" s="20" t="s">
        <v>501</v>
      </c>
      <c r="E18" s="20" t="s">
        <v>80</v>
      </c>
      <c r="F18" s="50" t="s">
        <v>918</v>
      </c>
      <c r="G18" s="50" t="s">
        <v>919</v>
      </c>
      <c r="H18" s="50"/>
      <c r="I18" s="65">
        <v>24918</v>
      </c>
      <c r="J18" s="57"/>
      <c r="K18" s="123">
        <v>1</v>
      </c>
      <c r="L18" s="24"/>
      <c r="M18" s="24"/>
      <c r="N18" s="24"/>
      <c r="O18" s="24"/>
      <c r="P18" s="24"/>
      <c r="Q18" s="24">
        <v>1</v>
      </c>
      <c r="R18" s="63" t="s">
        <v>957</v>
      </c>
      <c r="S18" s="24"/>
      <c r="T18" s="24"/>
      <c r="U18" s="67" t="s">
        <v>502</v>
      </c>
      <c r="V18" s="50" t="s">
        <v>503</v>
      </c>
      <c r="W18" s="62" t="s">
        <v>298</v>
      </c>
      <c r="X18" s="52" t="s">
        <v>227</v>
      </c>
      <c r="Y18" s="50">
        <v>9109451565</v>
      </c>
      <c r="Z18" s="20"/>
      <c r="AA18" s="62" t="s">
        <v>954</v>
      </c>
      <c r="AB18" s="62" t="s">
        <v>528</v>
      </c>
      <c r="AC18" s="24">
        <v>1</v>
      </c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 t="s">
        <v>78</v>
      </c>
      <c r="D19" s="20" t="s">
        <v>501</v>
      </c>
      <c r="E19" s="20" t="s">
        <v>80</v>
      </c>
      <c r="F19" s="50" t="s">
        <v>376</v>
      </c>
      <c r="G19" s="50" t="s">
        <v>377</v>
      </c>
      <c r="H19" s="50" t="s">
        <v>283</v>
      </c>
      <c r="I19" s="64">
        <v>31034</v>
      </c>
      <c r="J19" s="59">
        <v>1</v>
      </c>
      <c r="K19" s="59"/>
      <c r="L19" s="24">
        <v>1</v>
      </c>
      <c r="M19" s="24"/>
      <c r="N19" s="24"/>
      <c r="O19" s="24"/>
      <c r="P19" s="24"/>
      <c r="Q19" s="24"/>
      <c r="R19" s="24"/>
      <c r="S19" s="24"/>
      <c r="T19" s="24"/>
      <c r="U19" s="71" t="s">
        <v>502</v>
      </c>
      <c r="V19" s="50" t="s">
        <v>503</v>
      </c>
      <c r="W19" s="20" t="s">
        <v>298</v>
      </c>
      <c r="X19" s="52" t="s">
        <v>227</v>
      </c>
      <c r="Y19" s="52">
        <v>9096157968</v>
      </c>
      <c r="Z19" s="20"/>
      <c r="AA19" s="62" t="s">
        <v>954</v>
      </c>
      <c r="AB19" s="62" t="s">
        <v>528</v>
      </c>
      <c r="AC19" s="24">
        <v>1</v>
      </c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 t="s">
        <v>105</v>
      </c>
      <c r="D20" s="20" t="s">
        <v>501</v>
      </c>
      <c r="E20" s="20" t="s">
        <v>80</v>
      </c>
      <c r="F20" s="62" t="s">
        <v>958</v>
      </c>
      <c r="G20" s="62" t="s">
        <v>959</v>
      </c>
      <c r="H20" s="20"/>
      <c r="I20" s="51"/>
      <c r="J20" s="123"/>
      <c r="K20" s="123">
        <v>1</v>
      </c>
      <c r="L20" s="24"/>
      <c r="M20" s="24"/>
      <c r="N20" s="24"/>
      <c r="O20" s="24"/>
      <c r="P20" s="24"/>
      <c r="Q20" s="24">
        <v>1</v>
      </c>
      <c r="R20" s="63" t="s">
        <v>960</v>
      </c>
      <c r="S20" s="24"/>
      <c r="T20" s="24"/>
      <c r="U20" s="69" t="s">
        <v>502</v>
      </c>
      <c r="V20" s="62" t="s">
        <v>503</v>
      </c>
      <c r="W20" s="62" t="s">
        <v>298</v>
      </c>
      <c r="X20" s="62" t="s">
        <v>227</v>
      </c>
      <c r="Y20" s="20"/>
      <c r="Z20" s="20"/>
      <c r="AA20" s="62" t="s">
        <v>954</v>
      </c>
      <c r="AB20" s="62" t="s">
        <v>528</v>
      </c>
      <c r="AC20" s="24">
        <v>1</v>
      </c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 t="s">
        <v>105</v>
      </c>
      <c r="D21" s="20" t="s">
        <v>501</v>
      </c>
      <c r="E21" s="20" t="s">
        <v>80</v>
      </c>
      <c r="F21" s="20" t="s">
        <v>413</v>
      </c>
      <c r="G21" s="20" t="s">
        <v>414</v>
      </c>
      <c r="H21" s="20" t="s">
        <v>150</v>
      </c>
      <c r="I21" s="51">
        <v>23925</v>
      </c>
      <c r="J21" s="123"/>
      <c r="K21" s="123">
        <v>1</v>
      </c>
      <c r="L21" s="24"/>
      <c r="M21" s="24"/>
      <c r="N21" s="24"/>
      <c r="O21" s="24"/>
      <c r="P21" s="24"/>
      <c r="Q21" s="24">
        <v>1</v>
      </c>
      <c r="R21" s="85" t="s">
        <v>1348</v>
      </c>
      <c r="S21" s="24"/>
      <c r="T21" s="24"/>
      <c r="U21" s="69" t="s">
        <v>295</v>
      </c>
      <c r="V21" s="62" t="s">
        <v>956</v>
      </c>
      <c r="W21" s="62" t="s">
        <v>298</v>
      </c>
      <c r="X21" s="62" t="s">
        <v>227</v>
      </c>
      <c r="Y21" s="50">
        <v>9357514235</v>
      </c>
      <c r="Z21" s="20"/>
      <c r="AA21" s="62" t="s">
        <v>954</v>
      </c>
      <c r="AB21" s="62" t="s">
        <v>526</v>
      </c>
      <c r="AC21" s="24">
        <v>7</v>
      </c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 t="s">
        <v>105</v>
      </c>
      <c r="D22" s="20" t="s">
        <v>501</v>
      </c>
      <c r="E22" s="20" t="s">
        <v>80</v>
      </c>
      <c r="F22" s="62" t="s">
        <v>961</v>
      </c>
      <c r="G22" s="62" t="s">
        <v>704</v>
      </c>
      <c r="H22" s="62" t="s">
        <v>588</v>
      </c>
      <c r="I22" s="65">
        <v>25465</v>
      </c>
      <c r="J22" s="123">
        <v>1</v>
      </c>
      <c r="K22" s="123"/>
      <c r="L22" s="24"/>
      <c r="M22" s="24"/>
      <c r="N22" s="24"/>
      <c r="O22" s="24"/>
      <c r="P22" s="24"/>
      <c r="Q22" s="24">
        <v>1</v>
      </c>
      <c r="R22" s="63" t="s">
        <v>962</v>
      </c>
      <c r="S22" s="24"/>
      <c r="T22" s="24"/>
      <c r="U22" s="70"/>
      <c r="V22" s="62" t="s">
        <v>949</v>
      </c>
      <c r="W22" s="62" t="s">
        <v>280</v>
      </c>
      <c r="X22" s="62" t="s">
        <v>227</v>
      </c>
      <c r="Y22" s="20">
        <v>9361095630</v>
      </c>
      <c r="Z22" s="20"/>
      <c r="AA22" s="62" t="s">
        <v>954</v>
      </c>
      <c r="AB22" s="62" t="s">
        <v>528</v>
      </c>
      <c r="AC22" s="24">
        <v>1</v>
      </c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 t="s">
        <v>105</v>
      </c>
      <c r="D23" s="20" t="s">
        <v>501</v>
      </c>
      <c r="E23" s="20" t="s">
        <v>80</v>
      </c>
      <c r="F23" s="50" t="s">
        <v>918</v>
      </c>
      <c r="G23" s="50" t="s">
        <v>919</v>
      </c>
      <c r="H23" s="50"/>
      <c r="I23" s="65">
        <v>24918</v>
      </c>
      <c r="J23" s="57"/>
      <c r="K23" s="123">
        <v>1</v>
      </c>
      <c r="L23" s="24"/>
      <c r="M23" s="24"/>
      <c r="N23" s="24"/>
      <c r="O23" s="24"/>
      <c r="P23" s="24"/>
      <c r="Q23" s="24">
        <v>1</v>
      </c>
      <c r="R23" s="63" t="s">
        <v>957</v>
      </c>
      <c r="S23" s="24"/>
      <c r="T23" s="24"/>
      <c r="U23" s="67" t="s">
        <v>502</v>
      </c>
      <c r="V23" s="50" t="s">
        <v>503</v>
      </c>
      <c r="W23" s="62" t="s">
        <v>298</v>
      </c>
      <c r="X23" s="52" t="s">
        <v>227</v>
      </c>
      <c r="Y23" s="50">
        <v>9109451565</v>
      </c>
      <c r="Z23" s="20"/>
      <c r="AA23" s="62" t="s">
        <v>954</v>
      </c>
      <c r="AB23" s="62" t="s">
        <v>528</v>
      </c>
      <c r="AC23" s="24">
        <v>1</v>
      </c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 t="s">
        <v>105</v>
      </c>
      <c r="D24" s="20" t="s">
        <v>501</v>
      </c>
      <c r="E24" s="20" t="s">
        <v>80</v>
      </c>
      <c r="F24" s="50" t="s">
        <v>312</v>
      </c>
      <c r="G24" s="50" t="s">
        <v>955</v>
      </c>
      <c r="H24" s="50" t="s">
        <v>286</v>
      </c>
      <c r="I24" s="65">
        <v>23696</v>
      </c>
      <c r="J24" s="57"/>
      <c r="K24" s="123">
        <v>1</v>
      </c>
      <c r="L24" s="24"/>
      <c r="M24" s="24"/>
      <c r="N24" s="24"/>
      <c r="O24" s="24"/>
      <c r="P24" s="24"/>
      <c r="Q24" s="24">
        <v>1</v>
      </c>
      <c r="R24" s="85" t="s">
        <v>1348</v>
      </c>
      <c r="S24" s="24"/>
      <c r="T24" s="24"/>
      <c r="U24" s="67" t="s">
        <v>509</v>
      </c>
      <c r="V24" s="50" t="s">
        <v>503</v>
      </c>
      <c r="W24" s="62" t="s">
        <v>298</v>
      </c>
      <c r="X24" s="52" t="s">
        <v>227</v>
      </c>
      <c r="Y24" s="50"/>
      <c r="Z24" s="20"/>
      <c r="AA24" s="62" t="s">
        <v>954</v>
      </c>
      <c r="AB24" s="62" t="s">
        <v>528</v>
      </c>
      <c r="AC24" s="24">
        <v>1</v>
      </c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 t="s">
        <v>105</v>
      </c>
      <c r="D25" s="20" t="s">
        <v>501</v>
      </c>
      <c r="E25" s="20" t="s">
        <v>80</v>
      </c>
      <c r="F25" s="50" t="s">
        <v>376</v>
      </c>
      <c r="G25" s="50" t="s">
        <v>377</v>
      </c>
      <c r="H25" s="50" t="s">
        <v>283</v>
      </c>
      <c r="I25" s="64">
        <v>31034</v>
      </c>
      <c r="J25" s="59">
        <v>1</v>
      </c>
      <c r="K25" s="59"/>
      <c r="L25" s="24">
        <v>1</v>
      </c>
      <c r="M25" s="24"/>
      <c r="N25" s="24"/>
      <c r="O25" s="24"/>
      <c r="P25" s="24"/>
      <c r="Q25" s="24"/>
      <c r="R25" s="24"/>
      <c r="S25" s="24"/>
      <c r="T25" s="24"/>
      <c r="U25" s="71" t="s">
        <v>502</v>
      </c>
      <c r="V25" s="50" t="s">
        <v>503</v>
      </c>
      <c r="W25" s="20" t="s">
        <v>298</v>
      </c>
      <c r="X25" s="52" t="s">
        <v>227</v>
      </c>
      <c r="Y25" s="52">
        <v>9096157968</v>
      </c>
      <c r="Z25" s="20"/>
      <c r="AA25" s="62" t="s">
        <v>954</v>
      </c>
      <c r="AB25" s="62" t="s">
        <v>528</v>
      </c>
      <c r="AC25" s="24">
        <v>1</v>
      </c>
      <c r="AD25" s="24"/>
      <c r="AE25" s="24"/>
      <c r="AF25" s="24"/>
      <c r="AG25" s="24"/>
      <c r="AH25" s="20"/>
      <c r="AI25" s="42"/>
    </row>
    <row r="26" spans="1:35">
      <c r="A26" s="14"/>
      <c r="B26" s="20"/>
      <c r="C26" s="20" t="s">
        <v>105</v>
      </c>
      <c r="D26" s="20" t="s">
        <v>501</v>
      </c>
      <c r="E26" s="20" t="s">
        <v>80</v>
      </c>
      <c r="F26" s="60" t="s">
        <v>445</v>
      </c>
      <c r="G26" s="60" t="s">
        <v>446</v>
      </c>
      <c r="H26" s="60"/>
      <c r="I26" s="66">
        <v>33127</v>
      </c>
      <c r="J26" s="74"/>
      <c r="K26" s="123">
        <v>1</v>
      </c>
      <c r="L26" s="24"/>
      <c r="M26" s="24"/>
      <c r="N26" s="24"/>
      <c r="O26" s="24"/>
      <c r="P26" s="24"/>
      <c r="Q26" s="24">
        <v>1</v>
      </c>
      <c r="R26" s="85" t="s">
        <v>1348</v>
      </c>
      <c r="S26" s="24"/>
      <c r="T26" s="24"/>
      <c r="U26" s="68" t="s">
        <v>295</v>
      </c>
      <c r="V26" s="60" t="s">
        <v>503</v>
      </c>
      <c r="W26" s="62" t="s">
        <v>298</v>
      </c>
      <c r="X26" s="52" t="s">
        <v>227</v>
      </c>
      <c r="Y26" s="60">
        <v>9759439905</v>
      </c>
      <c r="Z26" s="20"/>
      <c r="AA26" s="62" t="s">
        <v>954</v>
      </c>
      <c r="AB26" s="62" t="s">
        <v>528</v>
      </c>
      <c r="AC26" s="24">
        <v>1</v>
      </c>
      <c r="AD26" s="24"/>
      <c r="AE26" s="24"/>
      <c r="AF26" s="24"/>
      <c r="AG26" s="24"/>
      <c r="AH26" s="20"/>
      <c r="AI26" s="42"/>
    </row>
    <row r="27" spans="1:35">
      <c r="A27" s="14"/>
      <c r="B27" s="20"/>
      <c r="C27" s="20" t="s">
        <v>105</v>
      </c>
      <c r="D27" s="20" t="s">
        <v>501</v>
      </c>
      <c r="E27" s="20" t="s">
        <v>80</v>
      </c>
      <c r="F27" s="50" t="s">
        <v>482</v>
      </c>
      <c r="G27" s="50" t="s">
        <v>483</v>
      </c>
      <c r="H27" s="50"/>
      <c r="I27" s="65"/>
      <c r="J27" s="57">
        <v>1</v>
      </c>
      <c r="K27" s="57"/>
      <c r="L27" s="24"/>
      <c r="M27" s="24"/>
      <c r="N27" s="24"/>
      <c r="O27" s="24"/>
      <c r="P27" s="24"/>
      <c r="Q27" s="24">
        <v>1</v>
      </c>
      <c r="R27" s="85" t="s">
        <v>1348</v>
      </c>
      <c r="S27" s="24"/>
      <c r="T27" s="24"/>
      <c r="U27" s="67" t="s">
        <v>507</v>
      </c>
      <c r="V27" s="50" t="s">
        <v>503</v>
      </c>
      <c r="W27" s="62" t="s">
        <v>298</v>
      </c>
      <c r="X27" s="52" t="s">
        <v>227</v>
      </c>
      <c r="Y27" s="50">
        <v>9187949708</v>
      </c>
      <c r="Z27" s="20"/>
      <c r="AA27" s="62" t="s">
        <v>954</v>
      </c>
      <c r="AB27" s="62" t="s">
        <v>528</v>
      </c>
      <c r="AC27" s="24">
        <v>1</v>
      </c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 t="s">
        <v>105</v>
      </c>
      <c r="D28" s="20" t="s">
        <v>501</v>
      </c>
      <c r="E28" s="20" t="s">
        <v>80</v>
      </c>
      <c r="F28" s="50" t="s">
        <v>940</v>
      </c>
      <c r="G28" s="50" t="s">
        <v>839</v>
      </c>
      <c r="H28" s="50"/>
      <c r="I28" s="65">
        <v>26577</v>
      </c>
      <c r="J28" s="57">
        <v>1</v>
      </c>
      <c r="K28" s="57"/>
      <c r="L28" s="24"/>
      <c r="M28" s="24"/>
      <c r="N28" s="24"/>
      <c r="O28" s="24"/>
      <c r="P28" s="24"/>
      <c r="Q28" s="24">
        <v>1</v>
      </c>
      <c r="R28" s="63" t="s">
        <v>962</v>
      </c>
      <c r="S28" s="24"/>
      <c r="T28" s="24"/>
      <c r="U28" s="67"/>
      <c r="V28" s="50" t="s">
        <v>949</v>
      </c>
      <c r="W28" s="62" t="s">
        <v>280</v>
      </c>
      <c r="X28" s="52" t="s">
        <v>227</v>
      </c>
      <c r="Y28" s="50">
        <v>9205517815</v>
      </c>
      <c r="Z28" s="20"/>
      <c r="AA28" s="62" t="s">
        <v>954</v>
      </c>
      <c r="AB28" s="62" t="s">
        <v>526</v>
      </c>
      <c r="AC28" s="24">
        <v>3</v>
      </c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 t="s">
        <v>963</v>
      </c>
      <c r="D29" s="20" t="s">
        <v>79</v>
      </c>
      <c r="E29" s="20" t="s">
        <v>80</v>
      </c>
      <c r="F29" s="20" t="s">
        <v>755</v>
      </c>
      <c r="G29" s="20" t="s">
        <v>389</v>
      </c>
      <c r="H29" s="20" t="s">
        <v>453</v>
      </c>
      <c r="I29" s="72">
        <v>25879</v>
      </c>
      <c r="J29" s="57">
        <v>1</v>
      </c>
      <c r="K29" s="123"/>
      <c r="L29" s="24"/>
      <c r="M29" s="24"/>
      <c r="N29" s="24"/>
      <c r="O29" s="24"/>
      <c r="P29" s="24"/>
      <c r="Q29" s="24">
        <v>1</v>
      </c>
      <c r="R29" s="85" t="s">
        <v>1348</v>
      </c>
      <c r="S29" s="24"/>
      <c r="T29" s="24"/>
      <c r="U29" s="70" t="s">
        <v>502</v>
      </c>
      <c r="V29" s="50" t="s">
        <v>503</v>
      </c>
      <c r="W29" s="62" t="s">
        <v>298</v>
      </c>
      <c r="X29" s="52" t="s">
        <v>227</v>
      </c>
      <c r="Y29" s="20">
        <v>9051935837</v>
      </c>
      <c r="Z29" s="20"/>
      <c r="AA29" s="62" t="s">
        <v>954</v>
      </c>
      <c r="AB29" s="62" t="s">
        <v>528</v>
      </c>
      <c r="AC29" s="24">
        <v>1</v>
      </c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 t="s">
        <v>963</v>
      </c>
      <c r="D30" s="20" t="s">
        <v>79</v>
      </c>
      <c r="E30" s="20" t="s">
        <v>80</v>
      </c>
      <c r="F30" s="60" t="s">
        <v>445</v>
      </c>
      <c r="G30" s="60" t="s">
        <v>446</v>
      </c>
      <c r="H30" s="60"/>
      <c r="I30" s="66">
        <v>33127</v>
      </c>
      <c r="J30" s="74"/>
      <c r="K30" s="123">
        <v>1</v>
      </c>
      <c r="L30" s="24"/>
      <c r="M30" s="24"/>
      <c r="N30" s="24"/>
      <c r="O30" s="24"/>
      <c r="P30" s="24"/>
      <c r="Q30" s="24">
        <v>1</v>
      </c>
      <c r="R30" s="85" t="s">
        <v>1348</v>
      </c>
      <c r="S30" s="24"/>
      <c r="T30" s="24"/>
      <c r="U30" s="68" t="s">
        <v>295</v>
      </c>
      <c r="V30" s="60" t="s">
        <v>503</v>
      </c>
      <c r="W30" s="62" t="s">
        <v>298</v>
      </c>
      <c r="X30" s="52" t="s">
        <v>227</v>
      </c>
      <c r="Y30" s="60">
        <v>9759439905</v>
      </c>
      <c r="Z30" s="20"/>
      <c r="AA30" s="62" t="s">
        <v>954</v>
      </c>
      <c r="AB30" s="20" t="s">
        <v>528</v>
      </c>
      <c r="AC30" s="24">
        <v>1</v>
      </c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 t="s">
        <v>963</v>
      </c>
      <c r="D31" s="20" t="s">
        <v>79</v>
      </c>
      <c r="E31" s="20" t="s">
        <v>80</v>
      </c>
      <c r="F31" s="20" t="s">
        <v>413</v>
      </c>
      <c r="G31" s="20" t="s">
        <v>414</v>
      </c>
      <c r="H31" s="20" t="s">
        <v>150</v>
      </c>
      <c r="I31" s="51">
        <v>23925</v>
      </c>
      <c r="J31" s="123"/>
      <c r="K31" s="123">
        <v>1</v>
      </c>
      <c r="L31" s="24"/>
      <c r="M31" s="24"/>
      <c r="N31" s="24"/>
      <c r="O31" s="24"/>
      <c r="P31" s="24"/>
      <c r="Q31" s="24">
        <v>1</v>
      </c>
      <c r="R31" s="85" t="s">
        <v>1348</v>
      </c>
      <c r="S31" s="24"/>
      <c r="T31" s="24"/>
      <c r="U31" s="69" t="s">
        <v>295</v>
      </c>
      <c r="V31" s="62" t="s">
        <v>956</v>
      </c>
      <c r="W31" s="62" t="s">
        <v>298</v>
      </c>
      <c r="X31" s="62" t="s">
        <v>227</v>
      </c>
      <c r="Y31" s="50">
        <v>9357514235</v>
      </c>
      <c r="Z31" s="20"/>
      <c r="AA31" s="62" t="s">
        <v>954</v>
      </c>
      <c r="AB31" s="62" t="s">
        <v>526</v>
      </c>
      <c r="AC31" s="24">
        <v>3</v>
      </c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 t="s">
        <v>963</v>
      </c>
      <c r="D32" s="20" t="s">
        <v>79</v>
      </c>
      <c r="E32" s="20" t="s">
        <v>80</v>
      </c>
      <c r="F32" s="20" t="s">
        <v>1272</v>
      </c>
      <c r="G32" s="20" t="s">
        <v>1004</v>
      </c>
      <c r="H32" s="20"/>
      <c r="I32" s="51"/>
      <c r="J32" s="123">
        <v>1</v>
      </c>
      <c r="K32" s="123"/>
      <c r="L32" s="24"/>
      <c r="M32" s="24"/>
      <c r="N32" s="24"/>
      <c r="O32" s="24"/>
      <c r="P32" s="24"/>
      <c r="Q32" s="24">
        <v>1</v>
      </c>
      <c r="R32" s="24" t="s">
        <v>962</v>
      </c>
      <c r="S32" s="24"/>
      <c r="T32" s="24"/>
      <c r="U32" s="70" t="s">
        <v>226</v>
      </c>
      <c r="V32" s="20" t="s">
        <v>223</v>
      </c>
      <c r="W32" s="20" t="s">
        <v>279</v>
      </c>
      <c r="X32" s="20" t="s">
        <v>227</v>
      </c>
      <c r="Y32" s="20"/>
      <c r="Z32" s="20"/>
      <c r="AA32" s="62" t="s">
        <v>954</v>
      </c>
      <c r="AB32" s="20" t="s">
        <v>528</v>
      </c>
      <c r="AC32" s="24">
        <v>1</v>
      </c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 t="s">
        <v>963</v>
      </c>
      <c r="D33" s="20" t="s">
        <v>79</v>
      </c>
      <c r="E33" s="20" t="s">
        <v>80</v>
      </c>
      <c r="F33" s="62" t="s">
        <v>961</v>
      </c>
      <c r="G33" s="62" t="s">
        <v>704</v>
      </c>
      <c r="H33" s="62" t="s">
        <v>588</v>
      </c>
      <c r="I33" s="65">
        <v>25465</v>
      </c>
      <c r="J33" s="123">
        <v>1</v>
      </c>
      <c r="K33" s="123"/>
      <c r="L33" s="24"/>
      <c r="M33" s="24"/>
      <c r="N33" s="24"/>
      <c r="O33" s="24"/>
      <c r="P33" s="24"/>
      <c r="Q33" s="24">
        <v>1</v>
      </c>
      <c r="R33" s="63" t="s">
        <v>962</v>
      </c>
      <c r="S33" s="24"/>
      <c r="T33" s="24"/>
      <c r="U33" s="70"/>
      <c r="V33" s="62" t="s">
        <v>949</v>
      </c>
      <c r="W33" s="62" t="s">
        <v>280</v>
      </c>
      <c r="X33" s="62" t="s">
        <v>227</v>
      </c>
      <c r="Y33" s="20">
        <v>9361095630</v>
      </c>
      <c r="Z33" s="20"/>
      <c r="AA33" s="62" t="s">
        <v>954</v>
      </c>
      <c r="AB33" s="20" t="s">
        <v>528</v>
      </c>
      <c r="AC33" s="24">
        <v>1</v>
      </c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 t="s">
        <v>963</v>
      </c>
      <c r="D34" s="20" t="s">
        <v>79</v>
      </c>
      <c r="E34" s="20" t="s">
        <v>80</v>
      </c>
      <c r="F34" s="50" t="s">
        <v>918</v>
      </c>
      <c r="G34" s="50" t="s">
        <v>919</v>
      </c>
      <c r="H34" s="50"/>
      <c r="I34" s="65">
        <v>24918</v>
      </c>
      <c r="J34" s="57"/>
      <c r="K34" s="123">
        <v>1</v>
      </c>
      <c r="L34" s="24"/>
      <c r="M34" s="24"/>
      <c r="N34" s="24"/>
      <c r="O34" s="24"/>
      <c r="P34" s="24"/>
      <c r="Q34" s="24">
        <v>1</v>
      </c>
      <c r="R34" s="63" t="s">
        <v>957</v>
      </c>
      <c r="S34" s="24"/>
      <c r="T34" s="24"/>
      <c r="U34" s="67" t="s">
        <v>502</v>
      </c>
      <c r="V34" s="50" t="s">
        <v>503</v>
      </c>
      <c r="W34" s="62" t="s">
        <v>298</v>
      </c>
      <c r="X34" s="52" t="s">
        <v>227</v>
      </c>
      <c r="Y34" s="50">
        <v>9109451565</v>
      </c>
      <c r="Z34" s="20"/>
      <c r="AA34" s="62" t="s">
        <v>954</v>
      </c>
      <c r="AB34" s="62" t="s">
        <v>528</v>
      </c>
      <c r="AC34" s="24">
        <v>1</v>
      </c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 t="s">
        <v>963</v>
      </c>
      <c r="D35" s="20" t="s">
        <v>79</v>
      </c>
      <c r="E35" s="20" t="s">
        <v>80</v>
      </c>
      <c r="F35" s="50" t="s">
        <v>312</v>
      </c>
      <c r="G35" s="50" t="s">
        <v>955</v>
      </c>
      <c r="H35" s="50" t="s">
        <v>286</v>
      </c>
      <c r="I35" s="65">
        <v>23696</v>
      </c>
      <c r="J35" s="57"/>
      <c r="K35" s="123">
        <v>1</v>
      </c>
      <c r="L35" s="24"/>
      <c r="M35" s="24"/>
      <c r="N35" s="24"/>
      <c r="O35" s="24"/>
      <c r="P35" s="24"/>
      <c r="Q35" s="24">
        <v>1</v>
      </c>
      <c r="R35" s="85" t="s">
        <v>1348</v>
      </c>
      <c r="S35" s="24"/>
      <c r="T35" s="24"/>
      <c r="U35" s="67" t="s">
        <v>509</v>
      </c>
      <c r="V35" s="50" t="s">
        <v>503</v>
      </c>
      <c r="W35" s="62" t="s">
        <v>298</v>
      </c>
      <c r="X35" s="52" t="s">
        <v>227</v>
      </c>
      <c r="Y35" s="50"/>
      <c r="Z35" s="20"/>
      <c r="AA35" s="62" t="s">
        <v>954</v>
      </c>
      <c r="AB35" s="62" t="s">
        <v>528</v>
      </c>
      <c r="AC35" s="24">
        <v>1</v>
      </c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/>
      <c r="G36" s="20"/>
      <c r="H36" s="20"/>
      <c r="I36" s="51"/>
      <c r="J36" s="123"/>
      <c r="K36" s="123"/>
      <c r="L36" s="24"/>
      <c r="M36" s="24"/>
      <c r="N36" s="24"/>
      <c r="O36" s="24"/>
      <c r="P36" s="24"/>
      <c r="Q36" s="24"/>
      <c r="R36" s="24"/>
      <c r="S36" s="24"/>
      <c r="T36" s="24"/>
      <c r="U36" s="70"/>
      <c r="V36" s="20"/>
      <c r="W36" s="20"/>
      <c r="X36" s="20"/>
      <c r="Y36" s="20"/>
      <c r="Z36" s="20"/>
      <c r="AA36" s="20"/>
      <c r="AB36" s="20"/>
      <c r="AC36" s="24"/>
      <c r="AD36" s="24"/>
      <c r="AE36" s="24"/>
      <c r="AF36" s="24"/>
      <c r="AG36" s="24"/>
      <c r="AH36" s="20"/>
      <c r="AI36" s="42"/>
    </row>
    <row r="37" spans="1:35" s="6" customFormat="1">
      <c r="A37" s="18"/>
      <c r="B37" s="19"/>
      <c r="C37" s="19" t="s">
        <v>82</v>
      </c>
      <c r="D37" s="19"/>
      <c r="E37" s="19"/>
      <c r="F37" s="19"/>
      <c r="G37" s="19"/>
      <c r="H37" s="19"/>
      <c r="I37" s="30"/>
      <c r="J37" s="126">
        <f>SUM(J38:J77)</f>
        <v>28</v>
      </c>
      <c r="K37" s="126">
        <f>SUM(K38:K77)</f>
        <v>67</v>
      </c>
      <c r="L37" s="31">
        <f>SUM(L38:L77)</f>
        <v>2</v>
      </c>
      <c r="M37" s="31">
        <f>SUM(M38:M77)</f>
        <v>0</v>
      </c>
      <c r="N37" s="31">
        <f>SUM(N38:N77)</f>
        <v>0</v>
      </c>
      <c r="O37" s="31"/>
      <c r="P37" s="31">
        <f>SUM(P38:P77)</f>
        <v>0</v>
      </c>
      <c r="Q37" s="31">
        <f>SUM(Q38:Q77)</f>
        <v>95</v>
      </c>
      <c r="R37" s="31"/>
      <c r="S37" s="31">
        <f>SUM(S38:S77)</f>
        <v>0</v>
      </c>
      <c r="T37" s="31">
        <f>SUM(T38:T77)</f>
        <v>0</v>
      </c>
      <c r="U37" s="19"/>
      <c r="V37" s="19"/>
      <c r="W37" s="19"/>
      <c r="X37" s="19"/>
      <c r="Y37" s="19"/>
      <c r="Z37" s="19"/>
      <c r="AA37" s="19"/>
      <c r="AB37" s="19"/>
      <c r="AC37" s="31">
        <f>SUM(AC38:AC77)</f>
        <v>139</v>
      </c>
      <c r="AD37" s="31">
        <f>SUM(AD38:AD77)</f>
        <v>0</v>
      </c>
      <c r="AE37" s="31" t="e">
        <f>AVERAGE(AE38:AE77)</f>
        <v>#DIV/0!</v>
      </c>
      <c r="AF37" s="31" t="e">
        <f>AVERAGE(AF38:AF77)</f>
        <v>#DIV/0!</v>
      </c>
      <c r="AG37" s="31" t="e">
        <f>AVERAGE(AG38:AG77)</f>
        <v>#DIV/0!</v>
      </c>
      <c r="AH37" s="19"/>
      <c r="AI37" s="41"/>
    </row>
    <row r="38" spans="1:35">
      <c r="A38" s="14"/>
      <c r="B38" s="20"/>
      <c r="C38" s="20" t="s">
        <v>1103</v>
      </c>
      <c r="D38" s="20" t="s">
        <v>79</v>
      </c>
      <c r="E38" s="20" t="s">
        <v>80</v>
      </c>
      <c r="F38" s="20" t="s">
        <v>918</v>
      </c>
      <c r="G38" s="20" t="s">
        <v>198</v>
      </c>
      <c r="H38" s="20"/>
      <c r="I38" s="51">
        <v>26171</v>
      </c>
      <c r="J38" s="123">
        <v>1</v>
      </c>
      <c r="K38" s="123"/>
      <c r="L38" s="24"/>
      <c r="M38" s="24"/>
      <c r="N38" s="24"/>
      <c r="O38" s="24"/>
      <c r="P38" s="24"/>
      <c r="Q38" s="24">
        <v>1</v>
      </c>
      <c r="R38" s="85" t="s">
        <v>1348</v>
      </c>
      <c r="S38" s="24"/>
      <c r="T38" s="24"/>
      <c r="U38" s="70" t="s">
        <v>502</v>
      </c>
      <c r="V38" s="20" t="s">
        <v>503</v>
      </c>
      <c r="W38" s="20" t="s">
        <v>298</v>
      </c>
      <c r="X38" s="20" t="s">
        <v>227</v>
      </c>
      <c r="Y38" s="20"/>
      <c r="Z38" s="20"/>
      <c r="AA38" s="20" t="s">
        <v>954</v>
      </c>
      <c r="AB38" s="20" t="s">
        <v>528</v>
      </c>
      <c r="AC38" s="24">
        <v>1</v>
      </c>
      <c r="AD38" s="24"/>
      <c r="AE38" s="24"/>
      <c r="AF38" s="24"/>
      <c r="AG38" s="24"/>
      <c r="AH38" s="20"/>
      <c r="AI38" s="42"/>
    </row>
    <row r="39" spans="1:35">
      <c r="A39" s="14"/>
      <c r="B39" s="20"/>
      <c r="C39" s="20" t="s">
        <v>1103</v>
      </c>
      <c r="D39" s="20" t="s">
        <v>79</v>
      </c>
      <c r="E39" s="20" t="s">
        <v>80</v>
      </c>
      <c r="F39" s="20" t="s">
        <v>413</v>
      </c>
      <c r="G39" s="20" t="s">
        <v>414</v>
      </c>
      <c r="H39" s="20" t="s">
        <v>150</v>
      </c>
      <c r="I39" s="51">
        <v>23925</v>
      </c>
      <c r="J39" s="123"/>
      <c r="K39" s="123">
        <v>1</v>
      </c>
      <c r="L39" s="24"/>
      <c r="M39" s="24"/>
      <c r="N39" s="24"/>
      <c r="O39" s="24"/>
      <c r="P39" s="24"/>
      <c r="Q39" s="24">
        <v>1</v>
      </c>
      <c r="R39" s="85" t="s">
        <v>1348</v>
      </c>
      <c r="S39" s="24"/>
      <c r="T39" s="24"/>
      <c r="U39" s="69" t="s">
        <v>295</v>
      </c>
      <c r="V39" s="62" t="s">
        <v>956</v>
      </c>
      <c r="W39" s="62" t="s">
        <v>298</v>
      </c>
      <c r="X39" s="62" t="s">
        <v>227</v>
      </c>
      <c r="Y39" s="50">
        <v>9357514235</v>
      </c>
      <c r="Z39" s="20"/>
      <c r="AA39" s="62" t="s">
        <v>954</v>
      </c>
      <c r="AB39" s="62" t="s">
        <v>526</v>
      </c>
      <c r="AC39" s="24">
        <v>5</v>
      </c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 t="s">
        <v>1103</v>
      </c>
      <c r="D40" s="20" t="s">
        <v>79</v>
      </c>
      <c r="E40" s="20" t="s">
        <v>80</v>
      </c>
      <c r="F40" s="20" t="s">
        <v>1019</v>
      </c>
      <c r="G40" s="20" t="s">
        <v>1020</v>
      </c>
      <c r="H40" s="20"/>
      <c r="I40" s="72">
        <v>27148</v>
      </c>
      <c r="J40" s="73">
        <v>1</v>
      </c>
      <c r="K40" s="73"/>
      <c r="L40" s="24"/>
      <c r="M40" s="24"/>
      <c r="N40" s="24"/>
      <c r="O40" s="24"/>
      <c r="P40" s="24"/>
      <c r="Q40" s="24">
        <v>1</v>
      </c>
      <c r="R40" s="85" t="s">
        <v>1348</v>
      </c>
      <c r="S40" s="24"/>
      <c r="T40" s="24"/>
      <c r="U40" s="78" t="s">
        <v>295</v>
      </c>
      <c r="V40" s="20" t="s">
        <v>503</v>
      </c>
      <c r="W40" s="20" t="s">
        <v>298</v>
      </c>
      <c r="X40" s="20" t="s">
        <v>227</v>
      </c>
      <c r="Y40" s="20">
        <v>9215660904</v>
      </c>
      <c r="Z40" s="20"/>
      <c r="AA40" s="62" t="s">
        <v>954</v>
      </c>
      <c r="AB40" s="20" t="s">
        <v>528</v>
      </c>
      <c r="AC40" s="24">
        <v>1</v>
      </c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 t="s">
        <v>1103</v>
      </c>
      <c r="D41" s="20" t="s">
        <v>79</v>
      </c>
      <c r="E41" s="20" t="s">
        <v>80</v>
      </c>
      <c r="F41" s="60" t="s">
        <v>445</v>
      </c>
      <c r="G41" s="60" t="s">
        <v>446</v>
      </c>
      <c r="H41" s="60"/>
      <c r="I41" s="66">
        <v>33127</v>
      </c>
      <c r="J41" s="74"/>
      <c r="K41" s="123">
        <v>1</v>
      </c>
      <c r="L41" s="24"/>
      <c r="M41" s="24"/>
      <c r="N41" s="24"/>
      <c r="O41" s="24"/>
      <c r="P41" s="24"/>
      <c r="Q41" s="24">
        <v>1</v>
      </c>
      <c r="R41" s="85" t="s">
        <v>1348</v>
      </c>
      <c r="S41" s="24"/>
      <c r="T41" s="24"/>
      <c r="U41" s="68" t="s">
        <v>295</v>
      </c>
      <c r="V41" s="60" t="s">
        <v>503</v>
      </c>
      <c r="W41" s="62" t="s">
        <v>298</v>
      </c>
      <c r="X41" s="52" t="s">
        <v>227</v>
      </c>
      <c r="Y41" s="60">
        <v>9759439905</v>
      </c>
      <c r="Z41" s="20"/>
      <c r="AA41" s="62" t="s">
        <v>954</v>
      </c>
      <c r="AB41" s="20" t="s">
        <v>526</v>
      </c>
      <c r="AC41" s="24">
        <v>2</v>
      </c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 t="s">
        <v>1103</v>
      </c>
      <c r="D42" s="20" t="s">
        <v>79</v>
      </c>
      <c r="E42" s="20" t="s">
        <v>80</v>
      </c>
      <c r="F42" s="20" t="s">
        <v>755</v>
      </c>
      <c r="G42" s="20" t="s">
        <v>389</v>
      </c>
      <c r="H42" s="20" t="s">
        <v>453</v>
      </c>
      <c r="I42" s="72">
        <v>25879</v>
      </c>
      <c r="J42" s="57">
        <v>1</v>
      </c>
      <c r="K42" s="123"/>
      <c r="L42" s="24"/>
      <c r="M42" s="24"/>
      <c r="N42" s="24"/>
      <c r="O42" s="24"/>
      <c r="P42" s="24"/>
      <c r="Q42" s="24">
        <v>1</v>
      </c>
      <c r="R42" s="85" t="s">
        <v>1348</v>
      </c>
      <c r="S42" s="24"/>
      <c r="T42" s="24"/>
      <c r="U42" s="70" t="s">
        <v>502</v>
      </c>
      <c r="V42" s="50" t="s">
        <v>503</v>
      </c>
      <c r="W42" s="62" t="s">
        <v>298</v>
      </c>
      <c r="X42" s="52" t="s">
        <v>227</v>
      </c>
      <c r="Y42" s="20">
        <v>9051935837</v>
      </c>
      <c r="Z42" s="20"/>
      <c r="AA42" s="62" t="s">
        <v>954</v>
      </c>
      <c r="AB42" s="62" t="s">
        <v>528</v>
      </c>
      <c r="AC42" s="24">
        <v>1</v>
      </c>
      <c r="AD42" s="24"/>
      <c r="AE42" s="24"/>
      <c r="AF42" s="24"/>
      <c r="AG42" s="24"/>
      <c r="AH42" s="20"/>
      <c r="AI42" s="42"/>
    </row>
    <row r="43" spans="1:35">
      <c r="A43" s="14"/>
      <c r="B43" s="20"/>
      <c r="C43" s="53" t="s">
        <v>1172</v>
      </c>
      <c r="D43" s="20" t="s">
        <v>79</v>
      </c>
      <c r="E43" s="20" t="s">
        <v>80</v>
      </c>
      <c r="F43" s="53" t="s">
        <v>1272</v>
      </c>
      <c r="G43" s="53" t="s">
        <v>1004</v>
      </c>
      <c r="H43" s="20"/>
      <c r="I43" s="81" t="s">
        <v>1273</v>
      </c>
      <c r="J43" s="123">
        <v>1</v>
      </c>
      <c r="K43" s="123"/>
      <c r="L43" s="24"/>
      <c r="M43" s="24"/>
      <c r="N43" s="24"/>
      <c r="O43" s="24"/>
      <c r="P43" s="24"/>
      <c r="Q43" s="24">
        <v>1</v>
      </c>
      <c r="R43" s="75" t="s">
        <v>962</v>
      </c>
      <c r="S43" s="24"/>
      <c r="T43" s="24"/>
      <c r="U43" s="82" t="s">
        <v>226</v>
      </c>
      <c r="V43" s="53" t="s">
        <v>223</v>
      </c>
      <c r="W43" s="53" t="s">
        <v>279</v>
      </c>
      <c r="X43" s="53" t="s">
        <v>227</v>
      </c>
      <c r="Y43" s="20">
        <v>9196004838</v>
      </c>
      <c r="Z43" s="20"/>
      <c r="AA43" s="62" t="s">
        <v>954</v>
      </c>
      <c r="AB43" s="53" t="s">
        <v>528</v>
      </c>
      <c r="AC43" s="24">
        <v>1</v>
      </c>
      <c r="AD43" s="24"/>
      <c r="AE43" s="24"/>
      <c r="AF43" s="24"/>
      <c r="AG43" s="24"/>
      <c r="AH43" s="20"/>
      <c r="AI43" s="42"/>
    </row>
    <row r="44" spans="1:35">
      <c r="A44" s="14"/>
      <c r="B44" s="20"/>
      <c r="C44" s="53" t="s">
        <v>1172</v>
      </c>
      <c r="D44" s="20" t="s">
        <v>79</v>
      </c>
      <c r="E44" s="20" t="s">
        <v>80</v>
      </c>
      <c r="F44" s="53" t="s">
        <v>1275</v>
      </c>
      <c r="G44" s="53" t="s">
        <v>1274</v>
      </c>
      <c r="H44" s="53" t="s">
        <v>283</v>
      </c>
      <c r="I44" s="81" t="s">
        <v>1276</v>
      </c>
      <c r="J44" s="123">
        <v>1</v>
      </c>
      <c r="K44" s="123"/>
      <c r="L44" s="24"/>
      <c r="M44" s="24"/>
      <c r="N44" s="24"/>
      <c r="O44" s="24"/>
      <c r="P44" s="24"/>
      <c r="Q44" s="24">
        <v>1</v>
      </c>
      <c r="R44" s="75" t="s">
        <v>962</v>
      </c>
      <c r="S44" s="24"/>
      <c r="T44" s="24"/>
      <c r="U44" s="82" t="s">
        <v>853</v>
      </c>
      <c r="V44" s="53" t="s">
        <v>503</v>
      </c>
      <c r="W44" s="53" t="s">
        <v>298</v>
      </c>
      <c r="X44" s="53" t="s">
        <v>227</v>
      </c>
      <c r="Y44" s="20">
        <v>9693804277</v>
      </c>
      <c r="Z44" s="20"/>
      <c r="AA44" s="62" t="s">
        <v>954</v>
      </c>
      <c r="AB44" s="53" t="s">
        <v>528</v>
      </c>
      <c r="AC44" s="24">
        <v>1</v>
      </c>
      <c r="AD44" s="24"/>
      <c r="AE44" s="24"/>
      <c r="AF44" s="24"/>
      <c r="AG44" s="24"/>
      <c r="AH44" s="20"/>
      <c r="AI44" s="42"/>
    </row>
    <row r="45" spans="1:35">
      <c r="A45" s="14"/>
      <c r="B45" s="20"/>
      <c r="C45" s="53" t="s">
        <v>1172</v>
      </c>
      <c r="D45" s="20" t="s">
        <v>79</v>
      </c>
      <c r="E45" s="20" t="s">
        <v>80</v>
      </c>
      <c r="F45" s="53" t="s">
        <v>443</v>
      </c>
      <c r="G45" s="53" t="s">
        <v>444</v>
      </c>
      <c r="H45" s="20"/>
      <c r="I45" s="51"/>
      <c r="J45" s="123">
        <v>1</v>
      </c>
      <c r="K45" s="123"/>
      <c r="L45" s="24"/>
      <c r="M45" s="24"/>
      <c r="N45" s="24"/>
      <c r="O45" s="24"/>
      <c r="P45" s="24"/>
      <c r="Q45" s="24">
        <v>1</v>
      </c>
      <c r="R45" s="85" t="s">
        <v>1348</v>
      </c>
      <c r="S45" s="24"/>
      <c r="T45" s="24"/>
      <c r="U45" s="82" t="s">
        <v>502</v>
      </c>
      <c r="V45" s="53" t="s">
        <v>503</v>
      </c>
      <c r="W45" s="53" t="s">
        <v>298</v>
      </c>
      <c r="X45" s="53" t="s">
        <v>227</v>
      </c>
      <c r="Y45" s="20"/>
      <c r="Z45" s="20"/>
      <c r="AA45" s="62" t="s">
        <v>954</v>
      </c>
      <c r="AB45" s="53" t="s">
        <v>528</v>
      </c>
      <c r="AC45" s="24">
        <v>1</v>
      </c>
      <c r="AD45" s="24"/>
      <c r="AE45" s="24"/>
      <c r="AF45" s="24"/>
      <c r="AG45" s="24"/>
      <c r="AH45" s="20"/>
      <c r="AI45" s="42"/>
    </row>
    <row r="46" spans="1:35">
      <c r="A46" s="14"/>
      <c r="B46" s="20"/>
      <c r="C46" s="53" t="s">
        <v>1172</v>
      </c>
      <c r="D46" s="20" t="s">
        <v>79</v>
      </c>
      <c r="E46" s="20" t="s">
        <v>80</v>
      </c>
      <c r="F46" s="53" t="s">
        <v>940</v>
      </c>
      <c r="G46" s="53" t="s">
        <v>1313</v>
      </c>
      <c r="H46" s="20"/>
      <c r="I46" s="81" t="s">
        <v>1290</v>
      </c>
      <c r="J46" s="123"/>
      <c r="K46" s="123">
        <v>1</v>
      </c>
      <c r="L46" s="24"/>
      <c r="M46" s="24"/>
      <c r="N46" s="24"/>
      <c r="O46" s="24"/>
      <c r="P46" s="24"/>
      <c r="Q46" s="24">
        <v>1</v>
      </c>
      <c r="R46" s="85" t="s">
        <v>1348</v>
      </c>
      <c r="S46" s="24"/>
      <c r="T46" s="24"/>
      <c r="U46" s="70"/>
      <c r="V46" s="53" t="s">
        <v>949</v>
      </c>
      <c r="W46" s="53" t="s">
        <v>280</v>
      </c>
      <c r="X46" s="53" t="s">
        <v>227</v>
      </c>
      <c r="Y46" s="20">
        <v>9678213070</v>
      </c>
      <c r="Z46" s="20"/>
      <c r="AA46" s="62" t="s">
        <v>954</v>
      </c>
      <c r="AB46" s="53" t="s">
        <v>526</v>
      </c>
      <c r="AC46" s="24">
        <v>3</v>
      </c>
      <c r="AD46" s="24"/>
      <c r="AE46" s="24"/>
      <c r="AF46" s="24"/>
      <c r="AG46" s="24"/>
      <c r="AH46" s="20"/>
      <c r="AI46" s="42"/>
    </row>
    <row r="47" spans="1:35">
      <c r="A47" s="14"/>
      <c r="B47" s="20"/>
      <c r="C47" s="53" t="s">
        <v>1172</v>
      </c>
      <c r="D47" s="20" t="s">
        <v>79</v>
      </c>
      <c r="E47" s="20" t="s">
        <v>80</v>
      </c>
      <c r="F47" s="50" t="s">
        <v>312</v>
      </c>
      <c r="G47" s="50" t="s">
        <v>840</v>
      </c>
      <c r="H47" s="50" t="s">
        <v>144</v>
      </c>
      <c r="I47" s="65">
        <v>30173</v>
      </c>
      <c r="J47" s="57"/>
      <c r="K47" s="57">
        <v>1</v>
      </c>
      <c r="L47" s="24"/>
      <c r="M47" s="24"/>
      <c r="N47" s="24"/>
      <c r="O47" s="24"/>
      <c r="P47" s="24"/>
      <c r="Q47" s="24">
        <v>1</v>
      </c>
      <c r="R47" s="85" t="s">
        <v>1348</v>
      </c>
      <c r="S47" s="24"/>
      <c r="T47" s="24"/>
      <c r="U47" s="67" t="s">
        <v>859</v>
      </c>
      <c r="V47" s="50" t="s">
        <v>503</v>
      </c>
      <c r="W47" s="62" t="s">
        <v>298</v>
      </c>
      <c r="X47" s="52" t="s">
        <v>227</v>
      </c>
      <c r="Y47" s="50">
        <v>9265351990</v>
      </c>
      <c r="Z47" s="20"/>
      <c r="AA47" s="62" t="s">
        <v>954</v>
      </c>
      <c r="AB47" s="53" t="s">
        <v>528</v>
      </c>
      <c r="AC47" s="24">
        <v>1</v>
      </c>
      <c r="AD47" s="24"/>
      <c r="AE47" s="24"/>
      <c r="AF47" s="24"/>
      <c r="AG47" s="24"/>
      <c r="AH47" s="20"/>
      <c r="AI47" s="42"/>
    </row>
    <row r="48" spans="1:35">
      <c r="A48" s="14"/>
      <c r="B48" s="20"/>
      <c r="C48" s="53" t="s">
        <v>1320</v>
      </c>
      <c r="D48" s="20" t="s">
        <v>79</v>
      </c>
      <c r="E48" s="20" t="s">
        <v>80</v>
      </c>
      <c r="F48" s="50" t="s">
        <v>1108</v>
      </c>
      <c r="G48" s="50" t="s">
        <v>1288</v>
      </c>
      <c r="H48" s="50" t="s">
        <v>115</v>
      </c>
      <c r="I48" s="65">
        <v>26897</v>
      </c>
      <c r="J48" s="57"/>
      <c r="K48" s="57">
        <v>1</v>
      </c>
      <c r="L48" s="24"/>
      <c r="M48" s="24"/>
      <c r="N48" s="24"/>
      <c r="O48" s="24"/>
      <c r="P48" s="24"/>
      <c r="Q48" s="24">
        <v>1</v>
      </c>
      <c r="R48" s="85" t="s">
        <v>1348</v>
      </c>
      <c r="S48" s="24"/>
      <c r="T48" s="24"/>
      <c r="U48" s="67" t="s">
        <v>859</v>
      </c>
      <c r="V48" s="50" t="s">
        <v>503</v>
      </c>
      <c r="W48" s="84" t="s">
        <v>298</v>
      </c>
      <c r="X48" s="52" t="s">
        <v>227</v>
      </c>
      <c r="Y48" s="50">
        <v>9368500335</v>
      </c>
      <c r="Z48" s="20"/>
      <c r="AA48" s="62" t="s">
        <v>954</v>
      </c>
      <c r="AB48" s="53" t="s">
        <v>528</v>
      </c>
      <c r="AC48" s="24">
        <v>1</v>
      </c>
      <c r="AD48" s="24"/>
      <c r="AE48" s="24"/>
      <c r="AF48" s="24"/>
      <c r="AG48" s="24"/>
      <c r="AH48" s="20"/>
      <c r="AI48" s="42"/>
    </row>
    <row r="49" spans="1:35">
      <c r="A49" s="14"/>
      <c r="B49" s="20"/>
      <c r="C49" s="53" t="s">
        <v>1320</v>
      </c>
      <c r="D49" s="20" t="s">
        <v>79</v>
      </c>
      <c r="E49" s="20" t="s">
        <v>80</v>
      </c>
      <c r="F49" s="50" t="s">
        <v>413</v>
      </c>
      <c r="G49" s="50" t="s">
        <v>414</v>
      </c>
      <c r="H49" s="50" t="s">
        <v>150</v>
      </c>
      <c r="I49" s="65">
        <v>23925</v>
      </c>
      <c r="J49" s="57"/>
      <c r="K49" s="57">
        <v>1</v>
      </c>
      <c r="L49" s="24"/>
      <c r="M49" s="24"/>
      <c r="N49" s="24"/>
      <c r="O49" s="24"/>
      <c r="P49" s="24"/>
      <c r="Q49" s="24">
        <v>1</v>
      </c>
      <c r="R49" s="85" t="s">
        <v>1348</v>
      </c>
      <c r="S49" s="24"/>
      <c r="T49" s="24"/>
      <c r="U49" s="69" t="s">
        <v>295</v>
      </c>
      <c r="V49" s="62" t="s">
        <v>956</v>
      </c>
      <c r="W49" s="62" t="s">
        <v>298</v>
      </c>
      <c r="X49" s="62" t="s">
        <v>227</v>
      </c>
      <c r="Y49" s="50">
        <v>9357514235</v>
      </c>
      <c r="Z49" s="20"/>
      <c r="AA49" s="62" t="s">
        <v>954</v>
      </c>
      <c r="AB49" s="53" t="s">
        <v>526</v>
      </c>
      <c r="AC49" s="24">
        <v>11</v>
      </c>
      <c r="AD49" s="24"/>
      <c r="AE49" s="24"/>
      <c r="AF49" s="24"/>
      <c r="AG49" s="24"/>
      <c r="AH49" s="20"/>
      <c r="AI49" s="42"/>
    </row>
    <row r="50" spans="1:35">
      <c r="A50" s="14"/>
      <c r="B50" s="20"/>
      <c r="C50" s="53" t="s">
        <v>1320</v>
      </c>
      <c r="D50" s="20" t="s">
        <v>79</v>
      </c>
      <c r="E50" s="20" t="s">
        <v>80</v>
      </c>
      <c r="F50" s="60" t="s">
        <v>445</v>
      </c>
      <c r="G50" s="60" t="s">
        <v>446</v>
      </c>
      <c r="H50" s="60"/>
      <c r="I50" s="66">
        <v>33127</v>
      </c>
      <c r="J50" s="74"/>
      <c r="K50" s="123">
        <v>1</v>
      </c>
      <c r="L50" s="24"/>
      <c r="M50" s="24"/>
      <c r="N50" s="24"/>
      <c r="O50" s="24"/>
      <c r="P50" s="24"/>
      <c r="Q50" s="24">
        <v>1</v>
      </c>
      <c r="R50" s="85" t="s">
        <v>1348</v>
      </c>
      <c r="S50" s="24"/>
      <c r="T50" s="24"/>
      <c r="U50" s="68" t="s">
        <v>295</v>
      </c>
      <c r="V50" s="60" t="s">
        <v>503</v>
      </c>
      <c r="W50" s="62" t="s">
        <v>298</v>
      </c>
      <c r="X50" s="52" t="s">
        <v>227</v>
      </c>
      <c r="Y50" s="60">
        <v>9759439905</v>
      </c>
      <c r="Z50" s="20"/>
      <c r="AA50" s="62" t="s">
        <v>954</v>
      </c>
      <c r="AB50" s="53" t="s">
        <v>526</v>
      </c>
      <c r="AC50" s="24">
        <v>2</v>
      </c>
      <c r="AD50" s="24"/>
      <c r="AE50" s="24"/>
      <c r="AF50" s="24"/>
      <c r="AG50" s="24"/>
      <c r="AH50" s="20"/>
      <c r="AI50" s="42"/>
    </row>
    <row r="51" spans="1:35">
      <c r="A51" s="14"/>
      <c r="B51" s="20"/>
      <c r="C51" s="53" t="s">
        <v>1320</v>
      </c>
      <c r="D51" s="20" t="s">
        <v>79</v>
      </c>
      <c r="E51" s="20" t="s">
        <v>80</v>
      </c>
      <c r="F51" s="50" t="s">
        <v>755</v>
      </c>
      <c r="G51" s="50" t="s">
        <v>1349</v>
      </c>
      <c r="H51" s="50"/>
      <c r="I51" s="65"/>
      <c r="J51" s="57"/>
      <c r="K51" s="57">
        <v>1</v>
      </c>
      <c r="L51" s="24"/>
      <c r="M51" s="24"/>
      <c r="N51" s="24"/>
      <c r="O51" s="24"/>
      <c r="P51" s="24"/>
      <c r="Q51" s="24">
        <v>1</v>
      </c>
      <c r="R51" s="85" t="s">
        <v>1348</v>
      </c>
      <c r="S51" s="24"/>
      <c r="T51" s="24"/>
      <c r="U51" s="68" t="s">
        <v>295</v>
      </c>
      <c r="V51" s="50" t="s">
        <v>503</v>
      </c>
      <c r="W51" s="84" t="s">
        <v>298</v>
      </c>
      <c r="X51" s="52" t="s">
        <v>227</v>
      </c>
      <c r="Y51" s="50">
        <v>9051935837</v>
      </c>
      <c r="Z51" s="20"/>
      <c r="AA51" s="62" t="s">
        <v>954</v>
      </c>
      <c r="AB51" s="53" t="s">
        <v>528</v>
      </c>
      <c r="AC51" s="24">
        <v>1</v>
      </c>
      <c r="AD51" s="24"/>
      <c r="AE51" s="24"/>
      <c r="AF51" s="24"/>
      <c r="AG51" s="24"/>
      <c r="AH51" s="20"/>
      <c r="AI51" s="42"/>
    </row>
    <row r="52" spans="1:35">
      <c r="A52" s="14"/>
      <c r="B52" s="20"/>
      <c r="C52" s="53" t="s">
        <v>1320</v>
      </c>
      <c r="D52" s="20" t="s">
        <v>79</v>
      </c>
      <c r="E52" s="20" t="s">
        <v>80</v>
      </c>
      <c r="F52" s="50" t="s">
        <v>1350</v>
      </c>
      <c r="G52" s="50" t="s">
        <v>1299</v>
      </c>
      <c r="H52" s="50"/>
      <c r="I52" s="65"/>
      <c r="J52" s="57"/>
      <c r="K52" s="57">
        <v>1</v>
      </c>
      <c r="L52" s="24"/>
      <c r="M52" s="24"/>
      <c r="N52" s="24"/>
      <c r="O52" s="24"/>
      <c r="P52" s="24"/>
      <c r="Q52" s="24">
        <v>1</v>
      </c>
      <c r="R52" s="85" t="s">
        <v>957</v>
      </c>
      <c r="S52" s="24"/>
      <c r="T52" s="24"/>
      <c r="U52" s="67" t="s">
        <v>295</v>
      </c>
      <c r="V52" s="50" t="s">
        <v>503</v>
      </c>
      <c r="W52" s="84" t="s">
        <v>298</v>
      </c>
      <c r="X52" s="52" t="s">
        <v>227</v>
      </c>
      <c r="Y52" s="50">
        <v>9050919009</v>
      </c>
      <c r="Z52" s="20"/>
      <c r="AA52" s="62" t="s">
        <v>954</v>
      </c>
      <c r="AB52" s="53" t="s">
        <v>528</v>
      </c>
      <c r="AC52" s="24">
        <v>1</v>
      </c>
      <c r="AD52" s="24"/>
      <c r="AE52" s="24"/>
      <c r="AF52" s="24"/>
      <c r="AG52" s="24"/>
      <c r="AH52" s="20"/>
      <c r="AI52" s="42"/>
    </row>
    <row r="53" spans="1:35">
      <c r="A53" s="14"/>
      <c r="B53" s="20"/>
      <c r="C53" s="53" t="s">
        <v>1351</v>
      </c>
      <c r="D53" s="20" t="s">
        <v>79</v>
      </c>
      <c r="E53" s="20" t="s">
        <v>80</v>
      </c>
      <c r="F53" s="50" t="s">
        <v>961</v>
      </c>
      <c r="G53" s="50" t="s">
        <v>704</v>
      </c>
      <c r="H53" s="50" t="s">
        <v>588</v>
      </c>
      <c r="I53" s="65">
        <v>25465</v>
      </c>
      <c r="J53" s="57">
        <v>1</v>
      </c>
      <c r="K53" s="57"/>
      <c r="L53" s="24"/>
      <c r="M53" s="24"/>
      <c r="N53" s="24"/>
      <c r="O53" s="24"/>
      <c r="P53" s="24"/>
      <c r="Q53" s="24">
        <v>1</v>
      </c>
      <c r="R53" s="63" t="s">
        <v>962</v>
      </c>
      <c r="S53" s="24"/>
      <c r="T53" s="24"/>
      <c r="U53" s="70"/>
      <c r="V53" s="62" t="s">
        <v>949</v>
      </c>
      <c r="W53" s="62" t="s">
        <v>280</v>
      </c>
      <c r="X53" s="62" t="s">
        <v>227</v>
      </c>
      <c r="Y53" s="50">
        <v>9361095630</v>
      </c>
      <c r="Z53" s="20"/>
      <c r="AA53" s="62" t="s">
        <v>954</v>
      </c>
      <c r="AB53" s="53" t="s">
        <v>528</v>
      </c>
      <c r="AC53" s="24">
        <v>1</v>
      </c>
      <c r="AD53" s="24"/>
      <c r="AE53" s="24"/>
      <c r="AF53" s="24"/>
      <c r="AG53" s="24"/>
      <c r="AH53" s="20"/>
      <c r="AI53" s="42"/>
    </row>
    <row r="54" spans="1:35">
      <c r="A54" s="14"/>
      <c r="B54" s="20"/>
      <c r="C54" s="53" t="s">
        <v>1351</v>
      </c>
      <c r="D54" s="20" t="s">
        <v>79</v>
      </c>
      <c r="E54" s="20" t="s">
        <v>80</v>
      </c>
      <c r="F54" s="53" t="s">
        <v>1272</v>
      </c>
      <c r="G54" s="53" t="s">
        <v>1004</v>
      </c>
      <c r="H54" s="20"/>
      <c r="I54" s="81" t="s">
        <v>1273</v>
      </c>
      <c r="J54" s="123">
        <v>1</v>
      </c>
      <c r="K54" s="123"/>
      <c r="L54" s="24"/>
      <c r="M54" s="24"/>
      <c r="N54" s="24"/>
      <c r="O54" s="24"/>
      <c r="P54" s="24"/>
      <c r="Q54" s="24">
        <v>1</v>
      </c>
      <c r="R54" s="75" t="s">
        <v>962</v>
      </c>
      <c r="S54" s="24"/>
      <c r="T54" s="24"/>
      <c r="U54" s="82" t="s">
        <v>226</v>
      </c>
      <c r="V54" s="53" t="s">
        <v>223</v>
      </c>
      <c r="W54" s="53" t="s">
        <v>279</v>
      </c>
      <c r="X54" s="53" t="s">
        <v>227</v>
      </c>
      <c r="Y54" s="20"/>
      <c r="Z54" s="20"/>
      <c r="AA54" s="62" t="s">
        <v>954</v>
      </c>
      <c r="AB54" s="53" t="s">
        <v>528</v>
      </c>
      <c r="AC54" s="24">
        <v>1</v>
      </c>
      <c r="AD54" s="24"/>
      <c r="AE54" s="24"/>
      <c r="AF54" s="24"/>
      <c r="AG54" s="24"/>
      <c r="AH54" s="20"/>
      <c r="AI54" s="42"/>
    </row>
    <row r="55" spans="1:35">
      <c r="A55" s="14"/>
      <c r="B55" s="20"/>
      <c r="C55" s="53" t="s">
        <v>1351</v>
      </c>
      <c r="D55" s="20" t="s">
        <v>79</v>
      </c>
      <c r="E55" s="20" t="s">
        <v>80</v>
      </c>
      <c r="F55" s="50" t="s">
        <v>918</v>
      </c>
      <c r="G55" s="7" t="s">
        <v>198</v>
      </c>
      <c r="H55" s="50"/>
      <c r="I55" s="65"/>
      <c r="J55" s="57">
        <v>1</v>
      </c>
      <c r="K55" s="57"/>
      <c r="L55" s="24">
        <v>1</v>
      </c>
      <c r="M55" s="24"/>
      <c r="N55" s="24"/>
      <c r="O55" s="24"/>
      <c r="P55" s="24"/>
      <c r="Q55" s="24">
        <v>1</v>
      </c>
      <c r="R55" s="85" t="s">
        <v>1348</v>
      </c>
      <c r="S55" s="24"/>
      <c r="T55" s="24"/>
      <c r="U55" s="82" t="s">
        <v>502</v>
      </c>
      <c r="V55" s="53" t="s">
        <v>503</v>
      </c>
      <c r="W55" s="53" t="s">
        <v>298</v>
      </c>
      <c r="X55" s="53" t="s">
        <v>227</v>
      </c>
      <c r="Y55" s="50">
        <v>9519533276</v>
      </c>
      <c r="Z55" s="20"/>
      <c r="AA55" s="62" t="s">
        <v>954</v>
      </c>
      <c r="AB55" s="53" t="s">
        <v>528</v>
      </c>
      <c r="AC55" s="24">
        <v>1</v>
      </c>
      <c r="AD55" s="24"/>
      <c r="AE55" s="24"/>
      <c r="AF55" s="24"/>
      <c r="AG55" s="24"/>
      <c r="AH55" s="20"/>
      <c r="AI55" s="42"/>
    </row>
    <row r="56" spans="1:35">
      <c r="A56" s="14"/>
      <c r="B56" s="20"/>
      <c r="C56" s="53" t="s">
        <v>1351</v>
      </c>
      <c r="D56" s="20" t="s">
        <v>79</v>
      </c>
      <c r="E56" s="20" t="s">
        <v>80</v>
      </c>
      <c r="F56" s="50" t="s">
        <v>918</v>
      </c>
      <c r="G56" s="50" t="s">
        <v>919</v>
      </c>
      <c r="H56" s="50"/>
      <c r="I56" s="65">
        <v>24918</v>
      </c>
      <c r="J56" s="57"/>
      <c r="K56" s="123">
        <v>1</v>
      </c>
      <c r="L56" s="24"/>
      <c r="M56" s="24"/>
      <c r="N56" s="24"/>
      <c r="O56" s="24"/>
      <c r="P56" s="24"/>
      <c r="Q56" s="24">
        <v>1</v>
      </c>
      <c r="R56" s="63" t="s">
        <v>957</v>
      </c>
      <c r="S56" s="24"/>
      <c r="T56" s="24"/>
      <c r="U56" s="67" t="s">
        <v>502</v>
      </c>
      <c r="V56" s="50" t="s">
        <v>503</v>
      </c>
      <c r="W56" s="62" t="s">
        <v>298</v>
      </c>
      <c r="X56" s="52" t="s">
        <v>227</v>
      </c>
      <c r="Y56" s="50">
        <v>9109451565</v>
      </c>
      <c r="Z56" s="20"/>
      <c r="AA56" s="62" t="s">
        <v>954</v>
      </c>
      <c r="AB56" s="53" t="s">
        <v>528</v>
      </c>
      <c r="AC56" s="24">
        <v>1</v>
      </c>
      <c r="AD56" s="24"/>
      <c r="AE56" s="24"/>
      <c r="AF56" s="24"/>
      <c r="AG56" s="24"/>
      <c r="AH56" s="20"/>
      <c r="AI56" s="42"/>
    </row>
    <row r="57" spans="1:35">
      <c r="A57" s="14"/>
      <c r="B57" s="20"/>
      <c r="C57" s="53" t="s">
        <v>1351</v>
      </c>
      <c r="D57" s="20" t="s">
        <v>79</v>
      </c>
      <c r="E57" s="20" t="s">
        <v>80</v>
      </c>
      <c r="F57" s="50" t="s">
        <v>940</v>
      </c>
      <c r="G57" s="50" t="s">
        <v>839</v>
      </c>
      <c r="H57" s="50"/>
      <c r="I57" s="65">
        <v>26577</v>
      </c>
      <c r="J57" s="57">
        <v>1</v>
      </c>
      <c r="K57" s="57"/>
      <c r="L57" s="24"/>
      <c r="M57" s="24"/>
      <c r="N57" s="24"/>
      <c r="O57" s="24"/>
      <c r="P57" s="24"/>
      <c r="Q57" s="24">
        <v>1</v>
      </c>
      <c r="R57" s="63" t="s">
        <v>962</v>
      </c>
      <c r="S57" s="24"/>
      <c r="T57" s="24"/>
      <c r="U57" s="67"/>
      <c r="V57" s="50" t="s">
        <v>949</v>
      </c>
      <c r="W57" s="62" t="s">
        <v>280</v>
      </c>
      <c r="X57" s="52" t="s">
        <v>227</v>
      </c>
      <c r="Y57" s="50">
        <v>9205517705</v>
      </c>
      <c r="Z57" s="20"/>
      <c r="AA57" s="62" t="s">
        <v>954</v>
      </c>
      <c r="AB57" s="53" t="s">
        <v>528</v>
      </c>
      <c r="AC57" s="24">
        <v>3</v>
      </c>
      <c r="AD57" s="24"/>
      <c r="AE57" s="24"/>
      <c r="AF57" s="24"/>
      <c r="AG57" s="24"/>
      <c r="AH57" s="20"/>
      <c r="AI57" s="42"/>
    </row>
    <row r="58" spans="1:35">
      <c r="A58" s="14"/>
      <c r="B58" s="20"/>
      <c r="C58" s="53" t="s">
        <v>1431</v>
      </c>
      <c r="D58" s="20" t="s">
        <v>79</v>
      </c>
      <c r="E58" s="20" t="s">
        <v>80</v>
      </c>
      <c r="F58" s="20" t="s">
        <v>413</v>
      </c>
      <c r="G58" s="20" t="s">
        <v>414</v>
      </c>
      <c r="H58" s="20" t="s">
        <v>150</v>
      </c>
      <c r="I58" s="51">
        <v>23925</v>
      </c>
      <c r="J58" s="123"/>
      <c r="K58" s="123">
        <v>1</v>
      </c>
      <c r="L58" s="24"/>
      <c r="M58" s="24"/>
      <c r="N58" s="24"/>
      <c r="O58" s="24"/>
      <c r="P58" s="24"/>
      <c r="Q58" s="24">
        <v>1</v>
      </c>
      <c r="R58" s="85" t="s">
        <v>1348</v>
      </c>
      <c r="S58" s="24"/>
      <c r="T58" s="24"/>
      <c r="U58" s="69" t="s">
        <v>295</v>
      </c>
      <c r="V58" s="62" t="s">
        <v>956</v>
      </c>
      <c r="W58" s="62" t="s">
        <v>298</v>
      </c>
      <c r="X58" s="62" t="s">
        <v>227</v>
      </c>
      <c r="Y58" s="50">
        <v>9357514235</v>
      </c>
      <c r="Z58" s="20"/>
      <c r="AA58" s="62" t="s">
        <v>954</v>
      </c>
      <c r="AB58" s="62" t="s">
        <v>526</v>
      </c>
      <c r="AC58" s="24">
        <v>8</v>
      </c>
      <c r="AD58" s="24"/>
      <c r="AE58" s="24"/>
      <c r="AF58" s="24"/>
      <c r="AG58" s="24"/>
      <c r="AH58" s="20"/>
      <c r="AI58" s="42"/>
    </row>
    <row r="59" spans="1:35">
      <c r="A59" s="14"/>
      <c r="B59" s="20"/>
      <c r="C59" s="53" t="s">
        <v>1431</v>
      </c>
      <c r="D59" s="20" t="s">
        <v>79</v>
      </c>
      <c r="E59" s="20" t="s">
        <v>80</v>
      </c>
      <c r="F59" s="20" t="s">
        <v>755</v>
      </c>
      <c r="G59" s="20" t="s">
        <v>389</v>
      </c>
      <c r="H59" s="20" t="s">
        <v>453</v>
      </c>
      <c r="I59" s="72">
        <v>25879</v>
      </c>
      <c r="J59" s="57">
        <v>1</v>
      </c>
      <c r="K59" s="123"/>
      <c r="L59" s="24"/>
      <c r="M59" s="24"/>
      <c r="N59" s="24"/>
      <c r="O59" s="24"/>
      <c r="P59" s="24"/>
      <c r="Q59" s="24">
        <v>1</v>
      </c>
      <c r="R59" s="85" t="s">
        <v>1348</v>
      </c>
      <c r="S59" s="24"/>
      <c r="T59" s="24"/>
      <c r="U59" s="70" t="s">
        <v>502</v>
      </c>
      <c r="V59" s="50" t="s">
        <v>503</v>
      </c>
      <c r="W59" s="62" t="s">
        <v>298</v>
      </c>
      <c r="X59" s="52" t="s">
        <v>227</v>
      </c>
      <c r="Y59" s="20">
        <v>9051935837</v>
      </c>
      <c r="Z59" s="20"/>
      <c r="AA59" s="62" t="s">
        <v>954</v>
      </c>
      <c r="AB59" s="62" t="s">
        <v>528</v>
      </c>
      <c r="AC59" s="24">
        <v>1</v>
      </c>
      <c r="AD59" s="24"/>
      <c r="AE59" s="24"/>
      <c r="AF59" s="24"/>
      <c r="AG59" s="24"/>
      <c r="AH59" s="20"/>
      <c r="AI59" s="42"/>
    </row>
    <row r="60" spans="1:35">
      <c r="A60" s="14"/>
      <c r="B60" s="20"/>
      <c r="C60" s="53" t="s">
        <v>1431</v>
      </c>
      <c r="D60" s="20" t="s">
        <v>79</v>
      </c>
      <c r="E60" s="20" t="s">
        <v>80</v>
      </c>
      <c r="F60" s="50" t="s">
        <v>1350</v>
      </c>
      <c r="G60" s="50" t="s">
        <v>1299</v>
      </c>
      <c r="H60" s="50"/>
      <c r="I60" s="65"/>
      <c r="J60" s="57"/>
      <c r="K60" s="57">
        <v>1</v>
      </c>
      <c r="L60" s="24"/>
      <c r="M60" s="24"/>
      <c r="N60" s="24"/>
      <c r="O60" s="24"/>
      <c r="P60" s="24"/>
      <c r="Q60" s="24">
        <v>1</v>
      </c>
      <c r="R60" s="85" t="s">
        <v>957</v>
      </c>
      <c r="S60" s="24"/>
      <c r="T60" s="24"/>
      <c r="U60" s="67" t="s">
        <v>295</v>
      </c>
      <c r="V60" s="50" t="s">
        <v>503</v>
      </c>
      <c r="W60" s="84" t="s">
        <v>298</v>
      </c>
      <c r="X60" s="52" t="s">
        <v>227</v>
      </c>
      <c r="Y60" s="50">
        <v>9050919009</v>
      </c>
      <c r="Z60" s="20"/>
      <c r="AA60" s="62" t="s">
        <v>954</v>
      </c>
      <c r="AB60" s="53" t="s">
        <v>528</v>
      </c>
      <c r="AC60" s="24">
        <v>1</v>
      </c>
      <c r="AD60" s="24"/>
      <c r="AE60" s="24"/>
      <c r="AF60" s="24"/>
      <c r="AG60" s="24"/>
      <c r="AH60" s="20"/>
      <c r="AI60" s="42"/>
    </row>
    <row r="61" spans="1:35">
      <c r="A61" s="14"/>
      <c r="B61" s="20"/>
      <c r="C61" s="53" t="s">
        <v>1431</v>
      </c>
      <c r="D61" s="20" t="s">
        <v>79</v>
      </c>
      <c r="E61" s="20" t="s">
        <v>80</v>
      </c>
      <c r="F61" s="50" t="s">
        <v>1833</v>
      </c>
      <c r="G61" s="50" t="s">
        <v>1832</v>
      </c>
      <c r="H61" s="50"/>
      <c r="I61" s="65">
        <v>29462</v>
      </c>
      <c r="J61" s="57"/>
      <c r="K61" s="57">
        <v>1</v>
      </c>
      <c r="L61" s="24"/>
      <c r="M61" s="24"/>
      <c r="N61" s="24"/>
      <c r="O61" s="24"/>
      <c r="P61" s="24"/>
      <c r="Q61" s="24">
        <v>1</v>
      </c>
      <c r="R61" s="85" t="s">
        <v>957</v>
      </c>
      <c r="S61" s="24"/>
      <c r="T61" s="24"/>
      <c r="U61" s="67" t="s">
        <v>295</v>
      </c>
      <c r="V61" s="50" t="s">
        <v>503</v>
      </c>
      <c r="W61" s="84" t="s">
        <v>298</v>
      </c>
      <c r="X61" s="52" t="s">
        <v>227</v>
      </c>
      <c r="Y61" s="50"/>
      <c r="Z61" s="20"/>
      <c r="AA61" s="62" t="s">
        <v>954</v>
      </c>
      <c r="AB61" s="53" t="s">
        <v>526</v>
      </c>
      <c r="AC61" s="24">
        <v>2</v>
      </c>
      <c r="AD61" s="24"/>
      <c r="AE61" s="24"/>
      <c r="AF61" s="24"/>
      <c r="AG61" s="24"/>
      <c r="AH61" s="20"/>
      <c r="AI61" s="42"/>
    </row>
    <row r="62" spans="1:35">
      <c r="A62" s="14"/>
      <c r="B62" s="20"/>
      <c r="C62" s="53" t="s">
        <v>1432</v>
      </c>
      <c r="D62" s="20" t="s">
        <v>79</v>
      </c>
      <c r="E62" s="20" t="s">
        <v>80</v>
      </c>
      <c r="F62" s="53" t="s">
        <v>1272</v>
      </c>
      <c r="G62" s="53" t="s">
        <v>1004</v>
      </c>
      <c r="H62" s="20"/>
      <c r="I62" s="81" t="s">
        <v>1273</v>
      </c>
      <c r="J62" s="123">
        <v>1</v>
      </c>
      <c r="K62" s="123"/>
      <c r="L62" s="24"/>
      <c r="M62" s="24"/>
      <c r="N62" s="24"/>
      <c r="O62" s="24"/>
      <c r="P62" s="24"/>
      <c r="Q62" s="24">
        <v>1</v>
      </c>
      <c r="R62" s="75" t="s">
        <v>962</v>
      </c>
      <c r="S62" s="24"/>
      <c r="T62" s="24"/>
      <c r="U62" s="82" t="s">
        <v>226</v>
      </c>
      <c r="V62" s="53" t="s">
        <v>223</v>
      </c>
      <c r="W62" s="53" t="s">
        <v>279</v>
      </c>
      <c r="X62" s="53" t="s">
        <v>227</v>
      </c>
      <c r="Y62" s="20"/>
      <c r="Z62" s="20"/>
      <c r="AA62" s="62" t="s">
        <v>954</v>
      </c>
      <c r="AB62" s="53" t="s">
        <v>528</v>
      </c>
      <c r="AC62" s="24">
        <v>1</v>
      </c>
      <c r="AD62" s="24"/>
      <c r="AE62" s="24"/>
      <c r="AF62" s="24"/>
      <c r="AG62" s="24"/>
      <c r="AH62" s="20"/>
      <c r="AI62" s="42"/>
    </row>
    <row r="63" spans="1:35">
      <c r="A63" s="14"/>
      <c r="B63" s="20"/>
      <c r="C63" s="53" t="s">
        <v>1432</v>
      </c>
      <c r="D63" s="20" t="s">
        <v>79</v>
      </c>
      <c r="E63" s="20" t="s">
        <v>80</v>
      </c>
      <c r="F63" s="50" t="s">
        <v>918</v>
      </c>
      <c r="G63" s="7" t="s">
        <v>198</v>
      </c>
      <c r="H63" s="50"/>
      <c r="I63" s="65">
        <v>26171</v>
      </c>
      <c r="J63" s="57">
        <v>1</v>
      </c>
      <c r="K63" s="57"/>
      <c r="L63" s="24">
        <v>1</v>
      </c>
      <c r="M63" s="24"/>
      <c r="N63" s="24"/>
      <c r="O63" s="24"/>
      <c r="P63" s="24"/>
      <c r="Q63" s="24">
        <v>1</v>
      </c>
      <c r="R63" s="85" t="s">
        <v>1348</v>
      </c>
      <c r="S63" s="24"/>
      <c r="T63" s="24"/>
      <c r="U63" s="82" t="s">
        <v>502</v>
      </c>
      <c r="V63" s="53" t="s">
        <v>503</v>
      </c>
      <c r="W63" s="53" t="s">
        <v>298</v>
      </c>
      <c r="X63" s="53" t="s">
        <v>227</v>
      </c>
      <c r="Y63" s="50">
        <v>9519533276</v>
      </c>
      <c r="Z63" s="20"/>
      <c r="AA63" s="62" t="s">
        <v>954</v>
      </c>
      <c r="AB63" s="53" t="s">
        <v>528</v>
      </c>
      <c r="AC63" s="24">
        <v>1</v>
      </c>
      <c r="AD63" s="24"/>
      <c r="AE63" s="24"/>
      <c r="AF63" s="24"/>
      <c r="AG63" s="24"/>
      <c r="AH63" s="20"/>
      <c r="AI63" s="42"/>
    </row>
    <row r="64" spans="1:35">
      <c r="A64" s="14"/>
      <c r="B64" s="20"/>
      <c r="C64" s="53" t="s">
        <v>1432</v>
      </c>
      <c r="D64" s="20" t="s">
        <v>79</v>
      </c>
      <c r="E64" s="20" t="s">
        <v>80</v>
      </c>
      <c r="F64" s="50" t="s">
        <v>482</v>
      </c>
      <c r="G64" s="50" t="s">
        <v>483</v>
      </c>
      <c r="H64" s="50"/>
      <c r="I64" s="65"/>
      <c r="J64" s="57">
        <v>1</v>
      </c>
      <c r="K64" s="57"/>
      <c r="L64" s="24"/>
      <c r="M64" s="24"/>
      <c r="N64" s="24"/>
      <c r="O64" s="24"/>
      <c r="P64" s="24"/>
      <c r="Q64" s="24">
        <v>1</v>
      </c>
      <c r="R64" s="85" t="s">
        <v>1348</v>
      </c>
      <c r="S64" s="24"/>
      <c r="T64" s="24"/>
      <c r="U64" s="67" t="s">
        <v>507</v>
      </c>
      <c r="V64" s="50" t="s">
        <v>503</v>
      </c>
      <c r="W64" s="62" t="s">
        <v>298</v>
      </c>
      <c r="X64" s="52" t="s">
        <v>227</v>
      </c>
      <c r="Y64" s="50">
        <v>9187949708</v>
      </c>
      <c r="Z64" s="20"/>
      <c r="AA64" s="62" t="s">
        <v>954</v>
      </c>
      <c r="AB64" s="62" t="s">
        <v>528</v>
      </c>
      <c r="AC64" s="24">
        <v>1</v>
      </c>
      <c r="AD64" s="24"/>
      <c r="AE64" s="24"/>
      <c r="AF64" s="24"/>
      <c r="AG64" s="24"/>
      <c r="AH64" s="20"/>
      <c r="AI64" s="42"/>
    </row>
    <row r="65" spans="1:35">
      <c r="A65" s="14"/>
      <c r="B65" s="20"/>
      <c r="C65" s="53" t="s">
        <v>1432</v>
      </c>
      <c r="D65" s="20" t="s">
        <v>79</v>
      </c>
      <c r="E65" s="20" t="s">
        <v>80</v>
      </c>
      <c r="F65" s="50" t="s">
        <v>312</v>
      </c>
      <c r="G65" s="50" t="s">
        <v>840</v>
      </c>
      <c r="H65" s="50" t="s">
        <v>144</v>
      </c>
      <c r="I65" s="65">
        <v>30173</v>
      </c>
      <c r="J65" s="57"/>
      <c r="K65" s="57">
        <v>1</v>
      </c>
      <c r="L65" s="24"/>
      <c r="M65" s="24"/>
      <c r="N65" s="24"/>
      <c r="O65" s="24"/>
      <c r="P65" s="24"/>
      <c r="Q65" s="24">
        <v>1</v>
      </c>
      <c r="R65" s="85" t="s">
        <v>1348</v>
      </c>
      <c r="S65" s="24"/>
      <c r="T65" s="24"/>
      <c r="U65" s="67" t="s">
        <v>859</v>
      </c>
      <c r="V65" s="50" t="s">
        <v>503</v>
      </c>
      <c r="W65" s="62" t="s">
        <v>298</v>
      </c>
      <c r="X65" s="52" t="s">
        <v>227</v>
      </c>
      <c r="Y65" s="50">
        <v>9265351990</v>
      </c>
      <c r="Z65" s="20"/>
      <c r="AA65" s="62" t="s">
        <v>954</v>
      </c>
      <c r="AB65" s="53" t="s">
        <v>528</v>
      </c>
      <c r="AC65" s="24">
        <v>1</v>
      </c>
      <c r="AD65" s="24"/>
      <c r="AE65" s="24"/>
      <c r="AF65" s="24"/>
      <c r="AG65" s="24"/>
      <c r="AH65" s="20"/>
      <c r="AI65" s="42"/>
    </row>
    <row r="66" spans="1:35">
      <c r="A66" s="14"/>
      <c r="B66" s="20"/>
      <c r="C66" s="53" t="s">
        <v>1432</v>
      </c>
      <c r="D66" s="20" t="s">
        <v>79</v>
      </c>
      <c r="E66" s="20" t="s">
        <v>80</v>
      </c>
      <c r="F66" s="50" t="s">
        <v>1108</v>
      </c>
      <c r="G66" s="50" t="s">
        <v>1288</v>
      </c>
      <c r="H66" s="50" t="s">
        <v>115</v>
      </c>
      <c r="I66" s="65">
        <v>26897</v>
      </c>
      <c r="J66" s="57"/>
      <c r="K66" s="57">
        <v>1</v>
      </c>
      <c r="L66" s="24"/>
      <c r="M66" s="24"/>
      <c r="N66" s="24"/>
      <c r="O66" s="24"/>
      <c r="P66" s="24"/>
      <c r="Q66" s="24">
        <v>1</v>
      </c>
      <c r="R66" s="85" t="s">
        <v>1348</v>
      </c>
      <c r="S66" s="24"/>
      <c r="T66" s="24"/>
      <c r="U66" s="67" t="s">
        <v>859</v>
      </c>
      <c r="V66" s="50" t="s">
        <v>503</v>
      </c>
      <c r="W66" s="84" t="s">
        <v>298</v>
      </c>
      <c r="X66" s="52" t="s">
        <v>227</v>
      </c>
      <c r="Y66" s="50">
        <v>9368500335</v>
      </c>
      <c r="Z66" s="20"/>
      <c r="AA66" s="62" t="s">
        <v>954</v>
      </c>
      <c r="AB66" s="53" t="s">
        <v>528</v>
      </c>
      <c r="AC66" s="24">
        <v>1</v>
      </c>
      <c r="AD66" s="24"/>
      <c r="AE66" s="24"/>
      <c r="AF66" s="24"/>
      <c r="AG66" s="24"/>
      <c r="AH66" s="20"/>
      <c r="AI66" s="42"/>
    </row>
    <row r="67" spans="1:35">
      <c r="A67" s="14"/>
      <c r="B67" s="20"/>
      <c r="C67" s="53" t="s">
        <v>1432</v>
      </c>
      <c r="D67" s="20" t="s">
        <v>79</v>
      </c>
      <c r="E67" s="20" t="s">
        <v>80</v>
      </c>
      <c r="F67" s="50" t="s">
        <v>413</v>
      </c>
      <c r="G67" s="50" t="s">
        <v>414</v>
      </c>
      <c r="H67" s="50" t="s">
        <v>150</v>
      </c>
      <c r="I67" s="65">
        <v>23925</v>
      </c>
      <c r="J67" s="57"/>
      <c r="K67" s="57">
        <v>1</v>
      </c>
      <c r="L67" s="24"/>
      <c r="M67" s="24"/>
      <c r="N67" s="24"/>
      <c r="O67" s="24"/>
      <c r="P67" s="24"/>
      <c r="Q67" s="24">
        <v>1</v>
      </c>
      <c r="R67" s="85" t="s">
        <v>1348</v>
      </c>
      <c r="S67" s="24"/>
      <c r="T67" s="24"/>
      <c r="U67" s="67" t="s">
        <v>295</v>
      </c>
      <c r="V67" s="50" t="s">
        <v>503</v>
      </c>
      <c r="W67" s="62" t="s">
        <v>298</v>
      </c>
      <c r="X67" s="52" t="s">
        <v>227</v>
      </c>
      <c r="Y67" s="50">
        <v>9357514235</v>
      </c>
      <c r="Z67" s="20"/>
      <c r="AA67" s="62" t="s">
        <v>954</v>
      </c>
      <c r="AB67" s="53" t="s">
        <v>528</v>
      </c>
      <c r="AC67" s="24">
        <v>5</v>
      </c>
      <c r="AD67" s="24"/>
      <c r="AE67" s="24"/>
      <c r="AF67" s="24"/>
      <c r="AG67" s="24"/>
      <c r="AH67" s="20"/>
      <c r="AI67" s="42"/>
    </row>
    <row r="68" spans="1:35">
      <c r="A68" s="14"/>
      <c r="B68" s="20"/>
      <c r="C68" s="53" t="s">
        <v>1836</v>
      </c>
      <c r="D68" s="20" t="s">
        <v>79</v>
      </c>
      <c r="E68" s="20" t="s">
        <v>80</v>
      </c>
      <c r="F68" s="50" t="s">
        <v>961</v>
      </c>
      <c r="G68" s="50" t="s">
        <v>704</v>
      </c>
      <c r="H68" s="50" t="s">
        <v>588</v>
      </c>
      <c r="I68" s="65">
        <v>25465</v>
      </c>
      <c r="J68" s="57">
        <v>1</v>
      </c>
      <c r="K68" s="57"/>
      <c r="L68" s="24"/>
      <c r="M68" s="24"/>
      <c r="N68" s="24"/>
      <c r="O68" s="24"/>
      <c r="P68" s="24"/>
      <c r="Q68" s="24">
        <v>1</v>
      </c>
      <c r="R68" s="85" t="s">
        <v>962</v>
      </c>
      <c r="S68" s="24"/>
      <c r="T68" s="24"/>
      <c r="U68" s="67"/>
      <c r="V68" s="50" t="s">
        <v>949</v>
      </c>
      <c r="W68" s="84" t="s">
        <v>280</v>
      </c>
      <c r="X68" s="52" t="s">
        <v>227</v>
      </c>
      <c r="Y68" s="50">
        <v>9361095630</v>
      </c>
      <c r="Z68" s="20"/>
      <c r="AA68" s="62" t="s">
        <v>954</v>
      </c>
      <c r="AB68" s="53" t="s">
        <v>528</v>
      </c>
      <c r="AC68" s="24">
        <v>1</v>
      </c>
      <c r="AD68" s="24"/>
      <c r="AE68" s="24"/>
      <c r="AF68" s="24"/>
      <c r="AG68" s="24"/>
      <c r="AH68" s="20"/>
      <c r="AI68" s="42"/>
    </row>
    <row r="69" spans="1:35">
      <c r="A69" s="14"/>
      <c r="B69" s="20"/>
      <c r="C69" s="53" t="s">
        <v>1836</v>
      </c>
      <c r="D69" s="20" t="s">
        <v>79</v>
      </c>
      <c r="E69" s="20" t="s">
        <v>80</v>
      </c>
      <c r="F69" s="50" t="s">
        <v>918</v>
      </c>
      <c r="G69" s="50" t="s">
        <v>919</v>
      </c>
      <c r="H69" s="50"/>
      <c r="I69" s="65">
        <v>24918</v>
      </c>
      <c r="J69" s="57"/>
      <c r="K69" s="123">
        <v>1</v>
      </c>
      <c r="L69" s="24"/>
      <c r="M69" s="24"/>
      <c r="N69" s="24"/>
      <c r="O69" s="24"/>
      <c r="P69" s="24"/>
      <c r="Q69" s="24">
        <v>1</v>
      </c>
      <c r="R69" s="63" t="s">
        <v>957</v>
      </c>
      <c r="S69" s="24"/>
      <c r="T69" s="24"/>
      <c r="U69" s="67" t="s">
        <v>502</v>
      </c>
      <c r="V69" s="50" t="s">
        <v>503</v>
      </c>
      <c r="W69" s="62" t="s">
        <v>298</v>
      </c>
      <c r="X69" s="52" t="s">
        <v>227</v>
      </c>
      <c r="Y69" s="50">
        <v>9109451565</v>
      </c>
      <c r="Z69" s="20"/>
      <c r="AA69" s="62" t="s">
        <v>954</v>
      </c>
      <c r="AB69" s="62" t="s">
        <v>528</v>
      </c>
      <c r="AC69" s="24">
        <v>1</v>
      </c>
      <c r="AD69" s="24"/>
      <c r="AE69" s="24"/>
      <c r="AF69" s="24"/>
      <c r="AG69" s="24"/>
      <c r="AH69" s="20"/>
      <c r="AI69" s="42"/>
    </row>
    <row r="70" spans="1:35">
      <c r="A70" s="14"/>
      <c r="B70" s="20"/>
      <c r="C70" s="53" t="s">
        <v>1836</v>
      </c>
      <c r="D70" s="20" t="s">
        <v>79</v>
      </c>
      <c r="E70" s="20" t="s">
        <v>80</v>
      </c>
      <c r="F70" s="50" t="s">
        <v>1272</v>
      </c>
      <c r="G70" s="50" t="s">
        <v>1004</v>
      </c>
      <c r="H70" s="50"/>
      <c r="I70" s="81" t="s">
        <v>1273</v>
      </c>
      <c r="J70" s="123">
        <v>1</v>
      </c>
      <c r="K70" s="123"/>
      <c r="L70" s="24"/>
      <c r="M70" s="24"/>
      <c r="N70" s="24"/>
      <c r="O70" s="24"/>
      <c r="P70" s="24"/>
      <c r="Q70" s="24">
        <v>1</v>
      </c>
      <c r="R70" s="75" t="s">
        <v>962</v>
      </c>
      <c r="S70" s="24"/>
      <c r="T70" s="24"/>
      <c r="U70" s="82" t="s">
        <v>226</v>
      </c>
      <c r="V70" s="53" t="s">
        <v>223</v>
      </c>
      <c r="W70" s="53" t="s">
        <v>279</v>
      </c>
      <c r="X70" s="53" t="s">
        <v>227</v>
      </c>
      <c r="Y70" s="20">
        <v>9196004838</v>
      </c>
      <c r="Z70" s="20"/>
      <c r="AA70" s="62" t="s">
        <v>954</v>
      </c>
      <c r="AB70" s="53" t="s">
        <v>528</v>
      </c>
      <c r="AC70" s="24">
        <v>1</v>
      </c>
      <c r="AD70" s="24"/>
      <c r="AE70" s="24"/>
      <c r="AF70" s="24"/>
      <c r="AG70" s="24"/>
      <c r="AH70" s="20"/>
      <c r="AI70" s="42"/>
    </row>
    <row r="71" spans="1:35">
      <c r="A71" s="14"/>
      <c r="B71" s="20"/>
      <c r="C71" s="53" t="s">
        <v>1836</v>
      </c>
      <c r="D71" s="20" t="s">
        <v>79</v>
      </c>
      <c r="E71" s="20" t="s">
        <v>80</v>
      </c>
      <c r="F71" s="50" t="s">
        <v>1918</v>
      </c>
      <c r="G71" s="50" t="s">
        <v>715</v>
      </c>
      <c r="H71" s="50"/>
      <c r="I71" s="65" t="s">
        <v>1919</v>
      </c>
      <c r="J71" s="57">
        <v>1</v>
      </c>
      <c r="K71" s="57"/>
      <c r="L71" s="24"/>
      <c r="M71" s="24"/>
      <c r="N71" s="24"/>
      <c r="O71" s="24"/>
      <c r="P71" s="24"/>
      <c r="Q71" s="24">
        <v>1</v>
      </c>
      <c r="R71" s="85" t="s">
        <v>1348</v>
      </c>
      <c r="S71" s="24"/>
      <c r="T71" s="24"/>
      <c r="U71" s="67" t="s">
        <v>1920</v>
      </c>
      <c r="V71" s="50" t="s">
        <v>503</v>
      </c>
      <c r="W71" s="84" t="s">
        <v>298</v>
      </c>
      <c r="X71" s="52" t="s">
        <v>227</v>
      </c>
      <c r="Y71" s="50"/>
      <c r="Z71" s="20"/>
      <c r="AA71" s="62" t="s">
        <v>954</v>
      </c>
      <c r="AB71" s="53" t="s">
        <v>528</v>
      </c>
      <c r="AC71" s="24">
        <v>1</v>
      </c>
      <c r="AD71" s="24"/>
      <c r="AE71" s="24"/>
      <c r="AF71" s="24"/>
      <c r="AG71" s="24"/>
      <c r="AH71" s="20"/>
      <c r="AI71" s="42"/>
    </row>
    <row r="72" spans="1:35">
      <c r="A72" s="14"/>
      <c r="B72" s="20"/>
      <c r="C72" s="53"/>
      <c r="D72" s="20"/>
      <c r="E72" s="20"/>
      <c r="F72" s="50"/>
      <c r="G72" s="50"/>
      <c r="H72" s="50"/>
      <c r="I72" s="66"/>
      <c r="J72" s="74"/>
      <c r="K72" s="117"/>
      <c r="L72" s="24"/>
      <c r="M72" s="24"/>
      <c r="N72" s="24"/>
      <c r="O72" s="24"/>
      <c r="P72" s="24"/>
      <c r="Q72" s="24"/>
      <c r="R72" s="85"/>
      <c r="S72" s="24"/>
      <c r="T72" s="24"/>
      <c r="U72" s="68"/>
      <c r="V72" s="60"/>
      <c r="W72" s="62"/>
      <c r="X72" s="52"/>
      <c r="Y72" s="60"/>
      <c r="Z72" s="20"/>
      <c r="AA72" s="62"/>
      <c r="AB72" s="53"/>
      <c r="AC72" s="24"/>
      <c r="AD72" s="24"/>
      <c r="AE72" s="24"/>
      <c r="AF72" s="24"/>
      <c r="AG72" s="24"/>
      <c r="AH72" s="20"/>
      <c r="AI72" s="42"/>
    </row>
    <row r="73" spans="1:35" s="6" customFormat="1">
      <c r="A73" s="18"/>
      <c r="B73" s="19"/>
      <c r="C73" s="19" t="s">
        <v>83</v>
      </c>
      <c r="D73" s="19"/>
      <c r="E73" s="19"/>
      <c r="F73" s="19"/>
      <c r="G73" s="19"/>
      <c r="H73" s="19"/>
      <c r="I73" s="30"/>
      <c r="J73" s="126">
        <f>SUM(J74:J131)</f>
        <v>10</v>
      </c>
      <c r="K73" s="126">
        <f>SUM(K74:K131)</f>
        <v>47</v>
      </c>
      <c r="L73" s="31">
        <f>SUM(L74:L131)</f>
        <v>0</v>
      </c>
      <c r="M73" s="31">
        <f>SUM(M74:M131)</f>
        <v>0</v>
      </c>
      <c r="N73" s="31">
        <f>SUM(N74:N131)</f>
        <v>0</v>
      </c>
      <c r="O73" s="31"/>
      <c r="P73" s="31">
        <f>SUM(P74:P131)</f>
        <v>0</v>
      </c>
      <c r="Q73" s="31">
        <f>SUM(Q74:Q131)</f>
        <v>57</v>
      </c>
      <c r="R73" s="31"/>
      <c r="S73" s="31">
        <f>SUM(S74:S131)</f>
        <v>0</v>
      </c>
      <c r="T73" s="31">
        <f>SUM(T74:T131)</f>
        <v>0</v>
      </c>
      <c r="U73" s="19"/>
      <c r="V73" s="19"/>
      <c r="W73" s="19"/>
      <c r="X73" s="19"/>
      <c r="Y73" s="19"/>
      <c r="Z73" s="19"/>
      <c r="AA73" s="19"/>
      <c r="AB73" s="19"/>
      <c r="AC73" s="31">
        <f>SUM(AC74:AC131)</f>
        <v>69</v>
      </c>
      <c r="AD73" s="31">
        <f>SUM(AD74:AD131)</f>
        <v>0</v>
      </c>
      <c r="AE73" s="31" t="e">
        <f>AVERAGE(AE74:AE131)</f>
        <v>#DIV/0!</v>
      </c>
      <c r="AF73" s="31" t="e">
        <f>AVERAGE(AF74:AF131)</f>
        <v>#DIV/0!</v>
      </c>
      <c r="AG73" s="31" t="e">
        <f>AVERAGE(AG74:AG131)</f>
        <v>#DIV/0!</v>
      </c>
      <c r="AH73" s="19"/>
      <c r="AI73" s="41"/>
    </row>
    <row r="74" spans="1:35">
      <c r="A74" s="14"/>
      <c r="B74" s="20"/>
      <c r="C74" s="53" t="s">
        <v>1866</v>
      </c>
      <c r="D74" s="20" t="s">
        <v>79</v>
      </c>
      <c r="E74" s="20" t="s">
        <v>80</v>
      </c>
      <c r="F74" s="50" t="s">
        <v>413</v>
      </c>
      <c r="G74" s="50" t="s">
        <v>414</v>
      </c>
      <c r="H74" s="50" t="s">
        <v>150</v>
      </c>
      <c r="I74" s="65">
        <v>23925</v>
      </c>
      <c r="J74" s="57"/>
      <c r="K74" s="57">
        <v>1</v>
      </c>
      <c r="L74" s="24"/>
      <c r="M74" s="24"/>
      <c r="N74" s="24"/>
      <c r="O74" s="24"/>
      <c r="P74" s="24"/>
      <c r="Q74" s="24">
        <v>1</v>
      </c>
      <c r="R74" s="85" t="s">
        <v>1348</v>
      </c>
      <c r="S74" s="24"/>
      <c r="T74" s="24"/>
      <c r="U74" s="67" t="s">
        <v>295</v>
      </c>
      <c r="V74" s="50" t="s">
        <v>503</v>
      </c>
      <c r="W74" s="84" t="s">
        <v>298</v>
      </c>
      <c r="X74" s="52" t="s">
        <v>227</v>
      </c>
      <c r="Y74" s="50">
        <v>9357514235</v>
      </c>
      <c r="Z74" s="20"/>
      <c r="AA74" s="62" t="s">
        <v>954</v>
      </c>
      <c r="AB74" s="53" t="s">
        <v>528</v>
      </c>
      <c r="AC74" s="24">
        <v>1</v>
      </c>
      <c r="AD74" s="24"/>
      <c r="AE74" s="24"/>
      <c r="AF74" s="24"/>
      <c r="AG74" s="24"/>
      <c r="AH74" s="20"/>
      <c r="AI74" s="42"/>
    </row>
    <row r="75" spans="1:35">
      <c r="A75" s="14"/>
      <c r="B75" s="20"/>
      <c r="C75" s="53" t="s">
        <v>1866</v>
      </c>
      <c r="D75" s="20" t="s">
        <v>79</v>
      </c>
      <c r="E75" s="20" t="s">
        <v>80</v>
      </c>
      <c r="F75" s="50" t="s">
        <v>413</v>
      </c>
      <c r="G75" s="50" t="s">
        <v>1781</v>
      </c>
      <c r="H75" s="50"/>
      <c r="I75" s="65"/>
      <c r="J75" s="57">
        <v>1</v>
      </c>
      <c r="K75" s="57"/>
      <c r="L75" s="24"/>
      <c r="M75" s="24"/>
      <c r="N75" s="24"/>
      <c r="O75" s="24"/>
      <c r="P75" s="24"/>
      <c r="Q75" s="24">
        <v>1</v>
      </c>
      <c r="R75" s="85" t="s">
        <v>1348</v>
      </c>
      <c r="S75" s="24"/>
      <c r="T75" s="24"/>
      <c r="U75" s="67" t="s">
        <v>295</v>
      </c>
      <c r="V75" s="50" t="s">
        <v>503</v>
      </c>
      <c r="W75" s="84" t="s">
        <v>298</v>
      </c>
      <c r="X75" s="52" t="s">
        <v>227</v>
      </c>
      <c r="Y75" s="50"/>
      <c r="Z75" s="20"/>
      <c r="AA75" s="62" t="s">
        <v>954</v>
      </c>
      <c r="AB75" s="53" t="s">
        <v>528</v>
      </c>
      <c r="AC75" s="24">
        <v>1</v>
      </c>
      <c r="AD75" s="24"/>
      <c r="AE75" s="24"/>
      <c r="AF75" s="24"/>
      <c r="AG75" s="24"/>
      <c r="AH75" s="20"/>
      <c r="AI75" s="42"/>
    </row>
    <row r="76" spans="1:35">
      <c r="A76" s="14"/>
      <c r="B76" s="20"/>
      <c r="C76" s="53" t="s">
        <v>1866</v>
      </c>
      <c r="D76" s="20" t="s">
        <v>79</v>
      </c>
      <c r="E76" s="20" t="s">
        <v>80</v>
      </c>
      <c r="F76" s="50" t="s">
        <v>312</v>
      </c>
      <c r="G76" s="50" t="s">
        <v>955</v>
      </c>
      <c r="H76" s="50"/>
      <c r="I76" s="65"/>
      <c r="J76" s="57"/>
      <c r="K76" s="57">
        <v>1</v>
      </c>
      <c r="L76" s="24"/>
      <c r="M76" s="24"/>
      <c r="N76" s="24"/>
      <c r="O76" s="24"/>
      <c r="P76" s="24"/>
      <c r="Q76" s="24">
        <v>1</v>
      </c>
      <c r="R76" s="85" t="s">
        <v>1348</v>
      </c>
      <c r="S76" s="24"/>
      <c r="T76" s="24"/>
      <c r="U76" s="67" t="s">
        <v>509</v>
      </c>
      <c r="V76" s="50" t="s">
        <v>503</v>
      </c>
      <c r="W76" s="84" t="s">
        <v>1921</v>
      </c>
      <c r="X76" s="52" t="s">
        <v>227</v>
      </c>
      <c r="Y76" s="50"/>
      <c r="Z76" s="20"/>
      <c r="AA76" s="62" t="s">
        <v>954</v>
      </c>
      <c r="AB76" s="53" t="s">
        <v>528</v>
      </c>
      <c r="AC76" s="24">
        <v>1</v>
      </c>
      <c r="AD76" s="24"/>
      <c r="AE76" s="24"/>
      <c r="AF76" s="24"/>
      <c r="AG76" s="24"/>
      <c r="AH76" s="20"/>
      <c r="AI76" s="42"/>
    </row>
    <row r="77" spans="1:35">
      <c r="A77" s="14"/>
      <c r="B77" s="20"/>
      <c r="C77" s="53" t="s">
        <v>1866</v>
      </c>
      <c r="D77" s="20" t="s">
        <v>79</v>
      </c>
      <c r="E77" s="20" t="s">
        <v>80</v>
      </c>
      <c r="F77" s="50" t="s">
        <v>445</v>
      </c>
      <c r="G77" s="50" t="s">
        <v>446</v>
      </c>
      <c r="H77" s="50"/>
      <c r="I77" s="66">
        <v>33127</v>
      </c>
      <c r="J77" s="74"/>
      <c r="K77" s="117">
        <v>1</v>
      </c>
      <c r="L77" s="24"/>
      <c r="M77" s="24"/>
      <c r="N77" s="24"/>
      <c r="O77" s="24"/>
      <c r="P77" s="24"/>
      <c r="Q77" s="24">
        <v>1</v>
      </c>
      <c r="R77" s="85" t="s">
        <v>1348</v>
      </c>
      <c r="S77" s="24"/>
      <c r="T77" s="24"/>
      <c r="U77" s="68" t="s">
        <v>295</v>
      </c>
      <c r="V77" s="60" t="s">
        <v>503</v>
      </c>
      <c r="W77" s="62" t="s">
        <v>298</v>
      </c>
      <c r="X77" s="52" t="s">
        <v>227</v>
      </c>
      <c r="Y77" s="60">
        <v>9759439905</v>
      </c>
      <c r="Z77" s="20"/>
      <c r="AA77" s="62" t="s">
        <v>954</v>
      </c>
      <c r="AB77" s="53" t="s">
        <v>528</v>
      </c>
      <c r="AC77" s="24">
        <v>1</v>
      </c>
      <c r="AD77" s="24"/>
      <c r="AE77" s="24"/>
      <c r="AF77" s="24"/>
      <c r="AG77" s="24"/>
      <c r="AH77" s="20"/>
      <c r="AI77" s="42"/>
    </row>
    <row r="78" spans="1:35">
      <c r="A78" s="14"/>
      <c r="B78" s="20"/>
      <c r="C78" s="53" t="s">
        <v>1866</v>
      </c>
      <c r="D78" s="20" t="s">
        <v>79</v>
      </c>
      <c r="E78" s="20" t="s">
        <v>80</v>
      </c>
      <c r="F78" s="53" t="s">
        <v>3235</v>
      </c>
      <c r="G78" s="53" t="s">
        <v>1983</v>
      </c>
      <c r="H78" s="53" t="s">
        <v>144</v>
      </c>
      <c r="I78" s="81">
        <v>31167</v>
      </c>
      <c r="J78" s="123"/>
      <c r="K78" s="123">
        <v>1</v>
      </c>
      <c r="L78" s="24"/>
      <c r="M78" s="24"/>
      <c r="N78" s="24"/>
      <c r="O78" s="24"/>
      <c r="P78" s="24"/>
      <c r="Q78" s="24">
        <v>1</v>
      </c>
      <c r="R78" s="63" t="s">
        <v>957</v>
      </c>
      <c r="S78" s="24"/>
      <c r="T78" s="24"/>
      <c r="U78" s="82" t="s">
        <v>502</v>
      </c>
      <c r="V78" s="53" t="s">
        <v>503</v>
      </c>
      <c r="W78" s="53" t="s">
        <v>298</v>
      </c>
      <c r="X78" s="53" t="s">
        <v>227</v>
      </c>
      <c r="Y78" s="20"/>
      <c r="Z78" s="20"/>
      <c r="AA78" s="62" t="s">
        <v>954</v>
      </c>
      <c r="AB78" s="53" t="s">
        <v>528</v>
      </c>
      <c r="AC78" s="24">
        <v>1</v>
      </c>
      <c r="AD78" s="24"/>
      <c r="AE78" s="24"/>
      <c r="AF78" s="24"/>
      <c r="AG78" s="24"/>
      <c r="AH78" s="20"/>
      <c r="AI78" s="42"/>
    </row>
    <row r="79" spans="1:35">
      <c r="A79" s="14"/>
      <c r="B79" s="20"/>
      <c r="C79" s="53" t="s">
        <v>1866</v>
      </c>
      <c r="D79" s="20" t="s">
        <v>79</v>
      </c>
      <c r="E79" s="20" t="s">
        <v>80</v>
      </c>
      <c r="F79" s="20" t="s">
        <v>430</v>
      </c>
      <c r="G79" s="20" t="s">
        <v>492</v>
      </c>
      <c r="H79" s="20" t="s">
        <v>136</v>
      </c>
      <c r="I79" s="51"/>
      <c r="J79" s="123"/>
      <c r="K79" s="123">
        <v>1</v>
      </c>
      <c r="L79" s="24"/>
      <c r="M79" s="24"/>
      <c r="N79" s="24"/>
      <c r="O79" s="24"/>
      <c r="P79" s="24"/>
      <c r="Q79" s="24">
        <v>1</v>
      </c>
      <c r="R79" s="24" t="s">
        <v>957</v>
      </c>
      <c r="S79" s="24"/>
      <c r="T79" s="24"/>
      <c r="U79" s="70" t="s">
        <v>510</v>
      </c>
      <c r="V79" s="20" t="s">
        <v>503</v>
      </c>
      <c r="W79" s="20" t="s">
        <v>298</v>
      </c>
      <c r="X79" s="20" t="s">
        <v>227</v>
      </c>
      <c r="Y79" s="20"/>
      <c r="Z79" s="20"/>
      <c r="AA79" s="62" t="s">
        <v>954</v>
      </c>
      <c r="AB79" s="53" t="s">
        <v>528</v>
      </c>
      <c r="AC79" s="24">
        <v>1</v>
      </c>
      <c r="AD79" s="24"/>
      <c r="AE79" s="24"/>
      <c r="AF79" s="24"/>
      <c r="AG79" s="24"/>
      <c r="AH79" s="20"/>
      <c r="AI79" s="42"/>
    </row>
    <row r="80" spans="1:35">
      <c r="A80" s="14"/>
      <c r="B80" s="20"/>
      <c r="C80" s="53" t="s">
        <v>1866</v>
      </c>
      <c r="D80" s="20" t="s">
        <v>79</v>
      </c>
      <c r="E80" s="20" t="s">
        <v>80</v>
      </c>
      <c r="F80" s="20" t="s">
        <v>940</v>
      </c>
      <c r="G80" s="20" t="s">
        <v>839</v>
      </c>
      <c r="H80" s="20" t="s">
        <v>144</v>
      </c>
      <c r="I80" s="51">
        <v>26863</v>
      </c>
      <c r="J80" s="123">
        <v>1</v>
      </c>
      <c r="K80" s="123"/>
      <c r="L80" s="24"/>
      <c r="M80" s="24"/>
      <c r="N80" s="24"/>
      <c r="O80" s="24"/>
      <c r="P80" s="24"/>
      <c r="Q80" s="24">
        <v>1</v>
      </c>
      <c r="R80" s="24" t="s">
        <v>957</v>
      </c>
      <c r="S80" s="24"/>
      <c r="T80" s="24"/>
      <c r="U80" s="70" t="s">
        <v>510</v>
      </c>
      <c r="V80" s="20" t="s">
        <v>503</v>
      </c>
      <c r="W80" s="20" t="s">
        <v>298</v>
      </c>
      <c r="X80" s="20" t="s">
        <v>227</v>
      </c>
      <c r="Y80" s="20"/>
      <c r="Z80" s="20"/>
      <c r="AA80" s="62" t="s">
        <v>954</v>
      </c>
      <c r="AB80" s="53" t="s">
        <v>526</v>
      </c>
      <c r="AC80" s="24">
        <v>3</v>
      </c>
      <c r="AD80" s="24"/>
      <c r="AE80" s="24"/>
      <c r="AF80" s="24"/>
      <c r="AG80" s="24"/>
      <c r="AH80" s="20"/>
      <c r="AI80" s="42"/>
    </row>
    <row r="81" spans="1:35">
      <c r="A81" s="14"/>
      <c r="B81" s="20"/>
      <c r="C81" s="53" t="s">
        <v>1866</v>
      </c>
      <c r="D81" s="20" t="s">
        <v>79</v>
      </c>
      <c r="E81" s="20" t="s">
        <v>80</v>
      </c>
      <c r="F81" s="50" t="s">
        <v>1833</v>
      </c>
      <c r="G81" s="50" t="s">
        <v>1832</v>
      </c>
      <c r="H81" s="50"/>
      <c r="I81" s="65">
        <v>29462</v>
      </c>
      <c r="J81" s="57"/>
      <c r="K81" s="57">
        <v>1</v>
      </c>
      <c r="L81" s="24"/>
      <c r="M81" s="24"/>
      <c r="N81" s="24"/>
      <c r="O81" s="24"/>
      <c r="P81" s="24"/>
      <c r="Q81" s="24">
        <v>1</v>
      </c>
      <c r="R81" s="85" t="s">
        <v>957</v>
      </c>
      <c r="S81" s="24"/>
      <c r="T81" s="24"/>
      <c r="U81" s="67" t="s">
        <v>295</v>
      </c>
      <c r="V81" s="50" t="s">
        <v>503</v>
      </c>
      <c r="W81" s="84" t="s">
        <v>298</v>
      </c>
      <c r="X81" s="52" t="s">
        <v>227</v>
      </c>
      <c r="Y81" s="50"/>
      <c r="Z81" s="20"/>
      <c r="AA81" s="62" t="s">
        <v>954</v>
      </c>
      <c r="AB81" s="53" t="s">
        <v>528</v>
      </c>
      <c r="AC81" s="24">
        <v>1</v>
      </c>
      <c r="AD81" s="24"/>
      <c r="AE81" s="24"/>
      <c r="AF81" s="24"/>
      <c r="AG81" s="24"/>
      <c r="AH81" s="20"/>
      <c r="AI81" s="42"/>
    </row>
    <row r="82" spans="1:35">
      <c r="A82" s="14"/>
      <c r="B82" s="20"/>
      <c r="C82" s="53" t="s">
        <v>1866</v>
      </c>
      <c r="D82" s="20" t="s">
        <v>79</v>
      </c>
      <c r="E82" s="20" t="s">
        <v>80</v>
      </c>
      <c r="F82" s="20" t="s">
        <v>1751</v>
      </c>
      <c r="G82" s="20" t="s">
        <v>1752</v>
      </c>
      <c r="H82" s="20"/>
      <c r="I82" s="51">
        <v>26647</v>
      </c>
      <c r="J82" s="123"/>
      <c r="K82" s="123">
        <v>1</v>
      </c>
      <c r="L82" s="24"/>
      <c r="M82" s="24"/>
      <c r="N82" s="24"/>
      <c r="O82" s="24"/>
      <c r="P82" s="24"/>
      <c r="Q82" s="24">
        <v>1</v>
      </c>
      <c r="R82" s="24" t="s">
        <v>957</v>
      </c>
      <c r="S82" s="24"/>
      <c r="T82" s="24"/>
      <c r="U82" s="70" t="s">
        <v>295</v>
      </c>
      <c r="V82" s="20" t="s">
        <v>503</v>
      </c>
      <c r="W82" s="20" t="s">
        <v>298</v>
      </c>
      <c r="X82" s="20" t="s">
        <v>227</v>
      </c>
      <c r="Y82" s="20"/>
      <c r="Z82" s="20"/>
      <c r="AA82" s="20" t="s">
        <v>954</v>
      </c>
      <c r="AB82" s="20" t="s">
        <v>528</v>
      </c>
      <c r="AC82" s="24">
        <v>1</v>
      </c>
      <c r="AD82" s="24"/>
      <c r="AE82" s="24"/>
      <c r="AF82" s="24"/>
      <c r="AG82" s="24"/>
      <c r="AH82" s="20"/>
      <c r="AI82" s="42"/>
    </row>
    <row r="83" spans="1:35">
      <c r="A83" s="14"/>
      <c r="B83" s="20"/>
      <c r="C83" s="20" t="s">
        <v>2126</v>
      </c>
      <c r="D83" s="20" t="s">
        <v>79</v>
      </c>
      <c r="E83" s="20" t="s">
        <v>80</v>
      </c>
      <c r="F83" s="20" t="s">
        <v>413</v>
      </c>
      <c r="G83" s="20" t="s">
        <v>414</v>
      </c>
      <c r="H83" s="20" t="s">
        <v>150</v>
      </c>
      <c r="I83" s="51">
        <v>23925</v>
      </c>
      <c r="J83" s="123"/>
      <c r="K83" s="123">
        <v>1</v>
      </c>
      <c r="L83" s="24"/>
      <c r="M83" s="24"/>
      <c r="N83" s="24"/>
      <c r="O83" s="24"/>
      <c r="P83" s="24"/>
      <c r="Q83" s="24">
        <v>1</v>
      </c>
      <c r="R83" s="85" t="s">
        <v>1348</v>
      </c>
      <c r="S83" s="24"/>
      <c r="T83" s="24"/>
      <c r="U83" s="69" t="s">
        <v>295</v>
      </c>
      <c r="V83" s="62" t="s">
        <v>956</v>
      </c>
      <c r="W83" s="62" t="s">
        <v>298</v>
      </c>
      <c r="X83" s="62" t="s">
        <v>227</v>
      </c>
      <c r="Y83" s="50">
        <v>9357514235</v>
      </c>
      <c r="Z83" s="20"/>
      <c r="AA83" s="62" t="s">
        <v>954</v>
      </c>
      <c r="AB83" s="62" t="s">
        <v>526</v>
      </c>
      <c r="AC83" s="24">
        <v>2</v>
      </c>
      <c r="AD83" s="24"/>
      <c r="AE83" s="24"/>
      <c r="AF83" s="24"/>
      <c r="AG83" s="24"/>
      <c r="AH83" s="20"/>
      <c r="AI83" s="42"/>
    </row>
    <row r="84" spans="1:35">
      <c r="A84" s="14"/>
      <c r="B84" s="20"/>
      <c r="C84" s="20" t="s">
        <v>2126</v>
      </c>
      <c r="D84" s="20" t="s">
        <v>79</v>
      </c>
      <c r="E84" s="20" t="s">
        <v>80</v>
      </c>
      <c r="F84" s="53" t="s">
        <v>3176</v>
      </c>
      <c r="G84" s="53" t="s">
        <v>2925</v>
      </c>
      <c r="H84" s="20"/>
      <c r="I84" s="51">
        <v>30505</v>
      </c>
      <c r="J84" s="123"/>
      <c r="K84" s="123">
        <v>1</v>
      </c>
      <c r="L84" s="24"/>
      <c r="M84" s="24"/>
      <c r="N84" s="24"/>
      <c r="O84" s="24"/>
      <c r="P84" s="24"/>
      <c r="Q84" s="24">
        <v>1</v>
      </c>
      <c r="R84" s="75" t="s">
        <v>957</v>
      </c>
      <c r="S84" s="24"/>
      <c r="T84" s="24"/>
      <c r="U84" s="82" t="s">
        <v>295</v>
      </c>
      <c r="V84" s="53" t="s">
        <v>503</v>
      </c>
      <c r="W84" s="53" t="s">
        <v>298</v>
      </c>
      <c r="X84" s="53" t="s">
        <v>227</v>
      </c>
      <c r="Y84" s="20"/>
      <c r="Z84" s="20"/>
      <c r="AA84" s="53" t="s">
        <v>954</v>
      </c>
      <c r="AB84" s="53" t="s">
        <v>528</v>
      </c>
      <c r="AC84" s="24">
        <v>1</v>
      </c>
      <c r="AD84" s="24"/>
      <c r="AE84" s="24"/>
      <c r="AF84" s="24"/>
      <c r="AG84" s="24"/>
      <c r="AH84" s="20"/>
      <c r="AI84" s="42"/>
    </row>
    <row r="85" spans="1:35">
      <c r="A85" s="14"/>
      <c r="B85" s="20"/>
      <c r="C85" s="20"/>
      <c r="D85" s="20" t="s">
        <v>79</v>
      </c>
      <c r="E85" s="20" t="s">
        <v>80</v>
      </c>
      <c r="F85" s="20" t="s">
        <v>413</v>
      </c>
      <c r="G85" s="20" t="s">
        <v>414</v>
      </c>
      <c r="H85" s="20" t="s">
        <v>150</v>
      </c>
      <c r="I85" s="51">
        <v>23925</v>
      </c>
      <c r="J85" s="123"/>
      <c r="K85" s="123">
        <v>1</v>
      </c>
      <c r="L85" s="24"/>
      <c r="M85" s="24"/>
      <c r="N85" s="24"/>
      <c r="O85" s="24"/>
      <c r="P85" s="24"/>
      <c r="Q85" s="24">
        <v>1</v>
      </c>
      <c r="R85" s="85" t="s">
        <v>1348</v>
      </c>
      <c r="S85" s="24"/>
      <c r="T85" s="24"/>
      <c r="U85" s="69" t="s">
        <v>295</v>
      </c>
      <c r="V85" s="62" t="s">
        <v>956</v>
      </c>
      <c r="W85" s="62" t="s">
        <v>298</v>
      </c>
      <c r="X85" s="62" t="s">
        <v>227</v>
      </c>
      <c r="Y85" s="50">
        <v>9357514235</v>
      </c>
      <c r="Z85" s="20"/>
      <c r="AA85" s="62" t="s">
        <v>954</v>
      </c>
      <c r="AB85" s="62" t="s">
        <v>526</v>
      </c>
      <c r="AC85" s="24">
        <v>1</v>
      </c>
      <c r="AD85" s="24"/>
      <c r="AE85" s="24"/>
      <c r="AF85" s="24"/>
      <c r="AG85" s="24"/>
      <c r="AH85" s="20"/>
      <c r="AI85" s="42"/>
    </row>
    <row r="86" spans="1:35">
      <c r="A86" s="14"/>
      <c r="B86" s="20"/>
      <c r="C86" s="53"/>
      <c r="D86" s="20" t="s">
        <v>79</v>
      </c>
      <c r="E86" s="20" t="s">
        <v>80</v>
      </c>
      <c r="F86" s="50" t="s">
        <v>1108</v>
      </c>
      <c r="G86" s="50" t="s">
        <v>1288</v>
      </c>
      <c r="H86" s="50" t="s">
        <v>115</v>
      </c>
      <c r="I86" s="65">
        <v>26897</v>
      </c>
      <c r="J86" s="57"/>
      <c r="K86" s="57">
        <v>1</v>
      </c>
      <c r="L86" s="24"/>
      <c r="M86" s="24"/>
      <c r="N86" s="24"/>
      <c r="O86" s="24"/>
      <c r="P86" s="24"/>
      <c r="Q86" s="24">
        <v>1</v>
      </c>
      <c r="R86" s="85" t="s">
        <v>1348</v>
      </c>
      <c r="S86" s="24"/>
      <c r="T86" s="24"/>
      <c r="U86" s="67" t="s">
        <v>859</v>
      </c>
      <c r="V86" s="50" t="s">
        <v>503</v>
      </c>
      <c r="W86" s="84" t="s">
        <v>298</v>
      </c>
      <c r="X86" s="52" t="s">
        <v>227</v>
      </c>
      <c r="Y86" s="50">
        <v>9368500335</v>
      </c>
      <c r="Z86" s="20"/>
      <c r="AA86" s="62" t="s">
        <v>954</v>
      </c>
      <c r="AB86" s="53" t="s">
        <v>528</v>
      </c>
      <c r="AC86" s="24">
        <v>1</v>
      </c>
      <c r="AD86" s="24"/>
      <c r="AE86" s="24"/>
      <c r="AF86" s="24"/>
      <c r="AG86" s="24"/>
      <c r="AH86" s="20"/>
      <c r="AI86" s="42"/>
    </row>
    <row r="87" spans="1:35">
      <c r="A87" s="14"/>
      <c r="B87" s="20"/>
      <c r="C87" s="20"/>
      <c r="D87" s="20" t="s">
        <v>79</v>
      </c>
      <c r="E87" s="20" t="s">
        <v>80</v>
      </c>
      <c r="F87" s="53" t="s">
        <v>961</v>
      </c>
      <c r="G87" s="53" t="s">
        <v>704</v>
      </c>
      <c r="H87" s="20"/>
      <c r="I87" s="51">
        <v>25465</v>
      </c>
      <c r="J87" s="123">
        <v>1</v>
      </c>
      <c r="K87" s="123"/>
      <c r="L87" s="24"/>
      <c r="M87" s="24"/>
      <c r="N87" s="24"/>
      <c r="O87" s="24"/>
      <c r="P87" s="24"/>
      <c r="Q87" s="24">
        <v>1</v>
      </c>
      <c r="R87" s="75" t="s">
        <v>3244</v>
      </c>
      <c r="S87" s="24"/>
      <c r="T87" s="24"/>
      <c r="U87" s="82" t="s">
        <v>859</v>
      </c>
      <c r="V87" s="53" t="s">
        <v>956</v>
      </c>
      <c r="W87" s="53" t="s">
        <v>298</v>
      </c>
      <c r="X87" s="53" t="s">
        <v>227</v>
      </c>
      <c r="Y87" s="20"/>
      <c r="Z87" s="20"/>
      <c r="AA87" s="53" t="s">
        <v>954</v>
      </c>
      <c r="AB87" s="53" t="s">
        <v>528</v>
      </c>
      <c r="AC87" s="24">
        <v>1</v>
      </c>
      <c r="AD87" s="24"/>
      <c r="AE87" s="24"/>
      <c r="AF87" s="24"/>
      <c r="AG87" s="24"/>
      <c r="AH87" s="20"/>
      <c r="AI87" s="42"/>
    </row>
    <row r="88" spans="1:35">
      <c r="A88" s="14"/>
      <c r="B88" s="20"/>
      <c r="C88" s="20"/>
      <c r="D88" s="20" t="s">
        <v>79</v>
      </c>
      <c r="E88" s="20" t="s">
        <v>80</v>
      </c>
      <c r="F88" s="20" t="s">
        <v>413</v>
      </c>
      <c r="G88" s="20" t="s">
        <v>414</v>
      </c>
      <c r="H88" s="20" t="s">
        <v>150</v>
      </c>
      <c r="I88" s="51">
        <v>23925</v>
      </c>
      <c r="J88" s="123"/>
      <c r="K88" s="123">
        <v>1</v>
      </c>
      <c r="L88" s="24"/>
      <c r="M88" s="24"/>
      <c r="N88" s="24"/>
      <c r="O88" s="24"/>
      <c r="P88" s="24"/>
      <c r="Q88" s="24">
        <v>1</v>
      </c>
      <c r="R88" s="85" t="s">
        <v>1348</v>
      </c>
      <c r="S88" s="24"/>
      <c r="T88" s="24"/>
      <c r="U88" s="69" t="s">
        <v>295</v>
      </c>
      <c r="V88" s="62" t="s">
        <v>956</v>
      </c>
      <c r="W88" s="62" t="s">
        <v>298</v>
      </c>
      <c r="X88" s="62" t="s">
        <v>227</v>
      </c>
      <c r="Y88" s="50">
        <v>9357514235</v>
      </c>
      <c r="Z88" s="20"/>
      <c r="AA88" s="62" t="s">
        <v>954</v>
      </c>
      <c r="AB88" s="62" t="s">
        <v>526</v>
      </c>
      <c r="AC88" s="24">
        <v>2</v>
      </c>
      <c r="AD88" s="24"/>
      <c r="AE88" s="24"/>
      <c r="AF88" s="24"/>
      <c r="AG88" s="24"/>
      <c r="AH88" s="20"/>
      <c r="AI88" s="42"/>
    </row>
    <row r="89" spans="1:35">
      <c r="A89" s="14"/>
      <c r="B89" s="20"/>
      <c r="C89" s="20"/>
      <c r="D89" s="20" t="s">
        <v>79</v>
      </c>
      <c r="E89" s="20" t="s">
        <v>80</v>
      </c>
      <c r="F89" s="50" t="s">
        <v>918</v>
      </c>
      <c r="G89" s="50" t="s">
        <v>919</v>
      </c>
      <c r="H89" s="50"/>
      <c r="I89" s="65">
        <v>25283</v>
      </c>
      <c r="J89" s="57"/>
      <c r="K89" s="123">
        <v>1</v>
      </c>
      <c r="L89" s="24"/>
      <c r="M89" s="24"/>
      <c r="N89" s="24"/>
      <c r="O89" s="24"/>
      <c r="P89" s="24"/>
      <c r="Q89" s="24">
        <v>1</v>
      </c>
      <c r="R89" s="63" t="s">
        <v>957</v>
      </c>
      <c r="S89" s="24"/>
      <c r="T89" s="24"/>
      <c r="U89" s="67" t="s">
        <v>502</v>
      </c>
      <c r="V89" s="50" t="s">
        <v>503</v>
      </c>
      <c r="W89" s="62" t="s">
        <v>298</v>
      </c>
      <c r="X89" s="52" t="s">
        <v>227</v>
      </c>
      <c r="Y89" s="50">
        <v>9109451565</v>
      </c>
      <c r="Z89" s="20"/>
      <c r="AA89" s="62" t="s">
        <v>954</v>
      </c>
      <c r="AB89" s="62" t="s">
        <v>528</v>
      </c>
      <c r="AC89" s="24">
        <v>1</v>
      </c>
      <c r="AD89" s="24"/>
      <c r="AE89" s="24"/>
      <c r="AF89" s="24"/>
      <c r="AG89" s="24"/>
      <c r="AH89" s="20"/>
      <c r="AI89" s="42"/>
    </row>
    <row r="90" spans="1:35">
      <c r="A90" s="14"/>
      <c r="B90" s="20"/>
      <c r="C90" s="20"/>
      <c r="D90" s="20" t="s">
        <v>79</v>
      </c>
      <c r="E90" s="20" t="s">
        <v>80</v>
      </c>
      <c r="F90" s="20" t="s">
        <v>413</v>
      </c>
      <c r="G90" s="20" t="s">
        <v>414</v>
      </c>
      <c r="H90" s="20" t="s">
        <v>150</v>
      </c>
      <c r="I90" s="51">
        <v>23925</v>
      </c>
      <c r="J90" s="123"/>
      <c r="K90" s="123">
        <v>1</v>
      </c>
      <c r="L90" s="24"/>
      <c r="M90" s="24"/>
      <c r="N90" s="24"/>
      <c r="O90" s="24"/>
      <c r="P90" s="24"/>
      <c r="Q90" s="24">
        <v>1</v>
      </c>
      <c r="R90" s="85" t="s">
        <v>1348</v>
      </c>
      <c r="S90" s="24"/>
      <c r="T90" s="24"/>
      <c r="U90" s="69" t="s">
        <v>295</v>
      </c>
      <c r="V90" s="62" t="s">
        <v>956</v>
      </c>
      <c r="W90" s="62" t="s">
        <v>298</v>
      </c>
      <c r="X90" s="62" t="s">
        <v>227</v>
      </c>
      <c r="Y90" s="50">
        <v>9357514235</v>
      </c>
      <c r="Z90" s="20"/>
      <c r="AA90" s="62" t="s">
        <v>954</v>
      </c>
      <c r="AB90" s="62" t="s">
        <v>526</v>
      </c>
      <c r="AC90" s="24">
        <v>2</v>
      </c>
      <c r="AD90" s="24"/>
      <c r="AE90" s="24"/>
      <c r="AF90" s="24"/>
      <c r="AG90" s="24"/>
      <c r="AH90" s="20"/>
      <c r="AI90" s="42"/>
    </row>
    <row r="91" spans="1:35">
      <c r="A91" s="14"/>
      <c r="B91" s="20"/>
      <c r="C91" s="20"/>
      <c r="D91" s="20" t="s">
        <v>79</v>
      </c>
      <c r="E91" s="20" t="s">
        <v>80</v>
      </c>
      <c r="F91" s="53" t="s">
        <v>3052</v>
      </c>
      <c r="G91" s="53" t="s">
        <v>3239</v>
      </c>
      <c r="H91" s="20"/>
      <c r="I91" s="51">
        <v>33019</v>
      </c>
      <c r="J91" s="123">
        <v>1</v>
      </c>
      <c r="K91" s="123"/>
      <c r="L91" s="24"/>
      <c r="M91" s="24"/>
      <c r="N91" s="24"/>
      <c r="O91" s="24"/>
      <c r="P91" s="24"/>
      <c r="Q91" s="24">
        <v>1</v>
      </c>
      <c r="R91" s="75" t="s">
        <v>1348</v>
      </c>
      <c r="S91" s="24"/>
      <c r="T91" s="24"/>
      <c r="U91" s="70"/>
      <c r="V91" s="20"/>
      <c r="W91" s="20"/>
      <c r="X91" s="53" t="s">
        <v>3240</v>
      </c>
      <c r="Y91" s="20"/>
      <c r="Z91" s="20"/>
      <c r="AA91" s="53" t="s">
        <v>954</v>
      </c>
      <c r="AB91" s="53" t="s">
        <v>528</v>
      </c>
      <c r="AC91" s="24">
        <v>1</v>
      </c>
      <c r="AD91" s="24"/>
      <c r="AE91" s="24"/>
      <c r="AF91" s="24"/>
      <c r="AG91" s="24"/>
      <c r="AH91" s="20"/>
      <c r="AI91" s="42"/>
    </row>
    <row r="92" spans="1:35">
      <c r="A92" s="14"/>
      <c r="B92" s="20"/>
      <c r="C92" s="53"/>
      <c r="D92" s="20" t="s">
        <v>79</v>
      </c>
      <c r="E92" s="20" t="s">
        <v>80</v>
      </c>
      <c r="F92" s="50" t="s">
        <v>312</v>
      </c>
      <c r="G92" s="50" t="s">
        <v>840</v>
      </c>
      <c r="H92" s="50" t="s">
        <v>144</v>
      </c>
      <c r="I92" s="65">
        <v>30173</v>
      </c>
      <c r="J92" s="57"/>
      <c r="K92" s="57">
        <v>1</v>
      </c>
      <c r="L92" s="24"/>
      <c r="M92" s="24"/>
      <c r="N92" s="24"/>
      <c r="O92" s="24"/>
      <c r="P92" s="24"/>
      <c r="Q92" s="24">
        <v>1</v>
      </c>
      <c r="R92" s="85" t="s">
        <v>1348</v>
      </c>
      <c r="S92" s="24"/>
      <c r="T92" s="24"/>
      <c r="U92" s="67" t="s">
        <v>859</v>
      </c>
      <c r="V92" s="50" t="s">
        <v>503</v>
      </c>
      <c r="W92" s="62" t="s">
        <v>298</v>
      </c>
      <c r="X92" s="52" t="s">
        <v>227</v>
      </c>
      <c r="Y92" s="50">
        <v>9265351990</v>
      </c>
      <c r="Z92" s="20"/>
      <c r="AA92" s="62" t="s">
        <v>954</v>
      </c>
      <c r="AB92" s="53" t="s">
        <v>528</v>
      </c>
      <c r="AC92" s="24">
        <v>1</v>
      </c>
      <c r="AD92" s="24"/>
      <c r="AE92" s="24"/>
      <c r="AF92" s="24"/>
      <c r="AG92" s="24"/>
      <c r="AH92" s="20"/>
      <c r="AI92" s="42"/>
    </row>
    <row r="93" spans="1:35">
      <c r="A93" s="14"/>
      <c r="B93" s="20"/>
      <c r="C93" s="20"/>
      <c r="D93" s="20" t="s">
        <v>79</v>
      </c>
      <c r="E93" s="20" t="s">
        <v>80</v>
      </c>
      <c r="F93" s="50" t="s">
        <v>1833</v>
      </c>
      <c r="G93" s="50" t="s">
        <v>1832</v>
      </c>
      <c r="H93" s="50"/>
      <c r="I93" s="65">
        <v>29462</v>
      </c>
      <c r="J93" s="57"/>
      <c r="K93" s="57">
        <v>1</v>
      </c>
      <c r="L93" s="24"/>
      <c r="M93" s="24"/>
      <c r="N93" s="24"/>
      <c r="O93" s="24"/>
      <c r="P93" s="24"/>
      <c r="Q93" s="24">
        <v>1</v>
      </c>
      <c r="R93" s="85" t="s">
        <v>957</v>
      </c>
      <c r="S93" s="24"/>
      <c r="T93" s="24"/>
      <c r="U93" s="67" t="s">
        <v>295</v>
      </c>
      <c r="V93" s="50" t="s">
        <v>503</v>
      </c>
      <c r="W93" s="84" t="s">
        <v>298</v>
      </c>
      <c r="X93" s="52" t="s">
        <v>227</v>
      </c>
      <c r="Y93" s="50"/>
      <c r="Z93" s="20"/>
      <c r="AA93" s="62" t="s">
        <v>954</v>
      </c>
      <c r="AB93" s="53" t="s">
        <v>528</v>
      </c>
      <c r="AC93" s="24">
        <v>1</v>
      </c>
      <c r="AD93" s="24"/>
      <c r="AE93" s="24"/>
      <c r="AF93" s="24"/>
      <c r="AG93" s="24"/>
      <c r="AH93" s="20"/>
      <c r="AI93" s="42"/>
    </row>
    <row r="94" spans="1:35">
      <c r="A94" s="14"/>
      <c r="B94" s="20"/>
      <c r="C94" s="20"/>
      <c r="D94" s="20" t="s">
        <v>79</v>
      </c>
      <c r="E94" s="20" t="s">
        <v>80</v>
      </c>
      <c r="F94" s="20" t="s">
        <v>1272</v>
      </c>
      <c r="G94" s="20" t="s">
        <v>1004</v>
      </c>
      <c r="H94" s="20"/>
      <c r="I94" s="51">
        <v>28077</v>
      </c>
      <c r="J94" s="123">
        <v>1</v>
      </c>
      <c r="K94" s="123"/>
      <c r="L94" s="24"/>
      <c r="M94" s="24"/>
      <c r="N94" s="24"/>
      <c r="O94" s="24"/>
      <c r="P94" s="24"/>
      <c r="Q94" s="24">
        <v>1</v>
      </c>
      <c r="R94" s="24" t="s">
        <v>962</v>
      </c>
      <c r="S94" s="24"/>
      <c r="T94" s="24"/>
      <c r="U94" s="82" t="s">
        <v>3241</v>
      </c>
      <c r="V94" s="20" t="s">
        <v>223</v>
      </c>
      <c r="W94" s="20" t="s">
        <v>279</v>
      </c>
      <c r="X94" s="20" t="s">
        <v>227</v>
      </c>
      <c r="Y94" s="20"/>
      <c r="Z94" s="20"/>
      <c r="AA94" s="62" t="s">
        <v>954</v>
      </c>
      <c r="AB94" s="20" t="s">
        <v>528</v>
      </c>
      <c r="AC94" s="24">
        <v>1</v>
      </c>
      <c r="AD94" s="24"/>
      <c r="AE94" s="24"/>
      <c r="AF94" s="24"/>
      <c r="AG94" s="24"/>
      <c r="AH94" s="20"/>
      <c r="AI94" s="42"/>
    </row>
    <row r="95" spans="1:35">
      <c r="A95" s="14"/>
      <c r="B95" s="20"/>
      <c r="C95" s="20"/>
      <c r="D95" s="20" t="s">
        <v>79</v>
      </c>
      <c r="E95" s="20" t="s">
        <v>80</v>
      </c>
      <c r="F95" s="20" t="s">
        <v>413</v>
      </c>
      <c r="G95" s="20" t="s">
        <v>414</v>
      </c>
      <c r="H95" s="20" t="s">
        <v>150</v>
      </c>
      <c r="I95" s="51">
        <v>23925</v>
      </c>
      <c r="J95" s="123"/>
      <c r="K95" s="123">
        <v>1</v>
      </c>
      <c r="L95" s="24"/>
      <c r="M95" s="24"/>
      <c r="N95" s="24"/>
      <c r="O95" s="24"/>
      <c r="P95" s="24"/>
      <c r="Q95" s="24">
        <v>1</v>
      </c>
      <c r="R95" s="85" t="s">
        <v>1348</v>
      </c>
      <c r="S95" s="24"/>
      <c r="T95" s="24"/>
      <c r="U95" s="69" t="s">
        <v>295</v>
      </c>
      <c r="V95" s="62" t="s">
        <v>956</v>
      </c>
      <c r="W95" s="62" t="s">
        <v>298</v>
      </c>
      <c r="X95" s="62" t="s">
        <v>227</v>
      </c>
      <c r="Y95" s="50">
        <v>9357514235</v>
      </c>
      <c r="Z95" s="20"/>
      <c r="AA95" s="62" t="s">
        <v>954</v>
      </c>
      <c r="AB95" s="20" t="s">
        <v>528</v>
      </c>
      <c r="AC95" s="24">
        <v>1</v>
      </c>
      <c r="AD95" s="24"/>
      <c r="AE95" s="24"/>
      <c r="AF95" s="24"/>
      <c r="AG95" s="24"/>
      <c r="AH95" s="20"/>
      <c r="AI95" s="42"/>
    </row>
    <row r="96" spans="1:35">
      <c r="A96" s="14"/>
      <c r="B96" s="20"/>
      <c r="C96" s="20"/>
      <c r="D96" s="20" t="s">
        <v>79</v>
      </c>
      <c r="E96" s="20" t="s">
        <v>80</v>
      </c>
      <c r="F96" s="50" t="s">
        <v>940</v>
      </c>
      <c r="G96" s="50" t="s">
        <v>839</v>
      </c>
      <c r="H96" s="50"/>
      <c r="I96" s="65">
        <v>26577</v>
      </c>
      <c r="J96" s="57">
        <v>1</v>
      </c>
      <c r="K96" s="57"/>
      <c r="L96" s="24"/>
      <c r="M96" s="24"/>
      <c r="N96" s="24"/>
      <c r="O96" s="24"/>
      <c r="P96" s="24"/>
      <c r="Q96" s="24">
        <v>1</v>
      </c>
      <c r="R96" s="63" t="s">
        <v>962</v>
      </c>
      <c r="S96" s="24"/>
      <c r="T96" s="24"/>
      <c r="U96" s="67"/>
      <c r="V96" s="50" t="s">
        <v>949</v>
      </c>
      <c r="W96" s="62" t="s">
        <v>280</v>
      </c>
      <c r="X96" s="52" t="s">
        <v>227</v>
      </c>
      <c r="Y96" s="50">
        <v>9205517815</v>
      </c>
      <c r="Z96" s="20"/>
      <c r="AA96" s="62" t="s">
        <v>954</v>
      </c>
      <c r="AB96" s="20" t="s">
        <v>528</v>
      </c>
      <c r="AC96" s="24">
        <v>1</v>
      </c>
      <c r="AD96" s="24"/>
      <c r="AE96" s="24"/>
      <c r="AF96" s="24"/>
      <c r="AG96" s="24"/>
      <c r="AH96" s="20"/>
      <c r="AI96" s="42"/>
    </row>
    <row r="97" spans="1:35">
      <c r="A97" s="14"/>
      <c r="B97" s="20"/>
      <c r="C97" s="20"/>
      <c r="D97" s="20" t="s">
        <v>79</v>
      </c>
      <c r="E97" s="20" t="s">
        <v>80</v>
      </c>
      <c r="F97" s="50" t="s">
        <v>312</v>
      </c>
      <c r="G97" s="50" t="s">
        <v>955</v>
      </c>
      <c r="H97" s="50" t="s">
        <v>286</v>
      </c>
      <c r="I97" s="65">
        <v>23696</v>
      </c>
      <c r="J97" s="57"/>
      <c r="K97" s="123">
        <v>1</v>
      </c>
      <c r="L97" s="24"/>
      <c r="M97" s="24"/>
      <c r="N97" s="24"/>
      <c r="O97" s="24"/>
      <c r="P97" s="24"/>
      <c r="Q97" s="24">
        <v>1</v>
      </c>
      <c r="R97" s="85" t="s">
        <v>1348</v>
      </c>
      <c r="S97" s="24"/>
      <c r="T97" s="24"/>
      <c r="U97" s="67" t="s">
        <v>509</v>
      </c>
      <c r="V97" s="50" t="s">
        <v>503</v>
      </c>
      <c r="W97" s="62" t="s">
        <v>298</v>
      </c>
      <c r="X97" s="52" t="s">
        <v>227</v>
      </c>
      <c r="Y97" s="50"/>
      <c r="Z97" s="20"/>
      <c r="AA97" s="62" t="s">
        <v>954</v>
      </c>
      <c r="AB97" s="20" t="s">
        <v>528</v>
      </c>
      <c r="AC97" s="24">
        <v>1</v>
      </c>
      <c r="AD97" s="24"/>
      <c r="AE97" s="24"/>
      <c r="AF97" s="24"/>
      <c r="AG97" s="24"/>
      <c r="AH97" s="20"/>
      <c r="AI97" s="42"/>
    </row>
    <row r="98" spans="1:35">
      <c r="A98" s="14"/>
      <c r="B98" s="20"/>
      <c r="C98" s="20"/>
      <c r="D98" s="20" t="s">
        <v>79</v>
      </c>
      <c r="E98" s="20" t="s">
        <v>80</v>
      </c>
      <c r="F98" s="20" t="s">
        <v>430</v>
      </c>
      <c r="G98" s="20" t="s">
        <v>492</v>
      </c>
      <c r="H98" s="20" t="s">
        <v>136</v>
      </c>
      <c r="I98" s="51"/>
      <c r="J98" s="123"/>
      <c r="K98" s="123">
        <v>1</v>
      </c>
      <c r="L98" s="24"/>
      <c r="M98" s="24"/>
      <c r="N98" s="24"/>
      <c r="O98" s="24"/>
      <c r="P98" s="24"/>
      <c r="Q98" s="24">
        <v>1</v>
      </c>
      <c r="R98" s="24" t="s">
        <v>957</v>
      </c>
      <c r="S98" s="24"/>
      <c r="T98" s="24"/>
      <c r="U98" s="70" t="s">
        <v>510</v>
      </c>
      <c r="V98" s="20" t="s">
        <v>503</v>
      </c>
      <c r="W98" s="20" t="s">
        <v>298</v>
      </c>
      <c r="X98" s="20" t="s">
        <v>227</v>
      </c>
      <c r="Y98" s="20"/>
      <c r="Z98" s="20"/>
      <c r="AA98" s="62" t="s">
        <v>954</v>
      </c>
      <c r="AB98" s="53" t="s">
        <v>528</v>
      </c>
      <c r="AC98" s="24">
        <v>1</v>
      </c>
      <c r="AD98" s="24"/>
      <c r="AE98" s="24"/>
      <c r="AF98" s="24"/>
      <c r="AG98" s="24"/>
      <c r="AH98" s="20"/>
      <c r="AI98" s="42"/>
    </row>
    <row r="99" spans="1:35">
      <c r="A99" s="14"/>
      <c r="B99" s="20"/>
      <c r="C99" s="53"/>
      <c r="D99" s="20" t="s">
        <v>79</v>
      </c>
      <c r="E99" s="20" t="s">
        <v>80</v>
      </c>
      <c r="F99" s="60" t="s">
        <v>445</v>
      </c>
      <c r="G99" s="60" t="s">
        <v>446</v>
      </c>
      <c r="H99" s="60"/>
      <c r="I99" s="66">
        <v>33127</v>
      </c>
      <c r="J99" s="74"/>
      <c r="K99" s="123">
        <v>1</v>
      </c>
      <c r="L99" s="24"/>
      <c r="M99" s="24"/>
      <c r="N99" s="24"/>
      <c r="O99" s="24"/>
      <c r="P99" s="24"/>
      <c r="Q99" s="24">
        <v>1</v>
      </c>
      <c r="R99" s="85" t="s">
        <v>1348</v>
      </c>
      <c r="S99" s="24"/>
      <c r="T99" s="24"/>
      <c r="U99" s="68" t="s">
        <v>295</v>
      </c>
      <c r="V99" s="60" t="s">
        <v>503</v>
      </c>
      <c r="W99" s="62" t="s">
        <v>298</v>
      </c>
      <c r="X99" s="52" t="s">
        <v>227</v>
      </c>
      <c r="Y99" s="60">
        <v>9759439905</v>
      </c>
      <c r="Z99" s="20"/>
      <c r="AA99" s="62" t="s">
        <v>954</v>
      </c>
      <c r="AB99" s="53" t="s">
        <v>528</v>
      </c>
      <c r="AC99" s="24">
        <v>1</v>
      </c>
      <c r="AD99" s="24"/>
      <c r="AE99" s="24"/>
      <c r="AF99" s="24"/>
      <c r="AG99" s="24"/>
      <c r="AH99" s="20"/>
      <c r="AI99" s="42"/>
    </row>
    <row r="100" spans="1:35">
      <c r="A100" s="14"/>
      <c r="B100" s="20"/>
      <c r="C100" s="20"/>
      <c r="D100" s="20" t="s">
        <v>79</v>
      </c>
      <c r="E100" s="20" t="s">
        <v>80</v>
      </c>
      <c r="F100" s="53" t="s">
        <v>3077</v>
      </c>
      <c r="G100" s="53" t="s">
        <v>1409</v>
      </c>
      <c r="H100" s="20"/>
      <c r="I100" s="51">
        <v>30553</v>
      </c>
      <c r="J100" s="123"/>
      <c r="K100" s="123">
        <v>1</v>
      </c>
      <c r="L100" s="24"/>
      <c r="M100" s="24"/>
      <c r="N100" s="24"/>
      <c r="O100" s="24"/>
      <c r="P100" s="24"/>
      <c r="Q100" s="24">
        <v>1</v>
      </c>
      <c r="R100" s="75" t="s">
        <v>1348</v>
      </c>
      <c r="S100" s="24"/>
      <c r="T100" s="24"/>
      <c r="U100" s="82" t="s">
        <v>295</v>
      </c>
      <c r="V100" s="53" t="s">
        <v>503</v>
      </c>
      <c r="W100" s="53" t="s">
        <v>298</v>
      </c>
      <c r="X100" s="53" t="s">
        <v>227</v>
      </c>
      <c r="Y100" s="20"/>
      <c r="Z100" s="20"/>
      <c r="AA100" s="62" t="s">
        <v>954</v>
      </c>
      <c r="AB100" s="53" t="s">
        <v>528</v>
      </c>
      <c r="AC100" s="24">
        <v>1</v>
      </c>
      <c r="AD100" s="24"/>
      <c r="AE100" s="24"/>
      <c r="AF100" s="24"/>
      <c r="AG100" s="24"/>
      <c r="AH100" s="20"/>
      <c r="AI100" s="42"/>
    </row>
    <row r="101" spans="1:35">
      <c r="A101" s="14"/>
      <c r="B101" s="20"/>
      <c r="C101" s="20"/>
      <c r="D101" s="20" t="s">
        <v>79</v>
      </c>
      <c r="E101" s="20" t="s">
        <v>80</v>
      </c>
      <c r="F101" s="20" t="s">
        <v>413</v>
      </c>
      <c r="G101" s="20" t="s">
        <v>414</v>
      </c>
      <c r="H101" s="20" t="s">
        <v>150</v>
      </c>
      <c r="I101" s="51">
        <v>23925</v>
      </c>
      <c r="J101" s="123"/>
      <c r="K101" s="123">
        <v>1</v>
      </c>
      <c r="L101" s="24"/>
      <c r="M101" s="24"/>
      <c r="N101" s="24"/>
      <c r="O101" s="24"/>
      <c r="P101" s="24"/>
      <c r="Q101" s="24">
        <v>1</v>
      </c>
      <c r="R101" s="85" t="s">
        <v>1348</v>
      </c>
      <c r="S101" s="24"/>
      <c r="T101" s="24"/>
      <c r="U101" s="69" t="s">
        <v>295</v>
      </c>
      <c r="V101" s="62" t="s">
        <v>956</v>
      </c>
      <c r="W101" s="62" t="s">
        <v>298</v>
      </c>
      <c r="X101" s="62" t="s">
        <v>227</v>
      </c>
      <c r="Y101" s="50">
        <v>9357514235</v>
      </c>
      <c r="Z101" s="20"/>
      <c r="AA101" s="62" t="s">
        <v>954</v>
      </c>
      <c r="AB101" s="53" t="s">
        <v>526</v>
      </c>
      <c r="AC101" s="24">
        <v>3</v>
      </c>
      <c r="AD101" s="24"/>
      <c r="AE101" s="24"/>
      <c r="AF101" s="24"/>
      <c r="AG101" s="24"/>
      <c r="AH101" s="20"/>
      <c r="AI101" s="42"/>
    </row>
    <row r="102" spans="1:35">
      <c r="A102" s="14"/>
      <c r="B102" s="20"/>
      <c r="C102" s="20"/>
      <c r="D102" s="20" t="s">
        <v>79</v>
      </c>
      <c r="E102" s="20" t="s">
        <v>80</v>
      </c>
      <c r="F102" s="20" t="s">
        <v>413</v>
      </c>
      <c r="G102" s="20" t="s">
        <v>414</v>
      </c>
      <c r="H102" s="20" t="s">
        <v>150</v>
      </c>
      <c r="I102" s="51">
        <v>23925</v>
      </c>
      <c r="J102" s="123"/>
      <c r="K102" s="123">
        <v>1</v>
      </c>
      <c r="L102" s="24"/>
      <c r="M102" s="24"/>
      <c r="N102" s="24"/>
      <c r="O102" s="24"/>
      <c r="P102" s="24"/>
      <c r="Q102" s="24">
        <v>1</v>
      </c>
      <c r="R102" s="85" t="s">
        <v>1348</v>
      </c>
      <c r="S102" s="24"/>
      <c r="T102" s="24"/>
      <c r="U102" s="69" t="s">
        <v>295</v>
      </c>
      <c r="V102" s="62" t="s">
        <v>956</v>
      </c>
      <c r="W102" s="62" t="s">
        <v>298</v>
      </c>
      <c r="X102" s="62" t="s">
        <v>227</v>
      </c>
      <c r="Y102" s="50">
        <v>9357514235</v>
      </c>
      <c r="Z102" s="20"/>
      <c r="AA102" s="62" t="s">
        <v>954</v>
      </c>
      <c r="AB102" s="53" t="s">
        <v>528</v>
      </c>
      <c r="AC102" s="24">
        <v>1</v>
      </c>
      <c r="AD102" s="24"/>
      <c r="AE102" s="24"/>
      <c r="AF102" s="24"/>
      <c r="AG102" s="24"/>
      <c r="AH102" s="20"/>
      <c r="AI102" s="42"/>
    </row>
    <row r="103" spans="1:35">
      <c r="A103" s="14"/>
      <c r="B103" s="20"/>
      <c r="C103" s="20"/>
      <c r="D103" s="20" t="s">
        <v>79</v>
      </c>
      <c r="E103" s="20" t="s">
        <v>80</v>
      </c>
      <c r="F103" s="20" t="s">
        <v>413</v>
      </c>
      <c r="G103" s="20" t="s">
        <v>414</v>
      </c>
      <c r="H103" s="20" t="s">
        <v>150</v>
      </c>
      <c r="I103" s="51">
        <v>23925</v>
      </c>
      <c r="J103" s="123"/>
      <c r="K103" s="123">
        <v>1</v>
      </c>
      <c r="L103" s="24"/>
      <c r="M103" s="24"/>
      <c r="N103" s="24"/>
      <c r="O103" s="24"/>
      <c r="P103" s="24"/>
      <c r="Q103" s="24">
        <v>1</v>
      </c>
      <c r="R103" s="85" t="s">
        <v>1348</v>
      </c>
      <c r="S103" s="24"/>
      <c r="T103" s="24"/>
      <c r="U103" s="69" t="s">
        <v>295</v>
      </c>
      <c r="V103" s="62" t="s">
        <v>956</v>
      </c>
      <c r="W103" s="62" t="s">
        <v>298</v>
      </c>
      <c r="X103" s="62" t="s">
        <v>227</v>
      </c>
      <c r="Y103" s="50">
        <v>9357514235</v>
      </c>
      <c r="Z103" s="20"/>
      <c r="AA103" s="62" t="s">
        <v>954</v>
      </c>
      <c r="AB103" s="53" t="s">
        <v>528</v>
      </c>
      <c r="AC103" s="24">
        <v>1</v>
      </c>
      <c r="AD103" s="24"/>
      <c r="AE103" s="24"/>
      <c r="AF103" s="24"/>
      <c r="AG103" s="24"/>
      <c r="AH103" s="20"/>
      <c r="AI103" s="42"/>
    </row>
    <row r="104" spans="1:35">
      <c r="A104" s="14"/>
      <c r="B104" s="20"/>
      <c r="C104" s="20"/>
      <c r="D104" s="20" t="s">
        <v>79</v>
      </c>
      <c r="E104" s="20" t="s">
        <v>80</v>
      </c>
      <c r="F104" s="20" t="s">
        <v>1019</v>
      </c>
      <c r="G104" s="20" t="s">
        <v>1020</v>
      </c>
      <c r="H104" s="20"/>
      <c r="I104" s="72">
        <v>27148</v>
      </c>
      <c r="J104" s="73">
        <v>1</v>
      </c>
      <c r="K104" s="73"/>
      <c r="L104" s="24"/>
      <c r="M104" s="24"/>
      <c r="N104" s="24"/>
      <c r="O104" s="24"/>
      <c r="P104" s="24"/>
      <c r="Q104" s="24">
        <v>1</v>
      </c>
      <c r="R104" s="85" t="s">
        <v>1348</v>
      </c>
      <c r="S104" s="24"/>
      <c r="T104" s="24"/>
      <c r="U104" s="78" t="s">
        <v>295</v>
      </c>
      <c r="V104" s="20" t="s">
        <v>503</v>
      </c>
      <c r="W104" s="20" t="s">
        <v>298</v>
      </c>
      <c r="X104" s="20" t="s">
        <v>227</v>
      </c>
      <c r="Y104" s="20">
        <v>9215660904</v>
      </c>
      <c r="Z104" s="20"/>
      <c r="AA104" s="62" t="s">
        <v>954</v>
      </c>
      <c r="AB104" s="20" t="s">
        <v>528</v>
      </c>
      <c r="AC104" s="24">
        <v>1</v>
      </c>
      <c r="AD104" s="24"/>
      <c r="AE104" s="24"/>
      <c r="AF104" s="24"/>
      <c r="AG104" s="24"/>
      <c r="AH104" s="20"/>
      <c r="AI104" s="42"/>
    </row>
    <row r="105" spans="1:35">
      <c r="A105" s="14"/>
      <c r="B105" s="20"/>
      <c r="C105" s="53"/>
      <c r="D105" s="20" t="s">
        <v>79</v>
      </c>
      <c r="E105" s="20" t="s">
        <v>80</v>
      </c>
      <c r="F105" s="50" t="s">
        <v>1272</v>
      </c>
      <c r="G105" s="50" t="s">
        <v>1004</v>
      </c>
      <c r="H105" s="50"/>
      <c r="I105" s="81" t="s">
        <v>1273</v>
      </c>
      <c r="J105" s="123">
        <v>1</v>
      </c>
      <c r="K105" s="123"/>
      <c r="L105" s="24"/>
      <c r="M105" s="24"/>
      <c r="N105" s="24"/>
      <c r="O105" s="24"/>
      <c r="P105" s="24"/>
      <c r="Q105" s="24">
        <v>1</v>
      </c>
      <c r="R105" s="75" t="s">
        <v>962</v>
      </c>
      <c r="S105" s="24"/>
      <c r="T105" s="24"/>
      <c r="U105" s="82" t="s">
        <v>226</v>
      </c>
      <c r="V105" s="53" t="s">
        <v>223</v>
      </c>
      <c r="W105" s="53" t="s">
        <v>279</v>
      </c>
      <c r="X105" s="53" t="s">
        <v>227</v>
      </c>
      <c r="Y105" s="20">
        <v>9196004838</v>
      </c>
      <c r="Z105" s="20"/>
      <c r="AA105" s="62" t="s">
        <v>954</v>
      </c>
      <c r="AB105" s="53" t="s">
        <v>528</v>
      </c>
      <c r="AC105" s="24">
        <v>1</v>
      </c>
      <c r="AD105" s="24"/>
      <c r="AE105" s="24"/>
      <c r="AF105" s="24"/>
      <c r="AG105" s="24"/>
      <c r="AH105" s="20"/>
      <c r="AI105" s="42"/>
    </row>
    <row r="106" spans="1:35">
      <c r="A106" s="14"/>
      <c r="B106" s="20"/>
      <c r="C106" s="20"/>
      <c r="D106" s="20" t="s">
        <v>79</v>
      </c>
      <c r="E106" s="20" t="s">
        <v>80</v>
      </c>
      <c r="F106" s="53" t="s">
        <v>3077</v>
      </c>
      <c r="G106" s="53" t="s">
        <v>1409</v>
      </c>
      <c r="H106" s="20"/>
      <c r="I106" s="51">
        <v>30553</v>
      </c>
      <c r="J106" s="123"/>
      <c r="K106" s="123">
        <v>1</v>
      </c>
      <c r="L106" s="24"/>
      <c r="M106" s="24"/>
      <c r="N106" s="24"/>
      <c r="O106" s="24"/>
      <c r="P106" s="24"/>
      <c r="Q106" s="24">
        <v>1</v>
      </c>
      <c r="R106" s="75" t="s">
        <v>1348</v>
      </c>
      <c r="S106" s="24"/>
      <c r="T106" s="24"/>
      <c r="U106" s="82" t="s">
        <v>295</v>
      </c>
      <c r="V106" s="53" t="s">
        <v>503</v>
      </c>
      <c r="W106" s="53" t="s">
        <v>298</v>
      </c>
      <c r="X106" s="53" t="s">
        <v>227</v>
      </c>
      <c r="Y106" s="20"/>
      <c r="Z106" s="20"/>
      <c r="AA106" s="62" t="s">
        <v>954</v>
      </c>
      <c r="AB106" s="53" t="s">
        <v>528</v>
      </c>
      <c r="AC106" s="24">
        <v>1</v>
      </c>
      <c r="AD106" s="24"/>
      <c r="AE106" s="24"/>
      <c r="AF106" s="24"/>
      <c r="AG106" s="24"/>
      <c r="AH106" s="20"/>
      <c r="AI106" s="42"/>
    </row>
    <row r="107" spans="1:35">
      <c r="A107" s="14"/>
      <c r="B107" s="20"/>
      <c r="C107" s="20"/>
      <c r="D107" s="20" t="s">
        <v>79</v>
      </c>
      <c r="E107" s="20" t="s">
        <v>80</v>
      </c>
      <c r="F107" s="20" t="s">
        <v>413</v>
      </c>
      <c r="G107" s="20" t="s">
        <v>414</v>
      </c>
      <c r="H107" s="20" t="s">
        <v>150</v>
      </c>
      <c r="I107" s="51">
        <v>23925</v>
      </c>
      <c r="J107" s="123"/>
      <c r="K107" s="123">
        <v>1</v>
      </c>
      <c r="L107" s="24"/>
      <c r="M107" s="24"/>
      <c r="N107" s="24"/>
      <c r="O107" s="24"/>
      <c r="P107" s="24"/>
      <c r="Q107" s="24">
        <v>1</v>
      </c>
      <c r="R107" s="85" t="s">
        <v>1348</v>
      </c>
      <c r="S107" s="24"/>
      <c r="T107" s="24"/>
      <c r="U107" s="69" t="s">
        <v>295</v>
      </c>
      <c r="V107" s="62" t="s">
        <v>956</v>
      </c>
      <c r="W107" s="62" t="s">
        <v>298</v>
      </c>
      <c r="X107" s="62" t="s">
        <v>227</v>
      </c>
      <c r="Y107" s="50">
        <v>9357514235</v>
      </c>
      <c r="Z107" s="20"/>
      <c r="AA107" s="62" t="s">
        <v>954</v>
      </c>
      <c r="AB107" s="53" t="s">
        <v>528</v>
      </c>
      <c r="AC107" s="24">
        <v>1</v>
      </c>
      <c r="AD107" s="24"/>
      <c r="AE107" s="24"/>
      <c r="AF107" s="24"/>
      <c r="AG107" s="24"/>
      <c r="AH107" s="20"/>
      <c r="AI107" s="42"/>
    </row>
    <row r="108" spans="1:35">
      <c r="A108" s="14"/>
      <c r="B108" s="20"/>
      <c r="C108" s="53"/>
      <c r="D108" s="20" t="s">
        <v>79</v>
      </c>
      <c r="E108" s="20" t="s">
        <v>80</v>
      </c>
      <c r="F108" s="50" t="s">
        <v>1350</v>
      </c>
      <c r="G108" s="50" t="s">
        <v>1299</v>
      </c>
      <c r="H108" s="50"/>
      <c r="I108" s="65"/>
      <c r="J108" s="57"/>
      <c r="K108" s="57">
        <v>1</v>
      </c>
      <c r="L108" s="24"/>
      <c r="M108" s="24"/>
      <c r="N108" s="24"/>
      <c r="O108" s="24"/>
      <c r="P108" s="24"/>
      <c r="Q108" s="24">
        <v>1</v>
      </c>
      <c r="R108" s="85" t="s">
        <v>957</v>
      </c>
      <c r="S108" s="24"/>
      <c r="T108" s="24"/>
      <c r="U108" s="67" t="s">
        <v>295</v>
      </c>
      <c r="V108" s="50" t="s">
        <v>503</v>
      </c>
      <c r="W108" s="84" t="s">
        <v>298</v>
      </c>
      <c r="X108" s="52" t="s">
        <v>227</v>
      </c>
      <c r="Y108" s="50">
        <v>9050919009</v>
      </c>
      <c r="Z108" s="20"/>
      <c r="AA108" s="62" t="s">
        <v>954</v>
      </c>
      <c r="AB108" s="53" t="s">
        <v>528</v>
      </c>
      <c r="AC108" s="24">
        <v>1</v>
      </c>
      <c r="AD108" s="24"/>
      <c r="AE108" s="24"/>
      <c r="AF108" s="24"/>
      <c r="AG108" s="24"/>
      <c r="AH108" s="20"/>
      <c r="AI108" s="42"/>
    </row>
    <row r="109" spans="1:35">
      <c r="A109" s="14"/>
      <c r="B109" s="20"/>
      <c r="C109" s="20"/>
      <c r="D109" s="20" t="s">
        <v>79</v>
      </c>
      <c r="E109" s="20" t="s">
        <v>80</v>
      </c>
      <c r="F109" s="20" t="s">
        <v>413</v>
      </c>
      <c r="G109" s="20" t="s">
        <v>414</v>
      </c>
      <c r="H109" s="20" t="s">
        <v>150</v>
      </c>
      <c r="I109" s="51">
        <v>23925</v>
      </c>
      <c r="J109" s="123"/>
      <c r="K109" s="123">
        <v>1</v>
      </c>
      <c r="L109" s="24"/>
      <c r="M109" s="24"/>
      <c r="N109" s="24"/>
      <c r="O109" s="24"/>
      <c r="P109" s="24"/>
      <c r="Q109" s="24">
        <v>1</v>
      </c>
      <c r="R109" s="85" t="s">
        <v>1348</v>
      </c>
      <c r="S109" s="24"/>
      <c r="T109" s="24"/>
      <c r="U109" s="69" t="s">
        <v>295</v>
      </c>
      <c r="V109" s="62" t="s">
        <v>956</v>
      </c>
      <c r="W109" s="62" t="s">
        <v>298</v>
      </c>
      <c r="X109" s="62" t="s">
        <v>227</v>
      </c>
      <c r="Y109" s="50">
        <v>9357514235</v>
      </c>
      <c r="Z109" s="20"/>
      <c r="AA109" s="62" t="s">
        <v>954</v>
      </c>
      <c r="AB109" s="53" t="s">
        <v>528</v>
      </c>
      <c r="AC109" s="24">
        <v>1</v>
      </c>
      <c r="AD109" s="24"/>
      <c r="AE109" s="24"/>
      <c r="AF109" s="24"/>
      <c r="AG109" s="24"/>
      <c r="AH109" s="20"/>
      <c r="AI109" s="42"/>
    </row>
    <row r="110" spans="1:35">
      <c r="A110" s="14"/>
      <c r="B110" s="20"/>
      <c r="C110" s="53"/>
      <c r="D110" s="20" t="s">
        <v>79</v>
      </c>
      <c r="E110" s="20" t="s">
        <v>80</v>
      </c>
      <c r="F110" s="50" t="s">
        <v>719</v>
      </c>
      <c r="G110" s="50" t="s">
        <v>615</v>
      </c>
      <c r="H110" s="50"/>
      <c r="I110" s="81">
        <v>25982</v>
      </c>
      <c r="J110" s="123"/>
      <c r="K110" s="123">
        <v>1</v>
      </c>
      <c r="L110" s="24"/>
      <c r="M110" s="24"/>
      <c r="N110" s="24"/>
      <c r="O110" s="24"/>
      <c r="P110" s="24"/>
      <c r="Q110" s="24">
        <v>1</v>
      </c>
      <c r="R110" s="75" t="s">
        <v>957</v>
      </c>
      <c r="S110" s="24"/>
      <c r="T110" s="24"/>
      <c r="U110" s="82"/>
      <c r="V110" s="53" t="s">
        <v>949</v>
      </c>
      <c r="W110" s="84" t="s">
        <v>280</v>
      </c>
      <c r="X110" s="62" t="s">
        <v>227</v>
      </c>
      <c r="Y110" s="50">
        <v>9357514235</v>
      </c>
      <c r="Z110" s="20"/>
      <c r="AA110" s="62" t="s">
        <v>954</v>
      </c>
      <c r="AB110" s="53" t="s">
        <v>526</v>
      </c>
      <c r="AC110" s="24">
        <v>3</v>
      </c>
      <c r="AD110" s="24"/>
      <c r="AE110" s="24"/>
      <c r="AF110" s="24"/>
      <c r="AG110" s="24"/>
      <c r="AH110" s="20"/>
      <c r="AI110" s="42"/>
    </row>
    <row r="111" spans="1:35">
      <c r="A111" s="14"/>
      <c r="B111" s="20"/>
      <c r="C111" s="53"/>
      <c r="D111" s="20" t="s">
        <v>79</v>
      </c>
      <c r="E111" s="20" t="s">
        <v>80</v>
      </c>
      <c r="F111" s="50" t="s">
        <v>918</v>
      </c>
      <c r="G111" s="50" t="s">
        <v>919</v>
      </c>
      <c r="H111" s="50"/>
      <c r="I111" s="65">
        <v>24918</v>
      </c>
      <c r="J111" s="57"/>
      <c r="K111" s="123">
        <v>1</v>
      </c>
      <c r="L111" s="24"/>
      <c r="M111" s="24"/>
      <c r="N111" s="24"/>
      <c r="O111" s="24"/>
      <c r="P111" s="24"/>
      <c r="Q111" s="24">
        <v>1</v>
      </c>
      <c r="R111" s="63" t="s">
        <v>957</v>
      </c>
      <c r="S111" s="24"/>
      <c r="T111" s="24"/>
      <c r="U111" s="67" t="s">
        <v>3242</v>
      </c>
      <c r="V111" s="50" t="s">
        <v>503</v>
      </c>
      <c r="W111" s="62" t="s">
        <v>298</v>
      </c>
      <c r="X111" s="52" t="s">
        <v>227</v>
      </c>
      <c r="Y111" s="50">
        <v>9109451565</v>
      </c>
      <c r="Z111" s="20"/>
      <c r="AA111" s="62" t="s">
        <v>954</v>
      </c>
      <c r="AB111" s="53" t="s">
        <v>528</v>
      </c>
      <c r="AC111" s="24">
        <v>1</v>
      </c>
      <c r="AD111" s="24"/>
      <c r="AE111" s="24"/>
      <c r="AF111" s="24"/>
      <c r="AG111" s="24"/>
      <c r="AH111" s="20"/>
      <c r="AI111" s="42"/>
    </row>
    <row r="112" spans="1:35">
      <c r="A112" s="14"/>
      <c r="B112" s="20"/>
      <c r="C112" s="20"/>
      <c r="D112" s="20" t="s">
        <v>79</v>
      </c>
      <c r="E112" s="20" t="s">
        <v>80</v>
      </c>
      <c r="F112" s="50" t="s">
        <v>312</v>
      </c>
      <c r="G112" s="50" t="s">
        <v>955</v>
      </c>
      <c r="H112" s="50" t="s">
        <v>286</v>
      </c>
      <c r="I112" s="65">
        <v>23696</v>
      </c>
      <c r="J112" s="57"/>
      <c r="K112" s="123">
        <v>1</v>
      </c>
      <c r="L112" s="24"/>
      <c r="M112" s="24"/>
      <c r="N112" s="24"/>
      <c r="O112" s="24"/>
      <c r="P112" s="24"/>
      <c r="Q112" s="24">
        <v>1</v>
      </c>
      <c r="R112" s="85" t="s">
        <v>1348</v>
      </c>
      <c r="S112" s="24"/>
      <c r="T112" s="24"/>
      <c r="U112" s="67" t="s">
        <v>509</v>
      </c>
      <c r="V112" s="50" t="s">
        <v>503</v>
      </c>
      <c r="W112" s="62" t="s">
        <v>298</v>
      </c>
      <c r="X112" s="52" t="s">
        <v>227</v>
      </c>
      <c r="Y112" s="50"/>
      <c r="Z112" s="20"/>
      <c r="AA112" s="62" t="s">
        <v>954</v>
      </c>
      <c r="AB112" s="20" t="s">
        <v>528</v>
      </c>
      <c r="AC112" s="24">
        <v>1</v>
      </c>
      <c r="AD112" s="24"/>
      <c r="AE112" s="24"/>
      <c r="AF112" s="24"/>
      <c r="AG112" s="24"/>
      <c r="AH112" s="20"/>
      <c r="AI112" s="42"/>
    </row>
    <row r="113" spans="1:35">
      <c r="A113" s="14"/>
      <c r="B113" s="20"/>
      <c r="C113" s="20"/>
      <c r="D113" s="20" t="s">
        <v>79</v>
      </c>
      <c r="E113" s="20" t="s">
        <v>80</v>
      </c>
      <c r="F113" s="50" t="s">
        <v>1833</v>
      </c>
      <c r="G113" s="50" t="s">
        <v>1832</v>
      </c>
      <c r="H113" s="50"/>
      <c r="I113" s="65">
        <v>29462</v>
      </c>
      <c r="J113" s="57"/>
      <c r="K113" s="57">
        <v>1</v>
      </c>
      <c r="L113" s="24"/>
      <c r="M113" s="24"/>
      <c r="N113" s="24"/>
      <c r="O113" s="24"/>
      <c r="P113" s="24"/>
      <c r="Q113" s="24">
        <v>1</v>
      </c>
      <c r="R113" s="85" t="s">
        <v>957</v>
      </c>
      <c r="S113" s="24"/>
      <c r="T113" s="24"/>
      <c r="U113" s="67" t="s">
        <v>295</v>
      </c>
      <c r="V113" s="50" t="s">
        <v>503</v>
      </c>
      <c r="W113" s="84" t="s">
        <v>298</v>
      </c>
      <c r="X113" s="52" t="s">
        <v>227</v>
      </c>
      <c r="Y113" s="50"/>
      <c r="Z113" s="20"/>
      <c r="AA113" s="62" t="s">
        <v>954</v>
      </c>
      <c r="AB113" s="53" t="s">
        <v>528</v>
      </c>
      <c r="AC113" s="24">
        <v>1</v>
      </c>
      <c r="AD113" s="24"/>
      <c r="AE113" s="24"/>
      <c r="AF113" s="24"/>
      <c r="AG113" s="24"/>
      <c r="AH113" s="20"/>
      <c r="AI113" s="42"/>
    </row>
    <row r="114" spans="1:35">
      <c r="A114" s="14"/>
      <c r="B114" s="20"/>
      <c r="C114" s="20"/>
      <c r="D114" s="20" t="s">
        <v>79</v>
      </c>
      <c r="E114" s="20" t="s">
        <v>80</v>
      </c>
      <c r="F114" s="20" t="s">
        <v>413</v>
      </c>
      <c r="G114" s="20" t="s">
        <v>414</v>
      </c>
      <c r="H114" s="20" t="s">
        <v>150</v>
      </c>
      <c r="I114" s="51">
        <v>23925</v>
      </c>
      <c r="J114" s="123"/>
      <c r="K114" s="123">
        <v>1</v>
      </c>
      <c r="L114" s="24"/>
      <c r="M114" s="24"/>
      <c r="N114" s="24"/>
      <c r="O114" s="24"/>
      <c r="P114" s="24"/>
      <c r="Q114" s="24">
        <v>1</v>
      </c>
      <c r="R114" s="85" t="s">
        <v>1348</v>
      </c>
      <c r="S114" s="24"/>
      <c r="T114" s="24"/>
      <c r="U114" s="69" t="s">
        <v>295</v>
      </c>
      <c r="V114" s="62" t="s">
        <v>956</v>
      </c>
      <c r="W114" s="62" t="s">
        <v>298</v>
      </c>
      <c r="X114" s="62" t="s">
        <v>227</v>
      </c>
      <c r="Y114" s="50">
        <v>9357514235</v>
      </c>
      <c r="Z114" s="20"/>
      <c r="AA114" s="62" t="s">
        <v>954</v>
      </c>
      <c r="AB114" s="53" t="s">
        <v>528</v>
      </c>
      <c r="AC114" s="24">
        <v>1</v>
      </c>
      <c r="AD114" s="24"/>
      <c r="AE114" s="24"/>
      <c r="AF114" s="24"/>
      <c r="AG114" s="24"/>
      <c r="AH114" s="20"/>
      <c r="AI114" s="42"/>
    </row>
    <row r="115" spans="1:35">
      <c r="A115" s="14"/>
      <c r="B115" s="20"/>
      <c r="C115" s="20"/>
      <c r="D115" s="20" t="s">
        <v>79</v>
      </c>
      <c r="E115" s="20" t="s">
        <v>80</v>
      </c>
      <c r="F115" s="20" t="s">
        <v>413</v>
      </c>
      <c r="G115" s="20" t="s">
        <v>414</v>
      </c>
      <c r="H115" s="20" t="s">
        <v>150</v>
      </c>
      <c r="I115" s="51">
        <v>23925</v>
      </c>
      <c r="J115" s="123"/>
      <c r="K115" s="123">
        <v>1</v>
      </c>
      <c r="L115" s="24"/>
      <c r="M115" s="24"/>
      <c r="N115" s="24"/>
      <c r="O115" s="24"/>
      <c r="P115" s="24"/>
      <c r="Q115" s="24">
        <v>1</v>
      </c>
      <c r="R115" s="85" t="s">
        <v>1348</v>
      </c>
      <c r="S115" s="24"/>
      <c r="T115" s="24"/>
      <c r="U115" s="69" t="s">
        <v>295</v>
      </c>
      <c r="V115" s="62" t="s">
        <v>956</v>
      </c>
      <c r="W115" s="62" t="s">
        <v>298</v>
      </c>
      <c r="X115" s="62" t="s">
        <v>227</v>
      </c>
      <c r="Y115" s="50">
        <v>9357514235</v>
      </c>
      <c r="Z115" s="20"/>
      <c r="AA115" s="62" t="s">
        <v>954</v>
      </c>
      <c r="AB115" s="53" t="s">
        <v>528</v>
      </c>
      <c r="AC115" s="24">
        <v>2</v>
      </c>
      <c r="AD115" s="24"/>
      <c r="AE115" s="24"/>
      <c r="AF115" s="24"/>
      <c r="AG115" s="24"/>
      <c r="AH115" s="20"/>
      <c r="AI115" s="42"/>
    </row>
    <row r="116" spans="1:35">
      <c r="A116" s="14"/>
      <c r="B116" s="20"/>
      <c r="C116" s="20"/>
      <c r="D116" s="20" t="s">
        <v>79</v>
      </c>
      <c r="E116" s="20" t="s">
        <v>80</v>
      </c>
      <c r="F116" s="20" t="s">
        <v>1751</v>
      </c>
      <c r="G116" s="20" t="s">
        <v>1752</v>
      </c>
      <c r="H116" s="20"/>
      <c r="I116" s="51">
        <v>26647</v>
      </c>
      <c r="J116" s="123"/>
      <c r="K116" s="123">
        <v>1</v>
      </c>
      <c r="L116" s="24"/>
      <c r="M116" s="24"/>
      <c r="N116" s="24"/>
      <c r="O116" s="24"/>
      <c r="P116" s="24"/>
      <c r="Q116" s="24">
        <v>1</v>
      </c>
      <c r="R116" s="24" t="s">
        <v>957</v>
      </c>
      <c r="S116" s="24"/>
      <c r="T116" s="24"/>
      <c r="U116" s="70" t="s">
        <v>295</v>
      </c>
      <c r="V116" s="20" t="s">
        <v>503</v>
      </c>
      <c r="W116" s="20" t="s">
        <v>298</v>
      </c>
      <c r="X116" s="20" t="s">
        <v>227</v>
      </c>
      <c r="Y116" s="20"/>
      <c r="Z116" s="20"/>
      <c r="AA116" s="20" t="s">
        <v>954</v>
      </c>
      <c r="AB116" s="53" t="s">
        <v>526</v>
      </c>
      <c r="AC116" s="24">
        <v>1</v>
      </c>
      <c r="AD116" s="24"/>
      <c r="AE116" s="24"/>
      <c r="AF116" s="24"/>
      <c r="AG116" s="24"/>
      <c r="AH116" s="20"/>
      <c r="AI116" s="42"/>
    </row>
    <row r="117" spans="1:35">
      <c r="A117" s="14"/>
      <c r="B117" s="20"/>
      <c r="C117" s="20"/>
      <c r="D117" s="20" t="s">
        <v>79</v>
      </c>
      <c r="E117" s="20" t="s">
        <v>80</v>
      </c>
      <c r="F117" s="50" t="s">
        <v>1833</v>
      </c>
      <c r="G117" s="50" t="s">
        <v>1832</v>
      </c>
      <c r="H117" s="50"/>
      <c r="I117" s="65">
        <v>29462</v>
      </c>
      <c r="J117" s="57"/>
      <c r="K117" s="57">
        <v>1</v>
      </c>
      <c r="L117" s="24"/>
      <c r="M117" s="24"/>
      <c r="N117" s="24"/>
      <c r="O117" s="24"/>
      <c r="P117" s="24"/>
      <c r="Q117" s="24">
        <v>1</v>
      </c>
      <c r="R117" s="85" t="s">
        <v>957</v>
      </c>
      <c r="S117" s="24"/>
      <c r="T117" s="24"/>
      <c r="U117" s="67" t="s">
        <v>295</v>
      </c>
      <c r="V117" s="50" t="s">
        <v>503</v>
      </c>
      <c r="W117" s="84" t="s">
        <v>298</v>
      </c>
      <c r="X117" s="52" t="s">
        <v>227</v>
      </c>
      <c r="Y117" s="50"/>
      <c r="Z117" s="20"/>
      <c r="AA117" s="62" t="s">
        <v>954</v>
      </c>
      <c r="AB117" s="53" t="s">
        <v>528</v>
      </c>
      <c r="AC117" s="24">
        <v>1</v>
      </c>
      <c r="AD117" s="24"/>
      <c r="AE117" s="24"/>
      <c r="AF117" s="24"/>
      <c r="AG117" s="24"/>
      <c r="AH117" s="20"/>
      <c r="AI117" s="42"/>
    </row>
    <row r="118" spans="1:35">
      <c r="A118" s="14"/>
      <c r="B118" s="20"/>
      <c r="C118" s="20"/>
      <c r="D118" s="20" t="s">
        <v>79</v>
      </c>
      <c r="E118" s="20" t="s">
        <v>80</v>
      </c>
      <c r="F118" s="20" t="s">
        <v>413</v>
      </c>
      <c r="G118" s="20" t="s">
        <v>414</v>
      </c>
      <c r="H118" s="20" t="s">
        <v>150</v>
      </c>
      <c r="I118" s="51">
        <v>23925</v>
      </c>
      <c r="J118" s="123"/>
      <c r="K118" s="123">
        <v>1</v>
      </c>
      <c r="L118" s="24"/>
      <c r="M118" s="24"/>
      <c r="N118" s="24"/>
      <c r="O118" s="24"/>
      <c r="P118" s="24"/>
      <c r="Q118" s="24">
        <v>1</v>
      </c>
      <c r="R118" s="85" t="s">
        <v>1348</v>
      </c>
      <c r="S118" s="24"/>
      <c r="T118" s="24"/>
      <c r="U118" s="69" t="s">
        <v>295</v>
      </c>
      <c r="V118" s="62" t="s">
        <v>956</v>
      </c>
      <c r="W118" s="62" t="s">
        <v>298</v>
      </c>
      <c r="X118" s="62" t="s">
        <v>227</v>
      </c>
      <c r="Y118" s="50">
        <v>9357514235</v>
      </c>
      <c r="Z118" s="20"/>
      <c r="AA118" s="62" t="s">
        <v>954</v>
      </c>
      <c r="AB118" s="53" t="s">
        <v>528</v>
      </c>
      <c r="AC118" s="24">
        <v>1</v>
      </c>
      <c r="AD118" s="24"/>
      <c r="AE118" s="24"/>
      <c r="AF118" s="24"/>
      <c r="AG118" s="24"/>
      <c r="AH118" s="20"/>
      <c r="AI118" s="42"/>
    </row>
    <row r="119" spans="1:35">
      <c r="A119" s="14"/>
      <c r="B119" s="20"/>
      <c r="C119" s="53"/>
      <c r="D119" s="20" t="s">
        <v>79</v>
      </c>
      <c r="E119" s="20" t="s">
        <v>80</v>
      </c>
      <c r="F119" s="53" t="s">
        <v>940</v>
      </c>
      <c r="G119" s="53" t="s">
        <v>1313</v>
      </c>
      <c r="H119" s="20"/>
      <c r="I119" s="81" t="s">
        <v>1290</v>
      </c>
      <c r="J119" s="123"/>
      <c r="K119" s="123">
        <v>1</v>
      </c>
      <c r="L119" s="24"/>
      <c r="M119" s="24"/>
      <c r="N119" s="24"/>
      <c r="O119" s="24"/>
      <c r="P119" s="24"/>
      <c r="Q119" s="24">
        <v>1</v>
      </c>
      <c r="R119" s="85" t="s">
        <v>1348</v>
      </c>
      <c r="S119" s="24"/>
      <c r="T119" s="24"/>
      <c r="U119" s="70"/>
      <c r="V119" s="53" t="s">
        <v>949</v>
      </c>
      <c r="W119" s="53" t="s">
        <v>280</v>
      </c>
      <c r="X119" s="53" t="s">
        <v>227</v>
      </c>
      <c r="Y119" s="20">
        <v>9678213070</v>
      </c>
      <c r="Z119" s="20"/>
      <c r="AA119" s="62" t="s">
        <v>954</v>
      </c>
      <c r="AB119" s="53" t="s">
        <v>526</v>
      </c>
      <c r="AC119" s="24">
        <v>3</v>
      </c>
      <c r="AD119" s="24"/>
      <c r="AE119" s="24"/>
      <c r="AF119" s="24"/>
      <c r="AG119" s="24"/>
      <c r="AH119" s="20"/>
      <c r="AI119" s="42"/>
    </row>
    <row r="120" spans="1:35">
      <c r="A120" s="14"/>
      <c r="B120" s="20"/>
      <c r="C120" s="53"/>
      <c r="D120" s="20" t="s">
        <v>79</v>
      </c>
      <c r="E120" s="20" t="s">
        <v>80</v>
      </c>
      <c r="F120" s="50" t="s">
        <v>1108</v>
      </c>
      <c r="G120" s="50" t="s">
        <v>1288</v>
      </c>
      <c r="H120" s="50" t="s">
        <v>115</v>
      </c>
      <c r="I120" s="65">
        <v>26897</v>
      </c>
      <c r="J120" s="57"/>
      <c r="K120" s="57">
        <v>1</v>
      </c>
      <c r="L120" s="24"/>
      <c r="M120" s="24"/>
      <c r="N120" s="24"/>
      <c r="O120" s="24"/>
      <c r="P120" s="24"/>
      <c r="Q120" s="24">
        <v>1</v>
      </c>
      <c r="R120" s="85" t="s">
        <v>1348</v>
      </c>
      <c r="S120" s="24"/>
      <c r="T120" s="24"/>
      <c r="U120" s="67" t="s">
        <v>859</v>
      </c>
      <c r="V120" s="50" t="s">
        <v>503</v>
      </c>
      <c r="W120" s="84" t="s">
        <v>298</v>
      </c>
      <c r="X120" s="52" t="s">
        <v>227</v>
      </c>
      <c r="Y120" s="50">
        <v>9368500335</v>
      </c>
      <c r="Z120" s="20"/>
      <c r="AA120" s="62" t="s">
        <v>954</v>
      </c>
      <c r="AB120" s="53" t="s">
        <v>528</v>
      </c>
      <c r="AC120" s="24">
        <v>1</v>
      </c>
      <c r="AD120" s="24"/>
      <c r="AE120" s="24"/>
      <c r="AF120" s="24"/>
      <c r="AG120" s="24"/>
      <c r="AH120" s="20"/>
      <c r="AI120" s="42"/>
    </row>
    <row r="121" spans="1:35">
      <c r="A121" s="14"/>
      <c r="B121" s="20"/>
      <c r="C121" s="53"/>
      <c r="D121" s="20" t="s">
        <v>79</v>
      </c>
      <c r="E121" s="20" t="s">
        <v>80</v>
      </c>
      <c r="F121" s="53" t="s">
        <v>1275</v>
      </c>
      <c r="G121" s="53" t="s">
        <v>1274</v>
      </c>
      <c r="H121" s="53" t="s">
        <v>283</v>
      </c>
      <c r="I121" s="81" t="s">
        <v>1276</v>
      </c>
      <c r="J121" s="123">
        <v>1</v>
      </c>
      <c r="K121" s="123"/>
      <c r="L121" s="24"/>
      <c r="M121" s="24"/>
      <c r="N121" s="24"/>
      <c r="O121" s="24"/>
      <c r="P121" s="24"/>
      <c r="Q121" s="24">
        <v>1</v>
      </c>
      <c r="R121" s="75" t="s">
        <v>962</v>
      </c>
      <c r="S121" s="24"/>
      <c r="T121" s="24"/>
      <c r="U121" s="82" t="s">
        <v>853</v>
      </c>
      <c r="V121" s="53" t="s">
        <v>503</v>
      </c>
      <c r="W121" s="53" t="s">
        <v>298</v>
      </c>
      <c r="X121" s="53" t="s">
        <v>227</v>
      </c>
      <c r="Y121" s="20">
        <v>9693804277</v>
      </c>
      <c r="Z121" s="20"/>
      <c r="AA121" s="62" t="s">
        <v>954</v>
      </c>
      <c r="AB121" s="53" t="s">
        <v>528</v>
      </c>
      <c r="AC121" s="24">
        <v>1</v>
      </c>
      <c r="AD121" s="24"/>
      <c r="AE121" s="24"/>
      <c r="AF121" s="24"/>
      <c r="AG121" s="24"/>
      <c r="AH121" s="20"/>
      <c r="AI121" s="42"/>
    </row>
    <row r="122" spans="1:35">
      <c r="A122" s="14"/>
      <c r="B122" s="20"/>
      <c r="C122" s="20"/>
      <c r="D122" s="20" t="s">
        <v>79</v>
      </c>
      <c r="E122" s="20" t="s">
        <v>80</v>
      </c>
      <c r="F122" s="20" t="s">
        <v>918</v>
      </c>
      <c r="G122" s="20" t="s">
        <v>198</v>
      </c>
      <c r="H122" s="20"/>
      <c r="I122" s="51">
        <v>26171</v>
      </c>
      <c r="J122" s="123">
        <v>1</v>
      </c>
      <c r="K122" s="123"/>
      <c r="L122" s="24"/>
      <c r="M122" s="24"/>
      <c r="N122" s="24"/>
      <c r="O122" s="24"/>
      <c r="P122" s="24"/>
      <c r="Q122" s="24">
        <v>1</v>
      </c>
      <c r="R122" s="85" t="s">
        <v>1348</v>
      </c>
      <c r="S122" s="24"/>
      <c r="T122" s="24"/>
      <c r="U122" s="70" t="s">
        <v>502</v>
      </c>
      <c r="V122" s="20" t="s">
        <v>503</v>
      </c>
      <c r="W122" s="20" t="s">
        <v>298</v>
      </c>
      <c r="X122" s="20" t="s">
        <v>227</v>
      </c>
      <c r="Y122" s="20"/>
      <c r="Z122" s="20"/>
      <c r="AA122" s="20" t="s">
        <v>954</v>
      </c>
      <c r="AB122" s="20" t="s">
        <v>528</v>
      </c>
      <c r="AC122" s="24">
        <v>1</v>
      </c>
      <c r="AD122" s="24"/>
      <c r="AE122" s="24"/>
      <c r="AF122" s="24"/>
      <c r="AG122" s="24"/>
      <c r="AH122" s="20"/>
      <c r="AI122" s="42"/>
    </row>
    <row r="123" spans="1:35" s="6" customFormat="1">
      <c r="A123" s="18"/>
      <c r="B123" s="19"/>
      <c r="C123" s="19" t="s">
        <v>84</v>
      </c>
      <c r="D123" s="19"/>
      <c r="E123" s="19"/>
      <c r="F123" s="19"/>
      <c r="G123" s="19"/>
      <c r="H123" s="19"/>
      <c r="I123" s="30"/>
      <c r="J123" s="126">
        <f>SUM(J124:J138)</f>
        <v>0</v>
      </c>
      <c r="K123" s="126">
        <f>SUM(K124:K138)</f>
        <v>4</v>
      </c>
      <c r="L123" s="31">
        <f>SUM(L124:L138)</f>
        <v>0</v>
      </c>
      <c r="M123" s="31">
        <f>SUM(M124:M138)</f>
        <v>0</v>
      </c>
      <c r="N123" s="31">
        <f>SUM(N124:N138)</f>
        <v>0</v>
      </c>
      <c r="O123" s="31"/>
      <c r="P123" s="31">
        <f>SUM(P124:P138)</f>
        <v>0</v>
      </c>
      <c r="Q123" s="31">
        <f>SUM(Q124:Q138)</f>
        <v>4</v>
      </c>
      <c r="R123" s="31"/>
      <c r="S123" s="31">
        <f>SUM(S124:S138)</f>
        <v>0</v>
      </c>
      <c r="T123" s="31">
        <f>SUM(T124:T138)</f>
        <v>0</v>
      </c>
      <c r="U123" s="19"/>
      <c r="V123" s="19"/>
      <c r="W123" s="19"/>
      <c r="X123" s="19"/>
      <c r="Y123" s="19"/>
      <c r="Z123" s="19"/>
      <c r="AA123" s="19"/>
      <c r="AB123" s="19"/>
      <c r="AC123" s="31">
        <f>SUM(AC124:AC138)</f>
        <v>4</v>
      </c>
      <c r="AD123" s="31">
        <f>SUM(AD124:AD138)</f>
        <v>0</v>
      </c>
      <c r="AE123" s="31" t="e">
        <f>AVERAGE(AE124:AE138)</f>
        <v>#DIV/0!</v>
      </c>
      <c r="AF123" s="31" t="e">
        <f>AVERAGE(AF124:AF138)</f>
        <v>#DIV/0!</v>
      </c>
      <c r="AG123" s="31" t="e">
        <f>AVERAGE(AG124:AG138)</f>
        <v>#DIV/0!</v>
      </c>
      <c r="AH123" s="19"/>
      <c r="AI123" s="41"/>
    </row>
    <row r="124" spans="1:35">
      <c r="A124" s="14"/>
      <c r="B124" s="20"/>
      <c r="C124" s="53" t="s">
        <v>3243</v>
      </c>
      <c r="D124" s="20" t="s">
        <v>79</v>
      </c>
      <c r="E124" s="20" t="s">
        <v>80</v>
      </c>
      <c r="F124" s="20" t="s">
        <v>413</v>
      </c>
      <c r="G124" s="20" t="s">
        <v>414</v>
      </c>
      <c r="H124" s="20" t="s">
        <v>150</v>
      </c>
      <c r="I124" s="51">
        <v>23925</v>
      </c>
      <c r="J124" s="123"/>
      <c r="K124" s="123">
        <v>1</v>
      </c>
      <c r="L124" s="24"/>
      <c r="M124" s="24"/>
      <c r="N124" s="24"/>
      <c r="O124" s="24"/>
      <c r="P124" s="24"/>
      <c r="Q124" s="24">
        <v>1</v>
      </c>
      <c r="R124" s="85" t="s">
        <v>1348</v>
      </c>
      <c r="S124" s="24"/>
      <c r="T124" s="24"/>
      <c r="U124" s="69" t="s">
        <v>295</v>
      </c>
      <c r="V124" s="62" t="s">
        <v>956</v>
      </c>
      <c r="W124" s="62" t="s">
        <v>298</v>
      </c>
      <c r="X124" s="62" t="s">
        <v>227</v>
      </c>
      <c r="Y124" s="50">
        <v>9357514235</v>
      </c>
      <c r="Z124" s="20"/>
      <c r="AA124" s="62" t="s">
        <v>954</v>
      </c>
      <c r="AB124" s="53" t="s">
        <v>528</v>
      </c>
      <c r="AC124" s="24">
        <v>1</v>
      </c>
      <c r="AD124" s="24"/>
      <c r="AE124" s="24"/>
      <c r="AF124" s="24"/>
      <c r="AG124" s="24"/>
      <c r="AH124" s="20"/>
      <c r="AI124" s="42"/>
    </row>
    <row r="125" spans="1:35">
      <c r="A125" s="14"/>
      <c r="B125" s="20"/>
      <c r="C125" s="53" t="s">
        <v>3243</v>
      </c>
      <c r="D125" s="20" t="s">
        <v>79</v>
      </c>
      <c r="E125" s="20" t="s">
        <v>80</v>
      </c>
      <c r="F125" s="53" t="s">
        <v>3235</v>
      </c>
      <c r="G125" s="53" t="s">
        <v>1983</v>
      </c>
      <c r="H125" s="53" t="s">
        <v>144</v>
      </c>
      <c r="I125" s="81">
        <v>31167</v>
      </c>
      <c r="J125" s="123"/>
      <c r="K125" s="123">
        <v>1</v>
      </c>
      <c r="L125" s="24"/>
      <c r="M125" s="24"/>
      <c r="N125" s="24"/>
      <c r="O125" s="24"/>
      <c r="P125" s="24"/>
      <c r="Q125" s="24">
        <v>1</v>
      </c>
      <c r="R125" s="63" t="s">
        <v>957</v>
      </c>
      <c r="S125" s="24"/>
      <c r="T125" s="24"/>
      <c r="U125" s="82" t="s">
        <v>502</v>
      </c>
      <c r="V125" s="53" t="s">
        <v>503</v>
      </c>
      <c r="W125" s="53" t="s">
        <v>298</v>
      </c>
      <c r="X125" s="53" t="s">
        <v>227</v>
      </c>
      <c r="Y125" s="20"/>
      <c r="Z125" s="20"/>
      <c r="AA125" s="62" t="s">
        <v>954</v>
      </c>
      <c r="AB125" s="53" t="s">
        <v>528</v>
      </c>
      <c r="AC125" s="24">
        <v>1</v>
      </c>
      <c r="AD125" s="24"/>
      <c r="AE125" s="24"/>
      <c r="AF125" s="24"/>
      <c r="AG125" s="24"/>
      <c r="AH125" s="20"/>
      <c r="AI125" s="42"/>
    </row>
    <row r="126" spans="1:35">
      <c r="A126" s="14"/>
      <c r="B126" s="20"/>
      <c r="C126" s="53" t="s">
        <v>3243</v>
      </c>
      <c r="D126" s="20" t="s">
        <v>79</v>
      </c>
      <c r="E126" s="20" t="s">
        <v>80</v>
      </c>
      <c r="F126" s="50" t="s">
        <v>312</v>
      </c>
      <c r="G126" s="50" t="s">
        <v>840</v>
      </c>
      <c r="H126" s="50" t="s">
        <v>144</v>
      </c>
      <c r="I126" s="65">
        <v>30173</v>
      </c>
      <c r="J126" s="57"/>
      <c r="K126" s="57">
        <v>1</v>
      </c>
      <c r="L126" s="24"/>
      <c r="M126" s="24"/>
      <c r="N126" s="24"/>
      <c r="O126" s="24"/>
      <c r="P126" s="24"/>
      <c r="Q126" s="24">
        <v>1</v>
      </c>
      <c r="R126" s="85" t="s">
        <v>1348</v>
      </c>
      <c r="S126" s="24"/>
      <c r="T126" s="24"/>
      <c r="U126" s="67" t="s">
        <v>859</v>
      </c>
      <c r="V126" s="50" t="s">
        <v>503</v>
      </c>
      <c r="W126" s="62" t="s">
        <v>298</v>
      </c>
      <c r="X126" s="52" t="s">
        <v>227</v>
      </c>
      <c r="Y126" s="50">
        <v>9265351990</v>
      </c>
      <c r="Z126" s="20"/>
      <c r="AA126" s="62" t="s">
        <v>954</v>
      </c>
      <c r="AB126" s="53" t="s">
        <v>528</v>
      </c>
      <c r="AC126" s="24">
        <v>1</v>
      </c>
      <c r="AD126" s="24"/>
      <c r="AE126" s="24"/>
      <c r="AF126" s="24"/>
      <c r="AG126" s="24"/>
      <c r="AH126" s="20"/>
      <c r="AI126" s="42"/>
    </row>
    <row r="127" spans="1:35">
      <c r="A127" s="14"/>
      <c r="B127" s="20"/>
      <c r="C127" s="20"/>
      <c r="D127" s="20" t="s">
        <v>79</v>
      </c>
      <c r="E127" s="20" t="s">
        <v>80</v>
      </c>
      <c r="F127" s="20" t="s">
        <v>413</v>
      </c>
      <c r="G127" s="20" t="s">
        <v>414</v>
      </c>
      <c r="H127" s="20" t="s">
        <v>150</v>
      </c>
      <c r="I127" s="51">
        <v>23925</v>
      </c>
      <c r="J127" s="123"/>
      <c r="K127" s="123">
        <v>1</v>
      </c>
      <c r="L127" s="24"/>
      <c r="M127" s="24"/>
      <c r="N127" s="24"/>
      <c r="O127" s="24"/>
      <c r="P127" s="24"/>
      <c r="Q127" s="24">
        <v>1</v>
      </c>
      <c r="R127" s="85" t="s">
        <v>1348</v>
      </c>
      <c r="S127" s="24"/>
      <c r="T127" s="24"/>
      <c r="U127" s="69" t="s">
        <v>295</v>
      </c>
      <c r="V127" s="62" t="s">
        <v>956</v>
      </c>
      <c r="W127" s="62" t="s">
        <v>298</v>
      </c>
      <c r="X127" s="62" t="s">
        <v>227</v>
      </c>
      <c r="Y127" s="50">
        <v>9357514235</v>
      </c>
      <c r="Z127" s="20"/>
      <c r="AA127" s="62" t="s">
        <v>954</v>
      </c>
      <c r="AB127" s="53" t="s">
        <v>528</v>
      </c>
      <c r="AC127" s="24">
        <v>1</v>
      </c>
      <c r="AD127" s="24"/>
      <c r="AE127" s="24"/>
      <c r="AF127" s="24"/>
      <c r="AG127" s="24"/>
      <c r="AH127" s="20"/>
      <c r="AI127" s="42"/>
    </row>
    <row r="128" spans="1:35">
      <c r="A128" s="14"/>
      <c r="B128" s="20"/>
      <c r="C128" s="20"/>
      <c r="D128" s="20"/>
      <c r="E128" s="20"/>
      <c r="F128" s="20"/>
      <c r="G128" s="20"/>
      <c r="H128" s="20"/>
      <c r="I128" s="51"/>
      <c r="J128" s="123"/>
      <c r="K128" s="123"/>
      <c r="L128" s="24"/>
      <c r="M128" s="24"/>
      <c r="N128" s="24"/>
      <c r="O128" s="24"/>
      <c r="P128" s="24"/>
      <c r="Q128" s="24"/>
      <c r="R128" s="24"/>
      <c r="S128" s="24"/>
      <c r="T128" s="24"/>
      <c r="U128" s="70"/>
      <c r="V128" s="20"/>
      <c r="W128" s="20"/>
      <c r="X128" s="20"/>
      <c r="Y128" s="20"/>
      <c r="Z128" s="20"/>
      <c r="AA128" s="20"/>
      <c r="AB128" s="20"/>
      <c r="AC128" s="24"/>
      <c r="AD128" s="24"/>
      <c r="AE128" s="24"/>
      <c r="AF128" s="24"/>
      <c r="AG128" s="24"/>
      <c r="AH128" s="20"/>
      <c r="AI128" s="42"/>
    </row>
    <row r="129" spans="1:35">
      <c r="A129" s="14"/>
      <c r="B129" s="20"/>
      <c r="C129" s="20"/>
      <c r="D129" s="20"/>
      <c r="E129" s="20"/>
      <c r="F129" s="20"/>
      <c r="G129" s="20"/>
      <c r="H129" s="20"/>
      <c r="I129" s="51"/>
      <c r="J129" s="123"/>
      <c r="K129" s="123"/>
      <c r="L129" s="24"/>
      <c r="M129" s="24"/>
      <c r="N129" s="24"/>
      <c r="O129" s="24"/>
      <c r="P129" s="24"/>
      <c r="Q129" s="24"/>
      <c r="R129" s="24"/>
      <c r="S129" s="24"/>
      <c r="T129" s="24"/>
      <c r="U129" s="70"/>
      <c r="V129" s="20"/>
      <c r="W129" s="20"/>
      <c r="X129" s="20"/>
      <c r="Y129" s="20"/>
      <c r="Z129" s="20"/>
      <c r="AA129" s="20"/>
      <c r="AB129" s="20"/>
      <c r="AC129" s="24"/>
      <c r="AD129" s="24"/>
      <c r="AE129" s="24"/>
      <c r="AF129" s="24"/>
      <c r="AG129" s="24"/>
      <c r="AH129" s="20"/>
      <c r="AI129" s="42"/>
    </row>
    <row r="130" spans="1:35">
      <c r="A130" s="14"/>
      <c r="B130" s="20"/>
      <c r="C130" s="20"/>
      <c r="D130" s="20"/>
      <c r="E130" s="20"/>
      <c r="F130" s="20"/>
      <c r="G130" s="20"/>
      <c r="H130" s="20"/>
      <c r="I130" s="51"/>
      <c r="J130" s="123"/>
      <c r="K130" s="123"/>
      <c r="L130" s="24"/>
      <c r="M130" s="24"/>
      <c r="N130" s="24"/>
      <c r="O130" s="24"/>
      <c r="P130" s="24"/>
      <c r="Q130" s="24"/>
      <c r="R130" s="24"/>
      <c r="S130" s="24"/>
      <c r="T130" s="24"/>
      <c r="U130" s="70"/>
      <c r="V130" s="20"/>
      <c r="W130" s="20"/>
      <c r="X130" s="20"/>
      <c r="Y130" s="20"/>
      <c r="Z130" s="20"/>
      <c r="AA130" s="20"/>
      <c r="AB130" s="20"/>
      <c r="AC130" s="24"/>
      <c r="AD130" s="24"/>
      <c r="AE130" s="24"/>
      <c r="AF130" s="24"/>
      <c r="AG130" s="24"/>
      <c r="AH130" s="20"/>
      <c r="AI130" s="42"/>
    </row>
    <row r="131" spans="1:35">
      <c r="A131" s="14"/>
      <c r="B131" s="20"/>
      <c r="C131" s="20"/>
      <c r="D131" s="20"/>
      <c r="E131" s="20"/>
      <c r="F131" s="20"/>
      <c r="G131" s="20"/>
      <c r="H131" s="20"/>
      <c r="I131" s="51"/>
      <c r="J131" s="123"/>
      <c r="K131" s="123"/>
      <c r="L131" s="24"/>
      <c r="M131" s="24"/>
      <c r="N131" s="24"/>
      <c r="O131" s="24"/>
      <c r="P131" s="24"/>
      <c r="Q131" s="24"/>
      <c r="R131" s="24"/>
      <c r="S131" s="24"/>
      <c r="T131" s="24"/>
      <c r="U131" s="70"/>
      <c r="V131" s="20"/>
      <c r="W131" s="20"/>
      <c r="X131" s="20"/>
      <c r="Y131" s="20"/>
      <c r="Z131" s="20"/>
      <c r="AA131" s="20"/>
      <c r="AB131" s="20"/>
      <c r="AC131" s="24"/>
      <c r="AD131" s="24"/>
      <c r="AE131" s="24"/>
      <c r="AF131" s="24"/>
      <c r="AG131" s="24"/>
      <c r="AH131" s="20"/>
      <c r="AI131" s="42"/>
    </row>
    <row r="132" spans="1:35">
      <c r="A132" s="14"/>
      <c r="B132" s="20"/>
      <c r="C132" s="20"/>
      <c r="D132" s="20"/>
      <c r="E132" s="20"/>
      <c r="F132" s="20"/>
      <c r="G132" s="20"/>
      <c r="H132" s="20"/>
      <c r="I132" s="51"/>
      <c r="J132" s="123"/>
      <c r="K132" s="123"/>
      <c r="L132" s="24"/>
      <c r="M132" s="24"/>
      <c r="N132" s="24"/>
      <c r="O132" s="24"/>
      <c r="P132" s="24"/>
      <c r="Q132" s="24"/>
      <c r="R132" s="24"/>
      <c r="S132" s="24"/>
      <c r="T132" s="24"/>
      <c r="U132" s="70"/>
      <c r="V132" s="20"/>
      <c r="W132" s="20"/>
      <c r="X132" s="20"/>
      <c r="Y132" s="20"/>
      <c r="Z132" s="20"/>
      <c r="AA132" s="20"/>
      <c r="AB132" s="20"/>
      <c r="AC132" s="24"/>
      <c r="AD132" s="24"/>
      <c r="AE132" s="24"/>
      <c r="AF132" s="24"/>
      <c r="AG132" s="24"/>
      <c r="AH132" s="20"/>
      <c r="AI132" s="42"/>
    </row>
    <row r="133" spans="1:35">
      <c r="A133" s="14"/>
      <c r="B133" s="20"/>
      <c r="C133" s="20"/>
      <c r="D133" s="20"/>
      <c r="E133" s="20"/>
      <c r="F133" s="20"/>
      <c r="G133" s="20"/>
      <c r="H133" s="20"/>
      <c r="I133" s="51"/>
      <c r="J133" s="123"/>
      <c r="K133" s="123"/>
      <c r="L133" s="24"/>
      <c r="M133" s="24"/>
      <c r="N133" s="24"/>
      <c r="O133" s="24"/>
      <c r="P133" s="24"/>
      <c r="Q133" s="24"/>
      <c r="R133" s="24"/>
      <c r="S133" s="24"/>
      <c r="T133" s="24"/>
      <c r="U133" s="70"/>
      <c r="V133" s="20"/>
      <c r="W133" s="20"/>
      <c r="X133" s="20"/>
      <c r="Y133" s="20"/>
      <c r="Z133" s="20"/>
      <c r="AA133" s="20"/>
      <c r="AB133" s="20"/>
      <c r="AC133" s="24"/>
      <c r="AD133" s="24"/>
      <c r="AE133" s="24"/>
      <c r="AF133" s="24"/>
      <c r="AG133" s="24"/>
      <c r="AH133" s="20"/>
      <c r="AI133" s="42"/>
    </row>
    <row r="134" spans="1:35">
      <c r="A134" s="14"/>
      <c r="B134" s="20"/>
      <c r="C134" s="20"/>
      <c r="D134" s="20"/>
      <c r="E134" s="20"/>
      <c r="F134" s="20"/>
      <c r="G134" s="20"/>
      <c r="H134" s="20"/>
      <c r="I134" s="51"/>
      <c r="J134" s="123"/>
      <c r="K134" s="123"/>
      <c r="L134" s="24"/>
      <c r="M134" s="24"/>
      <c r="N134" s="24"/>
      <c r="O134" s="24"/>
      <c r="P134" s="24"/>
      <c r="Q134" s="24"/>
      <c r="R134" s="24"/>
      <c r="S134" s="24"/>
      <c r="T134" s="24"/>
      <c r="U134" s="70"/>
      <c r="V134" s="20"/>
      <c r="W134" s="20"/>
      <c r="X134" s="20"/>
      <c r="Y134" s="20"/>
      <c r="Z134" s="20"/>
      <c r="AA134" s="20"/>
      <c r="AB134" s="20"/>
      <c r="AC134" s="24"/>
      <c r="AD134" s="24"/>
      <c r="AE134" s="24"/>
      <c r="AF134" s="24"/>
      <c r="AG134" s="24"/>
      <c r="AH134" s="20"/>
      <c r="AI134" s="42"/>
    </row>
    <row r="135" spans="1:35">
      <c r="A135" s="14"/>
      <c r="B135" s="20"/>
      <c r="C135" s="20"/>
      <c r="D135" s="20"/>
      <c r="E135" s="20"/>
      <c r="F135" s="20"/>
      <c r="G135" s="20"/>
      <c r="H135" s="20"/>
      <c r="I135" s="51"/>
      <c r="J135" s="123"/>
      <c r="K135" s="123"/>
      <c r="L135" s="24"/>
      <c r="M135" s="24"/>
      <c r="N135" s="24"/>
      <c r="O135" s="24"/>
      <c r="P135" s="24"/>
      <c r="Q135" s="24"/>
      <c r="R135" s="24"/>
      <c r="S135" s="24"/>
      <c r="T135" s="24"/>
      <c r="U135" s="70"/>
      <c r="V135" s="20"/>
      <c r="W135" s="20"/>
      <c r="X135" s="20"/>
      <c r="Y135" s="20"/>
      <c r="Z135" s="20"/>
      <c r="AA135" s="20"/>
      <c r="AB135" s="20"/>
      <c r="AC135" s="24"/>
      <c r="AD135" s="24"/>
      <c r="AE135" s="24"/>
      <c r="AF135" s="24"/>
      <c r="AG135" s="24"/>
      <c r="AH135" s="20"/>
      <c r="AI135" s="42"/>
    </row>
    <row r="136" spans="1:35">
      <c r="A136" s="14"/>
      <c r="B136" s="20"/>
      <c r="C136" s="20"/>
      <c r="D136" s="20"/>
      <c r="E136" s="20"/>
      <c r="F136" s="20"/>
      <c r="G136" s="20"/>
      <c r="H136" s="20"/>
      <c r="I136" s="51"/>
      <c r="J136" s="123"/>
      <c r="K136" s="123"/>
      <c r="L136" s="24"/>
      <c r="M136" s="24"/>
      <c r="N136" s="24"/>
      <c r="O136" s="24"/>
      <c r="P136" s="24"/>
      <c r="Q136" s="24"/>
      <c r="R136" s="24"/>
      <c r="S136" s="24"/>
      <c r="T136" s="24"/>
      <c r="U136" s="70"/>
      <c r="V136" s="20"/>
      <c r="W136" s="20"/>
      <c r="X136" s="20"/>
      <c r="Y136" s="20"/>
      <c r="Z136" s="20"/>
      <c r="AA136" s="20"/>
      <c r="AB136" s="20"/>
      <c r="AC136" s="24"/>
      <c r="AD136" s="24"/>
      <c r="AE136" s="24"/>
      <c r="AF136" s="24"/>
      <c r="AG136" s="24"/>
      <c r="AH136" s="20"/>
      <c r="AI136" s="42"/>
    </row>
    <row r="137" spans="1:35">
      <c r="A137" s="14"/>
      <c r="B137" s="20"/>
      <c r="C137" s="20"/>
      <c r="D137" s="20"/>
      <c r="E137" s="20"/>
      <c r="F137" s="20"/>
      <c r="G137" s="20"/>
      <c r="H137" s="20"/>
      <c r="I137" s="51"/>
      <c r="J137" s="123"/>
      <c r="K137" s="123"/>
      <c r="L137" s="24"/>
      <c r="M137" s="24"/>
      <c r="N137" s="24"/>
      <c r="O137" s="24"/>
      <c r="P137" s="24"/>
      <c r="Q137" s="24"/>
      <c r="R137" s="24"/>
      <c r="S137" s="24"/>
      <c r="T137" s="24"/>
      <c r="U137" s="70"/>
      <c r="V137" s="20"/>
      <c r="W137" s="20"/>
      <c r="X137" s="20"/>
      <c r="Y137" s="20"/>
      <c r="Z137" s="20"/>
      <c r="AA137" s="20"/>
      <c r="AB137" s="20"/>
      <c r="AC137" s="24"/>
      <c r="AD137" s="24"/>
      <c r="AE137" s="24"/>
      <c r="AF137" s="24"/>
      <c r="AG137" s="24"/>
      <c r="AH137" s="20"/>
      <c r="AI137" s="42"/>
    </row>
    <row r="138" spans="1:35">
      <c r="A138" s="14"/>
      <c r="B138" s="20"/>
      <c r="C138" s="20"/>
      <c r="D138" s="20"/>
      <c r="E138" s="20"/>
      <c r="F138" s="20"/>
      <c r="G138" s="20"/>
      <c r="H138" s="20"/>
      <c r="I138" s="51"/>
      <c r="J138" s="123"/>
      <c r="K138" s="123"/>
      <c r="L138" s="24"/>
      <c r="M138" s="24"/>
      <c r="N138" s="24"/>
      <c r="O138" s="24"/>
      <c r="P138" s="24"/>
      <c r="Q138" s="24"/>
      <c r="R138" s="24"/>
      <c r="S138" s="24"/>
      <c r="T138" s="24"/>
      <c r="U138" s="70"/>
      <c r="V138" s="20"/>
      <c r="W138" s="20"/>
      <c r="X138" s="20"/>
      <c r="Y138" s="20"/>
      <c r="Z138" s="20"/>
      <c r="AA138" s="20"/>
      <c r="AB138" s="20"/>
      <c r="AC138" s="24"/>
      <c r="AD138" s="24"/>
      <c r="AE138" s="24"/>
      <c r="AF138" s="24"/>
      <c r="AG138" s="24"/>
      <c r="AH138" s="20"/>
      <c r="AI138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phoneticPr fontId="19" type="noConversion"/>
  <conditionalFormatting sqref="L4:L8">
    <cfRule type="cellIs" dxfId="1089" priority="489" operator="greaterThan">
      <formula>0</formula>
    </cfRule>
    <cfRule type="cellIs" dxfId="1088" priority="490" operator="lessThan">
      <formula>0</formula>
    </cfRule>
  </conditionalFormatting>
  <conditionalFormatting sqref="U82:AI82 U38:AI38 A15:S15 U15:X15 K16:K18 A16:E19 Z15:AI19 A20:S20 U20:AI20 A22:H22 A21:E21 U22:Z22 AB21:AI22 AD23:AI28 Z27:Z29 AC29:AI29 K30 A23:E31 U31:X31 Z30:AI31 U32:AI33 A32:S32 A36:S36 A34:E35 U36:AI36 AD34:AI35 A39:H39 AD39:AI39 Z40 AB40:AI40 AD41:AI42 A40:E42 U43:Z45 AB43:AI45 U46 AC46:AI46 Z46:Z49 K29:S29 C31:S31 A38:S38 A43:S46 Z51:Z53 AB47:AI53 A33:H33 J33:S33 J22:S22 Z55:Z57 H55:Q55 F55 AC54:AI57 Z61 AD58:AI71 A47:E71 Z71:AC71 Z74:AI76 F71:R71 F74:R76 A72:AI72 F77:AI77 U79:Z80 AC78:AI80 Z81 AD81:AI81 U84:AI84 AD83:AI83 U91:AI91 AD88:AI90 AB92:AI92 Z92:Z93 AD93:AI93 U94:AI94 AD95:AI96 Z96 K97 Z97:AA97 AB95:AB97 U98:Z98 AC97:AI98 U100:Z100 AB99:AI100 AD101:AI103 AB101:AB103 Z104 AB104:AI104 AD105:AI105 U106:Z106 AB106:AI106 AB107 AD107:AI110 Z111 AC111:AI111 AB109:AB110 K112 Z112:AI112 Z113 U116:AI116 AD113:AI115 AB114:AB115 Z117 AD117:AI118 AB118 U119 AC119:AI119 Z119:Z120 U121:Z121 AB120:AI121 U122:AI122 F121:S122 F119:S119 F116:S116 F106:S106 F100:S100 F98:S98 F94:S94 F91:S91 F84:S84 F82:S82 F79:S80 A128:AI138 A124:AI126 F87:S87 U87:AI87 Z86 AB86:AI86 AD85:AI85 A74:E122">
    <cfRule type="containsBlanks" dxfId="1087" priority="491">
      <formula>LEN(TRIM(A15))=0</formula>
    </cfRule>
  </conditionalFormatting>
  <conditionalFormatting sqref="F79:F80 F38:F39 F15 F20 F22 F31:F33 F36 F43:F46 F82 F84 F91 F94 F98 F100 F121:F122 F128:F138 F87">
    <cfRule type="duplicateValues" dxfId="1086" priority="492"/>
  </conditionalFormatting>
  <conditionalFormatting sqref="G79:G80 G38:G39 G15 G20 G22 G31:G33 G36 G43:G46 G82 G84 G91 G94 G98 G100 G121:G122 G128:G138 G87">
    <cfRule type="duplicateValues" dxfId="1085" priority="493"/>
  </conditionalFormatting>
  <conditionalFormatting sqref="H79:H80 H38:H39 H15 H20 H22 H31:H33 H36 H43:H46 H82 H84 H91 H94 H98 H100 H121:H122 H128:H138 H87">
    <cfRule type="duplicateValues" dxfId="1084" priority="494"/>
  </conditionalFormatting>
  <conditionalFormatting sqref="T38 T15 T20 T22 T29 T31:T33 T36 T43:T46 T79:T80 T82 T84 T91 T94 T98 T100 T121:T122 T87">
    <cfRule type="containsBlanks" dxfId="1083" priority="488">
      <formula>LEN(TRIM(T15))=0</formula>
    </cfRule>
  </conditionalFormatting>
  <conditionalFormatting sqref="Y15">
    <cfRule type="containsBlanks" dxfId="1082" priority="487">
      <formula>LEN(TRIM(Y15))=0</formula>
    </cfRule>
  </conditionalFormatting>
  <conditionalFormatting sqref="F16:J16 L16:Q16 Q17 S16:Y16">
    <cfRule type="containsBlanks" dxfId="1081" priority="483">
      <formula>LEN(TRIM(F16))=0</formula>
    </cfRule>
  </conditionalFormatting>
  <conditionalFormatting sqref="F16">
    <cfRule type="duplicateValues" dxfId="1080" priority="484"/>
  </conditionalFormatting>
  <conditionalFormatting sqref="G16">
    <cfRule type="duplicateValues" dxfId="1079" priority="485"/>
  </conditionalFormatting>
  <conditionalFormatting sqref="H16">
    <cfRule type="duplicateValues" dxfId="1078" priority="486"/>
  </conditionalFormatting>
  <conditionalFormatting sqref="F17:J17 L17:P17 S17:Y17">
    <cfRule type="containsBlanks" dxfId="1077" priority="479">
      <formula>LEN(TRIM(F17))=0</formula>
    </cfRule>
  </conditionalFormatting>
  <conditionalFormatting sqref="F17">
    <cfRule type="duplicateValues" dxfId="1076" priority="480"/>
  </conditionalFormatting>
  <conditionalFormatting sqref="G17">
    <cfRule type="duplicateValues" dxfId="1075" priority="481"/>
  </conditionalFormatting>
  <conditionalFormatting sqref="H17">
    <cfRule type="duplicateValues" dxfId="1074" priority="482"/>
  </conditionalFormatting>
  <conditionalFormatting sqref="F18:J18 L18:Y18">
    <cfRule type="containsBlanks" dxfId="1073" priority="475">
      <formula>LEN(TRIM(F18))=0</formula>
    </cfRule>
  </conditionalFormatting>
  <conditionalFormatting sqref="F18">
    <cfRule type="duplicateValues" dxfId="1072" priority="476"/>
  </conditionalFormatting>
  <conditionalFormatting sqref="G18">
    <cfRule type="duplicateValues" dxfId="1071" priority="477"/>
  </conditionalFormatting>
  <conditionalFormatting sqref="H18">
    <cfRule type="duplicateValues" dxfId="1070" priority="478"/>
  </conditionalFormatting>
  <conditionalFormatting sqref="F19:Y19">
    <cfRule type="containsBlanks" dxfId="1069" priority="471">
      <formula>LEN(TRIM(F19))=0</formula>
    </cfRule>
  </conditionalFormatting>
  <conditionalFormatting sqref="F19">
    <cfRule type="duplicateValues" dxfId="1068" priority="472"/>
  </conditionalFormatting>
  <conditionalFormatting sqref="G19">
    <cfRule type="duplicateValues" dxfId="1067" priority="473"/>
  </conditionalFormatting>
  <conditionalFormatting sqref="H19">
    <cfRule type="duplicateValues" dxfId="1066" priority="474"/>
  </conditionalFormatting>
  <conditionalFormatting sqref="F21:Q21 U21:X21 Z21:AA21 AA22 S21">
    <cfRule type="containsBlanks" dxfId="1065" priority="467">
      <formula>LEN(TRIM(F21))=0</formula>
    </cfRule>
  </conditionalFormatting>
  <conditionalFormatting sqref="F21">
    <cfRule type="duplicateValues" dxfId="1064" priority="468"/>
  </conditionalFormatting>
  <conditionalFormatting sqref="G21">
    <cfRule type="duplicateValues" dxfId="1063" priority="469"/>
  </conditionalFormatting>
  <conditionalFormatting sqref="H21">
    <cfRule type="duplicateValues" dxfId="1062" priority="470"/>
  </conditionalFormatting>
  <conditionalFormatting sqref="T21">
    <cfRule type="containsBlanks" dxfId="1061" priority="466">
      <formula>LEN(TRIM(T21))=0</formula>
    </cfRule>
  </conditionalFormatting>
  <conditionalFormatting sqref="Y21">
    <cfRule type="containsBlanks" dxfId="1060" priority="465">
      <formula>LEN(TRIM(Y21))=0</formula>
    </cfRule>
  </conditionalFormatting>
  <conditionalFormatting sqref="K23 Z23:AC23">
    <cfRule type="containsBlanks" dxfId="1059" priority="464">
      <formula>LEN(TRIM(K23))=0</formula>
    </cfRule>
  </conditionalFormatting>
  <conditionalFormatting sqref="F23:J23 L23:Y23">
    <cfRule type="containsBlanks" dxfId="1058" priority="460">
      <formula>LEN(TRIM(F23))=0</formula>
    </cfRule>
  </conditionalFormatting>
  <conditionalFormatting sqref="F23">
    <cfRule type="duplicateValues" dxfId="1057" priority="461"/>
  </conditionalFormatting>
  <conditionalFormatting sqref="G23">
    <cfRule type="duplicateValues" dxfId="1056" priority="462"/>
  </conditionalFormatting>
  <conditionalFormatting sqref="H23">
    <cfRule type="duplicateValues" dxfId="1055" priority="463"/>
  </conditionalFormatting>
  <conditionalFormatting sqref="K24 Z24:AC24">
    <cfRule type="containsBlanks" dxfId="1054" priority="459">
      <formula>LEN(TRIM(K24))=0</formula>
    </cfRule>
  </conditionalFormatting>
  <conditionalFormatting sqref="F24:J24 L24:Q24 S24:Y24">
    <cfRule type="containsBlanks" dxfId="1053" priority="455">
      <formula>LEN(TRIM(F24))=0</formula>
    </cfRule>
  </conditionalFormatting>
  <conditionalFormatting sqref="F24">
    <cfRule type="duplicateValues" dxfId="1052" priority="456"/>
  </conditionalFormatting>
  <conditionalFormatting sqref="G24">
    <cfRule type="duplicateValues" dxfId="1051" priority="457"/>
  </conditionalFormatting>
  <conditionalFormatting sqref="H24">
    <cfRule type="duplicateValues" dxfId="1050" priority="458"/>
  </conditionalFormatting>
  <conditionalFormatting sqref="Z25:AC25">
    <cfRule type="containsBlanks" dxfId="1049" priority="454">
      <formula>LEN(TRIM(Z25))=0</formula>
    </cfRule>
  </conditionalFormatting>
  <conditionalFormatting sqref="F25:Y25">
    <cfRule type="containsBlanks" dxfId="1048" priority="450">
      <formula>LEN(TRIM(F25))=0</formula>
    </cfRule>
  </conditionalFormatting>
  <conditionalFormatting sqref="F25">
    <cfRule type="duplicateValues" dxfId="1047" priority="451"/>
  </conditionalFormatting>
  <conditionalFormatting sqref="G25">
    <cfRule type="duplicateValues" dxfId="1046" priority="452"/>
  </conditionalFormatting>
  <conditionalFormatting sqref="H25">
    <cfRule type="duplicateValues" dxfId="1045" priority="453"/>
  </conditionalFormatting>
  <conditionalFormatting sqref="K26 Z26:AC26 AA27:AC28 AA29:AB29">
    <cfRule type="containsBlanks" dxfId="1044" priority="449">
      <formula>LEN(TRIM(K26))=0</formula>
    </cfRule>
  </conditionalFormatting>
  <conditionalFormatting sqref="Q26">
    <cfRule type="containsBlanks" dxfId="1043" priority="448">
      <formula>LEN(TRIM(Q26))=0</formula>
    </cfRule>
  </conditionalFormatting>
  <conditionalFormatting sqref="F26:J26 L26:P26 S26:Y26">
    <cfRule type="containsBlanks" dxfId="1042" priority="444">
      <formula>LEN(TRIM(F26))=0</formula>
    </cfRule>
  </conditionalFormatting>
  <conditionalFormatting sqref="F26">
    <cfRule type="duplicateValues" dxfId="1041" priority="445"/>
  </conditionalFormatting>
  <conditionalFormatting sqref="G26">
    <cfRule type="duplicateValues" dxfId="1040" priority="446"/>
  </conditionalFormatting>
  <conditionalFormatting sqref="H26">
    <cfRule type="duplicateValues" dxfId="1039" priority="447"/>
  </conditionalFormatting>
  <conditionalFormatting sqref="F27:Q27 S27:Y27">
    <cfRule type="containsBlanks" dxfId="1038" priority="440">
      <formula>LEN(TRIM(F27))=0</formula>
    </cfRule>
  </conditionalFormatting>
  <conditionalFormatting sqref="F27">
    <cfRule type="duplicateValues" dxfId="1037" priority="441"/>
  </conditionalFormatting>
  <conditionalFormatting sqref="G27">
    <cfRule type="duplicateValues" dxfId="1036" priority="442"/>
  </conditionalFormatting>
  <conditionalFormatting sqref="H27">
    <cfRule type="duplicateValues" dxfId="1035" priority="443"/>
  </conditionalFormatting>
  <conditionalFormatting sqref="F28:Y28">
    <cfRule type="containsBlanks" dxfId="1034" priority="436">
      <formula>LEN(TRIM(F28))=0</formula>
    </cfRule>
  </conditionalFormatting>
  <conditionalFormatting sqref="F28">
    <cfRule type="duplicateValues" dxfId="1033" priority="437"/>
  </conditionalFormatting>
  <conditionalFormatting sqref="G28">
    <cfRule type="duplicateValues" dxfId="1032" priority="438"/>
  </conditionalFormatting>
  <conditionalFormatting sqref="H28">
    <cfRule type="duplicateValues" dxfId="1031" priority="439"/>
  </conditionalFormatting>
  <conditionalFormatting sqref="F29:J29">
    <cfRule type="containsBlanks" dxfId="1030" priority="432">
      <formula>LEN(TRIM(F29))=0</formula>
    </cfRule>
  </conditionalFormatting>
  <conditionalFormatting sqref="F29">
    <cfRule type="duplicateValues" dxfId="1029" priority="433"/>
  </conditionalFormatting>
  <conditionalFormatting sqref="G29">
    <cfRule type="duplicateValues" dxfId="1028" priority="434"/>
  </conditionalFormatting>
  <conditionalFormatting sqref="H29">
    <cfRule type="duplicateValues" dxfId="1027" priority="435"/>
  </conditionalFormatting>
  <conditionalFormatting sqref="U29:Y29">
    <cfRule type="containsBlanks" dxfId="1026" priority="431">
      <formula>LEN(TRIM(U29))=0</formula>
    </cfRule>
  </conditionalFormatting>
  <conditionalFormatting sqref="Q30">
    <cfRule type="containsBlanks" dxfId="1025" priority="430">
      <formula>LEN(TRIM(Q30))=0</formula>
    </cfRule>
  </conditionalFormatting>
  <conditionalFormatting sqref="F30:J30 L30:P30 S30:Y30">
    <cfRule type="containsBlanks" dxfId="1024" priority="426">
      <formula>LEN(TRIM(F30))=0</formula>
    </cfRule>
  </conditionalFormatting>
  <conditionalFormatting sqref="F30">
    <cfRule type="duplicateValues" dxfId="1023" priority="427"/>
  </conditionalFormatting>
  <conditionalFormatting sqref="G30">
    <cfRule type="duplicateValues" dxfId="1022" priority="428"/>
  </conditionalFormatting>
  <conditionalFormatting sqref="H30">
    <cfRule type="duplicateValues" dxfId="1021" priority="429"/>
  </conditionalFormatting>
  <conditionalFormatting sqref="Y31">
    <cfRule type="containsBlanks" dxfId="1020" priority="425">
      <formula>LEN(TRIM(Y31))=0</formula>
    </cfRule>
  </conditionalFormatting>
  <conditionalFormatting sqref="K34 Z34:AC34">
    <cfRule type="containsBlanks" dxfId="1019" priority="424">
      <formula>LEN(TRIM(K34))=0</formula>
    </cfRule>
  </conditionalFormatting>
  <conditionalFormatting sqref="F34:J34 L34:Y34">
    <cfRule type="containsBlanks" dxfId="1018" priority="420">
      <formula>LEN(TRIM(F34))=0</formula>
    </cfRule>
  </conditionalFormatting>
  <conditionalFormatting sqref="F34">
    <cfRule type="duplicateValues" dxfId="1017" priority="421"/>
  </conditionalFormatting>
  <conditionalFormatting sqref="G34">
    <cfRule type="duplicateValues" dxfId="1016" priority="422"/>
  </conditionalFormatting>
  <conditionalFormatting sqref="H34">
    <cfRule type="duplicateValues" dxfId="1015" priority="423"/>
  </conditionalFormatting>
  <conditionalFormatting sqref="K35 Z35:AC35">
    <cfRule type="containsBlanks" dxfId="1014" priority="419">
      <formula>LEN(TRIM(K35))=0</formula>
    </cfRule>
  </conditionalFormatting>
  <conditionalFormatting sqref="F35:J35 L35:Q35 S35:Y35">
    <cfRule type="containsBlanks" dxfId="1013" priority="415">
      <formula>LEN(TRIM(F35))=0</formula>
    </cfRule>
  </conditionalFormatting>
  <conditionalFormatting sqref="F35">
    <cfRule type="duplicateValues" dxfId="1012" priority="416"/>
  </conditionalFormatting>
  <conditionalFormatting sqref="G35">
    <cfRule type="duplicateValues" dxfId="1011" priority="417"/>
  </conditionalFormatting>
  <conditionalFormatting sqref="H35">
    <cfRule type="duplicateValues" dxfId="1010" priority="418"/>
  </conditionalFormatting>
  <conditionalFormatting sqref="U39:X39 Z39:AC39 I39:Q39 AA40 S39">
    <cfRule type="containsBlanks" dxfId="1009" priority="414">
      <formula>LEN(TRIM(I39))=0</formula>
    </cfRule>
  </conditionalFormatting>
  <conditionalFormatting sqref="T39">
    <cfRule type="containsBlanks" dxfId="1008" priority="413">
      <formula>LEN(TRIM(T39))=0</formula>
    </cfRule>
  </conditionalFormatting>
  <conditionalFormatting sqref="Y39">
    <cfRule type="containsBlanks" dxfId="1007" priority="412">
      <formula>LEN(TRIM(Y39))=0</formula>
    </cfRule>
  </conditionalFormatting>
  <conditionalFormatting sqref="F40:Q40 S40:Y40">
    <cfRule type="containsBlanks" dxfId="1006" priority="408">
      <formula>LEN(TRIM(F40))=0</formula>
    </cfRule>
  </conditionalFormatting>
  <conditionalFormatting sqref="F40">
    <cfRule type="duplicateValues" dxfId="1005" priority="409"/>
  </conditionalFormatting>
  <conditionalFormatting sqref="G40">
    <cfRule type="duplicateValues" dxfId="1004" priority="410"/>
  </conditionalFormatting>
  <conditionalFormatting sqref="H40">
    <cfRule type="duplicateValues" dxfId="1003" priority="411"/>
  </conditionalFormatting>
  <conditionalFormatting sqref="K41 Z41:AC41">
    <cfRule type="containsBlanks" dxfId="1002" priority="407">
      <formula>LEN(TRIM(K41))=0</formula>
    </cfRule>
  </conditionalFormatting>
  <conditionalFormatting sqref="Q41">
    <cfRule type="containsBlanks" dxfId="1001" priority="406">
      <formula>LEN(TRIM(Q41))=0</formula>
    </cfRule>
  </conditionalFormatting>
  <conditionalFormatting sqref="F41:J41 L41:P41 S41:Y41">
    <cfRule type="containsBlanks" dxfId="1000" priority="402">
      <formula>LEN(TRIM(F41))=0</formula>
    </cfRule>
  </conditionalFormatting>
  <conditionalFormatting sqref="F41">
    <cfRule type="duplicateValues" dxfId="999" priority="403"/>
  </conditionalFormatting>
  <conditionalFormatting sqref="G41">
    <cfRule type="duplicateValues" dxfId="998" priority="404"/>
  </conditionalFormatting>
  <conditionalFormatting sqref="H41">
    <cfRule type="duplicateValues" dxfId="997" priority="405"/>
  </conditionalFormatting>
  <conditionalFormatting sqref="K42:Q42 Z42 AC42 S42">
    <cfRule type="containsBlanks" dxfId="996" priority="401">
      <formula>LEN(TRIM(K42))=0</formula>
    </cfRule>
  </conditionalFormatting>
  <conditionalFormatting sqref="T42">
    <cfRule type="containsBlanks" dxfId="995" priority="400">
      <formula>LEN(TRIM(T42))=0</formula>
    </cfRule>
  </conditionalFormatting>
  <conditionalFormatting sqref="AA42:AB42 AA43:AA45">
    <cfRule type="containsBlanks" dxfId="994" priority="399">
      <formula>LEN(TRIM(AA42))=0</formula>
    </cfRule>
  </conditionalFormatting>
  <conditionalFormatting sqref="F42:J42">
    <cfRule type="containsBlanks" dxfId="993" priority="395">
      <formula>LEN(TRIM(F42))=0</formula>
    </cfRule>
  </conditionalFormatting>
  <conditionalFormatting sqref="F42">
    <cfRule type="duplicateValues" dxfId="992" priority="396"/>
  </conditionalFormatting>
  <conditionalFormatting sqref="G42">
    <cfRule type="duplicateValues" dxfId="991" priority="397"/>
  </conditionalFormatting>
  <conditionalFormatting sqref="H42">
    <cfRule type="duplicateValues" dxfId="990" priority="398"/>
  </conditionalFormatting>
  <conditionalFormatting sqref="U42:Y42">
    <cfRule type="containsBlanks" dxfId="989" priority="394">
      <formula>LEN(TRIM(U42))=0</formula>
    </cfRule>
  </conditionalFormatting>
  <conditionalFormatting sqref="V46:Y46">
    <cfRule type="containsBlanks" dxfId="988" priority="393">
      <formula>LEN(TRIM(V46))=0</formula>
    </cfRule>
  </conditionalFormatting>
  <conditionalFormatting sqref="AB46">
    <cfRule type="containsBlanks" dxfId="987" priority="392">
      <formula>LEN(TRIM(AB46))=0</formula>
    </cfRule>
  </conditionalFormatting>
  <conditionalFormatting sqref="AA46:AA49">
    <cfRule type="containsBlanks" dxfId="986" priority="391">
      <formula>LEN(TRIM(AA46))=0</formula>
    </cfRule>
  </conditionalFormatting>
  <conditionalFormatting sqref="S47:Y48 F47:Q49 S52:Y52 F51:Q52 L50:Q50 S49:T51 V51:Y51 F53:P53 Y53 S55:T55 Y55">
    <cfRule type="containsBlanks" dxfId="985" priority="387">
      <formula>LEN(TRIM(F47))=0</formula>
    </cfRule>
  </conditionalFormatting>
  <conditionalFormatting sqref="R16">
    <cfRule type="containsBlanks" dxfId="984" priority="386">
      <formula>LEN(TRIM(R16))=0</formula>
    </cfRule>
  </conditionalFormatting>
  <conditionalFormatting sqref="R17">
    <cfRule type="containsBlanks" dxfId="983" priority="385">
      <formula>LEN(TRIM(R17))=0</formula>
    </cfRule>
  </conditionalFormatting>
  <conditionalFormatting sqref="R21">
    <cfRule type="containsBlanks" dxfId="982" priority="384">
      <formula>LEN(TRIM(R21))=0</formula>
    </cfRule>
  </conditionalFormatting>
  <conditionalFormatting sqref="R24">
    <cfRule type="containsBlanks" dxfId="981" priority="383">
      <formula>LEN(TRIM(R24))=0</formula>
    </cfRule>
  </conditionalFormatting>
  <conditionalFormatting sqref="R26">
    <cfRule type="containsBlanks" dxfId="980" priority="382">
      <formula>LEN(TRIM(R26))=0</formula>
    </cfRule>
  </conditionalFormatting>
  <conditionalFormatting sqref="R27">
    <cfRule type="containsBlanks" dxfId="979" priority="381">
      <formula>LEN(TRIM(R27))=0</formula>
    </cfRule>
  </conditionalFormatting>
  <conditionalFormatting sqref="R30">
    <cfRule type="containsBlanks" dxfId="978" priority="380">
      <formula>LEN(TRIM(R30))=0</formula>
    </cfRule>
  </conditionalFormatting>
  <conditionalFormatting sqref="R35">
    <cfRule type="containsBlanks" dxfId="977" priority="379">
      <formula>LEN(TRIM(R35))=0</formula>
    </cfRule>
  </conditionalFormatting>
  <conditionalFormatting sqref="R39">
    <cfRule type="containsBlanks" dxfId="976" priority="378">
      <formula>LEN(TRIM(R39))=0</formula>
    </cfRule>
  </conditionalFormatting>
  <conditionalFormatting sqref="R40">
    <cfRule type="containsBlanks" dxfId="975" priority="377">
      <formula>LEN(TRIM(R40))=0</formula>
    </cfRule>
  </conditionalFormatting>
  <conditionalFormatting sqref="R41">
    <cfRule type="containsBlanks" dxfId="974" priority="376">
      <formula>LEN(TRIM(R41))=0</formula>
    </cfRule>
  </conditionalFormatting>
  <conditionalFormatting sqref="R42">
    <cfRule type="containsBlanks" dxfId="973" priority="375">
      <formula>LEN(TRIM(R42))=0</formula>
    </cfRule>
  </conditionalFormatting>
  <conditionalFormatting sqref="R47:R52 R55">
    <cfRule type="containsBlanks" dxfId="972" priority="374">
      <formula>LEN(TRIM(R47))=0</formula>
    </cfRule>
  </conditionalFormatting>
  <conditionalFormatting sqref="U50:Y50 U51">
    <cfRule type="containsBlanks" dxfId="971" priority="365">
      <formula>LEN(TRIM(U50))=0</formula>
    </cfRule>
  </conditionalFormatting>
  <conditionalFormatting sqref="U49:X49">
    <cfRule type="containsBlanks" dxfId="970" priority="373">
      <formula>LEN(TRIM(U49))=0</formula>
    </cfRule>
  </conditionalFormatting>
  <conditionalFormatting sqref="Y49">
    <cfRule type="containsBlanks" dxfId="969" priority="372">
      <formula>LEN(TRIM(Y49))=0</formula>
    </cfRule>
  </conditionalFormatting>
  <conditionalFormatting sqref="K50">
    <cfRule type="containsBlanks" dxfId="968" priority="371">
      <formula>LEN(TRIM(K50))=0</formula>
    </cfRule>
  </conditionalFormatting>
  <conditionalFormatting sqref="F50:J50">
    <cfRule type="containsBlanks" dxfId="967" priority="367">
      <formula>LEN(TRIM(F50))=0</formula>
    </cfRule>
  </conditionalFormatting>
  <conditionalFormatting sqref="F50">
    <cfRule type="duplicateValues" dxfId="966" priority="368"/>
  </conditionalFormatting>
  <conditionalFormatting sqref="G50">
    <cfRule type="duplicateValues" dxfId="965" priority="369"/>
  </conditionalFormatting>
  <conditionalFormatting sqref="H50">
    <cfRule type="duplicateValues" dxfId="964" priority="370"/>
  </conditionalFormatting>
  <conditionalFormatting sqref="Z50:AA50 AA51:AA53">
    <cfRule type="containsBlanks" dxfId="963" priority="366">
      <formula>LEN(TRIM(Z50))=0</formula>
    </cfRule>
  </conditionalFormatting>
  <conditionalFormatting sqref="F47:F49 F51:F53">
    <cfRule type="duplicateValues" dxfId="962" priority="522"/>
  </conditionalFormatting>
  <conditionalFormatting sqref="G47:G49 G51:G53 F55">
    <cfRule type="duplicateValues" dxfId="961" priority="524"/>
  </conditionalFormatting>
  <conditionalFormatting sqref="H47:H49 H51:H53 H55">
    <cfRule type="duplicateValues" dxfId="960" priority="526"/>
  </conditionalFormatting>
  <conditionalFormatting sqref="Q53:S53 U53:X53">
    <cfRule type="containsBlanks" dxfId="959" priority="364">
      <formula>LEN(TRIM(Q53))=0</formula>
    </cfRule>
  </conditionalFormatting>
  <conditionalFormatting sqref="T53">
    <cfRule type="containsBlanks" dxfId="958" priority="363">
      <formula>LEN(TRIM(T53))=0</formula>
    </cfRule>
  </conditionalFormatting>
  <conditionalFormatting sqref="I33">
    <cfRule type="containsBlanks" dxfId="957" priority="362">
      <formula>LEN(TRIM(I33))=0</formula>
    </cfRule>
  </conditionalFormatting>
  <conditionalFormatting sqref="I22">
    <cfRule type="containsBlanks" dxfId="956" priority="361">
      <formula>LEN(TRIM(I22))=0</formula>
    </cfRule>
  </conditionalFormatting>
  <conditionalFormatting sqref="U54:Z54 F54:S54 AB54:AB57">
    <cfRule type="containsBlanks" dxfId="955" priority="357">
      <formula>LEN(TRIM(F54))=0</formula>
    </cfRule>
  </conditionalFormatting>
  <conditionalFormatting sqref="F54">
    <cfRule type="duplicateValues" dxfId="954" priority="358"/>
  </conditionalFormatting>
  <conditionalFormatting sqref="G54">
    <cfRule type="duplicateValues" dxfId="953" priority="359"/>
  </conditionalFormatting>
  <conditionalFormatting sqref="H54">
    <cfRule type="duplicateValues" dxfId="952" priority="360"/>
  </conditionalFormatting>
  <conditionalFormatting sqref="T54">
    <cfRule type="containsBlanks" dxfId="951" priority="356">
      <formula>LEN(TRIM(T54))=0</formula>
    </cfRule>
  </conditionalFormatting>
  <conditionalFormatting sqref="AA54:AA57">
    <cfRule type="containsBlanks" dxfId="950" priority="355">
      <formula>LEN(TRIM(AA54))=0</formula>
    </cfRule>
  </conditionalFormatting>
  <conditionalFormatting sqref="U55:X55">
    <cfRule type="containsBlanks" dxfId="949" priority="354">
      <formula>LEN(TRIM(U55))=0</formula>
    </cfRule>
  </conditionalFormatting>
  <conditionalFormatting sqref="K56">
    <cfRule type="containsBlanks" dxfId="948" priority="353">
      <formula>LEN(TRIM(K56))=0</formula>
    </cfRule>
  </conditionalFormatting>
  <conditionalFormatting sqref="F56:J56 L56:Y56">
    <cfRule type="containsBlanks" dxfId="947" priority="349">
      <formula>LEN(TRIM(F56))=0</formula>
    </cfRule>
  </conditionalFormatting>
  <conditionalFormatting sqref="F56">
    <cfRule type="duplicateValues" dxfId="946" priority="350"/>
  </conditionalFormatting>
  <conditionalFormatting sqref="G56">
    <cfRule type="duplicateValues" dxfId="945" priority="351"/>
  </conditionalFormatting>
  <conditionalFormatting sqref="H56">
    <cfRule type="duplicateValues" dxfId="944" priority="352"/>
  </conditionalFormatting>
  <conditionalFormatting sqref="F57:X57 F61:Q61 S61:X61 F64">
    <cfRule type="containsBlanks" dxfId="943" priority="345">
      <formula>LEN(TRIM(F57))=0</formula>
    </cfRule>
  </conditionalFormatting>
  <conditionalFormatting sqref="Y57 Y61">
    <cfRule type="containsBlanks" dxfId="942" priority="344">
      <formula>LEN(TRIM(Y57))=0</formula>
    </cfRule>
  </conditionalFormatting>
  <conditionalFormatting sqref="F58:H58">
    <cfRule type="containsBlanks" dxfId="941" priority="340">
      <formula>LEN(TRIM(F58))=0</formula>
    </cfRule>
  </conditionalFormatting>
  <conditionalFormatting sqref="F58">
    <cfRule type="duplicateValues" dxfId="940" priority="341"/>
  </conditionalFormatting>
  <conditionalFormatting sqref="G58">
    <cfRule type="duplicateValues" dxfId="939" priority="342"/>
  </conditionalFormatting>
  <conditionalFormatting sqref="H58">
    <cfRule type="duplicateValues" dxfId="938" priority="343"/>
  </conditionalFormatting>
  <conditionalFormatting sqref="U58:X58 Z58:AC58 I58:Q58 S58">
    <cfRule type="containsBlanks" dxfId="937" priority="339">
      <formula>LEN(TRIM(I58))=0</formula>
    </cfRule>
  </conditionalFormatting>
  <conditionalFormatting sqref="T58">
    <cfRule type="containsBlanks" dxfId="936" priority="338">
      <formula>LEN(TRIM(T58))=0</formula>
    </cfRule>
  </conditionalFormatting>
  <conditionalFormatting sqref="Y58">
    <cfRule type="containsBlanks" dxfId="935" priority="337">
      <formula>LEN(TRIM(Y58))=0</formula>
    </cfRule>
  </conditionalFormatting>
  <conditionalFormatting sqref="R58">
    <cfRule type="containsBlanks" dxfId="934" priority="336">
      <formula>LEN(TRIM(R58))=0</formula>
    </cfRule>
  </conditionalFormatting>
  <conditionalFormatting sqref="K59:Q59 Z59 AC59 S59">
    <cfRule type="containsBlanks" dxfId="933" priority="335">
      <formula>LEN(TRIM(K59))=0</formula>
    </cfRule>
  </conditionalFormatting>
  <conditionalFormatting sqref="T59">
    <cfRule type="containsBlanks" dxfId="932" priority="334">
      <formula>LEN(TRIM(T59))=0</formula>
    </cfRule>
  </conditionalFormatting>
  <conditionalFormatting sqref="AA59:AB59">
    <cfRule type="containsBlanks" dxfId="931" priority="333">
      <formula>LEN(TRIM(AA59))=0</formula>
    </cfRule>
  </conditionalFormatting>
  <conditionalFormatting sqref="F59:J59">
    <cfRule type="containsBlanks" dxfId="930" priority="329">
      <formula>LEN(TRIM(F59))=0</formula>
    </cfRule>
  </conditionalFormatting>
  <conditionalFormatting sqref="F59">
    <cfRule type="duplicateValues" dxfId="929" priority="330"/>
  </conditionalFormatting>
  <conditionalFormatting sqref="G59">
    <cfRule type="duplicateValues" dxfId="928" priority="331"/>
  </conditionalFormatting>
  <conditionalFormatting sqref="H59">
    <cfRule type="duplicateValues" dxfId="927" priority="332"/>
  </conditionalFormatting>
  <conditionalFormatting sqref="U59:Y59">
    <cfRule type="containsBlanks" dxfId="926" priority="328">
      <formula>LEN(TRIM(U59))=0</formula>
    </cfRule>
  </conditionalFormatting>
  <conditionalFormatting sqref="R59">
    <cfRule type="containsBlanks" dxfId="925" priority="327">
      <formula>LEN(TRIM(R59))=0</formula>
    </cfRule>
  </conditionalFormatting>
  <conditionalFormatting sqref="Z60 AB60:AC61">
    <cfRule type="containsBlanks" dxfId="924" priority="323">
      <formula>LEN(TRIM(Z60))=0</formula>
    </cfRule>
  </conditionalFormatting>
  <conditionalFormatting sqref="S60:Y60 F60:Q60">
    <cfRule type="containsBlanks" dxfId="923" priority="322">
      <formula>LEN(TRIM(F60))=0</formula>
    </cfRule>
  </conditionalFormatting>
  <conditionalFormatting sqref="R60:R61">
    <cfRule type="containsBlanks" dxfId="922" priority="321">
      <formula>LEN(TRIM(R60))=0</formula>
    </cfRule>
  </conditionalFormatting>
  <conditionalFormatting sqref="AA60:AA61">
    <cfRule type="containsBlanks" dxfId="921" priority="320">
      <formula>LEN(TRIM(AA60))=0</formula>
    </cfRule>
  </conditionalFormatting>
  <conditionalFormatting sqref="F60">
    <cfRule type="duplicateValues" dxfId="920" priority="324"/>
  </conditionalFormatting>
  <conditionalFormatting sqref="G60">
    <cfRule type="duplicateValues" dxfId="919" priority="325"/>
  </conditionalFormatting>
  <conditionalFormatting sqref="H60">
    <cfRule type="duplicateValues" dxfId="918" priority="326"/>
  </conditionalFormatting>
  <conditionalFormatting sqref="AC62">
    <cfRule type="containsBlanks" dxfId="917" priority="319">
      <formula>LEN(TRIM(AC62))=0</formula>
    </cfRule>
  </conditionalFormatting>
  <conditionalFormatting sqref="U62:Z62 F62:S62 AB62">
    <cfRule type="containsBlanks" dxfId="916" priority="315">
      <formula>LEN(TRIM(F62))=0</formula>
    </cfRule>
  </conditionalFormatting>
  <conditionalFormatting sqref="F62">
    <cfRule type="duplicateValues" dxfId="915" priority="316"/>
  </conditionalFormatting>
  <conditionalFormatting sqref="G62">
    <cfRule type="duplicateValues" dxfId="914" priority="317"/>
  </conditionalFormatting>
  <conditionalFormatting sqref="H62">
    <cfRule type="duplicateValues" dxfId="913" priority="318"/>
  </conditionalFormatting>
  <conditionalFormatting sqref="T62">
    <cfRule type="containsBlanks" dxfId="912" priority="314">
      <formula>LEN(TRIM(T62))=0</formula>
    </cfRule>
  </conditionalFormatting>
  <conditionalFormatting sqref="AA62">
    <cfRule type="containsBlanks" dxfId="911" priority="313">
      <formula>LEN(TRIM(AA62))=0</formula>
    </cfRule>
  </conditionalFormatting>
  <conditionalFormatting sqref="Z63 H63:Q63 F63 AC63">
    <cfRule type="containsBlanks" dxfId="910" priority="310">
      <formula>LEN(TRIM(F63))=0</formula>
    </cfRule>
  </conditionalFormatting>
  <conditionalFormatting sqref="S63:T63 Y63">
    <cfRule type="containsBlanks" dxfId="909" priority="309">
      <formula>LEN(TRIM(S63))=0</formula>
    </cfRule>
  </conditionalFormatting>
  <conditionalFormatting sqref="R63">
    <cfRule type="containsBlanks" dxfId="908" priority="308">
      <formula>LEN(TRIM(R63))=0</formula>
    </cfRule>
  </conditionalFormatting>
  <conditionalFormatting sqref="F63">
    <cfRule type="duplicateValues" dxfId="907" priority="311"/>
  </conditionalFormatting>
  <conditionalFormatting sqref="H63">
    <cfRule type="duplicateValues" dxfId="906" priority="312"/>
  </conditionalFormatting>
  <conditionalFormatting sqref="AB63">
    <cfRule type="containsBlanks" dxfId="905" priority="307">
      <formula>LEN(TRIM(AB63))=0</formula>
    </cfRule>
  </conditionalFormatting>
  <conditionalFormatting sqref="AA63">
    <cfRule type="containsBlanks" dxfId="904" priority="306">
      <formula>LEN(TRIM(AA63))=0</formula>
    </cfRule>
  </conditionalFormatting>
  <conditionalFormatting sqref="U63:X63">
    <cfRule type="containsBlanks" dxfId="903" priority="305">
      <formula>LEN(TRIM(U63))=0</formula>
    </cfRule>
  </conditionalFormatting>
  <conditionalFormatting sqref="Z64">
    <cfRule type="containsBlanks" dxfId="902" priority="304">
      <formula>LEN(TRIM(Z64))=0</formula>
    </cfRule>
  </conditionalFormatting>
  <conditionalFormatting sqref="AA64:AC64">
    <cfRule type="containsBlanks" dxfId="901" priority="303">
      <formula>LEN(TRIM(AA64))=0</formula>
    </cfRule>
  </conditionalFormatting>
  <conditionalFormatting sqref="G64:Q64 S64:Y64">
    <cfRule type="containsBlanks" dxfId="900" priority="300">
      <formula>LEN(TRIM(G64))=0</formula>
    </cfRule>
  </conditionalFormatting>
  <conditionalFormatting sqref="G64">
    <cfRule type="duplicateValues" dxfId="899" priority="301"/>
  </conditionalFormatting>
  <conditionalFormatting sqref="H64">
    <cfRule type="duplicateValues" dxfId="898" priority="302"/>
  </conditionalFormatting>
  <conditionalFormatting sqref="R64">
    <cfRule type="containsBlanks" dxfId="897" priority="299">
      <formula>LEN(TRIM(R64))=0</formula>
    </cfRule>
  </conditionalFormatting>
  <conditionalFormatting sqref="Z65 AB65:AC65">
    <cfRule type="containsBlanks" dxfId="896" priority="295">
      <formula>LEN(TRIM(Z65))=0</formula>
    </cfRule>
  </conditionalFormatting>
  <conditionalFormatting sqref="AA65">
    <cfRule type="containsBlanks" dxfId="895" priority="294">
      <formula>LEN(TRIM(AA65))=0</formula>
    </cfRule>
  </conditionalFormatting>
  <conditionalFormatting sqref="S65:Y65 F65:Q65 V67:X67 X68">
    <cfRule type="containsBlanks" dxfId="894" priority="293">
      <formula>LEN(TRIM(F65))=0</formula>
    </cfRule>
  </conditionalFormatting>
  <conditionalFormatting sqref="R65">
    <cfRule type="containsBlanks" dxfId="893" priority="292">
      <formula>LEN(TRIM(R65))=0</formula>
    </cfRule>
  </conditionalFormatting>
  <conditionalFormatting sqref="F65">
    <cfRule type="duplicateValues" dxfId="892" priority="296"/>
  </conditionalFormatting>
  <conditionalFormatting sqref="G65">
    <cfRule type="duplicateValues" dxfId="891" priority="297"/>
  </conditionalFormatting>
  <conditionalFormatting sqref="H65">
    <cfRule type="duplicateValues" dxfId="890" priority="298"/>
  </conditionalFormatting>
  <conditionalFormatting sqref="R66:R68">
    <cfRule type="containsBlanks" dxfId="889" priority="285">
      <formula>LEN(TRIM(R66))=0</formula>
    </cfRule>
  </conditionalFormatting>
  <conditionalFormatting sqref="Z66:Z68 AB66:AC68">
    <cfRule type="containsBlanks" dxfId="888" priority="288">
      <formula>LEN(TRIM(Z66))=0</formula>
    </cfRule>
  </conditionalFormatting>
  <conditionalFormatting sqref="AA66:AA68">
    <cfRule type="containsBlanks" dxfId="887" priority="287">
      <formula>LEN(TRIM(AA66))=0</formula>
    </cfRule>
  </conditionalFormatting>
  <conditionalFormatting sqref="S66:Y66 F66:Q66 S67:U67 F67:H68 J67:Q68 S68:W68 S74:X74 S71:Y71 F70:H70 S75:Y76">
    <cfRule type="containsBlanks" dxfId="886" priority="286">
      <formula>LEN(TRIM(F66))=0</formula>
    </cfRule>
  </conditionalFormatting>
  <conditionalFormatting sqref="F57 F61 F64">
    <cfRule type="duplicateValues" dxfId="885" priority="703"/>
  </conditionalFormatting>
  <conditionalFormatting sqref="G57 G61">
    <cfRule type="duplicateValues" dxfId="884" priority="706"/>
  </conditionalFormatting>
  <conditionalFormatting sqref="H57 H61">
    <cfRule type="duplicateValues" dxfId="883" priority="708"/>
  </conditionalFormatting>
  <conditionalFormatting sqref="I67">
    <cfRule type="containsBlanks" dxfId="882" priority="284">
      <formula>LEN(TRIM(I67))=0</formula>
    </cfRule>
  </conditionalFormatting>
  <conditionalFormatting sqref="Y67">
    <cfRule type="containsBlanks" dxfId="881" priority="283">
      <formula>LEN(TRIM(Y67))=0</formula>
    </cfRule>
  </conditionalFormatting>
  <conditionalFormatting sqref="I68">
    <cfRule type="containsBlanks" dxfId="880" priority="282">
      <formula>LEN(TRIM(I68))=0</formula>
    </cfRule>
  </conditionalFormatting>
  <conditionalFormatting sqref="Y68">
    <cfRule type="containsBlanks" dxfId="879" priority="281">
      <formula>LEN(TRIM(Y68))=0</formula>
    </cfRule>
  </conditionalFormatting>
  <conditionalFormatting sqref="Y74">
    <cfRule type="containsBlanks" dxfId="878" priority="280">
      <formula>LEN(TRIM(Y74))=0</formula>
    </cfRule>
  </conditionalFormatting>
  <conditionalFormatting sqref="U70:Z70 AB70:AC70 I70:S70">
    <cfRule type="containsBlanks" dxfId="877" priority="279">
      <formula>LEN(TRIM(I70))=0</formula>
    </cfRule>
  </conditionalFormatting>
  <conditionalFormatting sqref="T70">
    <cfRule type="containsBlanks" dxfId="876" priority="278">
      <formula>LEN(TRIM(T70))=0</formula>
    </cfRule>
  </conditionalFormatting>
  <conditionalFormatting sqref="AA70">
    <cfRule type="containsBlanks" dxfId="875" priority="277">
      <formula>LEN(TRIM(AA70))=0</formula>
    </cfRule>
  </conditionalFormatting>
  <conditionalFormatting sqref="K69 Z69:AC69">
    <cfRule type="containsBlanks" dxfId="874" priority="276">
      <formula>LEN(TRIM(K69))=0</formula>
    </cfRule>
  </conditionalFormatting>
  <conditionalFormatting sqref="F69:J69 L69:Y69">
    <cfRule type="containsBlanks" dxfId="873" priority="272">
      <formula>LEN(TRIM(F69))=0</formula>
    </cfRule>
  </conditionalFormatting>
  <conditionalFormatting sqref="F69">
    <cfRule type="duplicateValues" dxfId="872" priority="273"/>
  </conditionalFormatting>
  <conditionalFormatting sqref="G69">
    <cfRule type="duplicateValues" dxfId="871" priority="274"/>
  </conditionalFormatting>
  <conditionalFormatting sqref="H69">
    <cfRule type="duplicateValues" dxfId="870" priority="275"/>
  </conditionalFormatting>
  <conditionalFormatting sqref="F66:F68 F70:F72 F74:F77">
    <cfRule type="duplicateValues" dxfId="869" priority="768"/>
  </conditionalFormatting>
  <conditionalFormatting sqref="G66:G68 G70:G72 G74:G77">
    <cfRule type="duplicateValues" dxfId="868" priority="770"/>
  </conditionalFormatting>
  <conditionalFormatting sqref="H66:H68 H70:H72 H74:H77">
    <cfRule type="duplicateValues" dxfId="867" priority="772"/>
  </conditionalFormatting>
  <conditionalFormatting sqref="U78:Z78 F78:Q78 S78">
    <cfRule type="containsBlanks" dxfId="866" priority="260">
      <formula>LEN(TRIM(F78))=0</formula>
    </cfRule>
  </conditionalFormatting>
  <conditionalFormatting sqref="F78">
    <cfRule type="duplicateValues" dxfId="865" priority="261"/>
  </conditionalFormatting>
  <conditionalFormatting sqref="G78">
    <cfRule type="duplicateValues" dxfId="864" priority="262"/>
  </conditionalFormatting>
  <conditionalFormatting sqref="H78">
    <cfRule type="duplicateValues" dxfId="863" priority="263"/>
  </conditionalFormatting>
  <conditionalFormatting sqref="T78">
    <cfRule type="containsBlanks" dxfId="862" priority="259">
      <formula>LEN(TRIM(T78))=0</formula>
    </cfRule>
  </conditionalFormatting>
  <conditionalFormatting sqref="R78">
    <cfRule type="containsBlanks" dxfId="861" priority="257">
      <formula>LEN(TRIM(R78))=0</formula>
    </cfRule>
  </conditionalFormatting>
  <conditionalFormatting sqref="AA78:AA80">
    <cfRule type="containsBlanks" dxfId="860" priority="256">
      <formula>LEN(TRIM(AA78))=0</formula>
    </cfRule>
  </conditionalFormatting>
  <conditionalFormatting sqref="AB78:AB80">
    <cfRule type="containsBlanks" dxfId="859" priority="255">
      <formula>LEN(TRIM(AB78))=0</formula>
    </cfRule>
  </conditionalFormatting>
  <conditionalFormatting sqref="F81:Q81 S81:X81">
    <cfRule type="containsBlanks" dxfId="858" priority="251">
      <formula>LEN(TRIM(F81))=0</formula>
    </cfRule>
  </conditionalFormatting>
  <conditionalFormatting sqref="Y81">
    <cfRule type="containsBlanks" dxfId="857" priority="250">
      <formula>LEN(TRIM(Y81))=0</formula>
    </cfRule>
  </conditionalFormatting>
  <conditionalFormatting sqref="AB81:AC81">
    <cfRule type="containsBlanks" dxfId="856" priority="249">
      <formula>LEN(TRIM(AB81))=0</formula>
    </cfRule>
  </conditionalFormatting>
  <conditionalFormatting sqref="R81">
    <cfRule type="containsBlanks" dxfId="855" priority="248">
      <formula>LEN(TRIM(R81))=0</formula>
    </cfRule>
  </conditionalFormatting>
  <conditionalFormatting sqref="AA81">
    <cfRule type="containsBlanks" dxfId="854" priority="247">
      <formula>LEN(TRIM(AA81))=0</formula>
    </cfRule>
  </conditionalFormatting>
  <conditionalFormatting sqref="F81">
    <cfRule type="duplicateValues" dxfId="853" priority="252"/>
  </conditionalFormatting>
  <conditionalFormatting sqref="G81">
    <cfRule type="duplicateValues" dxfId="852" priority="253"/>
  </conditionalFormatting>
  <conditionalFormatting sqref="H81">
    <cfRule type="duplicateValues" dxfId="851" priority="254"/>
  </conditionalFormatting>
  <conditionalFormatting sqref="F83:H83">
    <cfRule type="containsBlanks" dxfId="850" priority="243">
      <formula>LEN(TRIM(F83))=0</formula>
    </cfRule>
  </conditionalFormatting>
  <conditionalFormatting sqref="F83">
    <cfRule type="duplicateValues" dxfId="849" priority="244"/>
  </conditionalFormatting>
  <conditionalFormatting sqref="G83">
    <cfRule type="duplicateValues" dxfId="848" priority="245"/>
  </conditionalFormatting>
  <conditionalFormatting sqref="H83">
    <cfRule type="duplicateValues" dxfId="847" priority="246"/>
  </conditionalFormatting>
  <conditionalFormatting sqref="U83:X83 Z83:AC83 I83:Q83 S83">
    <cfRule type="containsBlanks" dxfId="846" priority="242">
      <formula>LEN(TRIM(I83))=0</formula>
    </cfRule>
  </conditionalFormatting>
  <conditionalFormatting sqref="T83">
    <cfRule type="containsBlanks" dxfId="845" priority="241">
      <formula>LEN(TRIM(T83))=0</formula>
    </cfRule>
  </conditionalFormatting>
  <conditionalFormatting sqref="Y83">
    <cfRule type="containsBlanks" dxfId="844" priority="240">
      <formula>LEN(TRIM(Y83))=0</formula>
    </cfRule>
  </conditionalFormatting>
  <conditionalFormatting sqref="R83">
    <cfRule type="containsBlanks" dxfId="843" priority="239">
      <formula>LEN(TRIM(R83))=0</formula>
    </cfRule>
  </conditionalFormatting>
  <conditionalFormatting sqref="F88:H88">
    <cfRule type="containsBlanks" dxfId="842" priority="235">
      <formula>LEN(TRIM(F88))=0</formula>
    </cfRule>
  </conditionalFormatting>
  <conditionalFormatting sqref="F88">
    <cfRule type="duplicateValues" dxfId="841" priority="236"/>
  </conditionalFormatting>
  <conditionalFormatting sqref="G88">
    <cfRule type="duplicateValues" dxfId="840" priority="237"/>
  </conditionalFormatting>
  <conditionalFormatting sqref="H88">
    <cfRule type="duplicateValues" dxfId="839" priority="238"/>
  </conditionalFormatting>
  <conditionalFormatting sqref="U88:X88 Z88:AC88 I88:Q88 S88">
    <cfRule type="containsBlanks" dxfId="838" priority="234">
      <formula>LEN(TRIM(I88))=0</formula>
    </cfRule>
  </conditionalFormatting>
  <conditionalFormatting sqref="T88">
    <cfRule type="containsBlanks" dxfId="837" priority="233">
      <formula>LEN(TRIM(T88))=0</formula>
    </cfRule>
  </conditionalFormatting>
  <conditionalFormatting sqref="Y88">
    <cfRule type="containsBlanks" dxfId="836" priority="232">
      <formula>LEN(TRIM(Y88))=0</formula>
    </cfRule>
  </conditionalFormatting>
  <conditionalFormatting sqref="R88">
    <cfRule type="containsBlanks" dxfId="835" priority="231">
      <formula>LEN(TRIM(R88))=0</formula>
    </cfRule>
  </conditionalFormatting>
  <conditionalFormatting sqref="K89 Z89:AC89">
    <cfRule type="containsBlanks" dxfId="834" priority="230">
      <formula>LEN(TRIM(K89))=0</formula>
    </cfRule>
  </conditionalFormatting>
  <conditionalFormatting sqref="F89:J89 L89:Y89">
    <cfRule type="containsBlanks" dxfId="833" priority="226">
      <formula>LEN(TRIM(F89))=0</formula>
    </cfRule>
  </conditionalFormatting>
  <conditionalFormatting sqref="F89">
    <cfRule type="duplicateValues" dxfId="832" priority="227"/>
  </conditionalFormatting>
  <conditionalFormatting sqref="G89">
    <cfRule type="duplicateValues" dxfId="831" priority="228"/>
  </conditionalFormatting>
  <conditionalFormatting sqref="H89">
    <cfRule type="duplicateValues" dxfId="830" priority="229"/>
  </conditionalFormatting>
  <conditionalFormatting sqref="F90:H90">
    <cfRule type="containsBlanks" dxfId="829" priority="222">
      <formula>LEN(TRIM(F90))=0</formula>
    </cfRule>
  </conditionalFormatting>
  <conditionalFormatting sqref="F90">
    <cfRule type="duplicateValues" dxfId="828" priority="223"/>
  </conditionalFormatting>
  <conditionalFormatting sqref="G90">
    <cfRule type="duplicateValues" dxfId="827" priority="224"/>
  </conditionalFormatting>
  <conditionalFormatting sqref="H90">
    <cfRule type="duplicateValues" dxfId="826" priority="225"/>
  </conditionalFormatting>
  <conditionalFormatting sqref="U90:X90 Z90:AC90 I90:Q90 S90">
    <cfRule type="containsBlanks" dxfId="825" priority="221">
      <formula>LEN(TRIM(I90))=0</formula>
    </cfRule>
  </conditionalFormatting>
  <conditionalFormatting sqref="T90">
    <cfRule type="containsBlanks" dxfId="824" priority="220">
      <formula>LEN(TRIM(T90))=0</formula>
    </cfRule>
  </conditionalFormatting>
  <conditionalFormatting sqref="Y90">
    <cfRule type="containsBlanks" dxfId="823" priority="219">
      <formula>LEN(TRIM(Y90))=0</formula>
    </cfRule>
  </conditionalFormatting>
  <conditionalFormatting sqref="R90">
    <cfRule type="containsBlanks" dxfId="822" priority="218">
      <formula>LEN(TRIM(R90))=0</formula>
    </cfRule>
  </conditionalFormatting>
  <conditionalFormatting sqref="AA92">
    <cfRule type="containsBlanks" dxfId="821" priority="203">
      <formula>LEN(TRIM(AA92))=0</formula>
    </cfRule>
  </conditionalFormatting>
  <conditionalFormatting sqref="S92:Y92 F92:Q92">
    <cfRule type="containsBlanks" dxfId="820" priority="202">
      <formula>LEN(TRIM(F92))=0</formula>
    </cfRule>
  </conditionalFormatting>
  <conditionalFormatting sqref="R92">
    <cfRule type="containsBlanks" dxfId="819" priority="201">
      <formula>LEN(TRIM(R92))=0</formula>
    </cfRule>
  </conditionalFormatting>
  <conditionalFormatting sqref="F92">
    <cfRule type="duplicateValues" dxfId="818" priority="204"/>
  </conditionalFormatting>
  <conditionalFormatting sqref="G92">
    <cfRule type="duplicateValues" dxfId="817" priority="205"/>
  </conditionalFormatting>
  <conditionalFormatting sqref="H92">
    <cfRule type="duplicateValues" dxfId="816" priority="206"/>
  </conditionalFormatting>
  <conditionalFormatting sqref="F93:Q93 S93:X93">
    <cfRule type="containsBlanks" dxfId="815" priority="197">
      <formula>LEN(TRIM(F93))=0</formula>
    </cfRule>
  </conditionalFormatting>
  <conditionalFormatting sqref="Y93">
    <cfRule type="containsBlanks" dxfId="814" priority="196">
      <formula>LEN(TRIM(Y93))=0</formula>
    </cfRule>
  </conditionalFormatting>
  <conditionalFormatting sqref="AB93:AC93">
    <cfRule type="containsBlanks" dxfId="813" priority="195">
      <formula>LEN(TRIM(AB93))=0</formula>
    </cfRule>
  </conditionalFormatting>
  <conditionalFormatting sqref="R93">
    <cfRule type="containsBlanks" dxfId="812" priority="194">
      <formula>LEN(TRIM(R93))=0</formula>
    </cfRule>
  </conditionalFormatting>
  <conditionalFormatting sqref="AA93">
    <cfRule type="containsBlanks" dxfId="811" priority="193">
      <formula>LEN(TRIM(AA93))=0</formula>
    </cfRule>
  </conditionalFormatting>
  <conditionalFormatting sqref="F93">
    <cfRule type="duplicateValues" dxfId="810" priority="198"/>
  </conditionalFormatting>
  <conditionalFormatting sqref="G93">
    <cfRule type="duplicateValues" dxfId="809" priority="199"/>
  </conditionalFormatting>
  <conditionalFormatting sqref="H93">
    <cfRule type="duplicateValues" dxfId="808" priority="200"/>
  </conditionalFormatting>
  <conditionalFormatting sqref="F95:H95">
    <cfRule type="containsBlanks" dxfId="807" priority="189">
      <formula>LEN(TRIM(F95))=0</formula>
    </cfRule>
  </conditionalFormatting>
  <conditionalFormatting sqref="F95">
    <cfRule type="duplicateValues" dxfId="806" priority="190"/>
  </conditionalFormatting>
  <conditionalFormatting sqref="G95">
    <cfRule type="duplicateValues" dxfId="805" priority="191"/>
  </conditionalFormatting>
  <conditionalFormatting sqref="H95">
    <cfRule type="duplicateValues" dxfId="804" priority="192"/>
  </conditionalFormatting>
  <conditionalFormatting sqref="U95:X95 Z95:AA95 I95:Q95 S95 AC95">
    <cfRule type="containsBlanks" dxfId="803" priority="188">
      <formula>LEN(TRIM(I95))=0</formula>
    </cfRule>
  </conditionalFormatting>
  <conditionalFormatting sqref="T95">
    <cfRule type="containsBlanks" dxfId="802" priority="187">
      <formula>LEN(TRIM(T95))=0</formula>
    </cfRule>
  </conditionalFormatting>
  <conditionalFormatting sqref="Y95">
    <cfRule type="containsBlanks" dxfId="801" priority="186">
      <formula>LEN(TRIM(Y95))=0</formula>
    </cfRule>
  </conditionalFormatting>
  <conditionalFormatting sqref="R95">
    <cfRule type="containsBlanks" dxfId="800" priority="185">
      <formula>LEN(TRIM(R95))=0</formula>
    </cfRule>
  </conditionalFormatting>
  <conditionalFormatting sqref="AA96 AC96">
    <cfRule type="containsBlanks" dxfId="799" priority="184">
      <formula>LEN(TRIM(AA96))=0</formula>
    </cfRule>
  </conditionalFormatting>
  <conditionalFormatting sqref="F96:Y96">
    <cfRule type="containsBlanks" dxfId="798" priority="180">
      <formula>LEN(TRIM(F96))=0</formula>
    </cfRule>
  </conditionalFormatting>
  <conditionalFormatting sqref="F96">
    <cfRule type="duplicateValues" dxfId="797" priority="181"/>
  </conditionalFormatting>
  <conditionalFormatting sqref="G96">
    <cfRule type="duplicateValues" dxfId="796" priority="182"/>
  </conditionalFormatting>
  <conditionalFormatting sqref="H96">
    <cfRule type="duplicateValues" dxfId="795" priority="183"/>
  </conditionalFormatting>
  <conditionalFormatting sqref="F97:J97 L97:Q97 S97:Y97">
    <cfRule type="containsBlanks" dxfId="794" priority="176">
      <formula>LEN(TRIM(F97))=0</formula>
    </cfRule>
  </conditionalFormatting>
  <conditionalFormatting sqref="F97">
    <cfRule type="duplicateValues" dxfId="793" priority="177"/>
  </conditionalFormatting>
  <conditionalFormatting sqref="G97">
    <cfRule type="duplicateValues" dxfId="792" priority="178"/>
  </conditionalFormatting>
  <conditionalFormatting sqref="H97">
    <cfRule type="duplicateValues" dxfId="791" priority="179"/>
  </conditionalFormatting>
  <conditionalFormatting sqref="R97">
    <cfRule type="containsBlanks" dxfId="790" priority="175">
      <formula>LEN(TRIM(R97))=0</formula>
    </cfRule>
  </conditionalFormatting>
  <conditionalFormatting sqref="AA98">
    <cfRule type="containsBlanks" dxfId="789" priority="174">
      <formula>LEN(TRIM(AA98))=0</formula>
    </cfRule>
  </conditionalFormatting>
  <conditionalFormatting sqref="AB98">
    <cfRule type="containsBlanks" dxfId="788" priority="173">
      <formula>LEN(TRIM(AB98))=0</formula>
    </cfRule>
  </conditionalFormatting>
  <conditionalFormatting sqref="L99:Q99 S99:T99">
    <cfRule type="containsBlanks" dxfId="787" priority="172">
      <formula>LEN(TRIM(L99))=0</formula>
    </cfRule>
  </conditionalFormatting>
  <conditionalFormatting sqref="R99">
    <cfRule type="containsBlanks" dxfId="786" priority="171">
      <formula>LEN(TRIM(R99))=0</formula>
    </cfRule>
  </conditionalFormatting>
  <conditionalFormatting sqref="U99:Y99">
    <cfRule type="containsBlanks" dxfId="785" priority="164">
      <formula>LEN(TRIM(U99))=0</formula>
    </cfRule>
  </conditionalFormatting>
  <conditionalFormatting sqref="K99">
    <cfRule type="containsBlanks" dxfId="784" priority="170">
      <formula>LEN(TRIM(K99))=0</formula>
    </cfRule>
  </conditionalFormatting>
  <conditionalFormatting sqref="F99:J99">
    <cfRule type="containsBlanks" dxfId="783" priority="166">
      <formula>LEN(TRIM(F99))=0</formula>
    </cfRule>
  </conditionalFormatting>
  <conditionalFormatting sqref="F99">
    <cfRule type="duplicateValues" dxfId="782" priority="167"/>
  </conditionalFormatting>
  <conditionalFormatting sqref="G99">
    <cfRule type="duplicateValues" dxfId="781" priority="168"/>
  </conditionalFormatting>
  <conditionalFormatting sqref="H99">
    <cfRule type="duplicateValues" dxfId="780" priority="169"/>
  </conditionalFormatting>
  <conditionalFormatting sqref="Z99:AA99">
    <cfRule type="containsBlanks" dxfId="779" priority="165">
      <formula>LEN(TRIM(Z99))=0</formula>
    </cfRule>
  </conditionalFormatting>
  <conditionalFormatting sqref="AA100">
    <cfRule type="containsBlanks" dxfId="778" priority="163">
      <formula>LEN(TRIM(AA100))=0</formula>
    </cfRule>
  </conditionalFormatting>
  <conditionalFormatting sqref="F101:H101">
    <cfRule type="containsBlanks" dxfId="777" priority="159">
      <formula>LEN(TRIM(F101))=0</formula>
    </cfRule>
  </conditionalFormatting>
  <conditionalFormatting sqref="F101:F103">
    <cfRule type="duplicateValues" dxfId="776" priority="160"/>
  </conditionalFormatting>
  <conditionalFormatting sqref="G101:G103">
    <cfRule type="duplicateValues" dxfId="775" priority="161"/>
  </conditionalFormatting>
  <conditionalFormatting sqref="H101:H103">
    <cfRule type="duplicateValues" dxfId="774" priority="162"/>
  </conditionalFormatting>
  <conditionalFormatting sqref="U101:X103 Z101:AA103 I101:Q103 S101:S103 AC101:AC103">
    <cfRule type="containsBlanks" dxfId="773" priority="158">
      <formula>LEN(TRIM(I101))=0</formula>
    </cfRule>
  </conditionalFormatting>
  <conditionalFormatting sqref="T101:T103">
    <cfRule type="containsBlanks" dxfId="772" priority="157">
      <formula>LEN(TRIM(T101))=0</formula>
    </cfRule>
  </conditionalFormatting>
  <conditionalFormatting sqref="Y101:Y103">
    <cfRule type="containsBlanks" dxfId="771" priority="156">
      <formula>LEN(TRIM(Y101))=0</formula>
    </cfRule>
  </conditionalFormatting>
  <conditionalFormatting sqref="R101:R103">
    <cfRule type="containsBlanks" dxfId="770" priority="155">
      <formula>LEN(TRIM(R101))=0</formula>
    </cfRule>
  </conditionalFormatting>
  <conditionalFormatting sqref="F102:H103">
    <cfRule type="containsBlanks" dxfId="769" priority="154">
      <formula>LEN(TRIM(F102))=0</formula>
    </cfRule>
  </conditionalFormatting>
  <conditionalFormatting sqref="AA104">
    <cfRule type="containsBlanks" dxfId="768" priority="153">
      <formula>LEN(TRIM(AA104))=0</formula>
    </cfRule>
  </conditionalFormatting>
  <conditionalFormatting sqref="F104:Q104 S104:Y104">
    <cfRule type="containsBlanks" dxfId="767" priority="149">
      <formula>LEN(TRIM(F104))=0</formula>
    </cfRule>
  </conditionalFormatting>
  <conditionalFormatting sqref="F104">
    <cfRule type="duplicateValues" dxfId="766" priority="150"/>
  </conditionalFormatting>
  <conditionalFormatting sqref="G104">
    <cfRule type="duplicateValues" dxfId="765" priority="151"/>
  </conditionalFormatting>
  <conditionalFormatting sqref="H104">
    <cfRule type="duplicateValues" dxfId="764" priority="152"/>
  </conditionalFormatting>
  <conditionalFormatting sqref="R104">
    <cfRule type="containsBlanks" dxfId="763" priority="148">
      <formula>LEN(TRIM(R104))=0</formula>
    </cfRule>
  </conditionalFormatting>
  <conditionalFormatting sqref="F105:H105 F110:H110">
    <cfRule type="containsBlanks" dxfId="762" priority="144">
      <formula>LEN(TRIM(F105))=0</formula>
    </cfRule>
  </conditionalFormatting>
  <conditionalFormatting sqref="U105:Z105 AB105:AC105 I105:S105 I110:S110 U110:V110">
    <cfRule type="containsBlanks" dxfId="761" priority="143">
      <formula>LEN(TRIM(I105))=0</formula>
    </cfRule>
  </conditionalFormatting>
  <conditionalFormatting sqref="T105 T110">
    <cfRule type="containsBlanks" dxfId="760" priority="142">
      <formula>LEN(TRIM(T105))=0</formula>
    </cfRule>
  </conditionalFormatting>
  <conditionalFormatting sqref="AA105">
    <cfRule type="containsBlanks" dxfId="759" priority="141">
      <formula>LEN(TRIM(AA105))=0</formula>
    </cfRule>
  </conditionalFormatting>
  <conditionalFormatting sqref="F105 F110">
    <cfRule type="duplicateValues" dxfId="758" priority="145"/>
  </conditionalFormatting>
  <conditionalFormatting sqref="G105 G110">
    <cfRule type="duplicateValues" dxfId="757" priority="146"/>
  </conditionalFormatting>
  <conditionalFormatting sqref="H105 H110">
    <cfRule type="duplicateValues" dxfId="756" priority="147"/>
  </conditionalFormatting>
  <conditionalFormatting sqref="F106">
    <cfRule type="duplicateValues" dxfId="755" priority="138"/>
  </conditionalFormatting>
  <conditionalFormatting sqref="G106">
    <cfRule type="duplicateValues" dxfId="754" priority="139"/>
  </conditionalFormatting>
  <conditionalFormatting sqref="H106">
    <cfRule type="duplicateValues" dxfId="753" priority="140"/>
  </conditionalFormatting>
  <conditionalFormatting sqref="T106">
    <cfRule type="containsBlanks" dxfId="752" priority="137">
      <formula>LEN(TRIM(T106))=0</formula>
    </cfRule>
  </conditionalFormatting>
  <conditionalFormatting sqref="AA106">
    <cfRule type="containsBlanks" dxfId="751" priority="136">
      <formula>LEN(TRIM(AA106))=0</formula>
    </cfRule>
  </conditionalFormatting>
  <conditionalFormatting sqref="F107">
    <cfRule type="duplicateValues" dxfId="750" priority="133"/>
  </conditionalFormatting>
  <conditionalFormatting sqref="G107">
    <cfRule type="duplicateValues" dxfId="749" priority="134"/>
  </conditionalFormatting>
  <conditionalFormatting sqref="H107">
    <cfRule type="duplicateValues" dxfId="748" priority="135"/>
  </conditionalFormatting>
  <conditionalFormatting sqref="U107:X107 Z107:AA107 I107:Q107 S107 AC107">
    <cfRule type="containsBlanks" dxfId="747" priority="132">
      <formula>LEN(TRIM(I107))=0</formula>
    </cfRule>
  </conditionalFormatting>
  <conditionalFormatting sqref="T107">
    <cfRule type="containsBlanks" dxfId="746" priority="131">
      <formula>LEN(TRIM(T107))=0</formula>
    </cfRule>
  </conditionalFormatting>
  <conditionalFormatting sqref="Y107">
    <cfRule type="containsBlanks" dxfId="745" priority="130">
      <formula>LEN(TRIM(Y107))=0</formula>
    </cfRule>
  </conditionalFormatting>
  <conditionalFormatting sqref="R107">
    <cfRule type="containsBlanks" dxfId="744" priority="129">
      <formula>LEN(TRIM(R107))=0</formula>
    </cfRule>
  </conditionalFormatting>
  <conditionalFormatting sqref="F107:H107">
    <cfRule type="containsBlanks" dxfId="743" priority="128">
      <formula>LEN(TRIM(F107))=0</formula>
    </cfRule>
  </conditionalFormatting>
  <conditionalFormatting sqref="Z108 AB108:AC108">
    <cfRule type="containsBlanks" dxfId="742" priority="124">
      <formula>LEN(TRIM(Z108))=0</formula>
    </cfRule>
  </conditionalFormatting>
  <conditionalFormatting sqref="S108:Y108 F108:Q108">
    <cfRule type="containsBlanks" dxfId="741" priority="123">
      <formula>LEN(TRIM(F108))=0</formula>
    </cfRule>
  </conditionalFormatting>
  <conditionalFormatting sqref="R108">
    <cfRule type="containsBlanks" dxfId="740" priority="122">
      <formula>LEN(TRIM(R108))=0</formula>
    </cfRule>
  </conditionalFormatting>
  <conditionalFormatting sqref="AA108">
    <cfRule type="containsBlanks" dxfId="739" priority="121">
      <formula>LEN(TRIM(AA108))=0</formula>
    </cfRule>
  </conditionalFormatting>
  <conditionalFormatting sqref="F108">
    <cfRule type="duplicateValues" dxfId="738" priority="125"/>
  </conditionalFormatting>
  <conditionalFormatting sqref="G108">
    <cfRule type="duplicateValues" dxfId="737" priority="126"/>
  </conditionalFormatting>
  <conditionalFormatting sqref="H108">
    <cfRule type="duplicateValues" dxfId="736" priority="127"/>
  </conditionalFormatting>
  <conditionalFormatting sqref="F109">
    <cfRule type="duplicateValues" dxfId="735" priority="118"/>
  </conditionalFormatting>
  <conditionalFormatting sqref="G109">
    <cfRule type="duplicateValues" dxfId="734" priority="119"/>
  </conditionalFormatting>
  <conditionalFormatting sqref="H109">
    <cfRule type="duplicateValues" dxfId="733" priority="120"/>
  </conditionalFormatting>
  <conditionalFormatting sqref="U109:X109 I109:Q109 S109 W110:X110 Z109:AA110 AC109:AC110">
    <cfRule type="containsBlanks" dxfId="732" priority="117">
      <formula>LEN(TRIM(I109))=0</formula>
    </cfRule>
  </conditionalFormatting>
  <conditionalFormatting sqref="T109">
    <cfRule type="containsBlanks" dxfId="731" priority="116">
      <formula>LEN(TRIM(T109))=0</formula>
    </cfRule>
  </conditionalFormatting>
  <conditionalFormatting sqref="Y109:Y110">
    <cfRule type="containsBlanks" dxfId="730" priority="115">
      <formula>LEN(TRIM(Y109))=0</formula>
    </cfRule>
  </conditionalFormatting>
  <conditionalFormatting sqref="R109">
    <cfRule type="containsBlanks" dxfId="729" priority="114">
      <formula>LEN(TRIM(R109))=0</formula>
    </cfRule>
  </conditionalFormatting>
  <conditionalFormatting sqref="F109:H109">
    <cfRule type="containsBlanks" dxfId="728" priority="113">
      <formula>LEN(TRIM(F109))=0</formula>
    </cfRule>
  </conditionalFormatting>
  <conditionalFormatting sqref="AB111">
    <cfRule type="containsBlanks" dxfId="727" priority="112">
      <formula>LEN(TRIM(AB111))=0</formula>
    </cfRule>
  </conditionalFormatting>
  <conditionalFormatting sqref="AA111">
    <cfRule type="containsBlanks" dxfId="726" priority="111">
      <formula>LEN(TRIM(AA111))=0</formula>
    </cfRule>
  </conditionalFormatting>
  <conditionalFormatting sqref="K111">
    <cfRule type="containsBlanks" dxfId="725" priority="110">
      <formula>LEN(TRIM(K111))=0</formula>
    </cfRule>
  </conditionalFormatting>
  <conditionalFormatting sqref="F111:J111 L111:Y111">
    <cfRule type="containsBlanks" dxfId="724" priority="106">
      <formula>LEN(TRIM(F111))=0</formula>
    </cfRule>
  </conditionalFormatting>
  <conditionalFormatting sqref="F111">
    <cfRule type="duplicateValues" dxfId="723" priority="107"/>
  </conditionalFormatting>
  <conditionalFormatting sqref="G111">
    <cfRule type="duplicateValues" dxfId="722" priority="108"/>
  </conditionalFormatting>
  <conditionalFormatting sqref="H111">
    <cfRule type="duplicateValues" dxfId="721" priority="109"/>
  </conditionalFormatting>
  <conditionalFormatting sqref="F112:J112 L112:Q112 S112:Y112">
    <cfRule type="containsBlanks" dxfId="720" priority="102">
      <formula>LEN(TRIM(F112))=0</formula>
    </cfRule>
  </conditionalFormatting>
  <conditionalFormatting sqref="F112">
    <cfRule type="duplicateValues" dxfId="719" priority="103"/>
  </conditionalFormatting>
  <conditionalFormatting sqref="G112">
    <cfRule type="duplicateValues" dxfId="718" priority="104"/>
  </conditionalFormatting>
  <conditionalFormatting sqref="H112">
    <cfRule type="duplicateValues" dxfId="717" priority="105"/>
  </conditionalFormatting>
  <conditionalFormatting sqref="R112">
    <cfRule type="containsBlanks" dxfId="716" priority="101">
      <formula>LEN(TRIM(R112))=0</formula>
    </cfRule>
  </conditionalFormatting>
  <conditionalFormatting sqref="F113:Q113 S113:X113">
    <cfRule type="containsBlanks" dxfId="715" priority="97">
      <formula>LEN(TRIM(F113))=0</formula>
    </cfRule>
  </conditionalFormatting>
  <conditionalFormatting sqref="Y113">
    <cfRule type="containsBlanks" dxfId="714" priority="96">
      <formula>LEN(TRIM(Y113))=0</formula>
    </cfRule>
  </conditionalFormatting>
  <conditionalFormatting sqref="AB113:AC113">
    <cfRule type="containsBlanks" dxfId="713" priority="95">
      <formula>LEN(TRIM(AB113))=0</formula>
    </cfRule>
  </conditionalFormatting>
  <conditionalFormatting sqref="R113">
    <cfRule type="containsBlanks" dxfId="712" priority="94">
      <formula>LEN(TRIM(R113))=0</formula>
    </cfRule>
  </conditionalFormatting>
  <conditionalFormatting sqref="AA113">
    <cfRule type="containsBlanks" dxfId="711" priority="93">
      <formula>LEN(TRIM(AA113))=0</formula>
    </cfRule>
  </conditionalFormatting>
  <conditionalFormatting sqref="F113">
    <cfRule type="duplicateValues" dxfId="710" priority="98"/>
  </conditionalFormatting>
  <conditionalFormatting sqref="G113">
    <cfRule type="duplicateValues" dxfId="709" priority="99"/>
  </conditionalFormatting>
  <conditionalFormatting sqref="H113">
    <cfRule type="duplicateValues" dxfId="708" priority="100"/>
  </conditionalFormatting>
  <conditionalFormatting sqref="F114:F115">
    <cfRule type="duplicateValues" dxfId="707" priority="90"/>
  </conditionalFormatting>
  <conditionalFormatting sqref="G114:G115">
    <cfRule type="duplicateValues" dxfId="706" priority="91"/>
  </conditionalFormatting>
  <conditionalFormatting sqref="H114:H115">
    <cfRule type="duplicateValues" dxfId="705" priority="92"/>
  </conditionalFormatting>
  <conditionalFormatting sqref="U114:X115 I114:Q115 S114:S115 Z114:AA115 AC114:AC115">
    <cfRule type="containsBlanks" dxfId="704" priority="89">
      <formula>LEN(TRIM(I114))=0</formula>
    </cfRule>
  </conditionalFormatting>
  <conditionalFormatting sqref="T114:T115">
    <cfRule type="containsBlanks" dxfId="703" priority="88">
      <formula>LEN(TRIM(T114))=0</formula>
    </cfRule>
  </conditionalFormatting>
  <conditionalFormatting sqref="Y114:Y115">
    <cfRule type="containsBlanks" dxfId="702" priority="87">
      <formula>LEN(TRIM(Y114))=0</formula>
    </cfRule>
  </conditionalFormatting>
  <conditionalFormatting sqref="R114:R115">
    <cfRule type="containsBlanks" dxfId="701" priority="86">
      <formula>LEN(TRIM(R114))=0</formula>
    </cfRule>
  </conditionalFormatting>
  <conditionalFormatting sqref="F115:H115">
    <cfRule type="containsBlanks" dxfId="700" priority="85">
      <formula>LEN(TRIM(F115))=0</formula>
    </cfRule>
  </conditionalFormatting>
  <conditionalFormatting sqref="F116">
    <cfRule type="duplicateValues" dxfId="699" priority="82"/>
  </conditionalFormatting>
  <conditionalFormatting sqref="G116">
    <cfRule type="duplicateValues" dxfId="698" priority="83"/>
  </conditionalFormatting>
  <conditionalFormatting sqref="H116">
    <cfRule type="duplicateValues" dxfId="697" priority="84"/>
  </conditionalFormatting>
  <conditionalFormatting sqref="T116">
    <cfRule type="containsBlanks" dxfId="696" priority="81">
      <formula>LEN(TRIM(T116))=0</formula>
    </cfRule>
  </conditionalFormatting>
  <conditionalFormatting sqref="F114:H114">
    <cfRule type="containsBlanks" dxfId="695" priority="80">
      <formula>LEN(TRIM(F114))=0</formula>
    </cfRule>
  </conditionalFormatting>
  <conditionalFormatting sqref="F117:Q117 S117:X117">
    <cfRule type="containsBlanks" dxfId="694" priority="76">
      <formula>LEN(TRIM(F117))=0</formula>
    </cfRule>
  </conditionalFormatting>
  <conditionalFormatting sqref="Y117">
    <cfRule type="containsBlanks" dxfId="693" priority="75">
      <formula>LEN(TRIM(Y117))=0</formula>
    </cfRule>
  </conditionalFormatting>
  <conditionalFormatting sqref="AB117:AC117">
    <cfRule type="containsBlanks" dxfId="692" priority="74">
      <formula>LEN(TRIM(AB117))=0</formula>
    </cfRule>
  </conditionalFormatting>
  <conditionalFormatting sqref="R117">
    <cfRule type="containsBlanks" dxfId="691" priority="73">
      <formula>LEN(TRIM(R117))=0</formula>
    </cfRule>
  </conditionalFormatting>
  <conditionalFormatting sqref="AA117">
    <cfRule type="containsBlanks" dxfId="690" priority="72">
      <formula>LEN(TRIM(AA117))=0</formula>
    </cfRule>
  </conditionalFormatting>
  <conditionalFormatting sqref="F117">
    <cfRule type="duplicateValues" dxfId="689" priority="77"/>
  </conditionalFormatting>
  <conditionalFormatting sqref="G117">
    <cfRule type="duplicateValues" dxfId="688" priority="78"/>
  </conditionalFormatting>
  <conditionalFormatting sqref="H117">
    <cfRule type="duplicateValues" dxfId="687" priority="79"/>
  </conditionalFormatting>
  <conditionalFormatting sqref="F118">
    <cfRule type="duplicateValues" dxfId="686" priority="69"/>
  </conditionalFormatting>
  <conditionalFormatting sqref="G118">
    <cfRule type="duplicateValues" dxfId="685" priority="70"/>
  </conditionalFormatting>
  <conditionalFormatting sqref="H118">
    <cfRule type="duplicateValues" dxfId="684" priority="71"/>
  </conditionalFormatting>
  <conditionalFormatting sqref="U118:X118 I118:Q118 S118 Z118:AA118 AC118">
    <cfRule type="containsBlanks" dxfId="683" priority="68">
      <formula>LEN(TRIM(I118))=0</formula>
    </cfRule>
  </conditionalFormatting>
  <conditionalFormatting sqref="T118">
    <cfRule type="containsBlanks" dxfId="682" priority="67">
      <formula>LEN(TRIM(T118))=0</formula>
    </cfRule>
  </conditionalFormatting>
  <conditionalFormatting sqref="Y118">
    <cfRule type="containsBlanks" dxfId="681" priority="66">
      <formula>LEN(TRIM(Y118))=0</formula>
    </cfRule>
  </conditionalFormatting>
  <conditionalFormatting sqref="R118">
    <cfRule type="containsBlanks" dxfId="680" priority="65">
      <formula>LEN(TRIM(R118))=0</formula>
    </cfRule>
  </conditionalFormatting>
  <conditionalFormatting sqref="F118:H118">
    <cfRule type="containsBlanks" dxfId="679" priority="64">
      <formula>LEN(TRIM(F118))=0</formula>
    </cfRule>
  </conditionalFormatting>
  <conditionalFormatting sqref="F119">
    <cfRule type="duplicateValues" dxfId="678" priority="61"/>
  </conditionalFormatting>
  <conditionalFormatting sqref="G119">
    <cfRule type="duplicateValues" dxfId="677" priority="62"/>
  </conditionalFormatting>
  <conditionalFormatting sqref="H119">
    <cfRule type="duplicateValues" dxfId="676" priority="63"/>
  </conditionalFormatting>
  <conditionalFormatting sqref="T119">
    <cfRule type="containsBlanks" dxfId="675" priority="60">
      <formula>LEN(TRIM(T119))=0</formula>
    </cfRule>
  </conditionalFormatting>
  <conditionalFormatting sqref="V119:Y119">
    <cfRule type="containsBlanks" dxfId="674" priority="59">
      <formula>LEN(TRIM(V119))=0</formula>
    </cfRule>
  </conditionalFormatting>
  <conditionalFormatting sqref="AB119">
    <cfRule type="containsBlanks" dxfId="673" priority="58">
      <formula>LEN(TRIM(AB119))=0</formula>
    </cfRule>
  </conditionalFormatting>
  <conditionalFormatting sqref="AA119">
    <cfRule type="containsBlanks" dxfId="672" priority="57">
      <formula>LEN(TRIM(AA119))=0</formula>
    </cfRule>
  </conditionalFormatting>
  <conditionalFormatting sqref="AA120">
    <cfRule type="containsBlanks" dxfId="671" priority="53">
      <formula>LEN(TRIM(AA120))=0</formula>
    </cfRule>
  </conditionalFormatting>
  <conditionalFormatting sqref="S120:Y120 F120:Q120">
    <cfRule type="containsBlanks" dxfId="670" priority="52">
      <formula>LEN(TRIM(F120))=0</formula>
    </cfRule>
  </conditionalFormatting>
  <conditionalFormatting sqref="R120">
    <cfRule type="containsBlanks" dxfId="669" priority="51">
      <formula>LEN(TRIM(R120))=0</formula>
    </cfRule>
  </conditionalFormatting>
  <conditionalFormatting sqref="F120">
    <cfRule type="duplicateValues" dxfId="668" priority="54"/>
  </conditionalFormatting>
  <conditionalFormatting sqref="G120">
    <cfRule type="duplicateValues" dxfId="667" priority="55"/>
  </conditionalFormatting>
  <conditionalFormatting sqref="H120">
    <cfRule type="duplicateValues" dxfId="666" priority="56"/>
  </conditionalFormatting>
  <conditionalFormatting sqref="AA121">
    <cfRule type="containsBlanks" dxfId="665" priority="50">
      <formula>LEN(TRIM(AA121))=0</formula>
    </cfRule>
  </conditionalFormatting>
  <conditionalFormatting sqref="F124">
    <cfRule type="duplicateValues" dxfId="664" priority="47"/>
  </conditionalFormatting>
  <conditionalFormatting sqref="G124">
    <cfRule type="duplicateValues" dxfId="663" priority="48"/>
  </conditionalFormatting>
  <conditionalFormatting sqref="H124">
    <cfRule type="duplicateValues" dxfId="662" priority="49"/>
  </conditionalFormatting>
  <conditionalFormatting sqref="U124:X124 I124:Q124 S124 Z124:AA124 AC124">
    <cfRule type="containsBlanks" dxfId="661" priority="46">
      <formula>LEN(TRIM(I124))=0</formula>
    </cfRule>
  </conditionalFormatting>
  <conditionalFormatting sqref="T124">
    <cfRule type="containsBlanks" dxfId="660" priority="45">
      <formula>LEN(TRIM(T124))=0</formula>
    </cfRule>
  </conditionalFormatting>
  <conditionalFormatting sqref="Y124">
    <cfRule type="containsBlanks" dxfId="659" priority="44">
      <formula>LEN(TRIM(Y124))=0</formula>
    </cfRule>
  </conditionalFormatting>
  <conditionalFormatting sqref="R124">
    <cfRule type="containsBlanks" dxfId="658" priority="43">
      <formula>LEN(TRIM(R124))=0</formula>
    </cfRule>
  </conditionalFormatting>
  <conditionalFormatting sqref="F124:H124">
    <cfRule type="containsBlanks" dxfId="657" priority="42">
      <formula>LEN(TRIM(F124))=0</formula>
    </cfRule>
  </conditionalFormatting>
  <conditionalFormatting sqref="U125:Z125 D125:Q125 S125">
    <cfRule type="containsBlanks" dxfId="656" priority="38">
      <formula>LEN(TRIM(D125))=0</formula>
    </cfRule>
  </conditionalFormatting>
  <conditionalFormatting sqref="F125">
    <cfRule type="duplicateValues" dxfId="655" priority="39"/>
  </conditionalFormatting>
  <conditionalFormatting sqref="G125">
    <cfRule type="duplicateValues" dxfId="654" priority="40"/>
  </conditionalFormatting>
  <conditionalFormatting sqref="H125">
    <cfRule type="duplicateValues" dxfId="653" priority="41"/>
  </conditionalFormatting>
  <conditionalFormatting sqref="T125">
    <cfRule type="containsBlanks" dxfId="652" priority="37">
      <formula>LEN(TRIM(T125))=0</formula>
    </cfRule>
  </conditionalFormatting>
  <conditionalFormatting sqref="R125">
    <cfRule type="containsBlanks" dxfId="651" priority="36">
      <formula>LEN(TRIM(R125))=0</formula>
    </cfRule>
  </conditionalFormatting>
  <conditionalFormatting sqref="AA125">
    <cfRule type="containsBlanks" dxfId="650" priority="35">
      <formula>LEN(TRIM(AA125))=0</formula>
    </cfRule>
  </conditionalFormatting>
  <conditionalFormatting sqref="AB125">
    <cfRule type="containsBlanks" dxfId="649" priority="34">
      <formula>LEN(TRIM(AB125))=0</formula>
    </cfRule>
  </conditionalFormatting>
  <conditionalFormatting sqref="AA126">
    <cfRule type="containsBlanks" dxfId="648" priority="30">
      <formula>LEN(TRIM(AA126))=0</formula>
    </cfRule>
  </conditionalFormatting>
  <conditionalFormatting sqref="S126:Y126 F126:Q126">
    <cfRule type="containsBlanks" dxfId="647" priority="29">
      <formula>LEN(TRIM(F126))=0</formula>
    </cfRule>
  </conditionalFormatting>
  <conditionalFormatting sqref="R126">
    <cfRule type="containsBlanks" dxfId="646" priority="28">
      <formula>LEN(TRIM(R126))=0</formula>
    </cfRule>
  </conditionalFormatting>
  <conditionalFormatting sqref="F126">
    <cfRule type="duplicateValues" dxfId="645" priority="31"/>
  </conditionalFormatting>
  <conditionalFormatting sqref="G126">
    <cfRule type="duplicateValues" dxfId="644" priority="32"/>
  </conditionalFormatting>
  <conditionalFormatting sqref="H126">
    <cfRule type="duplicateValues" dxfId="643" priority="33"/>
  </conditionalFormatting>
  <conditionalFormatting sqref="U124:AI126 A124:S126">
    <cfRule type="containsBlanks" dxfId="642" priority="24">
      <formula>LEN(TRIM(A124))=0</formula>
    </cfRule>
  </conditionalFormatting>
  <conditionalFormatting sqref="AA86">
    <cfRule type="containsBlanks" dxfId="641" priority="20">
      <formula>LEN(TRIM(AA86))=0</formula>
    </cfRule>
  </conditionalFormatting>
  <conditionalFormatting sqref="S86:Y86 F86:Q86">
    <cfRule type="containsBlanks" dxfId="640" priority="19">
      <formula>LEN(TRIM(F86))=0</formula>
    </cfRule>
  </conditionalFormatting>
  <conditionalFormatting sqref="R86">
    <cfRule type="containsBlanks" dxfId="639" priority="18">
      <formula>LEN(TRIM(R86))=0</formula>
    </cfRule>
  </conditionalFormatting>
  <conditionalFormatting sqref="F86">
    <cfRule type="duplicateValues" dxfId="638" priority="21"/>
  </conditionalFormatting>
  <conditionalFormatting sqref="G86">
    <cfRule type="duplicateValues" dxfId="637" priority="22"/>
  </conditionalFormatting>
  <conditionalFormatting sqref="H86">
    <cfRule type="duplicateValues" dxfId="636" priority="23"/>
  </conditionalFormatting>
  <conditionalFormatting sqref="F85:H85">
    <cfRule type="containsBlanks" dxfId="635" priority="14">
      <formula>LEN(TRIM(F85))=0</formula>
    </cfRule>
  </conditionalFormatting>
  <conditionalFormatting sqref="F85">
    <cfRule type="duplicateValues" dxfId="634" priority="15"/>
  </conditionalFormatting>
  <conditionalFormatting sqref="G85">
    <cfRule type="duplicateValues" dxfId="633" priority="16"/>
  </conditionalFormatting>
  <conditionalFormatting sqref="H85">
    <cfRule type="duplicateValues" dxfId="632" priority="17"/>
  </conditionalFormatting>
  <conditionalFormatting sqref="U85:X85 Z85:AC85 I85:Q85 S85">
    <cfRule type="containsBlanks" dxfId="631" priority="13">
      <formula>LEN(TRIM(I85))=0</formula>
    </cfRule>
  </conditionalFormatting>
  <conditionalFormatting sqref="T85">
    <cfRule type="containsBlanks" dxfId="630" priority="12">
      <formula>LEN(TRIM(T85))=0</formula>
    </cfRule>
  </conditionalFormatting>
  <conditionalFormatting sqref="Y85">
    <cfRule type="containsBlanks" dxfId="629" priority="11">
      <formula>LEN(TRIM(Y85))=0</formula>
    </cfRule>
  </conditionalFormatting>
  <conditionalFormatting sqref="R85">
    <cfRule type="containsBlanks" dxfId="628" priority="10">
      <formula>LEN(TRIM(R85))=0</formula>
    </cfRule>
  </conditionalFormatting>
  <conditionalFormatting sqref="AD127:AI127 AB127 A127:E127">
    <cfRule type="containsBlanks" dxfId="627" priority="9">
      <formula>LEN(TRIM(A127))=0</formula>
    </cfRule>
  </conditionalFormatting>
  <conditionalFormatting sqref="F127">
    <cfRule type="duplicateValues" dxfId="626" priority="6"/>
  </conditionalFormatting>
  <conditionalFormatting sqref="G127">
    <cfRule type="duplicateValues" dxfId="625" priority="7"/>
  </conditionalFormatting>
  <conditionalFormatting sqref="H127">
    <cfRule type="duplicateValues" dxfId="624" priority="8"/>
  </conditionalFormatting>
  <conditionalFormatting sqref="U127:X127 I127:Q127 S127 Z127:AA127 AC127">
    <cfRule type="containsBlanks" dxfId="623" priority="5">
      <formula>LEN(TRIM(I127))=0</formula>
    </cfRule>
  </conditionalFormatting>
  <conditionalFormatting sqref="T127">
    <cfRule type="containsBlanks" dxfId="622" priority="4">
      <formula>LEN(TRIM(T127))=0</formula>
    </cfRule>
  </conditionalFormatting>
  <conditionalFormatting sqref="Y127">
    <cfRule type="containsBlanks" dxfId="621" priority="3">
      <formula>LEN(TRIM(Y127))=0</formula>
    </cfRule>
  </conditionalFormatting>
  <conditionalFormatting sqref="R127">
    <cfRule type="containsBlanks" dxfId="620" priority="2">
      <formula>LEN(TRIM(R127))=0</formula>
    </cfRule>
  </conditionalFormatting>
  <conditionalFormatting sqref="F127:H127">
    <cfRule type="containsBlanks" dxfId="619" priority="1">
      <formula>LEN(TRIM(F127))=0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61"/>
  <sheetViews>
    <sheetView topLeftCell="A17" zoomScale="78" zoomScaleNormal="78" workbookViewId="0">
      <selection activeCell="E16" sqref="E16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95</v>
      </c>
    </row>
    <row r="3" spans="1:35">
      <c r="A3" s="7" t="s">
        <v>93</v>
      </c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0</v>
      </c>
      <c r="K4" s="24">
        <f>'[7]SUMMARY WFP 2022'!VX91</f>
        <v>0</v>
      </c>
      <c r="L4" s="25">
        <f>J4-K4</f>
        <v>0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0</v>
      </c>
      <c r="K5" s="24">
        <f>'[7]SUMMARY WFP 2022'!VY91</f>
        <v>0</v>
      </c>
      <c r="L5" s="25">
        <f>J5-K5</f>
        <v>0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0</v>
      </c>
      <c r="K6" s="25">
        <f>SUM(K4:K5)</f>
        <v>0</v>
      </c>
      <c r="L6" s="25">
        <f>J6-K6</f>
        <v>0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2022'!WA91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0</v>
      </c>
      <c r="K8" s="24">
        <f>'[7]SUMMARY WFP 2022'!VM91</f>
        <v>0</v>
      </c>
      <c r="L8" s="25">
        <f>J8-K8</f>
        <v>0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89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SUM(J14,J26,J38,J50)</f>
        <v>0</v>
      </c>
      <c r="K13" s="29">
        <f>SUM(K14,K26,K38,K50)</f>
        <v>0</v>
      </c>
      <c r="L13" s="29">
        <f>SUM(L14,L26,L38,L50)</f>
        <v>0</v>
      </c>
      <c r="M13" s="29">
        <f>SUM(M14,M26,M38,M50)</f>
        <v>0</v>
      </c>
      <c r="N13" s="29">
        <f>SUM(N14,N26,N38,N50)</f>
        <v>0</v>
      </c>
      <c r="O13" s="29"/>
      <c r="P13" s="29">
        <f>SUM(P14,P26,P38,P50)</f>
        <v>0</v>
      </c>
      <c r="Q13" s="29">
        <f>SUM(Q14,Q26,Q38,Q50)</f>
        <v>0</v>
      </c>
      <c r="R13" s="29"/>
      <c r="S13" s="29">
        <f>SUM(S14,S26,S38,S50)</f>
        <v>0</v>
      </c>
      <c r="T13" s="29">
        <f>SUM(T14,T26,T38,T50)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SUM(AC14,AC26,AC38,AC50)</f>
        <v>0</v>
      </c>
      <c r="AD13" s="29">
        <f>SUM(AD14,AD26,AD38,AD50)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SUM(J27:J37)</f>
        <v>0</v>
      </c>
      <c r="K26" s="31">
        <f>SUM(K27:K37)</f>
        <v>0</v>
      </c>
      <c r="L26" s="31">
        <f>SUM(L27:L37)</f>
        <v>0</v>
      </c>
      <c r="M26" s="31">
        <f>SUM(M27:M37)</f>
        <v>0</v>
      </c>
      <c r="N26" s="31">
        <f>SUM(N27:N37)</f>
        <v>0</v>
      </c>
      <c r="O26" s="31"/>
      <c r="P26" s="31">
        <f>SUM(P27:P37)</f>
        <v>0</v>
      </c>
      <c r="Q26" s="31">
        <f>SUM(Q27:Q37)</f>
        <v>0</v>
      </c>
      <c r="R26" s="31"/>
      <c r="S26" s="31">
        <f>SUM(S27:S37)</f>
        <v>0</v>
      </c>
      <c r="T26" s="31">
        <f>SUM(T27:T37)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SUM(AC27:AC37)</f>
        <v>0</v>
      </c>
      <c r="AD26" s="31">
        <f>SUM(AD27:AD37)</f>
        <v>0</v>
      </c>
      <c r="AE26" s="31" t="e">
        <f>AVERAGE(AE27:AE37)</f>
        <v>#DIV/0!</v>
      </c>
      <c r="AF26" s="31" t="e">
        <f>AVERAGE(AF27:AF37)</f>
        <v>#DIV/0!</v>
      </c>
      <c r="AG26" s="31" t="e">
        <f>AVERAGE(AG27:AG37)</f>
        <v>#DIV/0!</v>
      </c>
      <c r="AH26" s="19"/>
      <c r="AI26" s="41"/>
    </row>
    <row r="27" spans="1:35">
      <c r="A27" s="14"/>
      <c r="B27" s="20"/>
      <c r="C27" s="20"/>
      <c r="D27" s="20"/>
      <c r="E27" s="20"/>
      <c r="F27" s="20"/>
      <c r="G27" s="20"/>
      <c r="H27" s="20"/>
      <c r="I27" s="32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0"/>
      <c r="V27" s="20"/>
      <c r="W27" s="20"/>
      <c r="X27" s="20"/>
      <c r="Y27" s="20"/>
      <c r="Z27" s="20"/>
      <c r="AA27" s="20"/>
      <c r="AB27" s="20"/>
      <c r="AC27" s="24"/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/>
      <c r="D28" s="20"/>
      <c r="E28" s="20"/>
      <c r="F28" s="20"/>
      <c r="G28" s="20"/>
      <c r="H28" s="20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0"/>
      <c r="V28" s="20"/>
      <c r="W28" s="20"/>
      <c r="X28" s="20"/>
      <c r="Y28" s="20"/>
      <c r="Z28" s="20"/>
      <c r="AA28" s="20"/>
      <c r="AB28" s="20"/>
      <c r="AC28" s="24"/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/>
      <c r="D29" s="20"/>
      <c r="E29" s="20"/>
      <c r="F29" s="20"/>
      <c r="G29" s="20"/>
      <c r="H29" s="20"/>
      <c r="I29" s="3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0"/>
      <c r="V29" s="20"/>
      <c r="W29" s="20"/>
      <c r="X29" s="20"/>
      <c r="Y29" s="20"/>
      <c r="Z29" s="20"/>
      <c r="AA29" s="20"/>
      <c r="AB29" s="20"/>
      <c r="AC29" s="24"/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/>
      <c r="D30" s="20"/>
      <c r="E30" s="20"/>
      <c r="F30" s="20"/>
      <c r="G30" s="20"/>
      <c r="H30" s="20"/>
      <c r="I30" s="3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0"/>
      <c r="V30" s="20"/>
      <c r="W30" s="20"/>
      <c r="X30" s="20"/>
      <c r="Y30" s="20"/>
      <c r="Z30" s="20"/>
      <c r="AA30" s="20"/>
      <c r="AB30" s="20"/>
      <c r="AC30" s="24"/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/>
      <c r="D31" s="20"/>
      <c r="E31" s="20"/>
      <c r="F31" s="20"/>
      <c r="G31" s="20"/>
      <c r="H31" s="20"/>
      <c r="I31" s="32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0"/>
      <c r="V31" s="20"/>
      <c r="W31" s="20"/>
      <c r="X31" s="20"/>
      <c r="Y31" s="20"/>
      <c r="Z31" s="20"/>
      <c r="AA31" s="20"/>
      <c r="AB31" s="20"/>
      <c r="AC31" s="24"/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/>
      <c r="D32" s="20"/>
      <c r="E32" s="20"/>
      <c r="F32" s="20"/>
      <c r="G32" s="20"/>
      <c r="H32" s="20"/>
      <c r="I32" s="32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0"/>
      <c r="V32" s="20"/>
      <c r="W32" s="20"/>
      <c r="X32" s="20"/>
      <c r="Y32" s="20"/>
      <c r="Z32" s="20"/>
      <c r="AA32" s="20"/>
      <c r="AB32" s="20"/>
      <c r="AC32" s="24"/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/>
      <c r="D33" s="20"/>
      <c r="E33" s="20"/>
      <c r="F33" s="20"/>
      <c r="G33" s="20"/>
      <c r="H33" s="20"/>
      <c r="I33" s="32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0"/>
      <c r="V33" s="20"/>
      <c r="W33" s="20"/>
      <c r="X33" s="20"/>
      <c r="Y33" s="20"/>
      <c r="Z33" s="20"/>
      <c r="AA33" s="20"/>
      <c r="AB33" s="20"/>
      <c r="AC33" s="24"/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/>
      <c r="D34" s="20"/>
      <c r="E34" s="20"/>
      <c r="F34" s="20"/>
      <c r="G34" s="20"/>
      <c r="H34" s="20"/>
      <c r="I34" s="32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0"/>
      <c r="V34" s="20"/>
      <c r="W34" s="20"/>
      <c r="X34" s="20"/>
      <c r="Y34" s="20"/>
      <c r="Z34" s="20"/>
      <c r="AA34" s="20"/>
      <c r="AB34" s="20"/>
      <c r="AC34" s="24"/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/>
      <c r="D35" s="20"/>
      <c r="E35" s="20"/>
      <c r="F35" s="20"/>
      <c r="G35" s="20"/>
      <c r="H35" s="20"/>
      <c r="I35" s="32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0"/>
      <c r="V35" s="20"/>
      <c r="W35" s="20"/>
      <c r="X35" s="20"/>
      <c r="Y35" s="20"/>
      <c r="Z35" s="20"/>
      <c r="AA35" s="20"/>
      <c r="AB35" s="20"/>
      <c r="AC35" s="24"/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/>
      <c r="G36" s="20"/>
      <c r="H36" s="20"/>
      <c r="I36" s="32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0"/>
      <c r="V36" s="20"/>
      <c r="W36" s="20"/>
      <c r="X36" s="20"/>
      <c r="Y36" s="20"/>
      <c r="Z36" s="20"/>
      <c r="AA36" s="20"/>
      <c r="AB36" s="20"/>
      <c r="AC36" s="24"/>
      <c r="AD36" s="24"/>
      <c r="AE36" s="24"/>
      <c r="AF36" s="24"/>
      <c r="AG36" s="24"/>
      <c r="AH36" s="20"/>
      <c r="AI36" s="42"/>
    </row>
    <row r="37" spans="1:35">
      <c r="A37" s="14"/>
      <c r="B37" s="20"/>
      <c r="C37" s="20"/>
      <c r="D37" s="20"/>
      <c r="E37" s="20"/>
      <c r="F37" s="20"/>
      <c r="G37" s="20"/>
      <c r="H37" s="20"/>
      <c r="I37" s="32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0"/>
      <c r="V37" s="20"/>
      <c r="W37" s="20"/>
      <c r="X37" s="20"/>
      <c r="Y37" s="20"/>
      <c r="Z37" s="20"/>
      <c r="AA37" s="20"/>
      <c r="AB37" s="20"/>
      <c r="AC37" s="24"/>
      <c r="AD37" s="24"/>
      <c r="AE37" s="24"/>
      <c r="AF37" s="24"/>
      <c r="AG37" s="24"/>
      <c r="AH37" s="20"/>
      <c r="AI37" s="42"/>
    </row>
    <row r="38" spans="1:35" s="6" customFormat="1">
      <c r="A38" s="18"/>
      <c r="B38" s="19"/>
      <c r="C38" s="19" t="s">
        <v>83</v>
      </c>
      <c r="D38" s="19"/>
      <c r="E38" s="19"/>
      <c r="F38" s="19"/>
      <c r="G38" s="19"/>
      <c r="H38" s="19"/>
      <c r="I38" s="30"/>
      <c r="J38" s="31">
        <f>SUM(J39:J49)</f>
        <v>0</v>
      </c>
      <c r="K38" s="31">
        <f>SUM(K39:K49)</f>
        <v>0</v>
      </c>
      <c r="L38" s="31">
        <f>SUM(L39:L49)</f>
        <v>0</v>
      </c>
      <c r="M38" s="31">
        <f>SUM(M39:M49)</f>
        <v>0</v>
      </c>
      <c r="N38" s="31">
        <f>SUM(N39:N49)</f>
        <v>0</v>
      </c>
      <c r="O38" s="31"/>
      <c r="P38" s="31">
        <f>SUM(P39:P49)</f>
        <v>0</v>
      </c>
      <c r="Q38" s="31">
        <f>SUM(Q39:Q49)</f>
        <v>0</v>
      </c>
      <c r="R38" s="31"/>
      <c r="S38" s="31">
        <f>SUM(S39:S49)</f>
        <v>0</v>
      </c>
      <c r="T38" s="31">
        <f>SUM(T39:T49)</f>
        <v>0</v>
      </c>
      <c r="U38" s="19"/>
      <c r="V38" s="19"/>
      <c r="W38" s="19"/>
      <c r="X38" s="19"/>
      <c r="Y38" s="19"/>
      <c r="Z38" s="19"/>
      <c r="AA38" s="19"/>
      <c r="AB38" s="19"/>
      <c r="AC38" s="31">
        <f>SUM(AC39:AC49)</f>
        <v>0</v>
      </c>
      <c r="AD38" s="31">
        <f>SUM(AD39:AD49)</f>
        <v>0</v>
      </c>
      <c r="AE38" s="31" t="e">
        <f>AVERAGE(AE39:AE49)</f>
        <v>#DIV/0!</v>
      </c>
      <c r="AF38" s="31" t="e">
        <f>AVERAGE(AF39:AF49)</f>
        <v>#DIV/0!</v>
      </c>
      <c r="AG38" s="31" t="e">
        <f>AVERAGE(AG39:AG49)</f>
        <v>#DIV/0!</v>
      </c>
      <c r="AH38" s="19"/>
      <c r="AI38" s="41"/>
    </row>
    <row r="39" spans="1:35">
      <c r="A39" s="14"/>
      <c r="B39" s="20"/>
      <c r="C39" s="20"/>
      <c r="D39" s="20"/>
      <c r="E39" s="20"/>
      <c r="F39" s="20"/>
      <c r="G39" s="20"/>
      <c r="H39" s="20"/>
      <c r="I39" s="3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20"/>
      <c r="AB39" s="20"/>
      <c r="AC39" s="24"/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/>
      <c r="D40" s="20"/>
      <c r="E40" s="20"/>
      <c r="F40" s="20"/>
      <c r="G40" s="20"/>
      <c r="H40" s="20"/>
      <c r="I40" s="32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0"/>
      <c r="V40" s="20"/>
      <c r="W40" s="20"/>
      <c r="X40" s="20"/>
      <c r="Y40" s="20"/>
      <c r="Z40" s="20"/>
      <c r="AA40" s="20"/>
      <c r="AB40" s="20"/>
      <c r="AC40" s="24"/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/>
      <c r="D41" s="20"/>
      <c r="E41" s="20"/>
      <c r="F41" s="20"/>
      <c r="G41" s="20"/>
      <c r="H41" s="20"/>
      <c r="I41" s="3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20"/>
      <c r="AB41" s="20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/>
      <c r="G42" s="20"/>
      <c r="H42" s="20"/>
      <c r="I42" s="3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20"/>
      <c r="AB42" s="20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/>
      <c r="G43" s="20"/>
      <c r="H43" s="20"/>
      <c r="I43" s="3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20"/>
      <c r="AB43" s="20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/>
      <c r="G44" s="20"/>
      <c r="H44" s="20"/>
      <c r="I44" s="32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20"/>
      <c r="AB44" s="20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/>
      <c r="G45" s="20"/>
      <c r="H45" s="20"/>
      <c r="I45" s="32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20"/>
      <c r="AB45" s="20"/>
      <c r="AC45" s="24"/>
      <c r="AD45" s="24"/>
      <c r="AE45" s="24"/>
      <c r="AF45" s="24"/>
      <c r="AG45" s="24"/>
      <c r="AH45" s="20"/>
      <c r="AI45" s="42"/>
    </row>
    <row r="46" spans="1:35">
      <c r="A46" s="14"/>
      <c r="B46" s="20"/>
      <c r="C46" s="20"/>
      <c r="D46" s="20"/>
      <c r="E46" s="20"/>
      <c r="F46" s="20"/>
      <c r="G46" s="20"/>
      <c r="H46" s="20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/>
      <c r="G47" s="20"/>
      <c r="H47" s="20"/>
      <c r="I47" s="3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20"/>
      <c r="AB47" s="20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/>
      <c r="G48" s="20"/>
      <c r="H48" s="20"/>
      <c r="I48" s="32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20"/>
      <c r="AB48" s="20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/>
      <c r="G49" s="20"/>
      <c r="H49" s="20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20"/>
      <c r="AB49" s="20"/>
      <c r="AC49" s="24"/>
      <c r="AD49" s="24"/>
      <c r="AE49" s="24"/>
      <c r="AF49" s="24"/>
      <c r="AG49" s="24"/>
      <c r="AH49" s="20"/>
      <c r="AI49" s="42"/>
    </row>
    <row r="50" spans="1:35" s="6" customFormat="1">
      <c r="A50" s="18"/>
      <c r="B50" s="19"/>
      <c r="C50" s="19" t="s">
        <v>84</v>
      </c>
      <c r="D50" s="19"/>
      <c r="E50" s="19"/>
      <c r="F50" s="19"/>
      <c r="G50" s="19"/>
      <c r="H50" s="19"/>
      <c r="I50" s="30"/>
      <c r="J50" s="31">
        <f>SUM(J51:J61)</f>
        <v>0</v>
      </c>
      <c r="K50" s="31">
        <f>SUM(K51:K61)</f>
        <v>0</v>
      </c>
      <c r="L50" s="31">
        <f>SUM(L51:L61)</f>
        <v>0</v>
      </c>
      <c r="M50" s="31">
        <f>SUM(M51:M61)</f>
        <v>0</v>
      </c>
      <c r="N50" s="31">
        <f>SUM(N51:N61)</f>
        <v>0</v>
      </c>
      <c r="O50" s="31"/>
      <c r="P50" s="31">
        <f>SUM(P51:P61)</f>
        <v>0</v>
      </c>
      <c r="Q50" s="31">
        <f>SUM(Q51:Q61)</f>
        <v>0</v>
      </c>
      <c r="R50" s="31"/>
      <c r="S50" s="31">
        <f>SUM(S51:S61)</f>
        <v>0</v>
      </c>
      <c r="T50" s="31">
        <f>SUM(T51:T61)</f>
        <v>0</v>
      </c>
      <c r="U50" s="19"/>
      <c r="V50" s="19"/>
      <c r="W50" s="19"/>
      <c r="X50" s="19"/>
      <c r="Y50" s="19"/>
      <c r="Z50" s="19"/>
      <c r="AA50" s="19"/>
      <c r="AB50" s="19"/>
      <c r="AC50" s="31">
        <f>SUM(AC51:AC61)</f>
        <v>0</v>
      </c>
      <c r="AD50" s="31">
        <f>SUM(AD51:AD61)</f>
        <v>0</v>
      </c>
      <c r="AE50" s="31" t="e">
        <f>AVERAGE(AE51:AE61)</f>
        <v>#DIV/0!</v>
      </c>
      <c r="AF50" s="31" t="e">
        <f>AVERAGE(AF51:AF61)</f>
        <v>#DIV/0!</v>
      </c>
      <c r="AG50" s="31" t="e">
        <f>AVERAGE(AG51:AG61)</f>
        <v>#DIV/0!</v>
      </c>
      <c r="AH50" s="19"/>
      <c r="AI50" s="41"/>
    </row>
    <row r="51" spans="1:35">
      <c r="A51" s="14"/>
      <c r="B51" s="20"/>
      <c r="C51" s="20"/>
      <c r="D51" s="20"/>
      <c r="E51" s="20"/>
      <c r="F51" s="20"/>
      <c r="G51" s="20"/>
      <c r="H51" s="20"/>
      <c r="I51" s="3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20"/>
      <c r="AB51" s="20"/>
      <c r="AC51" s="24"/>
      <c r="AD51" s="24"/>
      <c r="AE51" s="24"/>
      <c r="AF51" s="24"/>
      <c r="AG51" s="24"/>
      <c r="AH51" s="20"/>
      <c r="AI51" s="42"/>
    </row>
    <row r="52" spans="1:35">
      <c r="A52" s="14"/>
      <c r="B52" s="20"/>
      <c r="C52" s="20"/>
      <c r="D52" s="20"/>
      <c r="E52" s="20"/>
      <c r="F52" s="20"/>
      <c r="G52" s="20"/>
      <c r="H52" s="20"/>
      <c r="I52" s="32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0"/>
      <c r="V52" s="20"/>
      <c r="W52" s="20"/>
      <c r="X52" s="20"/>
      <c r="Y52" s="20"/>
      <c r="Z52" s="20"/>
      <c r="AA52" s="20"/>
      <c r="AB52" s="20"/>
      <c r="AC52" s="24"/>
      <c r="AD52" s="24"/>
      <c r="AE52" s="24"/>
      <c r="AF52" s="24"/>
      <c r="AG52" s="24"/>
      <c r="AH52" s="20"/>
      <c r="AI52" s="42"/>
    </row>
    <row r="53" spans="1:35">
      <c r="A53" s="14"/>
      <c r="B53" s="20"/>
      <c r="C53" s="20"/>
      <c r="D53" s="20"/>
      <c r="E53" s="20"/>
      <c r="F53" s="20"/>
      <c r="G53" s="20"/>
      <c r="H53" s="20"/>
      <c r="I53" s="3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20"/>
      <c r="AB53" s="20"/>
      <c r="AC53" s="24"/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3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20"/>
      <c r="AB54" s="20"/>
      <c r="AC54" s="24"/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3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3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20"/>
      <c r="AB56" s="20"/>
      <c r="AC56" s="24"/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3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/>
      <c r="D58" s="20"/>
      <c r="E58" s="20"/>
      <c r="F58" s="20"/>
      <c r="G58" s="20"/>
      <c r="H58" s="20"/>
      <c r="I58" s="3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0"/>
      <c r="V58" s="20"/>
      <c r="W58" s="20"/>
      <c r="X58" s="20"/>
      <c r="Y58" s="20"/>
      <c r="Z58" s="20"/>
      <c r="AA58" s="20"/>
      <c r="AB58" s="20"/>
      <c r="AC58" s="24"/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/>
      <c r="D59" s="20"/>
      <c r="E59" s="20"/>
      <c r="F59" s="20"/>
      <c r="G59" s="20"/>
      <c r="H59" s="20"/>
      <c r="I59" s="3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3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conditionalFormatting sqref="L4:L8">
    <cfRule type="cellIs" dxfId="618" priority="2" operator="greaterThan">
      <formula>0</formula>
    </cfRule>
    <cfRule type="cellIs" dxfId="617" priority="3" operator="lessThan">
      <formula>0</formula>
    </cfRule>
  </conditionalFormatting>
  <conditionalFormatting sqref="A27:S37 A39:S49 A51:S61 A15:S25 U15:AI25 U51:AI61 U39:AI49 U27:AI37">
    <cfRule type="containsBlanks" dxfId="616" priority="4">
      <formula>LEN(TRIM(A15))=0</formula>
    </cfRule>
  </conditionalFormatting>
  <conditionalFormatting sqref="F15:F25 F27:F37 F39:F49 F51:F61">
    <cfRule type="duplicateValues" dxfId="615" priority="5"/>
  </conditionalFormatting>
  <conditionalFormatting sqref="G15:G25 G27:G37 G39:G49 G51:G61">
    <cfRule type="duplicateValues" dxfId="614" priority="6"/>
  </conditionalFormatting>
  <conditionalFormatting sqref="H15:H25 H27:H37 H39:H49 H51:H61">
    <cfRule type="duplicateValues" dxfId="613" priority="7"/>
  </conditionalFormatting>
  <conditionalFormatting sqref="T27:T37 T39:T49 T51:T61 T15:T25">
    <cfRule type="containsBlanks" dxfId="612" priority="1">
      <formula>LEN(TRIM(T15))=0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63"/>
  <sheetViews>
    <sheetView topLeftCell="E14" zoomScale="60" zoomScaleNormal="60" workbookViewId="0">
      <selection activeCell="I44" sqref="I44"/>
    </sheetView>
  </sheetViews>
  <sheetFormatPr defaultColWidth="10.875" defaultRowHeight="15.75"/>
  <cols>
    <col min="1" max="2" width="13.625" style="7" customWidth="1"/>
    <col min="3" max="3" width="11" style="7" bestFit="1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17" width="15" style="7" customWidth="1"/>
    <col min="18" max="18" width="24.625" style="7" customWidth="1"/>
    <col min="19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96</v>
      </c>
    </row>
    <row r="3" spans="1:35"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5</v>
      </c>
      <c r="K4" s="24">
        <f>'[7]SUMMARY WFP 2022'!VX213</f>
        <v>0</v>
      </c>
      <c r="L4" s="25">
        <f>J4-K4</f>
        <v>5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7</v>
      </c>
      <c r="K5" s="24">
        <f>'[7]SUMMARY WFP 2022'!VY213</f>
        <v>0</v>
      </c>
      <c r="L5" s="25">
        <f>J5-K5</f>
        <v>7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12</v>
      </c>
      <c r="K6" s="25">
        <f>SUM(K4:K5)</f>
        <v>0</v>
      </c>
      <c r="L6" s="25">
        <f>J6-K6</f>
        <v>12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2022'!WA213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12</v>
      </c>
      <c r="K8" s="24">
        <f>'[7]SUMMARY WFP 2022'!VM213</f>
        <v>0</v>
      </c>
      <c r="L8" s="25">
        <f>J8-K8</f>
        <v>12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97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SUM(J14,J26,J40,J52)</f>
        <v>5</v>
      </c>
      <c r="K13" s="29">
        <f>SUM(K14,K26,K40,K52)</f>
        <v>7</v>
      </c>
      <c r="L13" s="29">
        <f>SUM(L14,L26,L40,L52)</f>
        <v>0</v>
      </c>
      <c r="M13" s="29">
        <f>SUM(M14,M26,M40,M52)</f>
        <v>1</v>
      </c>
      <c r="N13" s="29">
        <f>SUM(N14,N26,N40,N52)</f>
        <v>0</v>
      </c>
      <c r="O13" s="29"/>
      <c r="P13" s="29">
        <f>SUM(P14,P26,P40,P52)</f>
        <v>0</v>
      </c>
      <c r="Q13" s="29">
        <f>SUM(Q14,Q26,Q40,Q52)</f>
        <v>12</v>
      </c>
      <c r="R13" s="29"/>
      <c r="S13" s="29">
        <f>SUM(S14,S26,S40,S52)</f>
        <v>0</v>
      </c>
      <c r="T13" s="29">
        <f>SUM(T14,T26,T40,T52)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SUM(AC14,AC26,AC40,AC52)</f>
        <v>12</v>
      </c>
      <c r="AD13" s="29">
        <f>SUM(AD14,AD26,AD40,AD52)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 ht="31.5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SUM(J27:J39)</f>
        <v>5</v>
      </c>
      <c r="K26" s="31">
        <f>SUM(K27:K39)</f>
        <v>7</v>
      </c>
      <c r="L26" s="31">
        <f>SUM(L27:L39)</f>
        <v>0</v>
      </c>
      <c r="M26" s="31">
        <f>SUM(M27:M39)</f>
        <v>1</v>
      </c>
      <c r="N26" s="31">
        <f>SUM(N27:N39)</f>
        <v>0</v>
      </c>
      <c r="O26" s="31"/>
      <c r="P26" s="31">
        <f>SUM(P27:P39)</f>
        <v>0</v>
      </c>
      <c r="Q26" s="31">
        <f>SUM(Q27:Q39)</f>
        <v>12</v>
      </c>
      <c r="R26" s="31"/>
      <c r="S26" s="31">
        <f>SUM(S27:S39)</f>
        <v>0</v>
      </c>
      <c r="T26" s="31">
        <f>SUM(T27:T39)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SUM(AC27:AC39)</f>
        <v>12</v>
      </c>
      <c r="AD26" s="31">
        <f>SUM(AD27:AD39)</f>
        <v>0</v>
      </c>
      <c r="AE26" s="31" t="e">
        <f>AVERAGE(AE27:AE39)</f>
        <v>#DIV/0!</v>
      </c>
      <c r="AF26" s="31" t="e">
        <f>AVERAGE(AF27:AF39)</f>
        <v>#DIV/0!</v>
      </c>
      <c r="AG26" s="31" t="e">
        <f>AVERAGE(AG27:AG39)</f>
        <v>#DIV/0!</v>
      </c>
      <c r="AH26" s="19"/>
      <c r="AI26" s="41"/>
    </row>
    <row r="27" spans="1:35">
      <c r="A27" s="14"/>
      <c r="B27" s="20"/>
      <c r="C27" s="62" t="s">
        <v>1172</v>
      </c>
      <c r="D27" s="20" t="s">
        <v>501</v>
      </c>
      <c r="E27" s="20"/>
      <c r="F27" s="20" t="s">
        <v>1173</v>
      </c>
      <c r="G27" s="20" t="s">
        <v>1174</v>
      </c>
      <c r="H27" s="20" t="s">
        <v>409</v>
      </c>
      <c r="I27" s="32">
        <v>24378</v>
      </c>
      <c r="J27" s="24">
        <v>1</v>
      </c>
      <c r="K27" s="24"/>
      <c r="L27" s="24"/>
      <c r="M27" s="24"/>
      <c r="N27" s="24"/>
      <c r="O27" s="24"/>
      <c r="P27" s="24"/>
      <c r="Q27" s="24">
        <v>1</v>
      </c>
      <c r="R27" s="63" t="s">
        <v>1175</v>
      </c>
      <c r="S27" s="24"/>
      <c r="T27" s="24"/>
      <c r="U27" s="53" t="s">
        <v>1176</v>
      </c>
      <c r="V27" s="53" t="s">
        <v>355</v>
      </c>
      <c r="W27" s="53" t="s">
        <v>298</v>
      </c>
      <c r="X27" s="53" t="s">
        <v>227</v>
      </c>
      <c r="Y27" s="20">
        <v>9051407153</v>
      </c>
      <c r="Z27" s="20"/>
      <c r="AA27" s="53" t="s">
        <v>1177</v>
      </c>
      <c r="AB27" s="53" t="s">
        <v>528</v>
      </c>
      <c r="AC27" s="24">
        <v>1</v>
      </c>
      <c r="AD27" s="24"/>
      <c r="AE27" s="24"/>
      <c r="AF27" s="24"/>
      <c r="AG27" s="24"/>
      <c r="AH27" s="20"/>
      <c r="AI27" s="42"/>
    </row>
    <row r="28" spans="1:35">
      <c r="A28" s="14"/>
      <c r="B28" s="20"/>
      <c r="C28" s="62" t="s">
        <v>1172</v>
      </c>
      <c r="D28" s="20" t="s">
        <v>501</v>
      </c>
      <c r="E28" s="20"/>
      <c r="F28" s="53" t="s">
        <v>1178</v>
      </c>
      <c r="G28" s="53" t="s">
        <v>989</v>
      </c>
      <c r="H28" s="53" t="s">
        <v>977</v>
      </c>
      <c r="I28" s="32">
        <v>19716</v>
      </c>
      <c r="J28" s="24">
        <v>1</v>
      </c>
      <c r="K28" s="24"/>
      <c r="L28" s="24"/>
      <c r="M28" s="24">
        <v>1</v>
      </c>
      <c r="N28" s="24"/>
      <c r="O28" s="24"/>
      <c r="P28" s="24"/>
      <c r="Q28" s="24">
        <v>1</v>
      </c>
      <c r="R28" s="75" t="s">
        <v>1175</v>
      </c>
      <c r="S28" s="24"/>
      <c r="T28" s="24"/>
      <c r="U28" s="62" t="s">
        <v>1136</v>
      </c>
      <c r="V28" s="53" t="s">
        <v>355</v>
      </c>
      <c r="W28" s="53" t="s">
        <v>298</v>
      </c>
      <c r="X28" s="53" t="s">
        <v>227</v>
      </c>
      <c r="Y28" s="20">
        <v>9533319660</v>
      </c>
      <c r="Z28" s="20"/>
      <c r="AA28" s="53" t="s">
        <v>1177</v>
      </c>
      <c r="AB28" s="53" t="s">
        <v>528</v>
      </c>
      <c r="AC28" s="24">
        <v>1</v>
      </c>
      <c r="AD28" s="24"/>
      <c r="AE28" s="24"/>
      <c r="AF28" s="24"/>
      <c r="AG28" s="24"/>
      <c r="AH28" s="20"/>
      <c r="AI28" s="42"/>
    </row>
    <row r="29" spans="1:35">
      <c r="A29" s="14"/>
      <c r="B29" s="20"/>
      <c r="C29" s="62" t="s">
        <v>1172</v>
      </c>
      <c r="D29" s="20" t="s">
        <v>501</v>
      </c>
      <c r="E29" s="20"/>
      <c r="F29" s="53" t="s">
        <v>1075</v>
      </c>
      <c r="G29" s="53" t="s">
        <v>1179</v>
      </c>
      <c r="H29" s="53" t="s">
        <v>126</v>
      </c>
      <c r="I29" s="32">
        <v>28408</v>
      </c>
      <c r="J29" s="24">
        <v>1</v>
      </c>
      <c r="K29" s="24"/>
      <c r="L29" s="24"/>
      <c r="M29" s="24"/>
      <c r="N29" s="24"/>
      <c r="O29" s="24"/>
      <c r="P29" s="24"/>
      <c r="Q29" s="24">
        <v>1</v>
      </c>
      <c r="R29" s="75" t="s">
        <v>1175</v>
      </c>
      <c r="S29" s="24"/>
      <c r="T29" s="24"/>
      <c r="U29" s="53" t="s">
        <v>1176</v>
      </c>
      <c r="V29" s="53" t="s">
        <v>355</v>
      </c>
      <c r="W29" s="53" t="s">
        <v>298</v>
      </c>
      <c r="X29" s="53" t="s">
        <v>227</v>
      </c>
      <c r="Y29" s="20">
        <v>9774153255</v>
      </c>
      <c r="Z29" s="20"/>
      <c r="AA29" s="53" t="s">
        <v>1177</v>
      </c>
      <c r="AB29" s="53" t="s">
        <v>528</v>
      </c>
      <c r="AC29" s="24">
        <v>1</v>
      </c>
      <c r="AD29" s="24"/>
      <c r="AE29" s="24"/>
      <c r="AF29" s="24"/>
      <c r="AG29" s="24"/>
      <c r="AH29" s="20"/>
      <c r="AI29" s="42"/>
    </row>
    <row r="30" spans="1:35">
      <c r="A30" s="14"/>
      <c r="B30" s="20"/>
      <c r="C30" s="62" t="s">
        <v>1172</v>
      </c>
      <c r="D30" s="20" t="s">
        <v>501</v>
      </c>
      <c r="E30" s="20"/>
      <c r="F30" s="62" t="s">
        <v>1181</v>
      </c>
      <c r="G30" s="53" t="s">
        <v>1182</v>
      </c>
      <c r="H30" s="53" t="s">
        <v>1183</v>
      </c>
      <c r="I30" s="32">
        <v>26028</v>
      </c>
      <c r="J30" s="24">
        <v>1</v>
      </c>
      <c r="K30" s="24"/>
      <c r="L30" s="24"/>
      <c r="M30" s="24"/>
      <c r="N30" s="24"/>
      <c r="O30" s="24"/>
      <c r="P30" s="24"/>
      <c r="Q30" s="24">
        <v>1</v>
      </c>
      <c r="R30" s="75" t="s">
        <v>1180</v>
      </c>
      <c r="S30" s="24"/>
      <c r="T30" s="24"/>
      <c r="U30" s="53" t="s">
        <v>1176</v>
      </c>
      <c r="V30" s="53" t="s">
        <v>355</v>
      </c>
      <c r="W30" s="53" t="s">
        <v>298</v>
      </c>
      <c r="X30" s="53" t="s">
        <v>227</v>
      </c>
      <c r="Y30" s="20">
        <v>9506056255</v>
      </c>
      <c r="Z30" s="20"/>
      <c r="AA30" s="53" t="s">
        <v>1177</v>
      </c>
      <c r="AB30" s="53" t="s">
        <v>528</v>
      </c>
      <c r="AC30" s="24">
        <v>1</v>
      </c>
      <c r="AD30" s="24"/>
      <c r="AE30" s="24"/>
      <c r="AF30" s="24"/>
      <c r="AG30" s="24"/>
      <c r="AH30" s="20"/>
      <c r="AI30" s="42"/>
    </row>
    <row r="31" spans="1:35">
      <c r="A31" s="14"/>
      <c r="B31" s="20"/>
      <c r="C31" s="62" t="s">
        <v>1172</v>
      </c>
      <c r="D31" s="20" t="s">
        <v>501</v>
      </c>
      <c r="E31" s="20"/>
      <c r="F31" s="53" t="s">
        <v>1075</v>
      </c>
      <c r="G31" s="53" t="s">
        <v>1184</v>
      </c>
      <c r="H31" s="20"/>
      <c r="I31" s="32">
        <v>27376</v>
      </c>
      <c r="J31" s="24">
        <v>1</v>
      </c>
      <c r="K31" s="24"/>
      <c r="L31" s="24"/>
      <c r="M31" s="24"/>
      <c r="N31" s="24"/>
      <c r="O31" s="24"/>
      <c r="P31" s="24"/>
      <c r="Q31" s="24">
        <v>1</v>
      </c>
      <c r="R31" s="63" t="s">
        <v>1180</v>
      </c>
      <c r="S31" s="24"/>
      <c r="T31" s="24"/>
      <c r="U31" s="53" t="s">
        <v>1176</v>
      </c>
      <c r="V31" s="53" t="s">
        <v>355</v>
      </c>
      <c r="W31" s="53" t="s">
        <v>298</v>
      </c>
      <c r="X31" s="53" t="s">
        <v>227</v>
      </c>
      <c r="Y31" s="20">
        <v>9263054541</v>
      </c>
      <c r="Z31" s="20"/>
      <c r="AA31" s="53" t="s">
        <v>1177</v>
      </c>
      <c r="AB31" s="53" t="s">
        <v>528</v>
      </c>
      <c r="AC31" s="24">
        <v>1</v>
      </c>
      <c r="AD31" s="24"/>
      <c r="AE31" s="24"/>
      <c r="AF31" s="24"/>
      <c r="AG31" s="24"/>
      <c r="AH31" s="20"/>
      <c r="AI31" s="42"/>
    </row>
    <row r="32" spans="1:35">
      <c r="A32" s="14"/>
      <c r="B32" s="20"/>
      <c r="C32" s="62" t="s">
        <v>1172</v>
      </c>
      <c r="D32" s="20" t="s">
        <v>501</v>
      </c>
      <c r="E32" s="20"/>
      <c r="F32" s="62" t="s">
        <v>1185</v>
      </c>
      <c r="G32" s="53" t="s">
        <v>1186</v>
      </c>
      <c r="H32" s="53" t="s">
        <v>113</v>
      </c>
      <c r="I32" s="32">
        <v>23877</v>
      </c>
      <c r="J32" s="24"/>
      <c r="K32" s="24">
        <v>1</v>
      </c>
      <c r="L32" s="24"/>
      <c r="M32" s="24"/>
      <c r="N32" s="24"/>
      <c r="O32" s="24"/>
      <c r="P32" s="24"/>
      <c r="Q32" s="24">
        <v>1</v>
      </c>
      <c r="R32" s="75" t="s">
        <v>1175</v>
      </c>
      <c r="S32" s="24"/>
      <c r="T32" s="24"/>
      <c r="U32" s="53" t="s">
        <v>1187</v>
      </c>
      <c r="V32" s="53" t="s">
        <v>872</v>
      </c>
      <c r="W32" s="53" t="s">
        <v>280</v>
      </c>
      <c r="X32" s="53" t="s">
        <v>227</v>
      </c>
      <c r="Y32" s="20">
        <v>9186992440</v>
      </c>
      <c r="Z32" s="20"/>
      <c r="AA32" s="53" t="s">
        <v>1177</v>
      </c>
      <c r="AB32" s="53" t="s">
        <v>528</v>
      </c>
      <c r="AC32" s="24">
        <v>1</v>
      </c>
      <c r="AD32" s="24"/>
      <c r="AE32" s="24"/>
      <c r="AF32" s="24"/>
      <c r="AG32" s="24"/>
      <c r="AH32" s="20"/>
      <c r="AI32" s="42"/>
    </row>
    <row r="33" spans="1:35">
      <c r="A33" s="14"/>
      <c r="B33" s="20"/>
      <c r="C33" s="62" t="s">
        <v>1172</v>
      </c>
      <c r="D33" s="20" t="s">
        <v>501</v>
      </c>
      <c r="E33" s="20"/>
      <c r="F33" s="53" t="s">
        <v>1188</v>
      </c>
      <c r="G33" s="53" t="s">
        <v>1189</v>
      </c>
      <c r="H33" s="53" t="s">
        <v>113</v>
      </c>
      <c r="I33" s="32">
        <v>31561</v>
      </c>
      <c r="J33" s="24"/>
      <c r="K33" s="24">
        <v>1</v>
      </c>
      <c r="L33" s="24"/>
      <c r="M33" s="24"/>
      <c r="N33" s="24"/>
      <c r="O33" s="24"/>
      <c r="P33" s="24"/>
      <c r="Q33" s="24">
        <v>1</v>
      </c>
      <c r="R33" s="75" t="s">
        <v>1175</v>
      </c>
      <c r="S33" s="24"/>
      <c r="T33" s="24"/>
      <c r="U33" s="53" t="s">
        <v>1187</v>
      </c>
      <c r="V33" s="53" t="s">
        <v>872</v>
      </c>
      <c r="W33" s="53" t="s">
        <v>280</v>
      </c>
      <c r="X33" s="53" t="s">
        <v>227</v>
      </c>
      <c r="Y33" s="20">
        <v>9500299687</v>
      </c>
      <c r="Z33" s="20"/>
      <c r="AA33" s="53" t="s">
        <v>1177</v>
      </c>
      <c r="AB33" s="53" t="s">
        <v>528</v>
      </c>
      <c r="AC33" s="24">
        <v>1</v>
      </c>
      <c r="AD33" s="24"/>
      <c r="AE33" s="24"/>
      <c r="AF33" s="24"/>
      <c r="AG33" s="24"/>
      <c r="AH33" s="20"/>
      <c r="AI33" s="42"/>
    </row>
    <row r="34" spans="1:35">
      <c r="A34" s="14"/>
      <c r="B34" s="20"/>
      <c r="C34" s="62" t="s">
        <v>1172</v>
      </c>
      <c r="D34" s="20" t="s">
        <v>501</v>
      </c>
      <c r="E34" s="20"/>
      <c r="F34" s="53" t="s">
        <v>1191</v>
      </c>
      <c r="G34" s="53" t="s">
        <v>1192</v>
      </c>
      <c r="H34" s="53" t="s">
        <v>126</v>
      </c>
      <c r="I34" s="32">
        <v>27998</v>
      </c>
      <c r="J34" s="24"/>
      <c r="K34" s="24">
        <v>1</v>
      </c>
      <c r="L34" s="24"/>
      <c r="M34" s="24"/>
      <c r="N34" s="24"/>
      <c r="O34" s="24"/>
      <c r="P34" s="24"/>
      <c r="Q34" s="24">
        <v>1</v>
      </c>
      <c r="R34" s="75" t="s">
        <v>1175</v>
      </c>
      <c r="S34" s="24"/>
      <c r="T34" s="24"/>
      <c r="U34" s="53" t="s">
        <v>1187</v>
      </c>
      <c r="V34" s="53" t="s">
        <v>872</v>
      </c>
      <c r="W34" s="53" t="s">
        <v>280</v>
      </c>
      <c r="X34" s="53" t="s">
        <v>227</v>
      </c>
      <c r="Y34" s="20">
        <v>9386788127</v>
      </c>
      <c r="Z34" s="20"/>
      <c r="AA34" s="53" t="s">
        <v>1177</v>
      </c>
      <c r="AB34" s="53" t="s">
        <v>528</v>
      </c>
      <c r="AC34" s="24">
        <v>1</v>
      </c>
      <c r="AD34" s="24"/>
      <c r="AE34" s="24"/>
      <c r="AF34" s="24"/>
      <c r="AG34" s="24"/>
      <c r="AH34" s="20"/>
      <c r="AI34" s="42"/>
    </row>
    <row r="35" spans="1:35">
      <c r="A35" s="14"/>
      <c r="B35" s="20"/>
      <c r="C35" s="62" t="s">
        <v>1172</v>
      </c>
      <c r="D35" s="20" t="s">
        <v>501</v>
      </c>
      <c r="E35" s="20"/>
      <c r="F35" s="53" t="s">
        <v>1193</v>
      </c>
      <c r="G35" s="53" t="s">
        <v>1194</v>
      </c>
      <c r="H35" s="53" t="s">
        <v>113</v>
      </c>
      <c r="I35" s="32">
        <v>27312</v>
      </c>
      <c r="J35" s="24"/>
      <c r="K35" s="24">
        <v>1</v>
      </c>
      <c r="L35" s="24"/>
      <c r="M35" s="24"/>
      <c r="N35" s="24"/>
      <c r="O35" s="24"/>
      <c r="P35" s="24"/>
      <c r="Q35" s="24">
        <v>1</v>
      </c>
      <c r="R35" s="75" t="s">
        <v>1175</v>
      </c>
      <c r="S35" s="24"/>
      <c r="T35" s="24"/>
      <c r="U35" s="53" t="s">
        <v>1190</v>
      </c>
      <c r="V35" s="53" t="s">
        <v>872</v>
      </c>
      <c r="W35" s="53" t="s">
        <v>280</v>
      </c>
      <c r="X35" s="53" t="s">
        <v>227</v>
      </c>
      <c r="Y35" s="20">
        <v>9199513382</v>
      </c>
      <c r="Z35" s="20"/>
      <c r="AA35" s="53" t="s">
        <v>1177</v>
      </c>
      <c r="AB35" s="53" t="s">
        <v>528</v>
      </c>
      <c r="AC35" s="24">
        <v>1</v>
      </c>
      <c r="AD35" s="24"/>
      <c r="AE35" s="24"/>
      <c r="AF35" s="24"/>
      <c r="AG35" s="24"/>
      <c r="AH35" s="20"/>
      <c r="AI35" s="42"/>
    </row>
    <row r="36" spans="1:35">
      <c r="A36" s="14"/>
      <c r="B36" s="20"/>
      <c r="C36" s="62" t="s">
        <v>1172</v>
      </c>
      <c r="D36" s="20" t="s">
        <v>501</v>
      </c>
      <c r="E36" s="20"/>
      <c r="F36" s="53" t="s">
        <v>1195</v>
      </c>
      <c r="G36" s="53" t="s">
        <v>1194</v>
      </c>
      <c r="H36" s="53" t="s">
        <v>115</v>
      </c>
      <c r="I36" s="32">
        <v>27312</v>
      </c>
      <c r="J36" s="24"/>
      <c r="K36" s="24">
        <v>1</v>
      </c>
      <c r="L36" s="24"/>
      <c r="M36" s="24"/>
      <c r="N36" s="24"/>
      <c r="O36" s="24"/>
      <c r="P36" s="24"/>
      <c r="Q36" s="24">
        <v>1</v>
      </c>
      <c r="R36" s="75" t="s">
        <v>1175</v>
      </c>
      <c r="S36" s="24"/>
      <c r="T36" s="24"/>
      <c r="U36" s="53" t="s">
        <v>1190</v>
      </c>
      <c r="V36" s="53" t="s">
        <v>872</v>
      </c>
      <c r="W36" s="53" t="s">
        <v>280</v>
      </c>
      <c r="X36" s="53" t="s">
        <v>227</v>
      </c>
      <c r="Y36" s="20">
        <v>9199513382</v>
      </c>
      <c r="Z36" s="20"/>
      <c r="AA36" s="53" t="s">
        <v>1177</v>
      </c>
      <c r="AB36" s="53" t="s">
        <v>528</v>
      </c>
      <c r="AC36" s="24">
        <v>1</v>
      </c>
      <c r="AD36" s="24"/>
      <c r="AE36" s="24"/>
      <c r="AF36" s="24"/>
      <c r="AG36" s="24"/>
      <c r="AH36" s="20"/>
      <c r="AI36" s="42"/>
    </row>
    <row r="37" spans="1:35">
      <c r="A37" s="14"/>
      <c r="B37" s="20"/>
      <c r="C37" s="62" t="s">
        <v>1172</v>
      </c>
      <c r="D37" s="20" t="s">
        <v>501</v>
      </c>
      <c r="E37" s="20"/>
      <c r="F37" s="53" t="s">
        <v>1196</v>
      </c>
      <c r="G37" s="53" t="s">
        <v>1197</v>
      </c>
      <c r="H37" s="53" t="s">
        <v>283</v>
      </c>
      <c r="I37" s="32">
        <v>25755</v>
      </c>
      <c r="J37" s="24"/>
      <c r="K37" s="24">
        <v>1</v>
      </c>
      <c r="L37" s="24"/>
      <c r="M37" s="24"/>
      <c r="N37" s="24"/>
      <c r="O37" s="24"/>
      <c r="P37" s="24"/>
      <c r="Q37" s="24">
        <v>1</v>
      </c>
      <c r="R37" s="75" t="s">
        <v>1175</v>
      </c>
      <c r="S37" s="24"/>
      <c r="T37" s="24"/>
      <c r="U37" s="53" t="s">
        <v>1187</v>
      </c>
      <c r="V37" s="53" t="s">
        <v>872</v>
      </c>
      <c r="W37" s="53" t="s">
        <v>280</v>
      </c>
      <c r="X37" s="53" t="s">
        <v>227</v>
      </c>
      <c r="Y37" s="20">
        <v>9127667748</v>
      </c>
      <c r="Z37" s="20"/>
      <c r="AA37" s="53" t="s">
        <v>1177</v>
      </c>
      <c r="AB37" s="53" t="s">
        <v>528</v>
      </c>
      <c r="AC37" s="24">
        <v>1</v>
      </c>
      <c r="AD37" s="24"/>
      <c r="AE37" s="24"/>
      <c r="AF37" s="24"/>
      <c r="AG37" s="24"/>
      <c r="AH37" s="20"/>
      <c r="AI37" s="42"/>
    </row>
    <row r="38" spans="1:35">
      <c r="A38" s="14"/>
      <c r="B38" s="20"/>
      <c r="C38" s="62" t="s">
        <v>1172</v>
      </c>
      <c r="D38" s="20" t="s">
        <v>501</v>
      </c>
      <c r="E38" s="20"/>
      <c r="F38" s="53" t="s">
        <v>1198</v>
      </c>
      <c r="G38" s="53" t="s">
        <v>1199</v>
      </c>
      <c r="H38" s="53" t="s">
        <v>409</v>
      </c>
      <c r="I38" s="32">
        <v>26552</v>
      </c>
      <c r="J38" s="24"/>
      <c r="K38" s="24">
        <v>1</v>
      </c>
      <c r="L38" s="24"/>
      <c r="M38" s="24"/>
      <c r="N38" s="24"/>
      <c r="O38" s="24"/>
      <c r="P38" s="24"/>
      <c r="Q38" s="24">
        <v>1</v>
      </c>
      <c r="R38" s="75" t="s">
        <v>1175</v>
      </c>
      <c r="S38" s="24"/>
      <c r="T38" s="24"/>
      <c r="U38" s="53" t="s">
        <v>1187</v>
      </c>
      <c r="V38" s="53" t="s">
        <v>872</v>
      </c>
      <c r="W38" s="53" t="s">
        <v>280</v>
      </c>
      <c r="X38" s="53" t="s">
        <v>227</v>
      </c>
      <c r="Y38" s="20">
        <v>9701202077</v>
      </c>
      <c r="Z38" s="20"/>
      <c r="AA38" s="53" t="s">
        <v>1177</v>
      </c>
      <c r="AB38" s="53" t="s">
        <v>528</v>
      </c>
      <c r="AC38" s="24">
        <v>1</v>
      </c>
      <c r="AD38" s="24"/>
      <c r="AE38" s="24"/>
      <c r="AF38" s="24"/>
      <c r="AG38" s="24"/>
      <c r="AH38" s="20"/>
      <c r="AI38" s="42"/>
    </row>
    <row r="39" spans="1:35">
      <c r="A39" s="14"/>
      <c r="B39" s="20"/>
      <c r="C39" s="20"/>
      <c r="D39" s="20"/>
      <c r="E39" s="20"/>
      <c r="F39" s="20"/>
      <c r="G39" s="20"/>
      <c r="H39" s="20"/>
      <c r="I39" s="3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20"/>
      <c r="AB39" s="20"/>
      <c r="AC39" s="24"/>
      <c r="AD39" s="24"/>
      <c r="AE39" s="24"/>
      <c r="AF39" s="24"/>
      <c r="AG39" s="24"/>
      <c r="AH39" s="20"/>
      <c r="AI39" s="42"/>
    </row>
    <row r="40" spans="1:35" s="6" customFormat="1">
      <c r="A40" s="18"/>
      <c r="B40" s="19"/>
      <c r="C40" s="19" t="s">
        <v>83</v>
      </c>
      <c r="D40" s="19"/>
      <c r="E40" s="19"/>
      <c r="F40" s="19"/>
      <c r="G40" s="19"/>
      <c r="H40" s="19"/>
      <c r="I40" s="30"/>
      <c r="J40" s="31">
        <f>SUM(J41:J51)</f>
        <v>0</v>
      </c>
      <c r="K40" s="31">
        <f>SUM(K41:K51)</f>
        <v>0</v>
      </c>
      <c r="L40" s="31">
        <f>SUM(L41:L51)</f>
        <v>0</v>
      </c>
      <c r="M40" s="31">
        <f>SUM(M41:M51)</f>
        <v>0</v>
      </c>
      <c r="N40" s="31">
        <f>SUM(N41:N51)</f>
        <v>0</v>
      </c>
      <c r="O40" s="31"/>
      <c r="P40" s="31">
        <f>SUM(P41:P51)</f>
        <v>0</v>
      </c>
      <c r="Q40" s="31">
        <f>SUM(Q41:Q51)</f>
        <v>0</v>
      </c>
      <c r="R40" s="31"/>
      <c r="S40" s="31">
        <f>SUM(S41:S51)</f>
        <v>0</v>
      </c>
      <c r="T40" s="31">
        <f>SUM(T41:T51)</f>
        <v>0</v>
      </c>
      <c r="U40" s="19"/>
      <c r="V40" s="19"/>
      <c r="W40" s="19"/>
      <c r="X40" s="19"/>
      <c r="Y40" s="19"/>
      <c r="Z40" s="19"/>
      <c r="AA40" s="19"/>
      <c r="AB40" s="19"/>
      <c r="AC40" s="31">
        <f>SUM(AC41:AC51)</f>
        <v>0</v>
      </c>
      <c r="AD40" s="31">
        <f>SUM(AD41:AD51)</f>
        <v>0</v>
      </c>
      <c r="AE40" s="31" t="e">
        <f>AVERAGE(AE41:AE51)</f>
        <v>#DIV/0!</v>
      </c>
      <c r="AF40" s="31" t="e">
        <f>AVERAGE(AF41:AF51)</f>
        <v>#DIV/0!</v>
      </c>
      <c r="AG40" s="31" t="e">
        <f>AVERAGE(AG41:AG51)</f>
        <v>#DIV/0!</v>
      </c>
      <c r="AH40" s="19"/>
      <c r="AI40" s="41"/>
    </row>
    <row r="41" spans="1:35">
      <c r="A41" s="14"/>
      <c r="B41" s="20"/>
      <c r="C41" s="20"/>
      <c r="D41" s="20"/>
      <c r="E41" s="20"/>
      <c r="F41" s="20"/>
      <c r="G41" s="20"/>
      <c r="H41" s="20"/>
      <c r="I41" s="3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20"/>
      <c r="AB41" s="20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/>
      <c r="G42" s="20"/>
      <c r="H42" s="20"/>
      <c r="I42" s="3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20"/>
      <c r="AB42" s="20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/>
      <c r="G43" s="20"/>
      <c r="H43" s="20"/>
      <c r="I43" s="3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20"/>
      <c r="AB43" s="20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/>
      <c r="G44" s="20"/>
      <c r="H44" s="20"/>
      <c r="I44" s="32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20"/>
      <c r="AB44" s="20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/>
      <c r="G45" s="20"/>
      <c r="H45" s="20"/>
      <c r="I45" s="32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20"/>
      <c r="AB45" s="20"/>
      <c r="AC45" s="24"/>
      <c r="AD45" s="24"/>
      <c r="AE45" s="24"/>
      <c r="AF45" s="24"/>
      <c r="AG45" s="24"/>
      <c r="AH45" s="20"/>
      <c r="AI45" s="42"/>
    </row>
    <row r="46" spans="1:35">
      <c r="A46" s="14"/>
      <c r="B46" s="20"/>
      <c r="C46" s="20"/>
      <c r="D46" s="20"/>
      <c r="E46" s="20"/>
      <c r="F46" s="20"/>
      <c r="G46" s="20"/>
      <c r="H46" s="20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/>
      <c r="G47" s="20"/>
      <c r="H47" s="20"/>
      <c r="I47" s="3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20"/>
      <c r="AB47" s="20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/>
      <c r="G48" s="20"/>
      <c r="H48" s="20"/>
      <c r="I48" s="32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20"/>
      <c r="AB48" s="20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/>
      <c r="G49" s="20"/>
      <c r="H49" s="20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20"/>
      <c r="AB49" s="20"/>
      <c r="AC49" s="24"/>
      <c r="AD49" s="24"/>
      <c r="AE49" s="24"/>
      <c r="AF49" s="24"/>
      <c r="AG49" s="24"/>
      <c r="AH49" s="20"/>
      <c r="AI49" s="42"/>
    </row>
    <row r="50" spans="1:35">
      <c r="A50" s="14"/>
      <c r="B50" s="20"/>
      <c r="C50" s="20"/>
      <c r="D50" s="20"/>
      <c r="E50" s="20"/>
      <c r="F50" s="20"/>
      <c r="G50" s="20"/>
      <c r="H50" s="20"/>
      <c r="I50" s="32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0"/>
      <c r="V50" s="20"/>
      <c r="W50" s="20"/>
      <c r="X50" s="20"/>
      <c r="Y50" s="20"/>
      <c r="Z50" s="20"/>
      <c r="AA50" s="20"/>
      <c r="AB50" s="20"/>
      <c r="AC50" s="24"/>
      <c r="AD50" s="24"/>
      <c r="AE50" s="24"/>
      <c r="AF50" s="24"/>
      <c r="AG50" s="24"/>
      <c r="AH50" s="20"/>
      <c r="AI50" s="42"/>
    </row>
    <row r="51" spans="1:35">
      <c r="A51" s="14"/>
      <c r="B51" s="20"/>
      <c r="C51" s="20"/>
      <c r="D51" s="20"/>
      <c r="E51" s="20"/>
      <c r="F51" s="20"/>
      <c r="G51" s="20"/>
      <c r="H51" s="20"/>
      <c r="I51" s="3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20"/>
      <c r="AB51" s="20"/>
      <c r="AC51" s="24"/>
      <c r="AD51" s="24"/>
      <c r="AE51" s="24"/>
      <c r="AF51" s="24"/>
      <c r="AG51" s="24"/>
      <c r="AH51" s="20"/>
      <c r="AI51" s="42"/>
    </row>
    <row r="52" spans="1:35" s="6" customFormat="1">
      <c r="A52" s="18"/>
      <c r="B52" s="19"/>
      <c r="C52" s="19" t="s">
        <v>84</v>
      </c>
      <c r="D52" s="19"/>
      <c r="E52" s="19"/>
      <c r="F52" s="19"/>
      <c r="G52" s="19"/>
      <c r="H52" s="19"/>
      <c r="I52" s="30"/>
      <c r="J52" s="31">
        <f>SUM(J53:J63)</f>
        <v>0</v>
      </c>
      <c r="K52" s="31">
        <f>SUM(K53:K63)</f>
        <v>0</v>
      </c>
      <c r="L52" s="31">
        <f>SUM(L53:L63)</f>
        <v>0</v>
      </c>
      <c r="M52" s="31">
        <f>SUM(M53:M63)</f>
        <v>0</v>
      </c>
      <c r="N52" s="31">
        <f>SUM(N53:N63)</f>
        <v>0</v>
      </c>
      <c r="O52" s="31"/>
      <c r="P52" s="31">
        <f>SUM(P53:P63)</f>
        <v>0</v>
      </c>
      <c r="Q52" s="31">
        <f>SUM(Q53:Q63)</f>
        <v>0</v>
      </c>
      <c r="R52" s="31"/>
      <c r="S52" s="31">
        <f>SUM(S53:S63)</f>
        <v>0</v>
      </c>
      <c r="T52" s="31">
        <f>SUM(T53:T63)</f>
        <v>0</v>
      </c>
      <c r="U52" s="19"/>
      <c r="V52" s="19"/>
      <c r="W52" s="19"/>
      <c r="X52" s="19"/>
      <c r="Y52" s="19"/>
      <c r="Z52" s="19"/>
      <c r="AA52" s="19"/>
      <c r="AB52" s="19"/>
      <c r="AC52" s="31">
        <f>SUM(AC53:AC63)</f>
        <v>0</v>
      </c>
      <c r="AD52" s="31">
        <f>SUM(AD53:AD63)</f>
        <v>0</v>
      </c>
      <c r="AE52" s="31" t="e">
        <f>AVERAGE(AE53:AE63)</f>
        <v>#DIV/0!</v>
      </c>
      <c r="AF52" s="31" t="e">
        <f>AVERAGE(AF53:AF63)</f>
        <v>#DIV/0!</v>
      </c>
      <c r="AG52" s="31" t="e">
        <f>AVERAGE(AG53:AG63)</f>
        <v>#DIV/0!</v>
      </c>
      <c r="AH52" s="19"/>
      <c r="AI52" s="41"/>
    </row>
    <row r="53" spans="1:35">
      <c r="A53" s="14"/>
      <c r="B53" s="20"/>
      <c r="C53" s="20"/>
      <c r="D53" s="20"/>
      <c r="E53" s="20"/>
      <c r="F53" s="20"/>
      <c r="G53" s="20"/>
      <c r="H53" s="20"/>
      <c r="I53" s="3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20"/>
      <c r="AB53" s="20"/>
      <c r="AC53" s="24"/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3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20"/>
      <c r="AB54" s="20"/>
      <c r="AC54" s="24"/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3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3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20"/>
      <c r="AB56" s="20"/>
      <c r="AC56" s="24"/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3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/>
      <c r="D58" s="20"/>
      <c r="E58" s="20"/>
      <c r="F58" s="20"/>
      <c r="G58" s="20"/>
      <c r="H58" s="20"/>
      <c r="I58" s="3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0"/>
      <c r="V58" s="20"/>
      <c r="W58" s="20"/>
      <c r="X58" s="20"/>
      <c r="Y58" s="20"/>
      <c r="Z58" s="20"/>
      <c r="AA58" s="20"/>
      <c r="AB58" s="20"/>
      <c r="AC58" s="24"/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/>
      <c r="D59" s="20"/>
      <c r="E59" s="20"/>
      <c r="F59" s="20"/>
      <c r="G59" s="20"/>
      <c r="H59" s="20"/>
      <c r="I59" s="3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3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  <row r="62" spans="1:35">
      <c r="A62" s="14"/>
      <c r="B62" s="20"/>
      <c r="C62" s="20"/>
      <c r="D62" s="20"/>
      <c r="E62" s="20"/>
      <c r="F62" s="20"/>
      <c r="G62" s="20"/>
      <c r="H62" s="20"/>
      <c r="I62" s="32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0"/>
      <c r="V62" s="20"/>
      <c r="W62" s="20"/>
      <c r="X62" s="20"/>
      <c r="Y62" s="20"/>
      <c r="Z62" s="20"/>
      <c r="AA62" s="20"/>
      <c r="AB62" s="20"/>
      <c r="AC62" s="24"/>
      <c r="AD62" s="24"/>
      <c r="AE62" s="24"/>
      <c r="AF62" s="24"/>
      <c r="AG62" s="24"/>
      <c r="AH62" s="20"/>
      <c r="AI62" s="42"/>
    </row>
    <row r="63" spans="1:35">
      <c r="A63" s="14"/>
      <c r="B63" s="20"/>
      <c r="C63" s="20"/>
      <c r="D63" s="20"/>
      <c r="E63" s="20"/>
      <c r="F63" s="20"/>
      <c r="G63" s="20"/>
      <c r="H63" s="20"/>
      <c r="I63" s="32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0"/>
      <c r="V63" s="20"/>
      <c r="W63" s="20"/>
      <c r="X63" s="20"/>
      <c r="Y63" s="20"/>
      <c r="Z63" s="20"/>
      <c r="AA63" s="20"/>
      <c r="AB63" s="20"/>
      <c r="AC63" s="24"/>
      <c r="AD63" s="24"/>
      <c r="AE63" s="24"/>
      <c r="AF63" s="24"/>
      <c r="AG63" s="24"/>
      <c r="AH63" s="20"/>
      <c r="AI63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phoneticPr fontId="19" type="noConversion"/>
  <conditionalFormatting sqref="L4:L8">
    <cfRule type="cellIs" dxfId="611" priority="2" operator="greaterThan">
      <formula>0</formula>
    </cfRule>
    <cfRule type="cellIs" dxfId="610" priority="3" operator="lessThan">
      <formula>0</formula>
    </cfRule>
  </conditionalFormatting>
  <conditionalFormatting sqref="A41:S51 A53:S63 A15:S25 U15:AI25 U53:AI63 U41:AI51 A27:S39 U27:AI39">
    <cfRule type="containsBlanks" dxfId="609" priority="4">
      <formula>LEN(TRIM(A15))=0</formula>
    </cfRule>
  </conditionalFormatting>
  <conditionalFormatting sqref="F15:F25 F27:F39 F41:F51 F53:F63">
    <cfRule type="duplicateValues" dxfId="608" priority="5"/>
  </conditionalFormatting>
  <conditionalFormatting sqref="G15:G25 G27:G39 G41:G51 G53:G63">
    <cfRule type="duplicateValues" dxfId="607" priority="6"/>
  </conditionalFormatting>
  <conditionalFormatting sqref="H15:H25 H27:H39 H41:H51 H53:H63">
    <cfRule type="duplicateValues" dxfId="606" priority="7"/>
  </conditionalFormatting>
  <conditionalFormatting sqref="T27:T39 T41:T51 T53:T63 T15:T25">
    <cfRule type="containsBlanks" dxfId="605" priority="1">
      <formula>LEN(TRIM(T15))=0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1176"/>
  <sheetViews>
    <sheetView tabSelected="1" zoomScale="70" zoomScaleNormal="70" workbookViewId="0">
      <pane ySplit="11" topLeftCell="A1144" activePane="bottomLeft" state="frozen"/>
      <selection pane="bottomLeft" activeCell="A1165" sqref="A1165"/>
    </sheetView>
  </sheetViews>
  <sheetFormatPr defaultColWidth="10.875" defaultRowHeight="15.75"/>
  <cols>
    <col min="1" max="1" width="16.625" style="7" customWidth="1"/>
    <col min="2" max="2" width="21.5" style="7" bestFit="1" customWidth="1"/>
    <col min="3" max="3" width="20.75" style="7" customWidth="1"/>
    <col min="4" max="4" width="17" style="7" customWidth="1"/>
    <col min="5" max="5" width="45.5" style="7" bestFit="1" customWidth="1"/>
    <col min="6" max="6" width="23.875" style="7" bestFit="1" customWidth="1"/>
    <col min="7" max="9" width="21.5" style="7" customWidth="1"/>
    <col min="10" max="11" width="15" style="7" customWidth="1"/>
    <col min="12" max="12" width="16.75" style="7" customWidth="1"/>
    <col min="13" max="13" width="15.625" style="7" customWidth="1"/>
    <col min="14" max="15" width="19.875" style="7" customWidth="1"/>
    <col min="16" max="17" width="15" style="7" customWidth="1"/>
    <col min="18" max="18" width="37.625" style="7" bestFit="1" customWidth="1"/>
    <col min="19" max="19" width="15" style="7" customWidth="1"/>
    <col min="20" max="20" width="20.75" style="7" customWidth="1"/>
    <col min="21" max="21" width="23.875" style="7" customWidth="1"/>
    <col min="22" max="22" width="25.125" style="7" customWidth="1"/>
    <col min="23" max="24" width="23.875" style="7" customWidth="1"/>
    <col min="25" max="25" width="24.875" style="7" customWidth="1"/>
    <col min="26" max="26" width="23.875" style="7" customWidth="1"/>
    <col min="27" max="27" width="68.25" style="7" bestFit="1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 hidden="1">
      <c r="A1" s="1" t="s">
        <v>0</v>
      </c>
    </row>
    <row r="2" spans="1:35" s="2" customFormat="1" ht="18.75" hidden="1">
      <c r="A2" s="2" t="s">
        <v>98</v>
      </c>
    </row>
    <row r="3" spans="1:35" hidden="1">
      <c r="H3" s="8"/>
      <c r="I3" s="8"/>
      <c r="J3" s="22" t="s">
        <v>2</v>
      </c>
      <c r="K3" s="22" t="s">
        <v>86</v>
      </c>
      <c r="L3" s="22" t="s">
        <v>4</v>
      </c>
    </row>
    <row r="4" spans="1:35" hidden="1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612</v>
      </c>
      <c r="K4" s="24">
        <f>'[7]SUMMARY WFP 2022'!VX220</f>
        <v>0</v>
      </c>
      <c r="L4" s="25">
        <f>J4-K4</f>
        <v>612</v>
      </c>
    </row>
    <row r="5" spans="1:35" hidden="1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423</v>
      </c>
      <c r="K5" s="24">
        <f>'[7]SUMMARY WFP 2022'!VY220</f>
        <v>0</v>
      </c>
      <c r="L5" s="25">
        <f>J5-K5</f>
        <v>423</v>
      </c>
    </row>
    <row r="6" spans="1:35" ht="15.75" hidden="1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1035</v>
      </c>
      <c r="K6" s="25">
        <f>SUM(K4:K5)</f>
        <v>0</v>
      </c>
      <c r="L6" s="25">
        <f>J6-K6</f>
        <v>1035</v>
      </c>
    </row>
    <row r="7" spans="1:35" ht="15.75" hidden="1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2022'!WA220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1123</v>
      </c>
      <c r="K8" s="24">
        <f>'[7]SUMMARY WFP 2022'!VM220</f>
        <v>0</v>
      </c>
      <c r="L8" s="25">
        <f>J8-K8</f>
        <v>1123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47.25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0" t="s">
        <v>54</v>
      </c>
      <c r="B12" s="141" t="s">
        <v>55</v>
      </c>
      <c r="C12" s="141"/>
      <c r="D12" s="141" t="s">
        <v>56</v>
      </c>
      <c r="E12" s="141" t="s">
        <v>57</v>
      </c>
      <c r="F12" s="141" t="s">
        <v>58</v>
      </c>
      <c r="G12" s="141" t="s">
        <v>59</v>
      </c>
      <c r="H12" s="141" t="s">
        <v>60</v>
      </c>
      <c r="I12" s="235"/>
      <c r="J12" s="141" t="s">
        <v>61</v>
      </c>
      <c r="K12" s="141" t="s">
        <v>62</v>
      </c>
      <c r="L12" s="141" t="s">
        <v>63</v>
      </c>
      <c r="M12" s="141" t="s">
        <v>64</v>
      </c>
      <c r="N12" s="141" t="s">
        <v>65</v>
      </c>
      <c r="O12" s="141" t="s">
        <v>66</v>
      </c>
      <c r="P12" s="141" t="s">
        <v>67</v>
      </c>
      <c r="Q12" s="141" t="s">
        <v>68</v>
      </c>
      <c r="R12" s="141" t="s">
        <v>69</v>
      </c>
      <c r="S12" s="141" t="s">
        <v>70</v>
      </c>
      <c r="T12" s="142" t="s">
        <v>71</v>
      </c>
      <c r="U12" s="141"/>
      <c r="V12" s="141"/>
      <c r="W12" s="141"/>
      <c r="X12" s="141"/>
      <c r="Y12" s="141"/>
      <c r="Z12" s="141"/>
      <c r="AA12" s="141" t="s">
        <v>99</v>
      </c>
      <c r="AB12" s="141" t="s">
        <v>3100</v>
      </c>
      <c r="AC12" s="141" t="s">
        <v>74</v>
      </c>
      <c r="AD12" s="141" t="s">
        <v>75</v>
      </c>
      <c r="AE12" s="143" t="s">
        <v>76</v>
      </c>
      <c r="AF12" s="143" t="s">
        <v>76</v>
      </c>
      <c r="AG12" s="143" t="s">
        <v>76</v>
      </c>
      <c r="AH12" s="141"/>
      <c r="AI12" s="144"/>
    </row>
    <row r="13" spans="1:35" s="6" customFormat="1">
      <c r="A13" s="145"/>
      <c r="B13" s="146"/>
      <c r="C13" s="146" t="s">
        <v>11</v>
      </c>
      <c r="D13" s="146"/>
      <c r="E13" s="146"/>
      <c r="F13" s="146"/>
      <c r="G13" s="146"/>
      <c r="H13" s="146"/>
      <c r="I13" s="236"/>
      <c r="J13" s="147">
        <f t="shared" ref="J13:AD13" si="0">SUM(J14,J385,J667,J967)</f>
        <v>612</v>
      </c>
      <c r="K13" s="147">
        <f t="shared" si="0"/>
        <v>423</v>
      </c>
      <c r="L13" s="147">
        <f t="shared" si="0"/>
        <v>222</v>
      </c>
      <c r="M13" s="147">
        <f t="shared" si="0"/>
        <v>72</v>
      </c>
      <c r="N13" s="147">
        <f t="shared" si="0"/>
        <v>25</v>
      </c>
      <c r="O13" s="147">
        <f t="shared" si="0"/>
        <v>0</v>
      </c>
      <c r="P13" s="147">
        <f t="shared" si="0"/>
        <v>0</v>
      </c>
      <c r="Q13" s="147">
        <f t="shared" si="0"/>
        <v>517</v>
      </c>
      <c r="R13" s="147">
        <f t="shared" si="0"/>
        <v>0</v>
      </c>
      <c r="S13" s="147">
        <f t="shared" si="0"/>
        <v>0</v>
      </c>
      <c r="T13" s="147">
        <f t="shared" si="0"/>
        <v>0</v>
      </c>
      <c r="U13" s="147">
        <f t="shared" si="0"/>
        <v>0</v>
      </c>
      <c r="V13" s="147">
        <f t="shared" si="0"/>
        <v>0</v>
      </c>
      <c r="W13" s="147">
        <f t="shared" si="0"/>
        <v>0</v>
      </c>
      <c r="X13" s="147">
        <f t="shared" si="0"/>
        <v>0</v>
      </c>
      <c r="Y13" s="147">
        <f t="shared" si="0"/>
        <v>0</v>
      </c>
      <c r="Z13" s="147">
        <f t="shared" si="0"/>
        <v>0</v>
      </c>
      <c r="AA13" s="147">
        <f t="shared" si="0"/>
        <v>0</v>
      </c>
      <c r="AB13" s="147">
        <f t="shared" si="0"/>
        <v>0</v>
      </c>
      <c r="AC13" s="147">
        <f t="shared" si="0"/>
        <v>1123</v>
      </c>
      <c r="AD13" s="147">
        <f t="shared" si="0"/>
        <v>0</v>
      </c>
      <c r="AE13" s="147" t="s">
        <v>93</v>
      </c>
      <c r="AF13" s="147" t="s">
        <v>93</v>
      </c>
      <c r="AG13" s="147" t="s">
        <v>93</v>
      </c>
      <c r="AH13" s="146"/>
      <c r="AI13" s="148"/>
    </row>
    <row r="14" spans="1:35" s="6" customFormat="1">
      <c r="A14" s="149"/>
      <c r="B14" s="150"/>
      <c r="C14" s="150" t="s">
        <v>77</v>
      </c>
      <c r="D14" s="150"/>
      <c r="E14" s="150"/>
      <c r="F14" s="150"/>
      <c r="G14" s="150"/>
      <c r="H14" s="150"/>
      <c r="I14" s="237"/>
      <c r="J14" s="151">
        <f>SUM(J15:J384)</f>
        <v>188</v>
      </c>
      <c r="K14" s="151">
        <f>SUM(K15:K384)</f>
        <v>181</v>
      </c>
      <c r="L14" s="151">
        <f>SUM(L15:L384)</f>
        <v>11</v>
      </c>
      <c r="M14" s="151">
        <f>SUM(M15:M384)</f>
        <v>34</v>
      </c>
      <c r="N14" s="151">
        <f>SUM(N15:N384)</f>
        <v>0</v>
      </c>
      <c r="O14" s="151"/>
      <c r="P14" s="151">
        <f>SUM(P15:P384)</f>
        <v>0</v>
      </c>
      <c r="Q14" s="151">
        <f>SUM(Q15:Q384)</f>
        <v>55</v>
      </c>
      <c r="R14" s="151"/>
      <c r="S14" s="151">
        <f>SUM(S15:S384)</f>
        <v>0</v>
      </c>
      <c r="T14" s="151">
        <f>SUM(T15:T384)</f>
        <v>0</v>
      </c>
      <c r="U14" s="150"/>
      <c r="V14" s="150"/>
      <c r="W14" s="150"/>
      <c r="X14" s="150"/>
      <c r="Y14" s="150"/>
      <c r="Z14" s="150"/>
      <c r="AA14" s="150"/>
      <c r="AB14" s="150"/>
      <c r="AC14" s="151">
        <f>SUM(AC15:AC384)</f>
        <v>394</v>
      </c>
      <c r="AD14" s="151">
        <f>SUM(AD15:AD384)</f>
        <v>0</v>
      </c>
      <c r="AE14" s="151" t="e">
        <f>AVERAGE(AE15:AE384)</f>
        <v>#DIV/0!</v>
      </c>
      <c r="AF14" s="151" t="e">
        <f>AVERAGE(AF15:AF384)</f>
        <v>#DIV/0!</v>
      </c>
      <c r="AG14" s="151" t="e">
        <f>AVERAGE(AG15:AG384)</f>
        <v>#DIV/0!</v>
      </c>
      <c r="AH14" s="150"/>
      <c r="AI14" s="152"/>
    </row>
    <row r="15" spans="1:35">
      <c r="A15" s="140"/>
      <c r="B15" s="143"/>
      <c r="C15" s="143" t="s">
        <v>78</v>
      </c>
      <c r="D15" s="143" t="s">
        <v>501</v>
      </c>
      <c r="E15" s="143" t="s">
        <v>80</v>
      </c>
      <c r="F15" s="153" t="s">
        <v>376</v>
      </c>
      <c r="G15" s="153" t="s">
        <v>377</v>
      </c>
      <c r="H15" s="153" t="s">
        <v>283</v>
      </c>
      <c r="I15" s="227">
        <v>31034</v>
      </c>
      <c r="J15" s="154">
        <v>1</v>
      </c>
      <c r="K15" s="154"/>
      <c r="L15" s="155"/>
      <c r="M15" s="155"/>
      <c r="N15" s="155"/>
      <c r="O15" s="155"/>
      <c r="P15" s="155"/>
      <c r="Q15" s="155"/>
      <c r="R15" s="155"/>
      <c r="S15" s="155"/>
      <c r="T15" s="155"/>
      <c r="U15" s="156" t="s">
        <v>502</v>
      </c>
      <c r="V15" s="153" t="s">
        <v>503</v>
      </c>
      <c r="W15" s="143" t="s">
        <v>298</v>
      </c>
      <c r="X15" s="157" t="s">
        <v>227</v>
      </c>
      <c r="Y15" s="157">
        <v>9096157968</v>
      </c>
      <c r="Z15" s="143"/>
      <c r="AA15" s="157" t="s">
        <v>525</v>
      </c>
      <c r="AB15" s="143" t="s">
        <v>528</v>
      </c>
      <c r="AC15" s="155">
        <v>3</v>
      </c>
      <c r="AD15" s="155"/>
      <c r="AE15" s="155"/>
      <c r="AF15" s="155"/>
      <c r="AG15" s="155"/>
      <c r="AH15" s="143"/>
      <c r="AI15" s="158"/>
    </row>
    <row r="16" spans="1:35">
      <c r="A16" s="140"/>
      <c r="B16" s="143"/>
      <c r="C16" s="143" t="s">
        <v>78</v>
      </c>
      <c r="D16" s="143" t="s">
        <v>501</v>
      </c>
      <c r="E16" s="143" t="s">
        <v>80</v>
      </c>
      <c r="F16" s="153" t="s">
        <v>378</v>
      </c>
      <c r="G16" s="153" t="s">
        <v>379</v>
      </c>
      <c r="H16" s="153"/>
      <c r="I16" s="227">
        <v>33697</v>
      </c>
      <c r="J16" s="154">
        <v>1</v>
      </c>
      <c r="K16" s="154"/>
      <c r="L16" s="155"/>
      <c r="M16" s="155"/>
      <c r="N16" s="155"/>
      <c r="O16" s="155"/>
      <c r="P16" s="155"/>
      <c r="Q16" s="155"/>
      <c r="R16" s="155"/>
      <c r="S16" s="155"/>
      <c r="T16" s="155"/>
      <c r="U16" s="156" t="s">
        <v>504</v>
      </c>
      <c r="V16" s="153" t="s">
        <v>503</v>
      </c>
      <c r="W16" s="143" t="s">
        <v>298</v>
      </c>
      <c r="X16" s="157" t="s">
        <v>227</v>
      </c>
      <c r="Y16" s="157">
        <v>9958609000</v>
      </c>
      <c r="Z16" s="143"/>
      <c r="AA16" s="157" t="s">
        <v>524</v>
      </c>
      <c r="AB16" s="143" t="s">
        <v>528</v>
      </c>
      <c r="AC16" s="155">
        <v>1</v>
      </c>
      <c r="AD16" s="155"/>
      <c r="AE16" s="155"/>
      <c r="AF16" s="155"/>
      <c r="AG16" s="155"/>
      <c r="AH16" s="143"/>
      <c r="AI16" s="158"/>
    </row>
    <row r="17" spans="1:35">
      <c r="A17" s="140"/>
      <c r="B17" s="143"/>
      <c r="C17" s="143" t="s">
        <v>78</v>
      </c>
      <c r="D17" s="143" t="s">
        <v>501</v>
      </c>
      <c r="E17" s="143" t="s">
        <v>80</v>
      </c>
      <c r="F17" s="153" t="s">
        <v>380</v>
      </c>
      <c r="G17" s="153" t="s">
        <v>381</v>
      </c>
      <c r="H17" s="153"/>
      <c r="I17" s="227">
        <v>22697</v>
      </c>
      <c r="J17" s="154">
        <v>1</v>
      </c>
      <c r="K17" s="154"/>
      <c r="L17" s="155"/>
      <c r="M17" s="155"/>
      <c r="N17" s="155"/>
      <c r="O17" s="155"/>
      <c r="P17" s="155"/>
      <c r="Q17" s="155"/>
      <c r="R17" s="155"/>
      <c r="S17" s="155"/>
      <c r="T17" s="155"/>
      <c r="U17" s="156">
        <v>1</v>
      </c>
      <c r="V17" s="153" t="s">
        <v>218</v>
      </c>
      <c r="W17" s="143" t="s">
        <v>279</v>
      </c>
      <c r="X17" s="157" t="s">
        <v>227</v>
      </c>
      <c r="Y17" s="157">
        <v>9103003848</v>
      </c>
      <c r="Z17" s="143"/>
      <c r="AA17" s="157" t="s">
        <v>524</v>
      </c>
      <c r="AB17" s="143" t="s">
        <v>528</v>
      </c>
      <c r="AC17" s="155">
        <v>1</v>
      </c>
      <c r="AD17" s="155"/>
      <c r="AE17" s="155"/>
      <c r="AF17" s="155"/>
      <c r="AG17" s="155"/>
      <c r="AH17" s="143"/>
      <c r="AI17" s="158"/>
    </row>
    <row r="18" spans="1:35">
      <c r="A18" s="140"/>
      <c r="B18" s="143"/>
      <c r="C18" s="143" t="s">
        <v>78</v>
      </c>
      <c r="D18" s="143" t="s">
        <v>501</v>
      </c>
      <c r="E18" s="143" t="s">
        <v>80</v>
      </c>
      <c r="F18" s="159" t="s">
        <v>382</v>
      </c>
      <c r="G18" s="159" t="s">
        <v>383</v>
      </c>
      <c r="H18" s="159"/>
      <c r="I18" s="238"/>
      <c r="J18" s="160"/>
      <c r="K18" s="160">
        <v>1</v>
      </c>
      <c r="L18" s="155"/>
      <c r="M18" s="155"/>
      <c r="N18" s="155"/>
      <c r="O18" s="155"/>
      <c r="P18" s="155"/>
      <c r="Q18" s="155"/>
      <c r="R18" s="155"/>
      <c r="S18" s="155"/>
      <c r="T18" s="155"/>
      <c r="U18" s="161"/>
      <c r="V18" s="159" t="s">
        <v>503</v>
      </c>
      <c r="W18" s="143" t="s">
        <v>298</v>
      </c>
      <c r="X18" s="162" t="s">
        <v>227</v>
      </c>
      <c r="Y18" s="162"/>
      <c r="Z18" s="143"/>
      <c r="AA18" s="157" t="s">
        <v>525</v>
      </c>
      <c r="AB18" s="143" t="s">
        <v>528</v>
      </c>
      <c r="AC18" s="155">
        <v>1</v>
      </c>
      <c r="AD18" s="155"/>
      <c r="AE18" s="155"/>
      <c r="AF18" s="155"/>
      <c r="AG18" s="155"/>
      <c r="AH18" s="143"/>
      <c r="AI18" s="158"/>
    </row>
    <row r="19" spans="1:35">
      <c r="A19" s="140"/>
      <c r="B19" s="143"/>
      <c r="C19" s="143" t="s">
        <v>78</v>
      </c>
      <c r="D19" s="143" t="s">
        <v>501</v>
      </c>
      <c r="E19" s="143" t="s">
        <v>80</v>
      </c>
      <c r="F19" s="159" t="s">
        <v>384</v>
      </c>
      <c r="G19" s="159" t="s">
        <v>385</v>
      </c>
      <c r="H19" s="159"/>
      <c r="I19" s="238">
        <v>25183</v>
      </c>
      <c r="J19" s="160">
        <v>1</v>
      </c>
      <c r="K19" s="160"/>
      <c r="L19" s="155"/>
      <c r="M19" s="155"/>
      <c r="N19" s="155"/>
      <c r="O19" s="155"/>
      <c r="P19" s="155"/>
      <c r="Q19" s="155"/>
      <c r="R19" s="155"/>
      <c r="S19" s="155"/>
      <c r="T19" s="155"/>
      <c r="U19" s="161" t="s">
        <v>505</v>
      </c>
      <c r="V19" s="159" t="s">
        <v>503</v>
      </c>
      <c r="W19" s="143" t="s">
        <v>298</v>
      </c>
      <c r="X19" s="162" t="s">
        <v>227</v>
      </c>
      <c r="Y19" s="162"/>
      <c r="Z19" s="143"/>
      <c r="AA19" s="157" t="s">
        <v>524</v>
      </c>
      <c r="AB19" s="143" t="s">
        <v>528</v>
      </c>
      <c r="AC19" s="155">
        <v>1</v>
      </c>
      <c r="AD19" s="155"/>
      <c r="AE19" s="155"/>
      <c r="AF19" s="155"/>
      <c r="AG19" s="155"/>
      <c r="AH19" s="143"/>
      <c r="AI19" s="158"/>
    </row>
    <row r="20" spans="1:35">
      <c r="A20" s="140"/>
      <c r="B20" s="143"/>
      <c r="C20" s="143" t="s">
        <v>78</v>
      </c>
      <c r="D20" s="143" t="s">
        <v>501</v>
      </c>
      <c r="E20" s="143" t="s">
        <v>80</v>
      </c>
      <c r="F20" s="159" t="s">
        <v>386</v>
      </c>
      <c r="G20" s="159" t="s">
        <v>387</v>
      </c>
      <c r="H20" s="159"/>
      <c r="I20" s="238">
        <v>32771</v>
      </c>
      <c r="J20" s="160"/>
      <c r="K20" s="160">
        <v>1</v>
      </c>
      <c r="L20" s="155"/>
      <c r="M20" s="155"/>
      <c r="N20" s="155"/>
      <c r="O20" s="155"/>
      <c r="P20" s="155"/>
      <c r="Q20" s="155"/>
      <c r="R20" s="155"/>
      <c r="S20" s="155"/>
      <c r="T20" s="155"/>
      <c r="U20" s="161" t="s">
        <v>506</v>
      </c>
      <c r="V20" s="159" t="s">
        <v>503</v>
      </c>
      <c r="W20" s="143" t="s">
        <v>298</v>
      </c>
      <c r="X20" s="162" t="s">
        <v>227</v>
      </c>
      <c r="Y20" s="162">
        <v>9105684536</v>
      </c>
      <c r="Z20" s="143"/>
      <c r="AA20" s="162" t="s">
        <v>524</v>
      </c>
      <c r="AB20" s="143" t="s">
        <v>528</v>
      </c>
      <c r="AC20" s="155">
        <v>2</v>
      </c>
      <c r="AD20" s="155"/>
      <c r="AE20" s="155"/>
      <c r="AF20" s="155"/>
      <c r="AG20" s="155"/>
      <c r="AH20" s="143"/>
      <c r="AI20" s="158"/>
    </row>
    <row r="21" spans="1:35">
      <c r="A21" s="140"/>
      <c r="B21" s="143"/>
      <c r="C21" s="143" t="s">
        <v>78</v>
      </c>
      <c r="D21" s="143" t="s">
        <v>501</v>
      </c>
      <c r="E21" s="143" t="s">
        <v>80</v>
      </c>
      <c r="F21" s="153" t="s">
        <v>388</v>
      </c>
      <c r="G21" s="153" t="s">
        <v>389</v>
      </c>
      <c r="H21" s="153"/>
      <c r="I21" s="227">
        <v>28170</v>
      </c>
      <c r="J21" s="154">
        <v>1</v>
      </c>
      <c r="K21" s="154"/>
      <c r="L21" s="155"/>
      <c r="M21" s="155"/>
      <c r="N21" s="155"/>
      <c r="O21" s="155"/>
      <c r="P21" s="155"/>
      <c r="Q21" s="155"/>
      <c r="R21" s="155"/>
      <c r="S21" s="155"/>
      <c r="T21" s="155"/>
      <c r="U21" s="156" t="s">
        <v>507</v>
      </c>
      <c r="V21" s="153" t="s">
        <v>503</v>
      </c>
      <c r="W21" s="143" t="s">
        <v>298</v>
      </c>
      <c r="X21" s="157" t="s">
        <v>227</v>
      </c>
      <c r="Y21" s="157">
        <v>9653209914</v>
      </c>
      <c r="Z21" s="143"/>
      <c r="AA21" s="157" t="s">
        <v>525</v>
      </c>
      <c r="AB21" s="143" t="s">
        <v>527</v>
      </c>
      <c r="AC21" s="155">
        <v>1</v>
      </c>
      <c r="AD21" s="155"/>
      <c r="AE21" s="155"/>
      <c r="AF21" s="155"/>
      <c r="AG21" s="155"/>
      <c r="AH21" s="143"/>
      <c r="AI21" s="158"/>
    </row>
    <row r="22" spans="1:35">
      <c r="A22" s="140"/>
      <c r="B22" s="143"/>
      <c r="C22" s="143" t="s">
        <v>78</v>
      </c>
      <c r="D22" s="143" t="s">
        <v>501</v>
      </c>
      <c r="E22" s="143" t="s">
        <v>80</v>
      </c>
      <c r="F22" s="153" t="s">
        <v>390</v>
      </c>
      <c r="G22" s="153" t="s">
        <v>391</v>
      </c>
      <c r="H22" s="153"/>
      <c r="I22" s="227">
        <v>33267</v>
      </c>
      <c r="J22" s="154">
        <v>1</v>
      </c>
      <c r="K22" s="154"/>
      <c r="L22" s="155"/>
      <c r="M22" s="155"/>
      <c r="N22" s="155"/>
      <c r="O22" s="155"/>
      <c r="P22" s="155"/>
      <c r="Q22" s="155"/>
      <c r="R22" s="155"/>
      <c r="S22" s="155"/>
      <c r="T22" s="155"/>
      <c r="U22" s="156" t="s">
        <v>508</v>
      </c>
      <c r="V22" s="153" t="s">
        <v>503</v>
      </c>
      <c r="W22" s="143" t="s">
        <v>298</v>
      </c>
      <c r="X22" s="157" t="s">
        <v>227</v>
      </c>
      <c r="Y22" s="157">
        <v>9508480404</v>
      </c>
      <c r="Z22" s="143"/>
      <c r="AA22" s="162" t="s">
        <v>524</v>
      </c>
      <c r="AB22" s="143" t="s">
        <v>527</v>
      </c>
      <c r="AC22" s="155">
        <v>1</v>
      </c>
      <c r="AD22" s="155"/>
      <c r="AE22" s="155"/>
      <c r="AF22" s="155"/>
      <c r="AG22" s="155"/>
      <c r="AH22" s="143"/>
      <c r="AI22" s="158"/>
    </row>
    <row r="23" spans="1:35">
      <c r="A23" s="140"/>
      <c r="B23" s="143"/>
      <c r="C23" s="143" t="s">
        <v>78</v>
      </c>
      <c r="D23" s="143" t="s">
        <v>501</v>
      </c>
      <c r="E23" s="143" t="s">
        <v>80</v>
      </c>
      <c r="F23" s="153" t="s">
        <v>392</v>
      </c>
      <c r="G23" s="153" t="s">
        <v>393</v>
      </c>
      <c r="H23" s="153"/>
      <c r="I23" s="227">
        <v>28117</v>
      </c>
      <c r="J23" s="154"/>
      <c r="K23" s="154">
        <v>1</v>
      </c>
      <c r="L23" s="155"/>
      <c r="M23" s="155"/>
      <c r="N23" s="155"/>
      <c r="O23" s="155"/>
      <c r="P23" s="155"/>
      <c r="Q23" s="155"/>
      <c r="R23" s="155"/>
      <c r="S23" s="155"/>
      <c r="T23" s="155"/>
      <c r="U23" s="156" t="s">
        <v>509</v>
      </c>
      <c r="V23" s="153" t="s">
        <v>503</v>
      </c>
      <c r="W23" s="143" t="s">
        <v>298</v>
      </c>
      <c r="X23" s="157" t="s">
        <v>227</v>
      </c>
      <c r="Y23" s="157">
        <v>9065394809</v>
      </c>
      <c r="Z23" s="143"/>
      <c r="AA23" s="157" t="s">
        <v>525</v>
      </c>
      <c r="AB23" s="143" t="s">
        <v>527</v>
      </c>
      <c r="AC23" s="155">
        <v>1</v>
      </c>
      <c r="AD23" s="155"/>
      <c r="AE23" s="155"/>
      <c r="AF23" s="155"/>
      <c r="AG23" s="155"/>
      <c r="AH23" s="143"/>
      <c r="AI23" s="158"/>
    </row>
    <row r="24" spans="1:35">
      <c r="A24" s="140"/>
      <c r="B24" s="143"/>
      <c r="C24" s="143" t="s">
        <v>78</v>
      </c>
      <c r="D24" s="143" t="s">
        <v>501</v>
      </c>
      <c r="E24" s="143" t="s">
        <v>80</v>
      </c>
      <c r="F24" s="153" t="s">
        <v>394</v>
      </c>
      <c r="G24" s="153" t="s">
        <v>116</v>
      </c>
      <c r="H24" s="153"/>
      <c r="I24" s="227">
        <v>23361</v>
      </c>
      <c r="J24" s="154">
        <v>1</v>
      </c>
      <c r="K24" s="154"/>
      <c r="L24" s="155"/>
      <c r="M24" s="155"/>
      <c r="N24" s="155"/>
      <c r="O24" s="155"/>
      <c r="P24" s="155"/>
      <c r="Q24" s="155"/>
      <c r="R24" s="155"/>
      <c r="S24" s="155"/>
      <c r="T24" s="155"/>
      <c r="U24" s="156" t="s">
        <v>510</v>
      </c>
      <c r="V24" s="153" t="s">
        <v>503</v>
      </c>
      <c r="W24" s="143" t="s">
        <v>298</v>
      </c>
      <c r="X24" s="157" t="s">
        <v>227</v>
      </c>
      <c r="Y24" s="157">
        <v>9399064139</v>
      </c>
      <c r="Z24" s="143"/>
      <c r="AA24" s="162" t="s">
        <v>524</v>
      </c>
      <c r="AB24" s="143" t="s">
        <v>527</v>
      </c>
      <c r="AC24" s="155">
        <v>1</v>
      </c>
      <c r="AD24" s="155"/>
      <c r="AE24" s="155"/>
      <c r="AF24" s="155"/>
      <c r="AG24" s="155"/>
      <c r="AH24" s="143"/>
      <c r="AI24" s="158"/>
    </row>
    <row r="25" spans="1:35">
      <c r="A25" s="140"/>
      <c r="B25" s="143"/>
      <c r="C25" s="143" t="s">
        <v>78</v>
      </c>
      <c r="D25" s="143" t="s">
        <v>501</v>
      </c>
      <c r="E25" s="143" t="s">
        <v>80</v>
      </c>
      <c r="F25" s="153" t="s">
        <v>395</v>
      </c>
      <c r="G25" s="153" t="s">
        <v>396</v>
      </c>
      <c r="H25" s="153"/>
      <c r="I25" s="227">
        <v>31064</v>
      </c>
      <c r="J25" s="154">
        <v>1</v>
      </c>
      <c r="K25" s="154"/>
      <c r="L25" s="155"/>
      <c r="M25" s="155"/>
      <c r="N25" s="155"/>
      <c r="O25" s="155"/>
      <c r="P25" s="155"/>
      <c r="Q25" s="155"/>
      <c r="R25" s="155"/>
      <c r="S25" s="155"/>
      <c r="T25" s="155"/>
      <c r="U25" s="156" t="s">
        <v>511</v>
      </c>
      <c r="V25" s="153" t="s">
        <v>503</v>
      </c>
      <c r="W25" s="143" t="s">
        <v>298</v>
      </c>
      <c r="X25" s="157" t="s">
        <v>227</v>
      </c>
      <c r="Y25" s="157">
        <v>9263058081</v>
      </c>
      <c r="Z25" s="143"/>
      <c r="AA25" s="157" t="s">
        <v>525</v>
      </c>
      <c r="AB25" s="143" t="s">
        <v>527</v>
      </c>
      <c r="AC25" s="155">
        <v>1</v>
      </c>
      <c r="AD25" s="155"/>
      <c r="AE25" s="155"/>
      <c r="AF25" s="155"/>
      <c r="AG25" s="155"/>
      <c r="AH25" s="143"/>
      <c r="AI25" s="158"/>
    </row>
    <row r="26" spans="1:35">
      <c r="A26" s="140"/>
      <c r="B26" s="143"/>
      <c r="C26" s="143" t="s">
        <v>78</v>
      </c>
      <c r="D26" s="143" t="s">
        <v>501</v>
      </c>
      <c r="E26" s="143" t="s">
        <v>80</v>
      </c>
      <c r="F26" s="153" t="s">
        <v>397</v>
      </c>
      <c r="G26" s="153" t="s">
        <v>398</v>
      </c>
      <c r="H26" s="153"/>
      <c r="I26" s="227">
        <v>22315</v>
      </c>
      <c r="J26" s="154">
        <v>1</v>
      </c>
      <c r="K26" s="154"/>
      <c r="L26" s="155"/>
      <c r="M26" s="155">
        <v>1</v>
      </c>
      <c r="N26" s="155"/>
      <c r="O26" s="155"/>
      <c r="P26" s="155"/>
      <c r="Q26" s="155"/>
      <c r="R26" s="155"/>
      <c r="S26" s="155"/>
      <c r="T26" s="155"/>
      <c r="U26" s="156"/>
      <c r="V26" s="153" t="s">
        <v>503</v>
      </c>
      <c r="W26" s="143" t="s">
        <v>298</v>
      </c>
      <c r="X26" s="157" t="s">
        <v>227</v>
      </c>
      <c r="Y26" s="157">
        <v>9162371805</v>
      </c>
      <c r="Z26" s="143"/>
      <c r="AA26" s="162" t="s">
        <v>524</v>
      </c>
      <c r="AB26" s="143" t="s">
        <v>527</v>
      </c>
      <c r="AC26" s="155">
        <v>1</v>
      </c>
      <c r="AD26" s="155"/>
      <c r="AE26" s="155"/>
      <c r="AF26" s="155"/>
      <c r="AG26" s="155"/>
      <c r="AH26" s="143"/>
      <c r="AI26" s="158"/>
    </row>
    <row r="27" spans="1:35">
      <c r="A27" s="140"/>
      <c r="B27" s="143"/>
      <c r="C27" s="143" t="s">
        <v>78</v>
      </c>
      <c r="D27" s="143" t="s">
        <v>501</v>
      </c>
      <c r="E27" s="143" t="s">
        <v>80</v>
      </c>
      <c r="F27" s="153" t="s">
        <v>399</v>
      </c>
      <c r="G27" s="153" t="s">
        <v>400</v>
      </c>
      <c r="H27" s="153"/>
      <c r="I27" s="227">
        <v>24577</v>
      </c>
      <c r="J27" s="154">
        <v>1</v>
      </c>
      <c r="K27" s="154"/>
      <c r="L27" s="155"/>
      <c r="M27" s="155"/>
      <c r="N27" s="155"/>
      <c r="O27" s="155"/>
      <c r="P27" s="155"/>
      <c r="Q27" s="155"/>
      <c r="R27" s="155"/>
      <c r="S27" s="155"/>
      <c r="T27" s="155"/>
      <c r="U27" s="156" t="s">
        <v>502</v>
      </c>
      <c r="V27" s="153" t="s">
        <v>503</v>
      </c>
      <c r="W27" s="143" t="s">
        <v>298</v>
      </c>
      <c r="X27" s="157" t="s">
        <v>227</v>
      </c>
      <c r="Y27" s="157">
        <v>9102974001</v>
      </c>
      <c r="Z27" s="143"/>
      <c r="AA27" s="162" t="s">
        <v>524</v>
      </c>
      <c r="AB27" s="143" t="s">
        <v>527</v>
      </c>
      <c r="AC27" s="155">
        <v>1</v>
      </c>
      <c r="AD27" s="155"/>
      <c r="AE27" s="155"/>
      <c r="AF27" s="155"/>
      <c r="AG27" s="155"/>
      <c r="AH27" s="143"/>
      <c r="AI27" s="158"/>
    </row>
    <row r="28" spans="1:35">
      <c r="A28" s="140"/>
      <c r="B28" s="143"/>
      <c r="C28" s="143" t="s">
        <v>78</v>
      </c>
      <c r="D28" s="143" t="s">
        <v>501</v>
      </c>
      <c r="E28" s="143" t="s">
        <v>80</v>
      </c>
      <c r="F28" s="153" t="s">
        <v>401</v>
      </c>
      <c r="G28" s="153" t="s">
        <v>402</v>
      </c>
      <c r="H28" s="153" t="s">
        <v>120</v>
      </c>
      <c r="I28" s="227"/>
      <c r="J28" s="154"/>
      <c r="K28" s="154">
        <v>1</v>
      </c>
      <c r="L28" s="155"/>
      <c r="M28" s="155"/>
      <c r="N28" s="155"/>
      <c r="O28" s="155"/>
      <c r="P28" s="155"/>
      <c r="Q28" s="155"/>
      <c r="R28" s="155"/>
      <c r="S28" s="155"/>
      <c r="T28" s="155"/>
      <c r="U28" s="156" t="s">
        <v>507</v>
      </c>
      <c r="V28" s="153" t="s">
        <v>503</v>
      </c>
      <c r="W28" s="143" t="s">
        <v>298</v>
      </c>
      <c r="X28" s="157" t="s">
        <v>227</v>
      </c>
      <c r="Y28" s="157">
        <v>9989568273</v>
      </c>
      <c r="Z28" s="143"/>
      <c r="AA28" s="162" t="s">
        <v>524</v>
      </c>
      <c r="AB28" s="143" t="s">
        <v>527</v>
      </c>
      <c r="AC28" s="155">
        <v>1</v>
      </c>
      <c r="AD28" s="155"/>
      <c r="AE28" s="155"/>
      <c r="AF28" s="155"/>
      <c r="AG28" s="155"/>
      <c r="AH28" s="143"/>
      <c r="AI28" s="158"/>
    </row>
    <row r="29" spans="1:35">
      <c r="A29" s="140"/>
      <c r="B29" s="143"/>
      <c r="C29" s="143" t="s">
        <v>78</v>
      </c>
      <c r="D29" s="143" t="s">
        <v>501</v>
      </c>
      <c r="E29" s="143" t="s">
        <v>80</v>
      </c>
      <c r="F29" s="153" t="s">
        <v>111</v>
      </c>
      <c r="G29" s="153" t="s">
        <v>403</v>
      </c>
      <c r="H29" s="153"/>
      <c r="I29" s="227">
        <v>28110</v>
      </c>
      <c r="J29" s="154">
        <v>1</v>
      </c>
      <c r="K29" s="154"/>
      <c r="L29" s="155"/>
      <c r="M29" s="155"/>
      <c r="N29" s="155"/>
      <c r="O29" s="155"/>
      <c r="P29" s="155"/>
      <c r="Q29" s="155"/>
      <c r="R29" s="155"/>
      <c r="S29" s="155"/>
      <c r="T29" s="155"/>
      <c r="U29" s="156" t="s">
        <v>502</v>
      </c>
      <c r="V29" s="153" t="s">
        <v>503</v>
      </c>
      <c r="W29" s="143" t="s">
        <v>298</v>
      </c>
      <c r="X29" s="157" t="s">
        <v>227</v>
      </c>
      <c r="Y29" s="157">
        <v>9703645185</v>
      </c>
      <c r="Z29" s="143"/>
      <c r="AA29" s="157" t="s">
        <v>525</v>
      </c>
      <c r="AB29" s="143" t="s">
        <v>527</v>
      </c>
      <c r="AC29" s="155">
        <v>1</v>
      </c>
      <c r="AD29" s="155"/>
      <c r="AE29" s="155"/>
      <c r="AF29" s="155"/>
      <c r="AG29" s="155"/>
      <c r="AH29" s="143"/>
      <c r="AI29" s="158"/>
    </row>
    <row r="30" spans="1:35">
      <c r="A30" s="140"/>
      <c r="B30" s="143"/>
      <c r="C30" s="143" t="s">
        <v>78</v>
      </c>
      <c r="D30" s="143" t="s">
        <v>501</v>
      </c>
      <c r="E30" s="143" t="s">
        <v>80</v>
      </c>
      <c r="F30" s="153" t="s">
        <v>404</v>
      </c>
      <c r="G30" s="153" t="s">
        <v>405</v>
      </c>
      <c r="H30" s="153"/>
      <c r="I30" s="227">
        <v>31587</v>
      </c>
      <c r="J30" s="154">
        <v>1</v>
      </c>
      <c r="K30" s="154"/>
      <c r="L30" s="155"/>
      <c r="M30" s="155"/>
      <c r="N30" s="155"/>
      <c r="O30" s="155"/>
      <c r="P30" s="155"/>
      <c r="Q30" s="155"/>
      <c r="R30" s="155"/>
      <c r="S30" s="155"/>
      <c r="T30" s="155"/>
      <c r="U30" s="156" t="s">
        <v>502</v>
      </c>
      <c r="V30" s="153" t="s">
        <v>503</v>
      </c>
      <c r="W30" s="143" t="s">
        <v>298</v>
      </c>
      <c r="X30" s="157" t="s">
        <v>227</v>
      </c>
      <c r="Y30" s="157">
        <v>9703644826</v>
      </c>
      <c r="Z30" s="143"/>
      <c r="AA30" s="157" t="s">
        <v>525</v>
      </c>
      <c r="AB30" s="143" t="s">
        <v>527</v>
      </c>
      <c r="AC30" s="155">
        <v>1</v>
      </c>
      <c r="AD30" s="155"/>
      <c r="AE30" s="155"/>
      <c r="AF30" s="155"/>
      <c r="AG30" s="155"/>
      <c r="AH30" s="143"/>
      <c r="AI30" s="158"/>
    </row>
    <row r="31" spans="1:35">
      <c r="A31" s="140"/>
      <c r="B31" s="143"/>
      <c r="C31" s="143" t="s">
        <v>78</v>
      </c>
      <c r="D31" s="143" t="s">
        <v>501</v>
      </c>
      <c r="E31" s="143" t="s">
        <v>80</v>
      </c>
      <c r="F31" s="153" t="s">
        <v>406</v>
      </c>
      <c r="G31" s="153" t="s">
        <v>407</v>
      </c>
      <c r="H31" s="153" t="s">
        <v>113</v>
      </c>
      <c r="I31" s="227">
        <v>37055</v>
      </c>
      <c r="J31" s="154">
        <v>1</v>
      </c>
      <c r="K31" s="154"/>
      <c r="L31" s="155"/>
      <c r="M31" s="155"/>
      <c r="N31" s="155"/>
      <c r="O31" s="155"/>
      <c r="P31" s="155"/>
      <c r="Q31" s="155"/>
      <c r="R31" s="155"/>
      <c r="S31" s="155"/>
      <c r="T31" s="155"/>
      <c r="U31" s="156" t="s">
        <v>502</v>
      </c>
      <c r="V31" s="153" t="s">
        <v>503</v>
      </c>
      <c r="W31" s="143" t="s">
        <v>298</v>
      </c>
      <c r="X31" s="157" t="s">
        <v>227</v>
      </c>
      <c r="Y31" s="157">
        <v>9058348278</v>
      </c>
      <c r="Z31" s="143"/>
      <c r="AA31" s="157" t="s">
        <v>525</v>
      </c>
      <c r="AB31" s="143" t="s">
        <v>527</v>
      </c>
      <c r="AC31" s="155">
        <v>1</v>
      </c>
      <c r="AD31" s="155"/>
      <c r="AE31" s="155"/>
      <c r="AF31" s="155"/>
      <c r="AG31" s="155"/>
      <c r="AH31" s="143"/>
      <c r="AI31" s="158"/>
    </row>
    <row r="32" spans="1:35">
      <c r="A32" s="140"/>
      <c r="B32" s="143"/>
      <c r="C32" s="143" t="s">
        <v>78</v>
      </c>
      <c r="D32" s="143" t="s">
        <v>501</v>
      </c>
      <c r="E32" s="143" t="s">
        <v>80</v>
      </c>
      <c r="F32" s="153" t="s">
        <v>111</v>
      </c>
      <c r="G32" s="153" t="s">
        <v>408</v>
      </c>
      <c r="H32" s="153" t="s">
        <v>409</v>
      </c>
      <c r="I32" s="227">
        <v>37522</v>
      </c>
      <c r="J32" s="154">
        <v>1</v>
      </c>
      <c r="K32" s="154"/>
      <c r="L32" s="155"/>
      <c r="M32" s="155"/>
      <c r="N32" s="155"/>
      <c r="O32" s="155"/>
      <c r="P32" s="155"/>
      <c r="Q32" s="155"/>
      <c r="R32" s="155"/>
      <c r="S32" s="155"/>
      <c r="T32" s="155"/>
      <c r="U32" s="156" t="s">
        <v>502</v>
      </c>
      <c r="V32" s="153" t="s">
        <v>503</v>
      </c>
      <c r="W32" s="143" t="s">
        <v>298</v>
      </c>
      <c r="X32" s="157" t="s">
        <v>227</v>
      </c>
      <c r="Y32" s="157">
        <v>9707062683</v>
      </c>
      <c r="Z32" s="143"/>
      <c r="AA32" s="157" t="s">
        <v>525</v>
      </c>
      <c r="AB32" s="143" t="s">
        <v>527</v>
      </c>
      <c r="AC32" s="155">
        <v>1</v>
      </c>
      <c r="AD32" s="155"/>
      <c r="AE32" s="155"/>
      <c r="AF32" s="155"/>
      <c r="AG32" s="155"/>
      <c r="AH32" s="143"/>
      <c r="AI32" s="158"/>
    </row>
    <row r="33" spans="1:35">
      <c r="A33" s="140"/>
      <c r="B33" s="143"/>
      <c r="C33" s="143" t="s">
        <v>78</v>
      </c>
      <c r="D33" s="143" t="s">
        <v>501</v>
      </c>
      <c r="E33" s="143" t="s">
        <v>80</v>
      </c>
      <c r="F33" s="153" t="s">
        <v>406</v>
      </c>
      <c r="G33" s="153" t="s">
        <v>410</v>
      </c>
      <c r="H33" s="153" t="s">
        <v>113</v>
      </c>
      <c r="I33" s="227">
        <v>33232</v>
      </c>
      <c r="J33" s="154">
        <v>1</v>
      </c>
      <c r="K33" s="154"/>
      <c r="L33" s="155"/>
      <c r="M33" s="155"/>
      <c r="N33" s="155"/>
      <c r="O33" s="155"/>
      <c r="P33" s="155"/>
      <c r="Q33" s="155"/>
      <c r="R33" s="155"/>
      <c r="S33" s="155"/>
      <c r="T33" s="155"/>
      <c r="U33" s="156" t="s">
        <v>502</v>
      </c>
      <c r="V33" s="153" t="s">
        <v>503</v>
      </c>
      <c r="W33" s="143" t="s">
        <v>298</v>
      </c>
      <c r="X33" s="157" t="s">
        <v>227</v>
      </c>
      <c r="Y33" s="157"/>
      <c r="Z33" s="143"/>
      <c r="AA33" s="157" t="s">
        <v>525</v>
      </c>
      <c r="AB33" s="143" t="s">
        <v>527</v>
      </c>
      <c r="AC33" s="155">
        <v>1</v>
      </c>
      <c r="AD33" s="155"/>
      <c r="AE33" s="155"/>
      <c r="AF33" s="155"/>
      <c r="AG33" s="155"/>
      <c r="AH33" s="143"/>
      <c r="AI33" s="158"/>
    </row>
    <row r="34" spans="1:35">
      <c r="A34" s="140"/>
      <c r="B34" s="143"/>
      <c r="C34" s="143" t="s">
        <v>78</v>
      </c>
      <c r="D34" s="143" t="s">
        <v>501</v>
      </c>
      <c r="E34" s="143" t="s">
        <v>80</v>
      </c>
      <c r="F34" s="153" t="s">
        <v>411</v>
      </c>
      <c r="G34" s="153" t="s">
        <v>412</v>
      </c>
      <c r="H34" s="153" t="s">
        <v>126</v>
      </c>
      <c r="I34" s="227">
        <v>24809</v>
      </c>
      <c r="J34" s="154"/>
      <c r="K34" s="154">
        <v>1</v>
      </c>
      <c r="L34" s="155"/>
      <c r="M34" s="155"/>
      <c r="N34" s="155"/>
      <c r="O34" s="155"/>
      <c r="P34" s="155"/>
      <c r="Q34" s="155"/>
      <c r="R34" s="155"/>
      <c r="S34" s="155"/>
      <c r="T34" s="155"/>
      <c r="U34" s="156" t="s">
        <v>505</v>
      </c>
      <c r="V34" s="153" t="s">
        <v>503</v>
      </c>
      <c r="W34" s="143" t="s">
        <v>298</v>
      </c>
      <c r="X34" s="157" t="s">
        <v>227</v>
      </c>
      <c r="Y34" s="157">
        <v>9162563758</v>
      </c>
      <c r="Z34" s="143"/>
      <c r="AA34" s="157" t="s">
        <v>525</v>
      </c>
      <c r="AB34" s="143" t="s">
        <v>528</v>
      </c>
      <c r="AC34" s="155">
        <v>3</v>
      </c>
      <c r="AD34" s="155"/>
      <c r="AE34" s="155"/>
      <c r="AF34" s="155"/>
      <c r="AG34" s="155"/>
      <c r="AH34" s="143"/>
      <c r="AI34" s="158"/>
    </row>
    <row r="35" spans="1:35">
      <c r="A35" s="140"/>
      <c r="B35" s="143"/>
      <c r="C35" s="143" t="s">
        <v>78</v>
      </c>
      <c r="D35" s="143" t="s">
        <v>501</v>
      </c>
      <c r="E35" s="143" t="s">
        <v>80</v>
      </c>
      <c r="F35" s="153" t="s">
        <v>413</v>
      </c>
      <c r="G35" s="153" t="s">
        <v>414</v>
      </c>
      <c r="H35" s="153"/>
      <c r="I35" s="227">
        <v>23925</v>
      </c>
      <c r="J35" s="154"/>
      <c r="K35" s="154">
        <v>1</v>
      </c>
      <c r="L35" s="155"/>
      <c r="M35" s="155"/>
      <c r="N35" s="155"/>
      <c r="O35" s="155"/>
      <c r="P35" s="155"/>
      <c r="Q35" s="155"/>
      <c r="R35" s="155"/>
      <c r="S35" s="155"/>
      <c r="T35" s="155"/>
      <c r="U35" s="156" t="s">
        <v>295</v>
      </c>
      <c r="V35" s="153" t="s">
        <v>503</v>
      </c>
      <c r="W35" s="143" t="s">
        <v>298</v>
      </c>
      <c r="X35" s="157" t="s">
        <v>227</v>
      </c>
      <c r="Y35" s="157">
        <v>9357514235</v>
      </c>
      <c r="Z35" s="143"/>
      <c r="AA35" s="157" t="s">
        <v>525</v>
      </c>
      <c r="AB35" s="143" t="s">
        <v>528</v>
      </c>
      <c r="AC35" s="155">
        <v>2</v>
      </c>
      <c r="AD35" s="155"/>
      <c r="AE35" s="155"/>
      <c r="AF35" s="155"/>
      <c r="AG35" s="155"/>
      <c r="AH35" s="143"/>
      <c r="AI35" s="158"/>
    </row>
    <row r="36" spans="1:35">
      <c r="A36" s="140"/>
      <c r="B36" s="143"/>
      <c r="C36" s="143" t="s">
        <v>78</v>
      </c>
      <c r="D36" s="143" t="s">
        <v>501</v>
      </c>
      <c r="E36" s="143" t="s">
        <v>80</v>
      </c>
      <c r="F36" s="153" t="s">
        <v>415</v>
      </c>
      <c r="G36" s="153" t="s">
        <v>416</v>
      </c>
      <c r="H36" s="153"/>
      <c r="I36" s="227"/>
      <c r="J36" s="154">
        <v>1</v>
      </c>
      <c r="K36" s="154"/>
      <c r="L36" s="155"/>
      <c r="M36" s="155"/>
      <c r="N36" s="155"/>
      <c r="O36" s="155"/>
      <c r="P36" s="155"/>
      <c r="Q36" s="155"/>
      <c r="R36" s="155"/>
      <c r="S36" s="155"/>
      <c r="T36" s="155"/>
      <c r="U36" s="156" t="s">
        <v>505</v>
      </c>
      <c r="V36" s="153" t="s">
        <v>503</v>
      </c>
      <c r="W36" s="143" t="s">
        <v>298</v>
      </c>
      <c r="X36" s="157" t="s">
        <v>227</v>
      </c>
      <c r="Y36" s="157">
        <v>9176733644</v>
      </c>
      <c r="Z36" s="143"/>
      <c r="AA36" s="162" t="s">
        <v>524</v>
      </c>
      <c r="AB36" s="143" t="s">
        <v>528</v>
      </c>
      <c r="AC36" s="155">
        <v>1</v>
      </c>
      <c r="AD36" s="155"/>
      <c r="AE36" s="155"/>
      <c r="AF36" s="155"/>
      <c r="AG36" s="155"/>
      <c r="AH36" s="143"/>
      <c r="AI36" s="158"/>
    </row>
    <row r="37" spans="1:35">
      <c r="A37" s="140"/>
      <c r="B37" s="143"/>
      <c r="C37" s="143" t="s">
        <v>78</v>
      </c>
      <c r="D37" s="143" t="s">
        <v>501</v>
      </c>
      <c r="E37" s="143" t="s">
        <v>80</v>
      </c>
      <c r="F37" s="153" t="s">
        <v>417</v>
      </c>
      <c r="G37" s="153" t="s">
        <v>418</v>
      </c>
      <c r="H37" s="153"/>
      <c r="I37" s="227">
        <v>30578</v>
      </c>
      <c r="J37" s="154">
        <v>1</v>
      </c>
      <c r="K37" s="154"/>
      <c r="L37" s="155"/>
      <c r="M37" s="155"/>
      <c r="N37" s="155"/>
      <c r="O37" s="155"/>
      <c r="P37" s="155"/>
      <c r="Q37" s="155"/>
      <c r="R37" s="155"/>
      <c r="S37" s="155"/>
      <c r="T37" s="155"/>
      <c r="U37" s="156" t="s">
        <v>512</v>
      </c>
      <c r="V37" s="153" t="s">
        <v>513</v>
      </c>
      <c r="W37" s="143" t="s">
        <v>279</v>
      </c>
      <c r="X37" s="157" t="s">
        <v>227</v>
      </c>
      <c r="Y37" s="157">
        <v>9353662416</v>
      </c>
      <c r="Z37" s="143"/>
      <c r="AA37" s="157" t="s">
        <v>525</v>
      </c>
      <c r="AB37" s="143" t="s">
        <v>528</v>
      </c>
      <c r="AC37" s="155">
        <v>1</v>
      </c>
      <c r="AD37" s="155"/>
      <c r="AE37" s="155"/>
      <c r="AF37" s="155"/>
      <c r="AG37" s="155"/>
      <c r="AH37" s="143"/>
      <c r="AI37" s="158"/>
    </row>
    <row r="38" spans="1:35">
      <c r="A38" s="140"/>
      <c r="B38" s="143"/>
      <c r="C38" s="143" t="s">
        <v>78</v>
      </c>
      <c r="D38" s="143" t="s">
        <v>501</v>
      </c>
      <c r="E38" s="143" t="s">
        <v>80</v>
      </c>
      <c r="F38" s="153" t="s">
        <v>419</v>
      </c>
      <c r="G38" s="153" t="s">
        <v>420</v>
      </c>
      <c r="H38" s="153" t="s">
        <v>421</v>
      </c>
      <c r="I38" s="227">
        <v>29592</v>
      </c>
      <c r="J38" s="154">
        <v>1</v>
      </c>
      <c r="K38" s="154"/>
      <c r="L38" s="155"/>
      <c r="M38" s="155"/>
      <c r="N38" s="155"/>
      <c r="O38" s="155"/>
      <c r="P38" s="155"/>
      <c r="Q38" s="155"/>
      <c r="R38" s="155"/>
      <c r="S38" s="155"/>
      <c r="T38" s="155"/>
      <c r="U38" s="156" t="s">
        <v>512</v>
      </c>
      <c r="V38" s="153" t="s">
        <v>513</v>
      </c>
      <c r="W38" s="143" t="s">
        <v>279</v>
      </c>
      <c r="X38" s="157" t="s">
        <v>227</v>
      </c>
      <c r="Y38" s="157">
        <v>9308983994</v>
      </c>
      <c r="Z38" s="143"/>
      <c r="AA38" s="157" t="s">
        <v>525</v>
      </c>
      <c r="AB38" s="143" t="s">
        <v>528</v>
      </c>
      <c r="AC38" s="155">
        <v>1</v>
      </c>
      <c r="AD38" s="155"/>
      <c r="AE38" s="155"/>
      <c r="AF38" s="155"/>
      <c r="AG38" s="155"/>
      <c r="AH38" s="143"/>
      <c r="AI38" s="158"/>
    </row>
    <row r="39" spans="1:35">
      <c r="A39" s="140"/>
      <c r="B39" s="143"/>
      <c r="C39" s="143" t="s">
        <v>78</v>
      </c>
      <c r="D39" s="143" t="s">
        <v>501</v>
      </c>
      <c r="E39" s="143" t="s">
        <v>80</v>
      </c>
      <c r="F39" s="153" t="s">
        <v>422</v>
      </c>
      <c r="G39" s="153" t="s">
        <v>423</v>
      </c>
      <c r="H39" s="153"/>
      <c r="I39" s="227">
        <v>30217</v>
      </c>
      <c r="J39" s="154"/>
      <c r="K39" s="154">
        <v>1</v>
      </c>
      <c r="L39" s="155"/>
      <c r="M39" s="155"/>
      <c r="N39" s="155"/>
      <c r="O39" s="155"/>
      <c r="P39" s="155"/>
      <c r="Q39" s="155"/>
      <c r="R39" s="155"/>
      <c r="S39" s="155"/>
      <c r="T39" s="155"/>
      <c r="U39" s="156"/>
      <c r="V39" s="153" t="s">
        <v>503</v>
      </c>
      <c r="W39" s="143" t="s">
        <v>298</v>
      </c>
      <c r="X39" s="157" t="s">
        <v>227</v>
      </c>
      <c r="Y39" s="157">
        <v>9266035273</v>
      </c>
      <c r="Z39" s="143"/>
      <c r="AA39" s="162" t="s">
        <v>524</v>
      </c>
      <c r="AB39" s="143" t="s">
        <v>528</v>
      </c>
      <c r="AC39" s="155">
        <v>1</v>
      </c>
      <c r="AD39" s="155"/>
      <c r="AE39" s="155"/>
      <c r="AF39" s="155"/>
      <c r="AG39" s="155"/>
      <c r="AH39" s="143"/>
      <c r="AI39" s="158"/>
    </row>
    <row r="40" spans="1:35">
      <c r="A40" s="140"/>
      <c r="B40" s="143"/>
      <c r="C40" s="143" t="s">
        <v>78</v>
      </c>
      <c r="D40" s="143" t="s">
        <v>501</v>
      </c>
      <c r="E40" s="143" t="s">
        <v>80</v>
      </c>
      <c r="F40" s="153" t="s">
        <v>424</v>
      </c>
      <c r="G40" s="153" t="s">
        <v>425</v>
      </c>
      <c r="H40" s="153"/>
      <c r="I40" s="227">
        <v>19139</v>
      </c>
      <c r="J40" s="154">
        <v>1</v>
      </c>
      <c r="K40" s="154"/>
      <c r="L40" s="155"/>
      <c r="M40" s="155">
        <v>1</v>
      </c>
      <c r="N40" s="155"/>
      <c r="O40" s="155"/>
      <c r="P40" s="155"/>
      <c r="Q40" s="155"/>
      <c r="R40" s="155"/>
      <c r="S40" s="155"/>
      <c r="T40" s="155"/>
      <c r="U40" s="156" t="s">
        <v>514</v>
      </c>
      <c r="V40" s="153" t="s">
        <v>503</v>
      </c>
      <c r="W40" s="143" t="s">
        <v>298</v>
      </c>
      <c r="X40" s="157" t="s">
        <v>227</v>
      </c>
      <c r="Y40" s="157">
        <v>9553281946</v>
      </c>
      <c r="Z40" s="143"/>
      <c r="AA40" s="162" t="s">
        <v>524</v>
      </c>
      <c r="AB40" s="143" t="s">
        <v>528</v>
      </c>
      <c r="AC40" s="155">
        <v>1</v>
      </c>
      <c r="AD40" s="155"/>
      <c r="AE40" s="155"/>
      <c r="AF40" s="155"/>
      <c r="AG40" s="155"/>
      <c r="AH40" s="143"/>
      <c r="AI40" s="158"/>
    </row>
    <row r="41" spans="1:35">
      <c r="A41" s="140"/>
      <c r="B41" s="143"/>
      <c r="C41" s="143" t="s">
        <v>78</v>
      </c>
      <c r="D41" s="143" t="s">
        <v>501</v>
      </c>
      <c r="E41" s="143" t="s">
        <v>80</v>
      </c>
      <c r="F41" s="153" t="s">
        <v>426</v>
      </c>
      <c r="G41" s="153" t="s">
        <v>427</v>
      </c>
      <c r="H41" s="153"/>
      <c r="I41" s="227"/>
      <c r="J41" s="154"/>
      <c r="K41" s="154">
        <v>1</v>
      </c>
      <c r="L41" s="155"/>
      <c r="M41" s="155"/>
      <c r="N41" s="155"/>
      <c r="O41" s="155"/>
      <c r="P41" s="155"/>
      <c r="Q41" s="155"/>
      <c r="R41" s="155"/>
      <c r="S41" s="155"/>
      <c r="T41" s="155"/>
      <c r="U41" s="156" t="s">
        <v>507</v>
      </c>
      <c r="V41" s="153" t="s">
        <v>503</v>
      </c>
      <c r="W41" s="143" t="s">
        <v>298</v>
      </c>
      <c r="X41" s="157" t="s">
        <v>227</v>
      </c>
      <c r="Y41" s="157">
        <v>9480885671</v>
      </c>
      <c r="Z41" s="143"/>
      <c r="AA41" s="162" t="s">
        <v>524</v>
      </c>
      <c r="AB41" s="143" t="s">
        <v>528</v>
      </c>
      <c r="AC41" s="155">
        <v>1</v>
      </c>
      <c r="AD41" s="155"/>
      <c r="AE41" s="155"/>
      <c r="AF41" s="155"/>
      <c r="AG41" s="155"/>
      <c r="AH41" s="143"/>
      <c r="AI41" s="158"/>
    </row>
    <row r="42" spans="1:35">
      <c r="A42" s="140"/>
      <c r="B42" s="143"/>
      <c r="C42" s="143" t="s">
        <v>78</v>
      </c>
      <c r="D42" s="143" t="s">
        <v>501</v>
      </c>
      <c r="E42" s="143" t="s">
        <v>80</v>
      </c>
      <c r="F42" s="153" t="s">
        <v>428</v>
      </c>
      <c r="G42" s="153" t="s">
        <v>429</v>
      </c>
      <c r="H42" s="153"/>
      <c r="I42" s="227">
        <v>34164</v>
      </c>
      <c r="J42" s="154"/>
      <c r="K42" s="154">
        <v>1</v>
      </c>
      <c r="L42" s="155"/>
      <c r="M42" s="155"/>
      <c r="N42" s="155"/>
      <c r="O42" s="155"/>
      <c r="P42" s="155"/>
      <c r="Q42" s="155"/>
      <c r="R42" s="155"/>
      <c r="S42" s="155"/>
      <c r="T42" s="155"/>
      <c r="U42" s="156" t="s">
        <v>516</v>
      </c>
      <c r="V42" s="153" t="s">
        <v>503</v>
      </c>
      <c r="W42" s="143" t="s">
        <v>298</v>
      </c>
      <c r="X42" s="157" t="s">
        <v>227</v>
      </c>
      <c r="Y42" s="157">
        <v>9389355594</v>
      </c>
      <c r="Z42" s="143"/>
      <c r="AA42" s="162" t="s">
        <v>524</v>
      </c>
      <c r="AB42" s="143" t="s">
        <v>528</v>
      </c>
      <c r="AC42" s="155">
        <v>1</v>
      </c>
      <c r="AD42" s="155"/>
      <c r="AE42" s="155"/>
      <c r="AF42" s="155"/>
      <c r="AG42" s="155"/>
      <c r="AH42" s="143"/>
      <c r="AI42" s="158"/>
    </row>
    <row r="43" spans="1:35">
      <c r="A43" s="140"/>
      <c r="B43" s="143"/>
      <c r="C43" s="143" t="s">
        <v>78</v>
      </c>
      <c r="D43" s="143" t="s">
        <v>501</v>
      </c>
      <c r="E43" s="143" t="s">
        <v>80</v>
      </c>
      <c r="F43" s="153" t="s">
        <v>430</v>
      </c>
      <c r="G43" s="153" t="s">
        <v>431</v>
      </c>
      <c r="H43" s="153"/>
      <c r="I43" s="227">
        <v>33478</v>
      </c>
      <c r="J43" s="154"/>
      <c r="K43" s="154">
        <v>1</v>
      </c>
      <c r="L43" s="155"/>
      <c r="M43" s="155"/>
      <c r="N43" s="155"/>
      <c r="O43" s="155"/>
      <c r="P43" s="155"/>
      <c r="Q43" s="155"/>
      <c r="R43" s="155"/>
      <c r="S43" s="155"/>
      <c r="T43" s="155"/>
      <c r="U43" s="156" t="s">
        <v>502</v>
      </c>
      <c r="V43" s="153" t="s">
        <v>503</v>
      </c>
      <c r="W43" s="143" t="s">
        <v>298</v>
      </c>
      <c r="X43" s="157" t="s">
        <v>227</v>
      </c>
      <c r="Y43" s="157">
        <v>9271624021</v>
      </c>
      <c r="Z43" s="143"/>
      <c r="AA43" s="157" t="s">
        <v>525</v>
      </c>
      <c r="AB43" s="143" t="s">
        <v>528</v>
      </c>
      <c r="AC43" s="155">
        <v>2</v>
      </c>
      <c r="AD43" s="155"/>
      <c r="AE43" s="155"/>
      <c r="AF43" s="155"/>
      <c r="AG43" s="155"/>
      <c r="AH43" s="143"/>
      <c r="AI43" s="158"/>
    </row>
    <row r="44" spans="1:35">
      <c r="A44" s="140"/>
      <c r="B44" s="143"/>
      <c r="C44" s="143" t="s">
        <v>78</v>
      </c>
      <c r="D44" s="143" t="s">
        <v>501</v>
      </c>
      <c r="E44" s="143" t="s">
        <v>80</v>
      </c>
      <c r="F44" s="153" t="s">
        <v>158</v>
      </c>
      <c r="G44" s="153" t="s">
        <v>432</v>
      </c>
      <c r="H44" s="153"/>
      <c r="I44" s="227"/>
      <c r="J44" s="154"/>
      <c r="K44" s="154">
        <v>1</v>
      </c>
      <c r="L44" s="155"/>
      <c r="M44" s="155"/>
      <c r="N44" s="155"/>
      <c r="O44" s="155"/>
      <c r="P44" s="155"/>
      <c r="Q44" s="155"/>
      <c r="R44" s="155"/>
      <c r="S44" s="155"/>
      <c r="T44" s="155"/>
      <c r="U44" s="156" t="s">
        <v>507</v>
      </c>
      <c r="V44" s="153" t="s">
        <v>503</v>
      </c>
      <c r="W44" s="143" t="s">
        <v>298</v>
      </c>
      <c r="X44" s="157" t="s">
        <v>227</v>
      </c>
      <c r="Y44" s="157">
        <v>9956352935</v>
      </c>
      <c r="Z44" s="143"/>
      <c r="AA44" s="162" t="s">
        <v>524</v>
      </c>
      <c r="AB44" s="143" t="s">
        <v>528</v>
      </c>
      <c r="AC44" s="155">
        <v>1</v>
      </c>
      <c r="AD44" s="155"/>
      <c r="AE44" s="155"/>
      <c r="AF44" s="155"/>
      <c r="AG44" s="155"/>
      <c r="AH44" s="143"/>
      <c r="AI44" s="158"/>
    </row>
    <row r="45" spans="1:35">
      <c r="A45" s="140"/>
      <c r="B45" s="143"/>
      <c r="C45" s="143" t="s">
        <v>78</v>
      </c>
      <c r="D45" s="143" t="s">
        <v>501</v>
      </c>
      <c r="E45" s="143" t="s">
        <v>80</v>
      </c>
      <c r="F45" s="153" t="s">
        <v>433</v>
      </c>
      <c r="G45" s="153" t="s">
        <v>434</v>
      </c>
      <c r="H45" s="153" t="s">
        <v>409</v>
      </c>
      <c r="I45" s="227">
        <v>26353</v>
      </c>
      <c r="J45" s="154">
        <v>1</v>
      </c>
      <c r="K45" s="154"/>
      <c r="L45" s="155"/>
      <c r="M45" s="155"/>
      <c r="N45" s="155"/>
      <c r="O45" s="155"/>
      <c r="P45" s="155"/>
      <c r="Q45" s="155"/>
      <c r="R45" s="155"/>
      <c r="S45" s="155"/>
      <c r="T45" s="155"/>
      <c r="U45" s="156" t="s">
        <v>517</v>
      </c>
      <c r="V45" s="153" t="s">
        <v>503</v>
      </c>
      <c r="W45" s="143" t="s">
        <v>298</v>
      </c>
      <c r="X45" s="157" t="s">
        <v>227</v>
      </c>
      <c r="Y45" s="157">
        <v>9291619351</v>
      </c>
      <c r="Z45" s="143"/>
      <c r="AA45" s="162" t="s">
        <v>524</v>
      </c>
      <c r="AB45" s="143" t="s">
        <v>528</v>
      </c>
      <c r="AC45" s="155">
        <v>1</v>
      </c>
      <c r="AD45" s="155"/>
      <c r="AE45" s="155"/>
      <c r="AF45" s="155"/>
      <c r="AG45" s="155"/>
      <c r="AH45" s="143"/>
      <c r="AI45" s="158"/>
    </row>
    <row r="46" spans="1:35">
      <c r="A46" s="140"/>
      <c r="B46" s="143"/>
      <c r="C46" s="143" t="s">
        <v>78</v>
      </c>
      <c r="D46" s="143" t="s">
        <v>501</v>
      </c>
      <c r="E46" s="143" t="s">
        <v>80</v>
      </c>
      <c r="F46" s="153" t="s">
        <v>435</v>
      </c>
      <c r="G46" s="153" t="s">
        <v>436</v>
      </c>
      <c r="H46" s="153"/>
      <c r="I46" s="227">
        <v>33113</v>
      </c>
      <c r="J46" s="154">
        <v>1</v>
      </c>
      <c r="K46" s="154"/>
      <c r="L46" s="155"/>
      <c r="M46" s="155"/>
      <c r="N46" s="155"/>
      <c r="O46" s="155"/>
      <c r="P46" s="155"/>
      <c r="Q46" s="155"/>
      <c r="R46" s="155"/>
      <c r="S46" s="155"/>
      <c r="T46" s="155"/>
      <c r="U46" s="156" t="s">
        <v>518</v>
      </c>
      <c r="V46" s="153" t="s">
        <v>503</v>
      </c>
      <c r="W46" s="143" t="s">
        <v>298</v>
      </c>
      <c r="X46" s="157" t="s">
        <v>227</v>
      </c>
      <c r="Y46" s="157">
        <v>9641899201</v>
      </c>
      <c r="Z46" s="143"/>
      <c r="AA46" s="162" t="s">
        <v>524</v>
      </c>
      <c r="AB46" s="143" t="s">
        <v>528</v>
      </c>
      <c r="AC46" s="155">
        <v>1</v>
      </c>
      <c r="AD46" s="155"/>
      <c r="AE46" s="155"/>
      <c r="AF46" s="155"/>
      <c r="AG46" s="155"/>
      <c r="AH46" s="143"/>
      <c r="AI46" s="158"/>
    </row>
    <row r="47" spans="1:35">
      <c r="A47" s="140"/>
      <c r="B47" s="143"/>
      <c r="C47" s="143" t="s">
        <v>78</v>
      </c>
      <c r="D47" s="143" t="s">
        <v>501</v>
      </c>
      <c r="E47" s="143" t="s">
        <v>80</v>
      </c>
      <c r="F47" s="153" t="s">
        <v>437</v>
      </c>
      <c r="G47" s="153" t="s">
        <v>438</v>
      </c>
      <c r="H47" s="153"/>
      <c r="I47" s="227">
        <v>29686</v>
      </c>
      <c r="J47" s="154"/>
      <c r="K47" s="154">
        <v>1</v>
      </c>
      <c r="L47" s="155"/>
      <c r="M47" s="155"/>
      <c r="N47" s="155"/>
      <c r="O47" s="155"/>
      <c r="P47" s="155"/>
      <c r="Q47" s="155"/>
      <c r="R47" s="155"/>
      <c r="S47" s="155"/>
      <c r="T47" s="155"/>
      <c r="U47" s="156" t="s">
        <v>517</v>
      </c>
      <c r="V47" s="153" t="s">
        <v>503</v>
      </c>
      <c r="W47" s="143" t="s">
        <v>298</v>
      </c>
      <c r="X47" s="157" t="s">
        <v>227</v>
      </c>
      <c r="Y47" s="157">
        <v>9701603838</v>
      </c>
      <c r="Z47" s="143"/>
      <c r="AA47" s="162" t="s">
        <v>524</v>
      </c>
      <c r="AB47" s="143" t="s">
        <v>528</v>
      </c>
      <c r="AC47" s="155">
        <v>1</v>
      </c>
      <c r="AD47" s="155"/>
      <c r="AE47" s="155"/>
      <c r="AF47" s="155"/>
      <c r="AG47" s="155"/>
      <c r="AH47" s="143"/>
      <c r="AI47" s="158"/>
    </row>
    <row r="48" spans="1:35">
      <c r="A48" s="140"/>
      <c r="B48" s="143"/>
      <c r="C48" s="143" t="s">
        <v>78</v>
      </c>
      <c r="D48" s="143" t="s">
        <v>501</v>
      </c>
      <c r="E48" s="143" t="s">
        <v>80</v>
      </c>
      <c r="F48" s="153" t="s">
        <v>439</v>
      </c>
      <c r="G48" s="153" t="s">
        <v>440</v>
      </c>
      <c r="H48" s="153"/>
      <c r="I48" s="227">
        <v>32854</v>
      </c>
      <c r="J48" s="154">
        <v>1</v>
      </c>
      <c r="K48" s="154"/>
      <c r="L48" s="155"/>
      <c r="M48" s="155"/>
      <c r="N48" s="155"/>
      <c r="O48" s="155"/>
      <c r="P48" s="155"/>
      <c r="Q48" s="155"/>
      <c r="R48" s="155"/>
      <c r="S48" s="155"/>
      <c r="T48" s="155"/>
      <c r="U48" s="156" t="s">
        <v>502</v>
      </c>
      <c r="V48" s="153" t="s">
        <v>503</v>
      </c>
      <c r="W48" s="143" t="s">
        <v>298</v>
      </c>
      <c r="X48" s="157" t="s">
        <v>227</v>
      </c>
      <c r="Y48" s="157">
        <v>9197865370</v>
      </c>
      <c r="Z48" s="143"/>
      <c r="AA48" s="157" t="s">
        <v>525</v>
      </c>
      <c r="AB48" s="143" t="s">
        <v>528</v>
      </c>
      <c r="AC48" s="155">
        <v>1</v>
      </c>
      <c r="AD48" s="155"/>
      <c r="AE48" s="155"/>
      <c r="AF48" s="155"/>
      <c r="AG48" s="155"/>
      <c r="AH48" s="143"/>
      <c r="AI48" s="158"/>
    </row>
    <row r="49" spans="1:35">
      <c r="A49" s="140"/>
      <c r="B49" s="143"/>
      <c r="C49" s="143" t="s">
        <v>78</v>
      </c>
      <c r="D49" s="143" t="s">
        <v>501</v>
      </c>
      <c r="E49" s="143" t="s">
        <v>80</v>
      </c>
      <c r="F49" s="153" t="s">
        <v>441</v>
      </c>
      <c r="G49" s="153" t="s">
        <v>442</v>
      </c>
      <c r="H49" s="153"/>
      <c r="I49" s="227">
        <v>37949</v>
      </c>
      <c r="J49" s="154">
        <v>1</v>
      </c>
      <c r="K49" s="154"/>
      <c r="L49" s="155"/>
      <c r="M49" s="155"/>
      <c r="N49" s="155"/>
      <c r="O49" s="155"/>
      <c r="P49" s="155"/>
      <c r="Q49" s="155"/>
      <c r="R49" s="155"/>
      <c r="S49" s="155"/>
      <c r="T49" s="155"/>
      <c r="U49" s="156" t="s">
        <v>502</v>
      </c>
      <c r="V49" s="153" t="s">
        <v>503</v>
      </c>
      <c r="W49" s="143" t="s">
        <v>298</v>
      </c>
      <c r="X49" s="157" t="s">
        <v>227</v>
      </c>
      <c r="Y49" s="157">
        <v>9556206233</v>
      </c>
      <c r="Z49" s="143"/>
      <c r="AA49" s="157" t="s">
        <v>525</v>
      </c>
      <c r="AB49" s="143" t="s">
        <v>528</v>
      </c>
      <c r="AC49" s="155">
        <v>1</v>
      </c>
      <c r="AD49" s="155"/>
      <c r="AE49" s="155"/>
      <c r="AF49" s="155"/>
      <c r="AG49" s="155"/>
      <c r="AH49" s="143"/>
      <c r="AI49" s="158"/>
    </row>
    <row r="50" spans="1:35">
      <c r="A50" s="140"/>
      <c r="B50" s="143"/>
      <c r="C50" s="143" t="s">
        <v>78</v>
      </c>
      <c r="D50" s="143" t="s">
        <v>501</v>
      </c>
      <c r="E50" s="143" t="s">
        <v>80</v>
      </c>
      <c r="F50" s="153" t="s">
        <v>443</v>
      </c>
      <c r="G50" s="153" t="s">
        <v>444</v>
      </c>
      <c r="H50" s="153"/>
      <c r="I50" s="227">
        <v>21517</v>
      </c>
      <c r="J50" s="154">
        <v>1</v>
      </c>
      <c r="K50" s="154"/>
      <c r="L50" s="155"/>
      <c r="M50" s="155">
        <v>1</v>
      </c>
      <c r="N50" s="155"/>
      <c r="O50" s="155"/>
      <c r="P50" s="155"/>
      <c r="Q50" s="155"/>
      <c r="R50" s="155"/>
      <c r="S50" s="155"/>
      <c r="T50" s="155"/>
      <c r="U50" s="156" t="s">
        <v>502</v>
      </c>
      <c r="V50" s="153" t="s">
        <v>503</v>
      </c>
      <c r="W50" s="143" t="s">
        <v>298</v>
      </c>
      <c r="X50" s="157" t="s">
        <v>227</v>
      </c>
      <c r="Y50" s="157"/>
      <c r="Z50" s="143"/>
      <c r="AA50" s="157" t="s">
        <v>525</v>
      </c>
      <c r="AB50" s="143" t="s">
        <v>528</v>
      </c>
      <c r="AC50" s="155">
        <v>1</v>
      </c>
      <c r="AD50" s="155"/>
      <c r="AE50" s="155"/>
      <c r="AF50" s="155"/>
      <c r="AG50" s="155"/>
      <c r="AH50" s="143"/>
      <c r="AI50" s="158"/>
    </row>
    <row r="51" spans="1:35">
      <c r="A51" s="140"/>
      <c r="B51" s="143"/>
      <c r="C51" s="143" t="s">
        <v>78</v>
      </c>
      <c r="D51" s="143" t="s">
        <v>501</v>
      </c>
      <c r="E51" s="143" t="s">
        <v>80</v>
      </c>
      <c r="F51" s="153" t="s">
        <v>445</v>
      </c>
      <c r="G51" s="153" t="s">
        <v>446</v>
      </c>
      <c r="H51" s="153"/>
      <c r="I51" s="227">
        <v>33186</v>
      </c>
      <c r="J51" s="154"/>
      <c r="K51" s="154">
        <v>1</v>
      </c>
      <c r="L51" s="155"/>
      <c r="M51" s="155"/>
      <c r="N51" s="155"/>
      <c r="O51" s="155"/>
      <c r="P51" s="155"/>
      <c r="Q51" s="155"/>
      <c r="R51" s="155"/>
      <c r="S51" s="155"/>
      <c r="T51" s="155"/>
      <c r="U51" s="156" t="s">
        <v>295</v>
      </c>
      <c r="V51" s="153" t="s">
        <v>503</v>
      </c>
      <c r="W51" s="143" t="s">
        <v>298</v>
      </c>
      <c r="X51" s="157" t="s">
        <v>227</v>
      </c>
      <c r="Y51" s="157">
        <v>9759439905</v>
      </c>
      <c r="Z51" s="143"/>
      <c r="AA51" s="157" t="s">
        <v>525</v>
      </c>
      <c r="AB51" s="143" t="s">
        <v>528</v>
      </c>
      <c r="AC51" s="155">
        <v>1</v>
      </c>
      <c r="AD51" s="155"/>
      <c r="AE51" s="155"/>
      <c r="AF51" s="155"/>
      <c r="AG51" s="155"/>
      <c r="AH51" s="143"/>
      <c r="AI51" s="158"/>
    </row>
    <row r="52" spans="1:35">
      <c r="A52" s="140"/>
      <c r="B52" s="143"/>
      <c r="C52" s="143" t="s">
        <v>78</v>
      </c>
      <c r="D52" s="143" t="s">
        <v>501</v>
      </c>
      <c r="E52" s="143" t="s">
        <v>80</v>
      </c>
      <c r="F52" s="153" t="s">
        <v>447</v>
      </c>
      <c r="G52" s="153" t="s">
        <v>448</v>
      </c>
      <c r="H52" s="153" t="s">
        <v>136</v>
      </c>
      <c r="I52" s="227">
        <v>24780</v>
      </c>
      <c r="J52" s="154">
        <v>1</v>
      </c>
      <c r="K52" s="154"/>
      <c r="L52" s="155"/>
      <c r="M52" s="155"/>
      <c r="N52" s="155"/>
      <c r="O52" s="155"/>
      <c r="P52" s="155"/>
      <c r="Q52" s="155"/>
      <c r="R52" s="155"/>
      <c r="S52" s="155"/>
      <c r="T52" s="155"/>
      <c r="U52" s="156" t="s">
        <v>292</v>
      </c>
      <c r="V52" s="153" t="s">
        <v>503</v>
      </c>
      <c r="W52" s="143" t="s">
        <v>298</v>
      </c>
      <c r="X52" s="157" t="s">
        <v>227</v>
      </c>
      <c r="Y52" s="157">
        <v>9303130244</v>
      </c>
      <c r="Z52" s="143"/>
      <c r="AA52" s="157" t="s">
        <v>525</v>
      </c>
      <c r="AB52" s="143" t="s">
        <v>528</v>
      </c>
      <c r="AC52" s="155">
        <v>1</v>
      </c>
      <c r="AD52" s="155"/>
      <c r="AE52" s="155"/>
      <c r="AF52" s="155"/>
      <c r="AG52" s="155"/>
      <c r="AH52" s="143"/>
      <c r="AI52" s="158"/>
    </row>
    <row r="53" spans="1:35">
      <c r="A53" s="140"/>
      <c r="B53" s="143"/>
      <c r="C53" s="143" t="s">
        <v>78</v>
      </c>
      <c r="D53" s="143" t="s">
        <v>501</v>
      </c>
      <c r="E53" s="143" t="s">
        <v>80</v>
      </c>
      <c r="F53" s="153" t="s">
        <v>449</v>
      </c>
      <c r="G53" s="153" t="s">
        <v>450</v>
      </c>
      <c r="H53" s="153"/>
      <c r="I53" s="227">
        <v>33856</v>
      </c>
      <c r="J53" s="154">
        <v>1</v>
      </c>
      <c r="K53" s="154"/>
      <c r="L53" s="155"/>
      <c r="M53" s="155"/>
      <c r="N53" s="155"/>
      <c r="O53" s="155"/>
      <c r="P53" s="155"/>
      <c r="Q53" s="155"/>
      <c r="R53" s="155"/>
      <c r="S53" s="155"/>
      <c r="T53" s="155"/>
      <c r="U53" s="156" t="s">
        <v>517</v>
      </c>
      <c r="V53" s="153" t="s">
        <v>503</v>
      </c>
      <c r="W53" s="143" t="s">
        <v>298</v>
      </c>
      <c r="X53" s="157" t="s">
        <v>227</v>
      </c>
      <c r="Y53" s="157">
        <v>9154913781</v>
      </c>
      <c r="Z53" s="143"/>
      <c r="AA53" s="162" t="s">
        <v>524</v>
      </c>
      <c r="AB53" s="143" t="s">
        <v>528</v>
      </c>
      <c r="AC53" s="155">
        <v>1</v>
      </c>
      <c r="AD53" s="155"/>
      <c r="AE53" s="155"/>
      <c r="AF53" s="155"/>
      <c r="AG53" s="155"/>
      <c r="AH53" s="143"/>
      <c r="AI53" s="158"/>
    </row>
    <row r="54" spans="1:35">
      <c r="A54" s="140"/>
      <c r="B54" s="143"/>
      <c r="C54" s="143" t="s">
        <v>78</v>
      </c>
      <c r="D54" s="143" t="s">
        <v>501</v>
      </c>
      <c r="E54" s="143" t="s">
        <v>80</v>
      </c>
      <c r="F54" s="153" t="s">
        <v>451</v>
      </c>
      <c r="G54" s="153" t="s">
        <v>452</v>
      </c>
      <c r="H54" s="153" t="s">
        <v>115</v>
      </c>
      <c r="I54" s="227">
        <v>38177</v>
      </c>
      <c r="J54" s="154">
        <v>1</v>
      </c>
      <c r="K54" s="154"/>
      <c r="L54" s="155"/>
      <c r="M54" s="155"/>
      <c r="N54" s="155"/>
      <c r="O54" s="155"/>
      <c r="P54" s="155"/>
      <c r="Q54" s="155"/>
      <c r="R54" s="155"/>
      <c r="S54" s="155"/>
      <c r="T54" s="155"/>
      <c r="U54" s="156" t="s">
        <v>507</v>
      </c>
      <c r="V54" s="153" t="s">
        <v>503</v>
      </c>
      <c r="W54" s="143" t="s">
        <v>298</v>
      </c>
      <c r="X54" s="157" t="s">
        <v>227</v>
      </c>
      <c r="Y54" s="157">
        <v>9484001097</v>
      </c>
      <c r="Z54" s="143"/>
      <c r="AA54" s="162" t="s">
        <v>524</v>
      </c>
      <c r="AB54" s="143" t="s">
        <v>528</v>
      </c>
      <c r="AC54" s="155">
        <v>1</v>
      </c>
      <c r="AD54" s="155"/>
      <c r="AE54" s="155"/>
      <c r="AF54" s="155"/>
      <c r="AG54" s="155"/>
      <c r="AH54" s="143"/>
      <c r="AI54" s="158"/>
    </row>
    <row r="55" spans="1:35">
      <c r="A55" s="140"/>
      <c r="B55" s="143"/>
      <c r="C55" s="143" t="s">
        <v>78</v>
      </c>
      <c r="D55" s="143" t="s">
        <v>501</v>
      </c>
      <c r="E55" s="143" t="s">
        <v>80</v>
      </c>
      <c r="F55" s="153" t="s">
        <v>453</v>
      </c>
      <c r="G55" s="153" t="s">
        <v>159</v>
      </c>
      <c r="H55" s="153"/>
      <c r="I55" s="227"/>
      <c r="J55" s="154">
        <v>1</v>
      </c>
      <c r="K55" s="154"/>
      <c r="L55" s="155"/>
      <c r="M55" s="155"/>
      <c r="N55" s="155"/>
      <c r="O55" s="155"/>
      <c r="P55" s="155"/>
      <c r="Q55" s="155"/>
      <c r="R55" s="155"/>
      <c r="S55" s="155"/>
      <c r="T55" s="155"/>
      <c r="U55" s="156"/>
      <c r="V55" s="153"/>
      <c r="W55" s="143"/>
      <c r="X55" s="157" t="s">
        <v>227</v>
      </c>
      <c r="Y55" s="157"/>
      <c r="Z55" s="143"/>
      <c r="AA55" s="162" t="s">
        <v>524</v>
      </c>
      <c r="AB55" s="143" t="s">
        <v>528</v>
      </c>
      <c r="AC55" s="155">
        <v>1</v>
      </c>
      <c r="AD55" s="155"/>
      <c r="AE55" s="155"/>
      <c r="AF55" s="155"/>
      <c r="AG55" s="155"/>
      <c r="AH55" s="143"/>
      <c r="AI55" s="158"/>
    </row>
    <row r="56" spans="1:35">
      <c r="A56" s="140"/>
      <c r="B56" s="143"/>
      <c r="C56" s="143" t="s">
        <v>78</v>
      </c>
      <c r="D56" s="143" t="s">
        <v>501</v>
      </c>
      <c r="E56" s="143" t="s">
        <v>80</v>
      </c>
      <c r="F56" s="163" t="s">
        <v>454</v>
      </c>
      <c r="G56" s="163" t="s">
        <v>138</v>
      </c>
      <c r="H56" s="153"/>
      <c r="I56" s="227">
        <v>36177</v>
      </c>
      <c r="J56" s="154">
        <v>1</v>
      </c>
      <c r="K56" s="154"/>
      <c r="L56" s="155"/>
      <c r="M56" s="155"/>
      <c r="N56" s="155"/>
      <c r="O56" s="155"/>
      <c r="P56" s="155"/>
      <c r="Q56" s="155"/>
      <c r="R56" s="155"/>
      <c r="S56" s="155"/>
      <c r="T56" s="155"/>
      <c r="U56" s="156"/>
      <c r="V56" s="153" t="s">
        <v>350</v>
      </c>
      <c r="W56" s="143" t="s">
        <v>279</v>
      </c>
      <c r="X56" s="157" t="s">
        <v>227</v>
      </c>
      <c r="Y56" s="157">
        <v>9268435306</v>
      </c>
      <c r="Z56" s="143"/>
      <c r="AA56" s="157" t="s">
        <v>525</v>
      </c>
      <c r="AB56" s="143" t="s">
        <v>528</v>
      </c>
      <c r="AC56" s="155">
        <v>1</v>
      </c>
      <c r="AD56" s="155"/>
      <c r="AE56" s="155"/>
      <c r="AF56" s="155"/>
      <c r="AG56" s="155"/>
      <c r="AH56" s="143"/>
      <c r="AI56" s="158"/>
    </row>
    <row r="57" spans="1:35">
      <c r="A57" s="140"/>
      <c r="B57" s="143"/>
      <c r="C57" s="143" t="s">
        <v>78</v>
      </c>
      <c r="D57" s="143" t="s">
        <v>501</v>
      </c>
      <c r="E57" s="143" t="s">
        <v>80</v>
      </c>
      <c r="F57" s="153" t="s">
        <v>454</v>
      </c>
      <c r="G57" s="153" t="s">
        <v>455</v>
      </c>
      <c r="H57" s="153"/>
      <c r="I57" s="227">
        <v>39323</v>
      </c>
      <c r="J57" s="154">
        <v>1</v>
      </c>
      <c r="K57" s="154"/>
      <c r="L57" s="155"/>
      <c r="M57" s="155"/>
      <c r="N57" s="155"/>
      <c r="O57" s="155"/>
      <c r="P57" s="155"/>
      <c r="Q57" s="155"/>
      <c r="R57" s="155"/>
      <c r="S57" s="155"/>
      <c r="T57" s="155"/>
      <c r="U57" s="156"/>
      <c r="V57" s="153" t="s">
        <v>350</v>
      </c>
      <c r="W57" s="143" t="s">
        <v>279</v>
      </c>
      <c r="X57" s="157" t="s">
        <v>227</v>
      </c>
      <c r="Y57" s="157">
        <v>9354758821</v>
      </c>
      <c r="Z57" s="143"/>
      <c r="AA57" s="157" t="s">
        <v>525</v>
      </c>
      <c r="AB57" s="143" t="s">
        <v>528</v>
      </c>
      <c r="AC57" s="155">
        <v>1</v>
      </c>
      <c r="AD57" s="155"/>
      <c r="AE57" s="155"/>
      <c r="AF57" s="155"/>
      <c r="AG57" s="155"/>
      <c r="AH57" s="143"/>
      <c r="AI57" s="158"/>
    </row>
    <row r="58" spans="1:35">
      <c r="A58" s="140"/>
      <c r="B58" s="143"/>
      <c r="C58" s="143" t="s">
        <v>78</v>
      </c>
      <c r="D58" s="143" t="s">
        <v>501</v>
      </c>
      <c r="E58" s="143" t="s">
        <v>80</v>
      </c>
      <c r="F58" s="153" t="s">
        <v>456</v>
      </c>
      <c r="G58" s="153" t="s">
        <v>457</v>
      </c>
      <c r="H58" s="153" t="s">
        <v>136</v>
      </c>
      <c r="I58" s="227">
        <v>27489</v>
      </c>
      <c r="J58" s="154"/>
      <c r="K58" s="154">
        <v>1</v>
      </c>
      <c r="L58" s="155"/>
      <c r="M58" s="155"/>
      <c r="N58" s="155"/>
      <c r="O58" s="155"/>
      <c r="P58" s="155"/>
      <c r="Q58" s="155"/>
      <c r="R58" s="155"/>
      <c r="S58" s="155"/>
      <c r="T58" s="155"/>
      <c r="U58" s="156" t="s">
        <v>505</v>
      </c>
      <c r="V58" s="153" t="s">
        <v>503</v>
      </c>
      <c r="W58" s="143" t="s">
        <v>298</v>
      </c>
      <c r="X58" s="157" t="s">
        <v>227</v>
      </c>
      <c r="Y58" s="157">
        <v>9300677044</v>
      </c>
      <c r="Z58" s="143"/>
      <c r="AA58" s="162" t="s">
        <v>524</v>
      </c>
      <c r="AB58" s="143" t="s">
        <v>528</v>
      </c>
      <c r="AC58" s="155">
        <v>1</v>
      </c>
      <c r="AD58" s="155"/>
      <c r="AE58" s="155"/>
      <c r="AF58" s="155"/>
      <c r="AG58" s="155"/>
      <c r="AH58" s="143"/>
      <c r="AI58" s="158"/>
    </row>
    <row r="59" spans="1:35">
      <c r="A59" s="140"/>
      <c r="B59" s="143"/>
      <c r="C59" s="143" t="s">
        <v>78</v>
      </c>
      <c r="D59" s="143" t="s">
        <v>501</v>
      </c>
      <c r="E59" s="143" t="s">
        <v>80</v>
      </c>
      <c r="F59" s="153" t="s">
        <v>458</v>
      </c>
      <c r="G59" s="153" t="s">
        <v>459</v>
      </c>
      <c r="H59" s="153"/>
      <c r="I59" s="227">
        <v>32399</v>
      </c>
      <c r="J59" s="154"/>
      <c r="K59" s="154">
        <v>1</v>
      </c>
      <c r="L59" s="155"/>
      <c r="M59" s="155"/>
      <c r="N59" s="155"/>
      <c r="O59" s="155"/>
      <c r="P59" s="155"/>
      <c r="Q59" s="155"/>
      <c r="R59" s="155"/>
      <c r="S59" s="155"/>
      <c r="T59" s="155"/>
      <c r="U59" s="156" t="s">
        <v>515</v>
      </c>
      <c r="V59" s="153" t="s">
        <v>503</v>
      </c>
      <c r="W59" s="143" t="s">
        <v>298</v>
      </c>
      <c r="X59" s="157" t="s">
        <v>227</v>
      </c>
      <c r="Y59" s="157">
        <v>9508460136</v>
      </c>
      <c r="Z59" s="143"/>
      <c r="AA59" s="162" t="s">
        <v>524</v>
      </c>
      <c r="AB59" s="143" t="s">
        <v>528</v>
      </c>
      <c r="AC59" s="155">
        <v>1</v>
      </c>
      <c r="AD59" s="155"/>
      <c r="AE59" s="155"/>
      <c r="AF59" s="155"/>
      <c r="AG59" s="155"/>
      <c r="AH59" s="143"/>
      <c r="AI59" s="158"/>
    </row>
    <row r="60" spans="1:35">
      <c r="A60" s="140"/>
      <c r="B60" s="143"/>
      <c r="C60" s="143" t="s">
        <v>78</v>
      </c>
      <c r="D60" s="143" t="s">
        <v>501</v>
      </c>
      <c r="E60" s="143" t="s">
        <v>80</v>
      </c>
      <c r="F60" s="153" t="s">
        <v>460</v>
      </c>
      <c r="G60" s="153" t="s">
        <v>461</v>
      </c>
      <c r="H60" s="153"/>
      <c r="I60" s="227">
        <v>27293</v>
      </c>
      <c r="J60" s="154">
        <v>1</v>
      </c>
      <c r="K60" s="154"/>
      <c r="L60" s="155"/>
      <c r="M60" s="155"/>
      <c r="N60" s="155"/>
      <c r="O60" s="155"/>
      <c r="P60" s="155"/>
      <c r="Q60" s="155"/>
      <c r="R60" s="155"/>
      <c r="S60" s="155"/>
      <c r="T60" s="155"/>
      <c r="U60" s="156" t="s">
        <v>509</v>
      </c>
      <c r="V60" s="153" t="s">
        <v>503</v>
      </c>
      <c r="W60" s="143" t="s">
        <v>298</v>
      </c>
      <c r="X60" s="157" t="s">
        <v>227</v>
      </c>
      <c r="Y60" s="157">
        <v>9731121229</v>
      </c>
      <c r="Z60" s="143"/>
      <c r="AA60" s="157" t="s">
        <v>525</v>
      </c>
      <c r="AB60" s="143" t="s">
        <v>528</v>
      </c>
      <c r="AC60" s="155">
        <v>1</v>
      </c>
      <c r="AD60" s="155"/>
      <c r="AE60" s="155"/>
      <c r="AF60" s="155"/>
      <c r="AG60" s="155"/>
      <c r="AH60" s="143"/>
      <c r="AI60" s="158"/>
    </row>
    <row r="61" spans="1:35">
      <c r="A61" s="140"/>
      <c r="B61" s="143"/>
      <c r="C61" s="143" t="s">
        <v>78</v>
      </c>
      <c r="D61" s="143" t="s">
        <v>501</v>
      </c>
      <c r="E61" s="143" t="s">
        <v>80</v>
      </c>
      <c r="F61" s="153" t="s">
        <v>462</v>
      </c>
      <c r="G61" s="153" t="s">
        <v>463</v>
      </c>
      <c r="H61" s="153"/>
      <c r="I61" s="227">
        <v>31455</v>
      </c>
      <c r="J61" s="154"/>
      <c r="K61" s="154">
        <v>1</v>
      </c>
      <c r="L61" s="155"/>
      <c r="M61" s="155"/>
      <c r="N61" s="155"/>
      <c r="O61" s="155"/>
      <c r="P61" s="155"/>
      <c r="Q61" s="155"/>
      <c r="R61" s="155"/>
      <c r="S61" s="155"/>
      <c r="T61" s="155"/>
      <c r="U61" s="156" t="s">
        <v>505</v>
      </c>
      <c r="V61" s="153" t="s">
        <v>503</v>
      </c>
      <c r="W61" s="143" t="s">
        <v>298</v>
      </c>
      <c r="X61" s="157" t="s">
        <v>227</v>
      </c>
      <c r="Y61" s="157">
        <v>9066791892</v>
      </c>
      <c r="Z61" s="143"/>
      <c r="AA61" s="157" t="s">
        <v>524</v>
      </c>
      <c r="AB61" s="143" t="s">
        <v>528</v>
      </c>
      <c r="AC61" s="155">
        <v>2</v>
      </c>
      <c r="AD61" s="155"/>
      <c r="AE61" s="155"/>
      <c r="AF61" s="155"/>
      <c r="AG61" s="155"/>
      <c r="AH61" s="143"/>
      <c r="AI61" s="158"/>
    </row>
    <row r="62" spans="1:35">
      <c r="A62" s="140"/>
      <c r="B62" s="143"/>
      <c r="C62" s="143" t="s">
        <v>78</v>
      </c>
      <c r="D62" s="143" t="s">
        <v>501</v>
      </c>
      <c r="E62" s="143" t="s">
        <v>80</v>
      </c>
      <c r="F62" s="153" t="s">
        <v>464</v>
      </c>
      <c r="G62" s="153" t="s">
        <v>465</v>
      </c>
      <c r="H62" s="153" t="s">
        <v>115</v>
      </c>
      <c r="I62" s="227">
        <v>29959</v>
      </c>
      <c r="J62" s="154"/>
      <c r="K62" s="154">
        <v>1</v>
      </c>
      <c r="L62" s="155"/>
      <c r="M62" s="155"/>
      <c r="N62" s="155"/>
      <c r="O62" s="155"/>
      <c r="P62" s="155"/>
      <c r="Q62" s="155"/>
      <c r="R62" s="155"/>
      <c r="S62" s="155"/>
      <c r="T62" s="155"/>
      <c r="U62" s="156" t="s">
        <v>292</v>
      </c>
      <c r="V62" s="153" t="s">
        <v>503</v>
      </c>
      <c r="W62" s="143" t="s">
        <v>298</v>
      </c>
      <c r="X62" s="157" t="s">
        <v>227</v>
      </c>
      <c r="Y62" s="157">
        <v>9771363474</v>
      </c>
      <c r="Z62" s="143"/>
      <c r="AA62" s="157" t="s">
        <v>524</v>
      </c>
      <c r="AB62" s="143" t="s">
        <v>528</v>
      </c>
      <c r="AC62" s="155">
        <v>1</v>
      </c>
      <c r="AD62" s="155"/>
      <c r="AE62" s="155"/>
      <c r="AF62" s="155"/>
      <c r="AG62" s="155"/>
      <c r="AH62" s="143"/>
      <c r="AI62" s="158"/>
    </row>
    <row r="63" spans="1:35">
      <c r="A63" s="140"/>
      <c r="B63" s="143"/>
      <c r="C63" s="143" t="s">
        <v>78</v>
      </c>
      <c r="D63" s="143" t="s">
        <v>501</v>
      </c>
      <c r="E63" s="143" t="s">
        <v>80</v>
      </c>
      <c r="F63" s="153" t="s">
        <v>466</v>
      </c>
      <c r="G63" s="153" t="s">
        <v>467</v>
      </c>
      <c r="H63" s="153"/>
      <c r="I63" s="227">
        <v>35890</v>
      </c>
      <c r="J63" s="154"/>
      <c r="K63" s="154">
        <v>1</v>
      </c>
      <c r="L63" s="155"/>
      <c r="M63" s="155"/>
      <c r="N63" s="155"/>
      <c r="O63" s="155"/>
      <c r="P63" s="155"/>
      <c r="Q63" s="155"/>
      <c r="R63" s="155"/>
      <c r="S63" s="155"/>
      <c r="T63" s="155"/>
      <c r="U63" s="156" t="s">
        <v>507</v>
      </c>
      <c r="V63" s="153" t="s">
        <v>503</v>
      </c>
      <c r="W63" s="143" t="s">
        <v>298</v>
      </c>
      <c r="X63" s="157" t="s">
        <v>227</v>
      </c>
      <c r="Y63" s="157">
        <v>9165276828</v>
      </c>
      <c r="Z63" s="143"/>
      <c r="AA63" s="157" t="s">
        <v>524</v>
      </c>
      <c r="AB63" s="143" t="s">
        <v>528</v>
      </c>
      <c r="AC63" s="155">
        <v>1</v>
      </c>
      <c r="AD63" s="155"/>
      <c r="AE63" s="155"/>
      <c r="AF63" s="155"/>
      <c r="AG63" s="155"/>
      <c r="AH63" s="143"/>
      <c r="AI63" s="158"/>
    </row>
    <row r="64" spans="1:35">
      <c r="A64" s="140"/>
      <c r="B64" s="143"/>
      <c r="C64" s="143" t="s">
        <v>78</v>
      </c>
      <c r="D64" s="143" t="s">
        <v>501</v>
      </c>
      <c r="E64" s="143" t="s">
        <v>80</v>
      </c>
      <c r="F64" s="153" t="s">
        <v>468</v>
      </c>
      <c r="G64" s="153" t="s">
        <v>469</v>
      </c>
      <c r="H64" s="153"/>
      <c r="I64" s="227">
        <v>37074</v>
      </c>
      <c r="J64" s="154">
        <v>1</v>
      </c>
      <c r="K64" s="154"/>
      <c r="L64" s="155"/>
      <c r="M64" s="155"/>
      <c r="N64" s="155"/>
      <c r="O64" s="155"/>
      <c r="P64" s="155"/>
      <c r="Q64" s="155"/>
      <c r="R64" s="155"/>
      <c r="S64" s="155"/>
      <c r="T64" s="155"/>
      <c r="U64" s="156"/>
      <c r="V64" s="153" t="s">
        <v>519</v>
      </c>
      <c r="W64" s="143" t="s">
        <v>280</v>
      </c>
      <c r="X64" s="157" t="s">
        <v>227</v>
      </c>
      <c r="Y64" s="157">
        <v>9517370609</v>
      </c>
      <c r="Z64" s="143"/>
      <c r="AA64" s="162" t="s">
        <v>524</v>
      </c>
      <c r="AB64" s="143" t="s">
        <v>528</v>
      </c>
      <c r="AC64" s="155">
        <v>1</v>
      </c>
      <c r="AD64" s="155"/>
      <c r="AE64" s="155"/>
      <c r="AF64" s="155"/>
      <c r="AG64" s="155"/>
      <c r="AH64" s="143"/>
      <c r="AI64" s="158"/>
    </row>
    <row r="65" spans="1:35">
      <c r="A65" s="140"/>
      <c r="B65" s="143"/>
      <c r="C65" s="143" t="s">
        <v>78</v>
      </c>
      <c r="D65" s="143" t="s">
        <v>501</v>
      </c>
      <c r="E65" s="143" t="s">
        <v>80</v>
      </c>
      <c r="F65" s="153" t="s">
        <v>468</v>
      </c>
      <c r="G65" s="153" t="s">
        <v>470</v>
      </c>
      <c r="H65" s="153"/>
      <c r="I65" s="227">
        <v>28892</v>
      </c>
      <c r="J65" s="154">
        <v>1</v>
      </c>
      <c r="K65" s="154"/>
      <c r="L65" s="155"/>
      <c r="M65" s="155"/>
      <c r="N65" s="155"/>
      <c r="O65" s="155"/>
      <c r="P65" s="155"/>
      <c r="Q65" s="155">
        <v>1</v>
      </c>
      <c r="R65" s="155" t="s">
        <v>962</v>
      </c>
      <c r="S65" s="155"/>
      <c r="T65" s="155"/>
      <c r="U65" s="156"/>
      <c r="V65" s="153" t="s">
        <v>519</v>
      </c>
      <c r="W65" s="143" t="s">
        <v>280</v>
      </c>
      <c r="X65" s="157" t="s">
        <v>227</v>
      </c>
      <c r="Y65" s="157">
        <v>9104034500</v>
      </c>
      <c r="Z65" s="143"/>
      <c r="AA65" s="162" t="s">
        <v>524</v>
      </c>
      <c r="AB65" s="143" t="s">
        <v>528</v>
      </c>
      <c r="AC65" s="155">
        <v>1</v>
      </c>
      <c r="AD65" s="155"/>
      <c r="AE65" s="155"/>
      <c r="AF65" s="155"/>
      <c r="AG65" s="155"/>
      <c r="AH65" s="143"/>
      <c r="AI65" s="158"/>
    </row>
    <row r="66" spans="1:35">
      <c r="A66" s="140"/>
      <c r="B66" s="143"/>
      <c r="C66" s="143" t="s">
        <v>78</v>
      </c>
      <c r="D66" s="143" t="s">
        <v>501</v>
      </c>
      <c r="E66" s="143" t="s">
        <v>80</v>
      </c>
      <c r="F66" s="153" t="s">
        <v>471</v>
      </c>
      <c r="G66" s="153" t="s">
        <v>472</v>
      </c>
      <c r="H66" s="153"/>
      <c r="I66" s="227">
        <v>35094</v>
      </c>
      <c r="J66" s="154">
        <v>1</v>
      </c>
      <c r="K66" s="154"/>
      <c r="L66" s="155"/>
      <c r="M66" s="155"/>
      <c r="N66" s="155"/>
      <c r="O66" s="155"/>
      <c r="P66" s="155"/>
      <c r="Q66" s="155"/>
      <c r="R66" s="155"/>
      <c r="S66" s="155"/>
      <c r="T66" s="155"/>
      <c r="U66" s="156" t="s">
        <v>508</v>
      </c>
      <c r="V66" s="153" t="s">
        <v>503</v>
      </c>
      <c r="W66" s="143" t="s">
        <v>298</v>
      </c>
      <c r="X66" s="157" t="s">
        <v>227</v>
      </c>
      <c r="Y66" s="157">
        <v>9460968209</v>
      </c>
      <c r="Z66" s="143"/>
      <c r="AA66" s="162" t="s">
        <v>524</v>
      </c>
      <c r="AB66" s="143" t="s">
        <v>528</v>
      </c>
      <c r="AC66" s="155">
        <v>1</v>
      </c>
      <c r="AD66" s="155"/>
      <c r="AE66" s="155"/>
      <c r="AF66" s="155"/>
      <c r="AG66" s="155"/>
      <c r="AH66" s="143"/>
      <c r="AI66" s="158"/>
    </row>
    <row r="67" spans="1:35">
      <c r="A67" s="140"/>
      <c r="B67" s="143"/>
      <c r="C67" s="143" t="s">
        <v>78</v>
      </c>
      <c r="D67" s="143" t="s">
        <v>501</v>
      </c>
      <c r="E67" s="143" t="s">
        <v>80</v>
      </c>
      <c r="F67" s="153" t="s">
        <v>473</v>
      </c>
      <c r="G67" s="153" t="s">
        <v>116</v>
      </c>
      <c r="H67" s="153"/>
      <c r="I67" s="227">
        <v>32399</v>
      </c>
      <c r="J67" s="154">
        <v>1</v>
      </c>
      <c r="K67" s="154"/>
      <c r="L67" s="155"/>
      <c r="M67" s="155"/>
      <c r="N67" s="155"/>
      <c r="O67" s="155"/>
      <c r="P67" s="155"/>
      <c r="Q67" s="155"/>
      <c r="R67" s="155"/>
      <c r="S67" s="155"/>
      <c r="T67" s="155"/>
      <c r="U67" s="156" t="s">
        <v>508</v>
      </c>
      <c r="V67" s="153" t="s">
        <v>503</v>
      </c>
      <c r="W67" s="143" t="s">
        <v>298</v>
      </c>
      <c r="X67" s="157" t="s">
        <v>227</v>
      </c>
      <c r="Y67" s="157">
        <v>9679445003</v>
      </c>
      <c r="Z67" s="143"/>
      <c r="AA67" s="162" t="s">
        <v>524</v>
      </c>
      <c r="AB67" s="143" t="s">
        <v>528</v>
      </c>
      <c r="AC67" s="155">
        <v>1</v>
      </c>
      <c r="AD67" s="155"/>
      <c r="AE67" s="155"/>
      <c r="AF67" s="155"/>
      <c r="AG67" s="155"/>
      <c r="AH67" s="143"/>
      <c r="AI67" s="158"/>
    </row>
    <row r="68" spans="1:35">
      <c r="A68" s="140"/>
      <c r="B68" s="143"/>
      <c r="C68" s="143" t="s">
        <v>78</v>
      </c>
      <c r="D68" s="143" t="s">
        <v>501</v>
      </c>
      <c r="E68" s="143" t="s">
        <v>80</v>
      </c>
      <c r="F68" s="153" t="s">
        <v>474</v>
      </c>
      <c r="G68" s="153" t="s">
        <v>475</v>
      </c>
      <c r="H68" s="153"/>
      <c r="I68" s="227"/>
      <c r="J68" s="154"/>
      <c r="K68" s="154">
        <v>1</v>
      </c>
      <c r="L68" s="155"/>
      <c r="M68" s="155"/>
      <c r="N68" s="155"/>
      <c r="O68" s="155"/>
      <c r="P68" s="155"/>
      <c r="Q68" s="155"/>
      <c r="R68" s="155"/>
      <c r="S68" s="155"/>
      <c r="T68" s="155"/>
      <c r="U68" s="156" t="s">
        <v>520</v>
      </c>
      <c r="V68" s="153" t="s">
        <v>503</v>
      </c>
      <c r="W68" s="143" t="s">
        <v>298</v>
      </c>
      <c r="X68" s="157" t="s">
        <v>227</v>
      </c>
      <c r="Y68" s="157">
        <v>9095595919</v>
      </c>
      <c r="Z68" s="143"/>
      <c r="AA68" s="162" t="s">
        <v>524</v>
      </c>
      <c r="AB68" s="143" t="s">
        <v>528</v>
      </c>
      <c r="AC68" s="155">
        <v>1</v>
      </c>
      <c r="AD68" s="155"/>
      <c r="AE68" s="155"/>
      <c r="AF68" s="155"/>
      <c r="AG68" s="155"/>
      <c r="AH68" s="143"/>
      <c r="AI68" s="158"/>
    </row>
    <row r="69" spans="1:35">
      <c r="A69" s="140"/>
      <c r="B69" s="143"/>
      <c r="C69" s="143" t="s">
        <v>78</v>
      </c>
      <c r="D69" s="143" t="s">
        <v>501</v>
      </c>
      <c r="E69" s="143" t="s">
        <v>80</v>
      </c>
      <c r="F69" s="153" t="s">
        <v>476</v>
      </c>
      <c r="G69" s="153" t="s">
        <v>477</v>
      </c>
      <c r="H69" s="153"/>
      <c r="I69" s="227">
        <v>36052</v>
      </c>
      <c r="J69" s="154"/>
      <c r="K69" s="154">
        <v>1</v>
      </c>
      <c r="L69" s="155"/>
      <c r="M69" s="155"/>
      <c r="N69" s="155"/>
      <c r="O69" s="155"/>
      <c r="P69" s="155"/>
      <c r="Q69" s="155"/>
      <c r="R69" s="155"/>
      <c r="S69" s="155"/>
      <c r="T69" s="155"/>
      <c r="U69" s="156" t="s">
        <v>508</v>
      </c>
      <c r="V69" s="153" t="s">
        <v>503</v>
      </c>
      <c r="W69" s="143" t="s">
        <v>298</v>
      </c>
      <c r="X69" s="157" t="s">
        <v>227</v>
      </c>
      <c r="Y69" s="157">
        <v>9388081560</v>
      </c>
      <c r="Z69" s="143"/>
      <c r="AA69" s="162" t="s">
        <v>524</v>
      </c>
      <c r="AB69" s="143" t="s">
        <v>528</v>
      </c>
      <c r="AC69" s="155">
        <v>1</v>
      </c>
      <c r="AD69" s="155"/>
      <c r="AE69" s="155"/>
      <c r="AF69" s="155"/>
      <c r="AG69" s="155"/>
      <c r="AH69" s="143"/>
      <c r="AI69" s="158"/>
    </row>
    <row r="70" spans="1:35">
      <c r="A70" s="140"/>
      <c r="B70" s="143"/>
      <c r="C70" s="143" t="s">
        <v>78</v>
      </c>
      <c r="D70" s="143" t="s">
        <v>501</v>
      </c>
      <c r="E70" s="143" t="s">
        <v>80</v>
      </c>
      <c r="F70" s="153" t="s">
        <v>478</v>
      </c>
      <c r="G70" s="153" t="s">
        <v>479</v>
      </c>
      <c r="H70" s="153" t="s">
        <v>126</v>
      </c>
      <c r="I70" s="227">
        <v>36797</v>
      </c>
      <c r="J70" s="154">
        <v>1</v>
      </c>
      <c r="K70" s="154"/>
      <c r="L70" s="155"/>
      <c r="M70" s="155"/>
      <c r="N70" s="155"/>
      <c r="O70" s="155"/>
      <c r="P70" s="155"/>
      <c r="Q70" s="155"/>
      <c r="R70" s="155"/>
      <c r="S70" s="155"/>
      <c r="T70" s="155"/>
      <c r="U70" s="156" t="s">
        <v>506</v>
      </c>
      <c r="V70" s="153" t="s">
        <v>503</v>
      </c>
      <c r="W70" s="143" t="s">
        <v>298</v>
      </c>
      <c r="X70" s="157" t="s">
        <v>227</v>
      </c>
      <c r="Y70" s="157">
        <v>9124202456</v>
      </c>
      <c r="Z70" s="143"/>
      <c r="AA70" s="157" t="s">
        <v>525</v>
      </c>
      <c r="AB70" s="143" t="s">
        <v>528</v>
      </c>
      <c r="AC70" s="155">
        <v>1</v>
      </c>
      <c r="AD70" s="155"/>
      <c r="AE70" s="155"/>
      <c r="AF70" s="155"/>
      <c r="AG70" s="155"/>
      <c r="AH70" s="143"/>
      <c r="AI70" s="158"/>
    </row>
    <row r="71" spans="1:35">
      <c r="A71" s="140"/>
      <c r="B71" s="143"/>
      <c r="C71" s="143" t="s">
        <v>78</v>
      </c>
      <c r="D71" s="143" t="s">
        <v>501</v>
      </c>
      <c r="E71" s="143" t="s">
        <v>80</v>
      </c>
      <c r="F71" s="153" t="s">
        <v>480</v>
      </c>
      <c r="G71" s="153" t="s">
        <v>481</v>
      </c>
      <c r="H71" s="153" t="s">
        <v>126</v>
      </c>
      <c r="I71" s="227">
        <v>36790</v>
      </c>
      <c r="J71" s="154">
        <v>1</v>
      </c>
      <c r="K71" s="154"/>
      <c r="L71" s="155"/>
      <c r="M71" s="155"/>
      <c r="N71" s="155"/>
      <c r="O71" s="155"/>
      <c r="P71" s="155"/>
      <c r="Q71" s="155"/>
      <c r="R71" s="155"/>
      <c r="S71" s="155"/>
      <c r="T71" s="155"/>
      <c r="U71" s="156" t="s">
        <v>506</v>
      </c>
      <c r="V71" s="153" t="s">
        <v>503</v>
      </c>
      <c r="W71" s="143" t="s">
        <v>298</v>
      </c>
      <c r="X71" s="157" t="s">
        <v>227</v>
      </c>
      <c r="Y71" s="157">
        <v>9303559971</v>
      </c>
      <c r="Z71" s="143"/>
      <c r="AA71" s="157" t="s">
        <v>525</v>
      </c>
      <c r="AB71" s="143" t="s">
        <v>528</v>
      </c>
      <c r="AC71" s="155">
        <v>1</v>
      </c>
      <c r="AD71" s="155"/>
      <c r="AE71" s="155"/>
      <c r="AF71" s="155"/>
      <c r="AG71" s="155"/>
      <c r="AH71" s="143"/>
      <c r="AI71" s="158"/>
    </row>
    <row r="72" spans="1:35">
      <c r="A72" s="140"/>
      <c r="B72" s="143"/>
      <c r="C72" s="143" t="s">
        <v>78</v>
      </c>
      <c r="D72" s="143" t="s">
        <v>501</v>
      </c>
      <c r="E72" s="143" t="s">
        <v>80</v>
      </c>
      <c r="F72" s="153" t="s">
        <v>482</v>
      </c>
      <c r="G72" s="153" t="s">
        <v>483</v>
      </c>
      <c r="H72" s="153"/>
      <c r="I72" s="227"/>
      <c r="J72" s="154">
        <v>1</v>
      </c>
      <c r="K72" s="154"/>
      <c r="L72" s="155"/>
      <c r="M72" s="155"/>
      <c r="N72" s="155"/>
      <c r="O72" s="155"/>
      <c r="P72" s="155"/>
      <c r="Q72" s="155"/>
      <c r="R72" s="155"/>
      <c r="S72" s="155"/>
      <c r="T72" s="155"/>
      <c r="U72" s="156" t="s">
        <v>502</v>
      </c>
      <c r="V72" s="153" t="s">
        <v>503</v>
      </c>
      <c r="W72" s="143" t="s">
        <v>298</v>
      </c>
      <c r="X72" s="157" t="s">
        <v>227</v>
      </c>
      <c r="Y72" s="157">
        <v>9187949708</v>
      </c>
      <c r="Z72" s="143"/>
      <c r="AA72" s="162" t="s">
        <v>524</v>
      </c>
      <c r="AB72" s="143" t="s">
        <v>528</v>
      </c>
      <c r="AC72" s="155">
        <v>1</v>
      </c>
      <c r="AD72" s="155"/>
      <c r="AE72" s="155"/>
      <c r="AF72" s="155"/>
      <c r="AG72" s="155"/>
      <c r="AH72" s="143"/>
      <c r="AI72" s="158"/>
    </row>
    <row r="73" spans="1:35">
      <c r="A73" s="140"/>
      <c r="B73" s="143"/>
      <c r="C73" s="143" t="s">
        <v>78</v>
      </c>
      <c r="D73" s="143" t="s">
        <v>501</v>
      </c>
      <c r="E73" s="143" t="s">
        <v>80</v>
      </c>
      <c r="F73" s="153" t="s">
        <v>484</v>
      </c>
      <c r="G73" s="153" t="s">
        <v>485</v>
      </c>
      <c r="H73" s="153"/>
      <c r="I73" s="227">
        <v>32399</v>
      </c>
      <c r="J73" s="154"/>
      <c r="K73" s="154">
        <v>1</v>
      </c>
      <c r="L73" s="155"/>
      <c r="M73" s="155"/>
      <c r="N73" s="155"/>
      <c r="O73" s="155"/>
      <c r="P73" s="155"/>
      <c r="Q73" s="155"/>
      <c r="R73" s="155"/>
      <c r="S73" s="155"/>
      <c r="T73" s="155"/>
      <c r="U73" s="156" t="s">
        <v>508</v>
      </c>
      <c r="V73" s="153" t="s">
        <v>503</v>
      </c>
      <c r="W73" s="143" t="s">
        <v>298</v>
      </c>
      <c r="X73" s="157" t="s">
        <v>227</v>
      </c>
      <c r="Y73" s="157">
        <v>9679445003</v>
      </c>
      <c r="Z73" s="143"/>
      <c r="AA73" s="162" t="s">
        <v>524</v>
      </c>
      <c r="AB73" s="143" t="s">
        <v>528</v>
      </c>
      <c r="AC73" s="155">
        <v>1</v>
      </c>
      <c r="AD73" s="155"/>
      <c r="AE73" s="155"/>
      <c r="AF73" s="155"/>
      <c r="AG73" s="155"/>
      <c r="AH73" s="143"/>
      <c r="AI73" s="158"/>
    </row>
    <row r="74" spans="1:35">
      <c r="A74" s="140"/>
      <c r="B74" s="143"/>
      <c r="C74" s="143" t="s">
        <v>78</v>
      </c>
      <c r="D74" s="143" t="s">
        <v>501</v>
      </c>
      <c r="E74" s="143" t="s">
        <v>80</v>
      </c>
      <c r="F74" s="153" t="s">
        <v>486</v>
      </c>
      <c r="G74" s="153" t="s">
        <v>487</v>
      </c>
      <c r="H74" s="153"/>
      <c r="I74" s="227">
        <v>29103</v>
      </c>
      <c r="J74" s="154"/>
      <c r="K74" s="154">
        <v>1</v>
      </c>
      <c r="L74" s="155"/>
      <c r="M74" s="155"/>
      <c r="N74" s="155"/>
      <c r="O74" s="155"/>
      <c r="P74" s="155"/>
      <c r="Q74" s="155"/>
      <c r="R74" s="155"/>
      <c r="S74" s="155"/>
      <c r="T74" s="155"/>
      <c r="U74" s="156" t="s">
        <v>508</v>
      </c>
      <c r="V74" s="153" t="s">
        <v>503</v>
      </c>
      <c r="W74" s="143" t="s">
        <v>298</v>
      </c>
      <c r="X74" s="157" t="s">
        <v>227</v>
      </c>
      <c r="Y74" s="157">
        <v>9262311571</v>
      </c>
      <c r="Z74" s="143"/>
      <c r="AA74" s="162" t="s">
        <v>524</v>
      </c>
      <c r="AB74" s="143" t="s">
        <v>528</v>
      </c>
      <c r="AC74" s="155">
        <v>1</v>
      </c>
      <c r="AD74" s="155"/>
      <c r="AE74" s="155"/>
      <c r="AF74" s="155"/>
      <c r="AG74" s="155"/>
      <c r="AH74" s="143"/>
      <c r="AI74" s="158"/>
    </row>
    <row r="75" spans="1:35">
      <c r="A75" s="140"/>
      <c r="B75" s="143"/>
      <c r="C75" s="143" t="s">
        <v>78</v>
      </c>
      <c r="D75" s="143" t="s">
        <v>501</v>
      </c>
      <c r="E75" s="143" t="s">
        <v>80</v>
      </c>
      <c r="F75" s="153" t="s">
        <v>488</v>
      </c>
      <c r="G75" s="153" t="s">
        <v>489</v>
      </c>
      <c r="H75" s="153"/>
      <c r="I75" s="227">
        <v>17523</v>
      </c>
      <c r="J75" s="154">
        <v>1</v>
      </c>
      <c r="K75" s="154"/>
      <c r="L75" s="155"/>
      <c r="M75" s="155">
        <v>1</v>
      </c>
      <c r="N75" s="155"/>
      <c r="O75" s="155"/>
      <c r="P75" s="155"/>
      <c r="Q75" s="155"/>
      <c r="R75" s="155"/>
      <c r="S75" s="155"/>
      <c r="T75" s="155"/>
      <c r="U75" s="156" t="s">
        <v>515</v>
      </c>
      <c r="V75" s="153" t="s">
        <v>503</v>
      </c>
      <c r="W75" s="143" t="s">
        <v>298</v>
      </c>
      <c r="X75" s="157" t="s">
        <v>227</v>
      </c>
      <c r="Y75" s="157">
        <v>9214334370</v>
      </c>
      <c r="Z75" s="143"/>
      <c r="AA75" s="162" t="s">
        <v>524</v>
      </c>
      <c r="AB75" s="143" t="s">
        <v>528</v>
      </c>
      <c r="AC75" s="155">
        <v>1</v>
      </c>
      <c r="AD75" s="155"/>
      <c r="AE75" s="155"/>
      <c r="AF75" s="155"/>
      <c r="AG75" s="155"/>
      <c r="AH75" s="143"/>
      <c r="AI75" s="158"/>
    </row>
    <row r="76" spans="1:35">
      <c r="A76" s="140"/>
      <c r="B76" s="143"/>
      <c r="C76" s="143" t="s">
        <v>78</v>
      </c>
      <c r="D76" s="143" t="s">
        <v>501</v>
      </c>
      <c r="E76" s="143" t="s">
        <v>80</v>
      </c>
      <c r="F76" s="153" t="s">
        <v>490</v>
      </c>
      <c r="G76" s="153" t="s">
        <v>491</v>
      </c>
      <c r="H76" s="153" t="s">
        <v>126</v>
      </c>
      <c r="I76" s="227">
        <v>31079</v>
      </c>
      <c r="J76" s="154">
        <v>1</v>
      </c>
      <c r="K76" s="154"/>
      <c r="L76" s="155"/>
      <c r="M76" s="155"/>
      <c r="N76" s="155"/>
      <c r="O76" s="155"/>
      <c r="P76" s="155"/>
      <c r="Q76" s="155"/>
      <c r="R76" s="155"/>
      <c r="S76" s="155"/>
      <c r="T76" s="155"/>
      <c r="U76" s="156" t="s">
        <v>521</v>
      </c>
      <c r="V76" s="153" t="s">
        <v>503</v>
      </c>
      <c r="W76" s="143" t="s">
        <v>298</v>
      </c>
      <c r="X76" s="157" t="s">
        <v>227</v>
      </c>
      <c r="Y76" s="157">
        <v>9559304229</v>
      </c>
      <c r="Z76" s="143"/>
      <c r="AA76" s="162" t="s">
        <v>524</v>
      </c>
      <c r="AB76" s="143" t="s">
        <v>528</v>
      </c>
      <c r="AC76" s="155">
        <v>1</v>
      </c>
      <c r="AD76" s="155"/>
      <c r="AE76" s="155"/>
      <c r="AF76" s="155"/>
      <c r="AG76" s="155"/>
      <c r="AH76" s="143"/>
      <c r="AI76" s="158"/>
    </row>
    <row r="77" spans="1:35">
      <c r="A77" s="140"/>
      <c r="B77" s="143"/>
      <c r="C77" s="143" t="s">
        <v>78</v>
      </c>
      <c r="D77" s="143" t="s">
        <v>501</v>
      </c>
      <c r="E77" s="143" t="s">
        <v>80</v>
      </c>
      <c r="F77" s="153" t="s">
        <v>430</v>
      </c>
      <c r="G77" s="153" t="s">
        <v>492</v>
      </c>
      <c r="H77" s="153"/>
      <c r="I77" s="227">
        <v>21829</v>
      </c>
      <c r="J77" s="154"/>
      <c r="K77" s="154">
        <v>1</v>
      </c>
      <c r="L77" s="155"/>
      <c r="M77" s="155">
        <v>1</v>
      </c>
      <c r="N77" s="155"/>
      <c r="O77" s="155"/>
      <c r="P77" s="155"/>
      <c r="Q77" s="155"/>
      <c r="R77" s="155"/>
      <c r="S77" s="155"/>
      <c r="T77" s="155"/>
      <c r="U77" s="156" t="s">
        <v>502</v>
      </c>
      <c r="V77" s="153" t="s">
        <v>503</v>
      </c>
      <c r="W77" s="143" t="s">
        <v>298</v>
      </c>
      <c r="X77" s="157" t="s">
        <v>227</v>
      </c>
      <c r="Y77" s="157">
        <v>9474460613</v>
      </c>
      <c r="Z77" s="143"/>
      <c r="AA77" s="162" t="s">
        <v>524</v>
      </c>
      <c r="AB77" s="143" t="s">
        <v>528</v>
      </c>
      <c r="AC77" s="155">
        <v>1</v>
      </c>
      <c r="AD77" s="155"/>
      <c r="AE77" s="155"/>
      <c r="AF77" s="155"/>
      <c r="AG77" s="155"/>
      <c r="AH77" s="143"/>
      <c r="AI77" s="158"/>
    </row>
    <row r="78" spans="1:35">
      <c r="A78" s="140"/>
      <c r="B78" s="143"/>
      <c r="C78" s="143" t="s">
        <v>78</v>
      </c>
      <c r="D78" s="143" t="s">
        <v>501</v>
      </c>
      <c r="E78" s="143" t="s">
        <v>80</v>
      </c>
      <c r="F78" s="153" t="s">
        <v>493</v>
      </c>
      <c r="G78" s="153" t="s">
        <v>494</v>
      </c>
      <c r="H78" s="153" t="s">
        <v>113</v>
      </c>
      <c r="I78" s="227">
        <v>22755</v>
      </c>
      <c r="J78" s="154">
        <v>1</v>
      </c>
      <c r="K78" s="154"/>
      <c r="L78" s="155"/>
      <c r="M78" s="155"/>
      <c r="N78" s="155"/>
      <c r="O78" s="155"/>
      <c r="P78" s="155"/>
      <c r="Q78" s="155"/>
      <c r="R78" s="155"/>
      <c r="S78" s="155"/>
      <c r="T78" s="155"/>
      <c r="U78" s="156" t="s">
        <v>507</v>
      </c>
      <c r="V78" s="153" t="s">
        <v>503</v>
      </c>
      <c r="W78" s="143" t="s">
        <v>298</v>
      </c>
      <c r="X78" s="157" t="s">
        <v>227</v>
      </c>
      <c r="Y78" s="157">
        <v>9051955405</v>
      </c>
      <c r="Z78" s="143"/>
      <c r="AA78" s="162" t="s">
        <v>524</v>
      </c>
      <c r="AB78" s="143" t="s">
        <v>528</v>
      </c>
      <c r="AC78" s="155">
        <v>1</v>
      </c>
      <c r="AD78" s="155"/>
      <c r="AE78" s="155"/>
      <c r="AF78" s="155"/>
      <c r="AG78" s="155"/>
      <c r="AH78" s="143"/>
      <c r="AI78" s="158"/>
    </row>
    <row r="79" spans="1:35">
      <c r="A79" s="140"/>
      <c r="B79" s="143"/>
      <c r="C79" s="143" t="s">
        <v>78</v>
      </c>
      <c r="D79" s="143" t="s">
        <v>501</v>
      </c>
      <c r="E79" s="143" t="s">
        <v>80</v>
      </c>
      <c r="F79" s="153" t="s">
        <v>495</v>
      </c>
      <c r="G79" s="153" t="s">
        <v>496</v>
      </c>
      <c r="H79" s="153"/>
      <c r="I79" s="227">
        <v>23046</v>
      </c>
      <c r="J79" s="154">
        <v>1</v>
      </c>
      <c r="K79" s="154"/>
      <c r="L79" s="155"/>
      <c r="M79" s="155"/>
      <c r="N79" s="155"/>
      <c r="O79" s="155"/>
      <c r="P79" s="155"/>
      <c r="Q79" s="155"/>
      <c r="R79" s="155"/>
      <c r="S79" s="155"/>
      <c r="T79" s="155"/>
      <c r="U79" s="156"/>
      <c r="V79" s="153" t="s">
        <v>503</v>
      </c>
      <c r="W79" s="143" t="s">
        <v>298</v>
      </c>
      <c r="X79" s="157" t="s">
        <v>227</v>
      </c>
      <c r="Y79" s="157">
        <v>9209607608</v>
      </c>
      <c r="Z79" s="143"/>
      <c r="AA79" s="157" t="s">
        <v>525</v>
      </c>
      <c r="AB79" s="143" t="s">
        <v>528</v>
      </c>
      <c r="AC79" s="155">
        <v>1</v>
      </c>
      <c r="AD79" s="155"/>
      <c r="AE79" s="155"/>
      <c r="AF79" s="155"/>
      <c r="AG79" s="155"/>
      <c r="AH79" s="143"/>
      <c r="AI79" s="158"/>
    </row>
    <row r="80" spans="1:35">
      <c r="A80" s="140"/>
      <c r="B80" s="143"/>
      <c r="C80" s="143" t="s">
        <v>78</v>
      </c>
      <c r="D80" s="143" t="s">
        <v>501</v>
      </c>
      <c r="E80" s="143" t="s">
        <v>80</v>
      </c>
      <c r="F80" s="153" t="s">
        <v>281</v>
      </c>
      <c r="G80" s="153" t="s">
        <v>282</v>
      </c>
      <c r="H80" s="153" t="s">
        <v>283</v>
      </c>
      <c r="I80" s="227">
        <v>25771</v>
      </c>
      <c r="J80" s="154">
        <v>1</v>
      </c>
      <c r="K80" s="154"/>
      <c r="L80" s="155"/>
      <c r="M80" s="155"/>
      <c r="N80" s="155"/>
      <c r="O80" s="155"/>
      <c r="P80" s="155"/>
      <c r="Q80" s="155"/>
      <c r="R80" s="155"/>
      <c r="S80" s="155"/>
      <c r="T80" s="155"/>
      <c r="U80" s="156" t="s">
        <v>522</v>
      </c>
      <c r="V80" s="153" t="s">
        <v>503</v>
      </c>
      <c r="W80" s="143" t="s">
        <v>298</v>
      </c>
      <c r="X80" s="157" t="s">
        <v>227</v>
      </c>
      <c r="Y80" s="157">
        <v>9995343224</v>
      </c>
      <c r="Z80" s="143"/>
      <c r="AA80" s="162" t="s">
        <v>524</v>
      </c>
      <c r="AB80" s="143" t="s">
        <v>528</v>
      </c>
      <c r="AC80" s="155">
        <v>1</v>
      </c>
      <c r="AD80" s="155"/>
      <c r="AE80" s="155"/>
      <c r="AF80" s="155"/>
      <c r="AG80" s="155"/>
      <c r="AH80" s="143"/>
      <c r="AI80" s="158"/>
    </row>
    <row r="81" spans="1:35">
      <c r="A81" s="140"/>
      <c r="B81" s="143"/>
      <c r="C81" s="143" t="s">
        <v>78</v>
      </c>
      <c r="D81" s="143" t="s">
        <v>501</v>
      </c>
      <c r="E81" s="143" t="s">
        <v>80</v>
      </c>
      <c r="F81" s="153" t="s">
        <v>497</v>
      </c>
      <c r="G81" s="153" t="s">
        <v>498</v>
      </c>
      <c r="H81" s="153"/>
      <c r="I81" s="227">
        <v>33536</v>
      </c>
      <c r="J81" s="154"/>
      <c r="K81" s="154">
        <v>1</v>
      </c>
      <c r="L81" s="155"/>
      <c r="M81" s="155"/>
      <c r="N81" s="155"/>
      <c r="O81" s="155"/>
      <c r="P81" s="155"/>
      <c r="Q81" s="155"/>
      <c r="R81" s="155"/>
      <c r="S81" s="155"/>
      <c r="T81" s="155"/>
      <c r="U81" s="156" t="s">
        <v>523</v>
      </c>
      <c r="V81" s="153" t="s">
        <v>503</v>
      </c>
      <c r="W81" s="143" t="s">
        <v>298</v>
      </c>
      <c r="X81" s="157" t="s">
        <v>227</v>
      </c>
      <c r="Y81" s="157">
        <v>9514385534</v>
      </c>
      <c r="Z81" s="143"/>
      <c r="AA81" s="162" t="s">
        <v>524</v>
      </c>
      <c r="AB81" s="143" t="s">
        <v>528</v>
      </c>
      <c r="AC81" s="155">
        <v>1</v>
      </c>
      <c r="AD81" s="155"/>
      <c r="AE81" s="155"/>
      <c r="AF81" s="155"/>
      <c r="AG81" s="155"/>
      <c r="AH81" s="143"/>
      <c r="AI81" s="158"/>
    </row>
    <row r="82" spans="1:35">
      <c r="A82" s="140"/>
      <c r="B82" s="143"/>
      <c r="C82" s="164" t="s">
        <v>78</v>
      </c>
      <c r="D82" s="143" t="s">
        <v>501</v>
      </c>
      <c r="E82" s="143" t="s">
        <v>80</v>
      </c>
      <c r="F82" s="153" t="s">
        <v>499</v>
      </c>
      <c r="G82" s="153" t="s">
        <v>500</v>
      </c>
      <c r="H82" s="153"/>
      <c r="I82" s="227">
        <v>34154</v>
      </c>
      <c r="J82" s="154"/>
      <c r="K82" s="154">
        <v>1</v>
      </c>
      <c r="L82" s="155"/>
      <c r="M82" s="155"/>
      <c r="N82" s="155"/>
      <c r="O82" s="155"/>
      <c r="P82" s="155"/>
      <c r="Q82" s="155"/>
      <c r="R82" s="155"/>
      <c r="S82" s="155"/>
      <c r="T82" s="155"/>
      <c r="U82" s="156" t="s">
        <v>504</v>
      </c>
      <c r="V82" s="153" t="s">
        <v>503</v>
      </c>
      <c r="W82" s="143" t="s">
        <v>298</v>
      </c>
      <c r="X82" s="157" t="s">
        <v>227</v>
      </c>
      <c r="Y82" s="157">
        <v>9462643026</v>
      </c>
      <c r="Z82" s="143"/>
      <c r="AA82" s="162" t="s">
        <v>524</v>
      </c>
      <c r="AB82" s="143" t="s">
        <v>528</v>
      </c>
      <c r="AC82" s="155">
        <v>1</v>
      </c>
      <c r="AD82" s="155"/>
      <c r="AE82" s="155"/>
      <c r="AF82" s="155"/>
      <c r="AG82" s="155"/>
      <c r="AH82" s="143"/>
      <c r="AI82" s="158"/>
    </row>
    <row r="83" spans="1:35">
      <c r="A83" s="140"/>
      <c r="B83" s="143"/>
      <c r="C83" s="143" t="s">
        <v>78</v>
      </c>
      <c r="D83" s="143" t="s">
        <v>501</v>
      </c>
      <c r="E83" s="143" t="s">
        <v>80</v>
      </c>
      <c r="F83" s="153" t="s">
        <v>529</v>
      </c>
      <c r="G83" s="153" t="s">
        <v>530</v>
      </c>
      <c r="H83" s="153" t="s">
        <v>283</v>
      </c>
      <c r="I83" s="227">
        <v>31543</v>
      </c>
      <c r="J83" s="165">
        <v>1</v>
      </c>
      <c r="K83" s="166"/>
      <c r="L83" s="155"/>
      <c r="M83" s="155"/>
      <c r="N83" s="155"/>
      <c r="O83" s="155"/>
      <c r="P83" s="155"/>
      <c r="Q83" s="155"/>
      <c r="R83" s="155"/>
      <c r="S83" s="155"/>
      <c r="T83" s="155"/>
      <c r="U83" s="167" t="s">
        <v>853</v>
      </c>
      <c r="V83" s="153" t="s">
        <v>503</v>
      </c>
      <c r="W83" s="143" t="s">
        <v>298</v>
      </c>
      <c r="X83" s="157" t="s">
        <v>227</v>
      </c>
      <c r="Y83" s="153">
        <v>9997154864</v>
      </c>
      <c r="Z83" s="143"/>
      <c r="AA83" s="163" t="s">
        <v>876</v>
      </c>
      <c r="AB83" s="143" t="s">
        <v>528</v>
      </c>
      <c r="AC83" s="155">
        <v>1</v>
      </c>
      <c r="AD83" s="155"/>
      <c r="AE83" s="155"/>
      <c r="AF83" s="155"/>
      <c r="AG83" s="155"/>
      <c r="AH83" s="143"/>
      <c r="AI83" s="158"/>
    </row>
    <row r="84" spans="1:35">
      <c r="A84" s="140"/>
      <c r="B84" s="143"/>
      <c r="C84" s="143" t="s">
        <v>78</v>
      </c>
      <c r="D84" s="143" t="s">
        <v>501</v>
      </c>
      <c r="E84" s="143" t="s">
        <v>80</v>
      </c>
      <c r="F84" s="153" t="s">
        <v>531</v>
      </c>
      <c r="G84" s="153" t="s">
        <v>152</v>
      </c>
      <c r="H84" s="153"/>
      <c r="I84" s="227">
        <v>31264</v>
      </c>
      <c r="J84" s="166"/>
      <c r="K84" s="165">
        <v>1</v>
      </c>
      <c r="L84" s="155"/>
      <c r="M84" s="155"/>
      <c r="N84" s="155"/>
      <c r="O84" s="155"/>
      <c r="P84" s="155"/>
      <c r="Q84" s="155"/>
      <c r="R84" s="155"/>
      <c r="S84" s="155"/>
      <c r="T84" s="155"/>
      <c r="U84" s="167"/>
      <c r="V84" s="153" t="s">
        <v>218</v>
      </c>
      <c r="W84" s="143" t="s">
        <v>279</v>
      </c>
      <c r="X84" s="157" t="s">
        <v>227</v>
      </c>
      <c r="Y84" s="153">
        <v>9504951235</v>
      </c>
      <c r="Z84" s="143"/>
      <c r="AA84" s="163" t="s">
        <v>524</v>
      </c>
      <c r="AB84" s="143" t="s">
        <v>528</v>
      </c>
      <c r="AC84" s="155">
        <v>1</v>
      </c>
      <c r="AD84" s="155"/>
      <c r="AE84" s="155"/>
      <c r="AF84" s="155"/>
      <c r="AG84" s="155"/>
      <c r="AH84" s="143"/>
      <c r="AI84" s="158"/>
    </row>
    <row r="85" spans="1:35">
      <c r="A85" s="140"/>
      <c r="B85" s="143"/>
      <c r="C85" s="143" t="s">
        <v>78</v>
      </c>
      <c r="D85" s="143" t="s">
        <v>501</v>
      </c>
      <c r="E85" s="143" t="s">
        <v>80</v>
      </c>
      <c r="F85" s="153" t="s">
        <v>532</v>
      </c>
      <c r="G85" s="153" t="s">
        <v>533</v>
      </c>
      <c r="H85" s="153"/>
      <c r="I85" s="227">
        <v>30321</v>
      </c>
      <c r="J85" s="166"/>
      <c r="K85" s="165">
        <v>1</v>
      </c>
      <c r="L85" s="155"/>
      <c r="M85" s="155"/>
      <c r="N85" s="155"/>
      <c r="O85" s="155"/>
      <c r="P85" s="155"/>
      <c r="Q85" s="155"/>
      <c r="R85" s="155"/>
      <c r="S85" s="155"/>
      <c r="T85" s="155"/>
      <c r="U85" s="167" t="s">
        <v>515</v>
      </c>
      <c r="V85" s="153" t="s">
        <v>503</v>
      </c>
      <c r="W85" s="143" t="s">
        <v>298</v>
      </c>
      <c r="X85" s="157" t="s">
        <v>227</v>
      </c>
      <c r="Y85" s="153">
        <v>9508474670</v>
      </c>
      <c r="Z85" s="143"/>
      <c r="AA85" s="163" t="s">
        <v>524</v>
      </c>
      <c r="AB85" s="143" t="s">
        <v>528</v>
      </c>
      <c r="AC85" s="155">
        <v>1</v>
      </c>
      <c r="AD85" s="155"/>
      <c r="AE85" s="155"/>
      <c r="AF85" s="155"/>
      <c r="AG85" s="155"/>
      <c r="AH85" s="143"/>
      <c r="AI85" s="158"/>
    </row>
    <row r="86" spans="1:35">
      <c r="A86" s="140"/>
      <c r="B86" s="143"/>
      <c r="C86" s="143" t="s">
        <v>78</v>
      </c>
      <c r="D86" s="143" t="s">
        <v>501</v>
      </c>
      <c r="E86" s="143" t="s">
        <v>80</v>
      </c>
      <c r="F86" s="159" t="s">
        <v>473</v>
      </c>
      <c r="G86" s="159" t="s">
        <v>534</v>
      </c>
      <c r="H86" s="159" t="s">
        <v>136</v>
      </c>
      <c r="I86" s="238">
        <v>35194</v>
      </c>
      <c r="J86" s="159"/>
      <c r="K86" s="168">
        <v>1</v>
      </c>
      <c r="L86" s="155"/>
      <c r="M86" s="155"/>
      <c r="N86" s="155"/>
      <c r="O86" s="155"/>
      <c r="P86" s="155"/>
      <c r="Q86" s="155"/>
      <c r="R86" s="155"/>
      <c r="S86" s="155"/>
      <c r="T86" s="155"/>
      <c r="U86" s="169" t="s">
        <v>508</v>
      </c>
      <c r="V86" s="159" t="s">
        <v>503</v>
      </c>
      <c r="W86" s="143" t="s">
        <v>298</v>
      </c>
      <c r="X86" s="157" t="s">
        <v>227</v>
      </c>
      <c r="Y86" s="159">
        <v>9367320449</v>
      </c>
      <c r="Z86" s="143"/>
      <c r="AA86" s="162" t="s">
        <v>524</v>
      </c>
      <c r="AB86" s="143" t="s">
        <v>528</v>
      </c>
      <c r="AC86" s="155">
        <v>1</v>
      </c>
      <c r="AD86" s="155"/>
      <c r="AE86" s="155"/>
      <c r="AF86" s="155"/>
      <c r="AG86" s="155"/>
      <c r="AH86" s="143"/>
      <c r="AI86" s="158"/>
    </row>
    <row r="87" spans="1:35">
      <c r="A87" s="140"/>
      <c r="B87" s="143"/>
      <c r="C87" s="143" t="s">
        <v>78</v>
      </c>
      <c r="D87" s="143" t="s">
        <v>501</v>
      </c>
      <c r="E87" s="143" t="s">
        <v>80</v>
      </c>
      <c r="F87" s="159" t="s">
        <v>445</v>
      </c>
      <c r="G87" s="159" t="s">
        <v>446</v>
      </c>
      <c r="H87" s="159"/>
      <c r="I87" s="238">
        <v>33127</v>
      </c>
      <c r="J87" s="170"/>
      <c r="K87" s="168">
        <v>1</v>
      </c>
      <c r="L87" s="155"/>
      <c r="M87" s="155"/>
      <c r="N87" s="155"/>
      <c r="O87" s="155"/>
      <c r="P87" s="155"/>
      <c r="Q87" s="155"/>
      <c r="R87" s="155"/>
      <c r="S87" s="155"/>
      <c r="T87" s="155"/>
      <c r="U87" s="169" t="s">
        <v>295</v>
      </c>
      <c r="V87" s="159" t="s">
        <v>503</v>
      </c>
      <c r="W87" s="143" t="s">
        <v>298</v>
      </c>
      <c r="X87" s="157" t="s">
        <v>227</v>
      </c>
      <c r="Y87" s="159">
        <v>9759439905</v>
      </c>
      <c r="Z87" s="143"/>
      <c r="AA87" s="163" t="s">
        <v>525</v>
      </c>
      <c r="AB87" s="143" t="s">
        <v>528</v>
      </c>
      <c r="AC87" s="155">
        <v>2</v>
      </c>
      <c r="AD87" s="155"/>
      <c r="AE87" s="155"/>
      <c r="AF87" s="155"/>
      <c r="AG87" s="155"/>
      <c r="AH87" s="143"/>
      <c r="AI87" s="158"/>
    </row>
    <row r="88" spans="1:35">
      <c r="A88" s="140"/>
      <c r="B88" s="143"/>
      <c r="C88" s="143" t="s">
        <v>78</v>
      </c>
      <c r="D88" s="143" t="s">
        <v>501</v>
      </c>
      <c r="E88" s="143" t="s">
        <v>80</v>
      </c>
      <c r="F88" s="159" t="s">
        <v>535</v>
      </c>
      <c r="G88" s="159" t="s">
        <v>536</v>
      </c>
      <c r="H88" s="159"/>
      <c r="I88" s="238">
        <v>25148</v>
      </c>
      <c r="J88" s="159">
        <v>1</v>
      </c>
      <c r="K88" s="168"/>
      <c r="L88" s="155"/>
      <c r="M88" s="155"/>
      <c r="N88" s="155"/>
      <c r="O88" s="155"/>
      <c r="P88" s="155"/>
      <c r="Q88" s="155"/>
      <c r="R88" s="155"/>
      <c r="S88" s="155"/>
      <c r="T88" s="155"/>
      <c r="U88" s="169" t="s">
        <v>854</v>
      </c>
      <c r="V88" s="159" t="s">
        <v>503</v>
      </c>
      <c r="W88" s="143" t="s">
        <v>298</v>
      </c>
      <c r="X88" s="157" t="s">
        <v>227</v>
      </c>
      <c r="Y88" s="159">
        <v>9268513032</v>
      </c>
      <c r="Z88" s="143"/>
      <c r="AA88" s="162" t="s">
        <v>524</v>
      </c>
      <c r="AB88" s="143" t="s">
        <v>528</v>
      </c>
      <c r="AC88" s="155">
        <v>1</v>
      </c>
      <c r="AD88" s="155"/>
      <c r="AE88" s="155"/>
      <c r="AF88" s="155"/>
      <c r="AG88" s="155"/>
      <c r="AH88" s="143"/>
      <c r="AI88" s="158"/>
    </row>
    <row r="89" spans="1:35">
      <c r="A89" s="140"/>
      <c r="B89" s="143"/>
      <c r="C89" s="143" t="s">
        <v>78</v>
      </c>
      <c r="D89" s="143" t="s">
        <v>501</v>
      </c>
      <c r="E89" s="143" t="s">
        <v>80</v>
      </c>
      <c r="F89" s="159" t="s">
        <v>537</v>
      </c>
      <c r="G89" s="159" t="s">
        <v>538</v>
      </c>
      <c r="H89" s="159" t="s">
        <v>144</v>
      </c>
      <c r="I89" s="238"/>
      <c r="J89" s="159"/>
      <c r="K89" s="168">
        <v>1</v>
      </c>
      <c r="L89" s="155"/>
      <c r="M89" s="155"/>
      <c r="N89" s="155"/>
      <c r="O89" s="155"/>
      <c r="P89" s="155"/>
      <c r="Q89" s="155"/>
      <c r="R89" s="155"/>
      <c r="S89" s="155"/>
      <c r="T89" s="155"/>
      <c r="U89" s="169"/>
      <c r="V89" s="159"/>
      <c r="W89" s="143"/>
      <c r="X89" s="157" t="s">
        <v>227</v>
      </c>
      <c r="Y89" s="159">
        <v>9482163936</v>
      </c>
      <c r="Z89" s="143"/>
      <c r="AA89" s="163" t="s">
        <v>525</v>
      </c>
      <c r="AB89" s="143" t="s">
        <v>528</v>
      </c>
      <c r="AC89" s="155">
        <v>1</v>
      </c>
      <c r="AD89" s="155"/>
      <c r="AE89" s="155"/>
      <c r="AF89" s="155"/>
      <c r="AG89" s="155"/>
      <c r="AH89" s="143"/>
      <c r="AI89" s="158"/>
    </row>
    <row r="90" spans="1:35">
      <c r="A90" s="140"/>
      <c r="B90" s="143"/>
      <c r="C90" s="143" t="s">
        <v>78</v>
      </c>
      <c r="D90" s="143" t="s">
        <v>501</v>
      </c>
      <c r="E90" s="143" t="s">
        <v>80</v>
      </c>
      <c r="F90" s="153" t="s">
        <v>539</v>
      </c>
      <c r="G90" s="153" t="s">
        <v>540</v>
      </c>
      <c r="H90" s="153" t="s">
        <v>120</v>
      </c>
      <c r="I90" s="227">
        <v>32881</v>
      </c>
      <c r="J90" s="166"/>
      <c r="K90" s="165">
        <v>1</v>
      </c>
      <c r="L90" s="155"/>
      <c r="M90" s="155"/>
      <c r="N90" s="155"/>
      <c r="O90" s="155"/>
      <c r="P90" s="155"/>
      <c r="Q90" s="155"/>
      <c r="R90" s="155"/>
      <c r="S90" s="155"/>
      <c r="T90" s="155"/>
      <c r="U90" s="167"/>
      <c r="V90" s="153" t="s">
        <v>503</v>
      </c>
      <c r="W90" s="143" t="s">
        <v>298</v>
      </c>
      <c r="X90" s="157" t="s">
        <v>227</v>
      </c>
      <c r="Y90" s="153">
        <v>9054590629</v>
      </c>
      <c r="Z90" s="143"/>
      <c r="AA90" s="162" t="s">
        <v>524</v>
      </c>
      <c r="AB90" s="143" t="s">
        <v>528</v>
      </c>
      <c r="AC90" s="155">
        <v>1</v>
      </c>
      <c r="AD90" s="155"/>
      <c r="AE90" s="155"/>
      <c r="AF90" s="155"/>
      <c r="AG90" s="155"/>
      <c r="AH90" s="143"/>
      <c r="AI90" s="158"/>
    </row>
    <row r="91" spans="1:35">
      <c r="A91" s="140"/>
      <c r="B91" s="143"/>
      <c r="C91" s="143" t="s">
        <v>78</v>
      </c>
      <c r="D91" s="143" t="s">
        <v>501</v>
      </c>
      <c r="E91" s="143" t="s">
        <v>80</v>
      </c>
      <c r="F91" s="153" t="s">
        <v>541</v>
      </c>
      <c r="G91" s="153" t="s">
        <v>542</v>
      </c>
      <c r="H91" s="153" t="s">
        <v>283</v>
      </c>
      <c r="I91" s="227">
        <v>28330</v>
      </c>
      <c r="J91" s="165">
        <v>1</v>
      </c>
      <c r="K91" s="165"/>
      <c r="L91" s="155"/>
      <c r="M91" s="155"/>
      <c r="N91" s="155"/>
      <c r="O91" s="155"/>
      <c r="P91" s="155"/>
      <c r="Q91" s="155"/>
      <c r="R91" s="155"/>
      <c r="S91" s="155"/>
      <c r="T91" s="155"/>
      <c r="U91" s="167" t="s">
        <v>855</v>
      </c>
      <c r="V91" s="153" t="s">
        <v>503</v>
      </c>
      <c r="W91" s="143" t="s">
        <v>298</v>
      </c>
      <c r="X91" s="157" t="s">
        <v>227</v>
      </c>
      <c r="Y91" s="153">
        <v>9706517881</v>
      </c>
      <c r="Z91" s="143"/>
      <c r="AA91" s="162" t="s">
        <v>524</v>
      </c>
      <c r="AB91" s="143" t="s">
        <v>528</v>
      </c>
      <c r="AC91" s="155">
        <v>1</v>
      </c>
      <c r="AD91" s="155"/>
      <c r="AE91" s="155"/>
      <c r="AF91" s="155"/>
      <c r="AG91" s="155"/>
      <c r="AH91" s="143"/>
      <c r="AI91" s="158"/>
    </row>
    <row r="92" spans="1:35">
      <c r="A92" s="140"/>
      <c r="B92" s="143"/>
      <c r="C92" s="143" t="s">
        <v>78</v>
      </c>
      <c r="D92" s="143" t="s">
        <v>501</v>
      </c>
      <c r="E92" s="143" t="s">
        <v>80</v>
      </c>
      <c r="F92" s="153" t="s">
        <v>543</v>
      </c>
      <c r="G92" s="153" t="s">
        <v>544</v>
      </c>
      <c r="H92" s="153" t="s">
        <v>144</v>
      </c>
      <c r="I92" s="227">
        <v>24638</v>
      </c>
      <c r="J92" s="166"/>
      <c r="K92" s="165">
        <v>1</v>
      </c>
      <c r="L92" s="155"/>
      <c r="M92" s="155"/>
      <c r="N92" s="155"/>
      <c r="O92" s="155"/>
      <c r="P92" s="155"/>
      <c r="Q92" s="155"/>
      <c r="R92" s="155"/>
      <c r="S92" s="155"/>
      <c r="T92" s="155"/>
      <c r="U92" s="167" t="s">
        <v>506</v>
      </c>
      <c r="V92" s="153" t="s">
        <v>503</v>
      </c>
      <c r="W92" s="143" t="s">
        <v>298</v>
      </c>
      <c r="X92" s="157" t="s">
        <v>227</v>
      </c>
      <c r="Y92" s="153">
        <v>9269824258</v>
      </c>
      <c r="Z92" s="143"/>
      <c r="AA92" s="162" t="s">
        <v>524</v>
      </c>
      <c r="AB92" s="143" t="s">
        <v>528</v>
      </c>
      <c r="AC92" s="155">
        <v>1</v>
      </c>
      <c r="AD92" s="155"/>
      <c r="AE92" s="155"/>
      <c r="AF92" s="155"/>
      <c r="AG92" s="155"/>
      <c r="AH92" s="143"/>
      <c r="AI92" s="158"/>
    </row>
    <row r="93" spans="1:35">
      <c r="A93" s="140"/>
      <c r="B93" s="143"/>
      <c r="C93" s="143" t="s">
        <v>78</v>
      </c>
      <c r="D93" s="143" t="s">
        <v>501</v>
      </c>
      <c r="E93" s="143" t="s">
        <v>80</v>
      </c>
      <c r="F93" s="153" t="s">
        <v>545</v>
      </c>
      <c r="G93" s="153" t="s">
        <v>387</v>
      </c>
      <c r="H93" s="153"/>
      <c r="I93" s="227">
        <v>30673</v>
      </c>
      <c r="J93" s="166"/>
      <c r="K93" s="165">
        <v>1</v>
      </c>
      <c r="L93" s="155"/>
      <c r="M93" s="155"/>
      <c r="N93" s="155"/>
      <c r="O93" s="155"/>
      <c r="P93" s="155"/>
      <c r="Q93" s="155"/>
      <c r="R93" s="155"/>
      <c r="S93" s="155"/>
      <c r="T93" s="155"/>
      <c r="U93" s="167" t="s">
        <v>506</v>
      </c>
      <c r="V93" s="153" t="s">
        <v>503</v>
      </c>
      <c r="W93" s="143" t="s">
        <v>298</v>
      </c>
      <c r="X93" s="157" t="s">
        <v>227</v>
      </c>
      <c r="Y93" s="153">
        <v>9610933702</v>
      </c>
      <c r="Z93" s="143"/>
      <c r="AA93" s="162" t="s">
        <v>524</v>
      </c>
      <c r="AB93" s="143" t="s">
        <v>528</v>
      </c>
      <c r="AC93" s="155">
        <v>1</v>
      </c>
      <c r="AD93" s="155"/>
      <c r="AE93" s="155"/>
      <c r="AF93" s="155"/>
      <c r="AG93" s="155"/>
      <c r="AH93" s="143"/>
      <c r="AI93" s="158"/>
    </row>
    <row r="94" spans="1:35">
      <c r="A94" s="140"/>
      <c r="B94" s="143"/>
      <c r="C94" s="143" t="s">
        <v>78</v>
      </c>
      <c r="D94" s="143" t="s">
        <v>501</v>
      </c>
      <c r="E94" s="143" t="s">
        <v>80</v>
      </c>
      <c r="F94" s="153" t="s">
        <v>546</v>
      </c>
      <c r="G94" s="153" t="s">
        <v>547</v>
      </c>
      <c r="H94" s="153" t="s">
        <v>136</v>
      </c>
      <c r="I94" s="227">
        <v>21870</v>
      </c>
      <c r="J94" s="166"/>
      <c r="K94" s="165">
        <v>1</v>
      </c>
      <c r="L94" s="155"/>
      <c r="M94" s="155">
        <v>1</v>
      </c>
      <c r="N94" s="155"/>
      <c r="O94" s="155"/>
      <c r="P94" s="155"/>
      <c r="Q94" s="155"/>
      <c r="R94" s="155"/>
      <c r="S94" s="155"/>
      <c r="T94" s="155"/>
      <c r="U94" s="167" t="s">
        <v>507</v>
      </c>
      <c r="V94" s="153" t="s">
        <v>503</v>
      </c>
      <c r="W94" s="143" t="s">
        <v>298</v>
      </c>
      <c r="X94" s="157" t="s">
        <v>227</v>
      </c>
      <c r="Y94" s="153">
        <v>9061977843</v>
      </c>
      <c r="Z94" s="143"/>
      <c r="AA94" s="162" t="s">
        <v>524</v>
      </c>
      <c r="AB94" s="143" t="s">
        <v>528</v>
      </c>
      <c r="AC94" s="155">
        <v>1</v>
      </c>
      <c r="AD94" s="155"/>
      <c r="AE94" s="155"/>
      <c r="AF94" s="155"/>
      <c r="AG94" s="155"/>
      <c r="AH94" s="143"/>
      <c r="AI94" s="158"/>
    </row>
    <row r="95" spans="1:35">
      <c r="A95" s="140"/>
      <c r="B95" s="143"/>
      <c r="C95" s="143" t="s">
        <v>78</v>
      </c>
      <c r="D95" s="143" t="s">
        <v>501</v>
      </c>
      <c r="E95" s="143" t="s">
        <v>80</v>
      </c>
      <c r="F95" s="153" t="s">
        <v>548</v>
      </c>
      <c r="G95" s="153" t="s">
        <v>319</v>
      </c>
      <c r="H95" s="153" t="s">
        <v>421</v>
      </c>
      <c r="I95" s="227">
        <v>26362</v>
      </c>
      <c r="J95" s="166"/>
      <c r="K95" s="165">
        <v>1</v>
      </c>
      <c r="L95" s="155"/>
      <c r="M95" s="155"/>
      <c r="N95" s="155"/>
      <c r="O95" s="155"/>
      <c r="P95" s="155"/>
      <c r="Q95" s="155"/>
      <c r="R95" s="155"/>
      <c r="S95" s="155"/>
      <c r="T95" s="155"/>
      <c r="U95" s="167" t="s">
        <v>507</v>
      </c>
      <c r="V95" s="153" t="s">
        <v>503</v>
      </c>
      <c r="W95" s="143" t="s">
        <v>298</v>
      </c>
      <c r="X95" s="157" t="s">
        <v>227</v>
      </c>
      <c r="Y95" s="153">
        <v>9651973278</v>
      </c>
      <c r="Z95" s="143"/>
      <c r="AA95" s="162" t="s">
        <v>524</v>
      </c>
      <c r="AB95" s="143" t="s">
        <v>528</v>
      </c>
      <c r="AC95" s="155">
        <v>1</v>
      </c>
      <c r="AD95" s="155"/>
      <c r="AE95" s="155"/>
      <c r="AF95" s="155"/>
      <c r="AG95" s="155"/>
      <c r="AH95" s="143"/>
      <c r="AI95" s="158"/>
    </row>
    <row r="96" spans="1:35">
      <c r="A96" s="140"/>
      <c r="B96" s="143"/>
      <c r="C96" s="143" t="s">
        <v>78</v>
      </c>
      <c r="D96" s="143" t="s">
        <v>501</v>
      </c>
      <c r="E96" s="143" t="s">
        <v>80</v>
      </c>
      <c r="F96" s="153" t="s">
        <v>549</v>
      </c>
      <c r="G96" s="153" t="s">
        <v>550</v>
      </c>
      <c r="H96" s="153" t="s">
        <v>115</v>
      </c>
      <c r="I96" s="227">
        <v>21294</v>
      </c>
      <c r="J96" s="165">
        <v>1</v>
      </c>
      <c r="K96" s="165"/>
      <c r="L96" s="155"/>
      <c r="M96" s="155">
        <v>1</v>
      </c>
      <c r="N96" s="155"/>
      <c r="O96" s="155"/>
      <c r="P96" s="155"/>
      <c r="Q96" s="155"/>
      <c r="R96" s="155"/>
      <c r="S96" s="155"/>
      <c r="T96" s="155"/>
      <c r="U96" s="167" t="s">
        <v>507</v>
      </c>
      <c r="V96" s="153" t="s">
        <v>503</v>
      </c>
      <c r="W96" s="143" t="s">
        <v>298</v>
      </c>
      <c r="X96" s="157" t="s">
        <v>227</v>
      </c>
      <c r="Y96" s="153">
        <v>9467234566</v>
      </c>
      <c r="Z96" s="143"/>
      <c r="AA96" s="162" t="s">
        <v>524</v>
      </c>
      <c r="AB96" s="143" t="s">
        <v>528</v>
      </c>
      <c r="AC96" s="155">
        <v>1</v>
      </c>
      <c r="AD96" s="155"/>
      <c r="AE96" s="155"/>
      <c r="AF96" s="155"/>
      <c r="AG96" s="155"/>
      <c r="AH96" s="143"/>
      <c r="AI96" s="158"/>
    </row>
    <row r="97" spans="1:35">
      <c r="A97" s="140"/>
      <c r="B97" s="143"/>
      <c r="C97" s="143" t="s">
        <v>78</v>
      </c>
      <c r="D97" s="143" t="s">
        <v>501</v>
      </c>
      <c r="E97" s="143" t="s">
        <v>80</v>
      </c>
      <c r="F97" s="153" t="s">
        <v>551</v>
      </c>
      <c r="G97" s="153" t="s">
        <v>552</v>
      </c>
      <c r="H97" s="153"/>
      <c r="I97" s="227">
        <v>29355</v>
      </c>
      <c r="J97" s="165">
        <v>1</v>
      </c>
      <c r="K97" s="165"/>
      <c r="L97" s="155"/>
      <c r="M97" s="155"/>
      <c r="N97" s="155"/>
      <c r="O97" s="155"/>
      <c r="P97" s="155"/>
      <c r="Q97" s="155"/>
      <c r="R97" s="155"/>
      <c r="S97" s="155"/>
      <c r="T97" s="155"/>
      <c r="U97" s="167"/>
      <c r="V97" s="153"/>
      <c r="W97" s="143"/>
      <c r="X97" s="157" t="s">
        <v>227</v>
      </c>
      <c r="Y97" s="153">
        <v>9752078647</v>
      </c>
      <c r="Z97" s="143"/>
      <c r="AA97" s="162" t="s">
        <v>524</v>
      </c>
      <c r="AB97" s="143" t="s">
        <v>528</v>
      </c>
      <c r="AC97" s="155">
        <v>1</v>
      </c>
      <c r="AD97" s="155"/>
      <c r="AE97" s="155"/>
      <c r="AF97" s="155"/>
      <c r="AG97" s="155"/>
      <c r="AH97" s="143"/>
      <c r="AI97" s="158"/>
    </row>
    <row r="98" spans="1:35">
      <c r="A98" s="140"/>
      <c r="B98" s="143"/>
      <c r="C98" s="143" t="s">
        <v>78</v>
      </c>
      <c r="D98" s="143" t="s">
        <v>501</v>
      </c>
      <c r="E98" s="143" t="s">
        <v>80</v>
      </c>
      <c r="F98" s="153" t="s">
        <v>553</v>
      </c>
      <c r="G98" s="153" t="s">
        <v>554</v>
      </c>
      <c r="H98" s="153" t="s">
        <v>136</v>
      </c>
      <c r="I98" s="227">
        <v>27217</v>
      </c>
      <c r="J98" s="166"/>
      <c r="K98" s="165">
        <v>1</v>
      </c>
      <c r="L98" s="155"/>
      <c r="M98" s="155"/>
      <c r="N98" s="155"/>
      <c r="O98" s="155"/>
      <c r="P98" s="155"/>
      <c r="Q98" s="155"/>
      <c r="R98" s="155"/>
      <c r="S98" s="155"/>
      <c r="T98" s="155"/>
      <c r="U98" s="167" t="s">
        <v>509</v>
      </c>
      <c r="V98" s="153" t="s">
        <v>503</v>
      </c>
      <c r="W98" s="143" t="s">
        <v>298</v>
      </c>
      <c r="X98" s="157" t="s">
        <v>227</v>
      </c>
      <c r="Y98" s="153">
        <v>9079876487</v>
      </c>
      <c r="Z98" s="143"/>
      <c r="AA98" s="162" t="s">
        <v>524</v>
      </c>
      <c r="AB98" s="143" t="s">
        <v>528</v>
      </c>
      <c r="AC98" s="155">
        <v>1</v>
      </c>
      <c r="AD98" s="155"/>
      <c r="AE98" s="155"/>
      <c r="AF98" s="155"/>
      <c r="AG98" s="155"/>
      <c r="AH98" s="143"/>
      <c r="AI98" s="158"/>
    </row>
    <row r="99" spans="1:35">
      <c r="A99" s="140"/>
      <c r="B99" s="143"/>
      <c r="C99" s="143" t="s">
        <v>78</v>
      </c>
      <c r="D99" s="143" t="s">
        <v>501</v>
      </c>
      <c r="E99" s="143" t="s">
        <v>80</v>
      </c>
      <c r="F99" s="153" t="s">
        <v>553</v>
      </c>
      <c r="G99" s="153" t="s">
        <v>555</v>
      </c>
      <c r="H99" s="153"/>
      <c r="I99" s="227">
        <v>25538</v>
      </c>
      <c r="J99" s="165">
        <v>1</v>
      </c>
      <c r="K99" s="165"/>
      <c r="L99" s="155"/>
      <c r="M99" s="155"/>
      <c r="N99" s="155"/>
      <c r="O99" s="155"/>
      <c r="P99" s="155"/>
      <c r="Q99" s="155"/>
      <c r="R99" s="155"/>
      <c r="S99" s="155"/>
      <c r="T99" s="155"/>
      <c r="U99" s="167" t="s">
        <v>509</v>
      </c>
      <c r="V99" s="153" t="s">
        <v>503</v>
      </c>
      <c r="W99" s="143" t="s">
        <v>298</v>
      </c>
      <c r="X99" s="157" t="s">
        <v>227</v>
      </c>
      <c r="Y99" s="153">
        <v>9079876487</v>
      </c>
      <c r="Z99" s="143"/>
      <c r="AA99" s="162" t="s">
        <v>524</v>
      </c>
      <c r="AB99" s="143" t="s">
        <v>528</v>
      </c>
      <c r="AC99" s="155">
        <v>1</v>
      </c>
      <c r="AD99" s="155"/>
      <c r="AE99" s="155"/>
      <c r="AF99" s="155"/>
      <c r="AG99" s="155"/>
      <c r="AH99" s="143"/>
      <c r="AI99" s="158"/>
    </row>
    <row r="100" spans="1:35">
      <c r="A100" s="140"/>
      <c r="B100" s="143"/>
      <c r="C100" s="143" t="s">
        <v>78</v>
      </c>
      <c r="D100" s="143" t="s">
        <v>501</v>
      </c>
      <c r="E100" s="143" t="s">
        <v>80</v>
      </c>
      <c r="F100" s="153" t="s">
        <v>556</v>
      </c>
      <c r="G100" s="153" t="s">
        <v>557</v>
      </c>
      <c r="H100" s="153"/>
      <c r="I100" s="227">
        <v>20818</v>
      </c>
      <c r="J100" s="166"/>
      <c r="K100" s="165">
        <v>1</v>
      </c>
      <c r="L100" s="155"/>
      <c r="M100" s="155">
        <v>1</v>
      </c>
      <c r="N100" s="155"/>
      <c r="O100" s="155"/>
      <c r="P100" s="155"/>
      <c r="Q100" s="155"/>
      <c r="R100" s="155"/>
      <c r="S100" s="155"/>
      <c r="T100" s="155"/>
      <c r="U100" s="167" t="s">
        <v>509</v>
      </c>
      <c r="V100" s="153" t="s">
        <v>503</v>
      </c>
      <c r="W100" s="143" t="s">
        <v>298</v>
      </c>
      <c r="X100" s="157" t="s">
        <v>227</v>
      </c>
      <c r="Y100" s="153">
        <v>9295527681</v>
      </c>
      <c r="Z100" s="143"/>
      <c r="AA100" s="162" t="s">
        <v>524</v>
      </c>
      <c r="AB100" s="143" t="s">
        <v>528</v>
      </c>
      <c r="AC100" s="155">
        <v>1</v>
      </c>
      <c r="AD100" s="155"/>
      <c r="AE100" s="155"/>
      <c r="AF100" s="155"/>
      <c r="AG100" s="155"/>
      <c r="AH100" s="143"/>
      <c r="AI100" s="158"/>
    </row>
    <row r="101" spans="1:35">
      <c r="A101" s="140"/>
      <c r="B101" s="143"/>
      <c r="C101" s="143" t="s">
        <v>78</v>
      </c>
      <c r="D101" s="143" t="s">
        <v>501</v>
      </c>
      <c r="E101" s="143" t="s">
        <v>80</v>
      </c>
      <c r="F101" s="153" t="s">
        <v>558</v>
      </c>
      <c r="G101" s="153" t="s">
        <v>559</v>
      </c>
      <c r="H101" s="153"/>
      <c r="I101" s="227">
        <v>34230</v>
      </c>
      <c r="J101" s="166"/>
      <c r="K101" s="165">
        <v>1</v>
      </c>
      <c r="L101" s="155"/>
      <c r="M101" s="155"/>
      <c r="N101" s="155"/>
      <c r="O101" s="155"/>
      <c r="P101" s="155"/>
      <c r="Q101" s="155"/>
      <c r="R101" s="155"/>
      <c r="S101" s="155"/>
      <c r="T101" s="155"/>
      <c r="U101" s="167" t="s">
        <v>509</v>
      </c>
      <c r="V101" s="153" t="s">
        <v>503</v>
      </c>
      <c r="W101" s="143" t="s">
        <v>298</v>
      </c>
      <c r="X101" s="157" t="s">
        <v>227</v>
      </c>
      <c r="Y101" s="153">
        <v>9752016756</v>
      </c>
      <c r="Z101" s="143"/>
      <c r="AA101" s="162" t="s">
        <v>524</v>
      </c>
      <c r="AB101" s="143" t="s">
        <v>528</v>
      </c>
      <c r="AC101" s="155">
        <v>1</v>
      </c>
      <c r="AD101" s="155"/>
      <c r="AE101" s="155"/>
      <c r="AF101" s="155"/>
      <c r="AG101" s="155"/>
      <c r="AH101" s="143"/>
      <c r="AI101" s="158"/>
    </row>
    <row r="102" spans="1:35">
      <c r="A102" s="140"/>
      <c r="B102" s="143"/>
      <c r="C102" s="143" t="s">
        <v>78</v>
      </c>
      <c r="D102" s="143" t="s">
        <v>501</v>
      </c>
      <c r="E102" s="143" t="s">
        <v>80</v>
      </c>
      <c r="F102" s="153" t="s">
        <v>560</v>
      </c>
      <c r="G102" s="153" t="s">
        <v>559</v>
      </c>
      <c r="H102" s="153"/>
      <c r="I102" s="227">
        <v>32527</v>
      </c>
      <c r="J102" s="166"/>
      <c r="K102" s="165">
        <v>1</v>
      </c>
      <c r="L102" s="155"/>
      <c r="M102" s="155"/>
      <c r="N102" s="155"/>
      <c r="O102" s="155"/>
      <c r="P102" s="155"/>
      <c r="Q102" s="155"/>
      <c r="R102" s="155"/>
      <c r="S102" s="155"/>
      <c r="T102" s="155"/>
      <c r="U102" s="167" t="s">
        <v>509</v>
      </c>
      <c r="V102" s="153" t="s">
        <v>503</v>
      </c>
      <c r="W102" s="143" t="s">
        <v>298</v>
      </c>
      <c r="X102" s="157" t="s">
        <v>227</v>
      </c>
      <c r="Y102" s="153">
        <v>9355080687</v>
      </c>
      <c r="Z102" s="143"/>
      <c r="AA102" s="162" t="s">
        <v>524</v>
      </c>
      <c r="AB102" s="143" t="s">
        <v>528</v>
      </c>
      <c r="AC102" s="155">
        <v>1</v>
      </c>
      <c r="AD102" s="155"/>
      <c r="AE102" s="155"/>
      <c r="AF102" s="155"/>
      <c r="AG102" s="155"/>
      <c r="AH102" s="143"/>
      <c r="AI102" s="158"/>
    </row>
    <row r="103" spans="1:35">
      <c r="A103" s="140"/>
      <c r="B103" s="143"/>
      <c r="C103" s="143" t="s">
        <v>78</v>
      </c>
      <c r="D103" s="143" t="s">
        <v>501</v>
      </c>
      <c r="E103" s="143" t="s">
        <v>80</v>
      </c>
      <c r="F103" s="153" t="s">
        <v>537</v>
      </c>
      <c r="G103" s="153" t="s">
        <v>561</v>
      </c>
      <c r="H103" s="153" t="s">
        <v>421</v>
      </c>
      <c r="I103" s="227">
        <v>24465</v>
      </c>
      <c r="J103" s="166"/>
      <c r="K103" s="165">
        <v>1</v>
      </c>
      <c r="L103" s="155"/>
      <c r="M103" s="155"/>
      <c r="N103" s="155"/>
      <c r="O103" s="155"/>
      <c r="P103" s="155"/>
      <c r="Q103" s="155"/>
      <c r="R103" s="155"/>
      <c r="S103" s="155"/>
      <c r="T103" s="155"/>
      <c r="U103" s="167" t="s">
        <v>509</v>
      </c>
      <c r="V103" s="153" t="s">
        <v>503</v>
      </c>
      <c r="W103" s="143" t="s">
        <v>298</v>
      </c>
      <c r="X103" s="157" t="s">
        <v>227</v>
      </c>
      <c r="Y103" s="153">
        <v>9386327270</v>
      </c>
      <c r="Z103" s="143"/>
      <c r="AA103" s="162" t="s">
        <v>524</v>
      </c>
      <c r="AB103" s="143" t="s">
        <v>528</v>
      </c>
      <c r="AC103" s="155">
        <v>1</v>
      </c>
      <c r="AD103" s="155"/>
      <c r="AE103" s="155"/>
      <c r="AF103" s="155"/>
      <c r="AG103" s="155"/>
      <c r="AH103" s="143"/>
      <c r="AI103" s="158"/>
    </row>
    <row r="104" spans="1:35">
      <c r="A104" s="140"/>
      <c r="B104" s="143"/>
      <c r="C104" s="143" t="s">
        <v>78</v>
      </c>
      <c r="D104" s="143" t="s">
        <v>501</v>
      </c>
      <c r="E104" s="143" t="s">
        <v>80</v>
      </c>
      <c r="F104" s="153" t="s">
        <v>562</v>
      </c>
      <c r="G104" s="153" t="s">
        <v>563</v>
      </c>
      <c r="H104" s="153" t="s">
        <v>120</v>
      </c>
      <c r="I104" s="227">
        <v>31025</v>
      </c>
      <c r="J104" s="165">
        <v>1</v>
      </c>
      <c r="K104" s="165"/>
      <c r="L104" s="155"/>
      <c r="M104" s="155"/>
      <c r="N104" s="155"/>
      <c r="O104" s="155"/>
      <c r="P104" s="155"/>
      <c r="Q104" s="155"/>
      <c r="R104" s="155"/>
      <c r="S104" s="155"/>
      <c r="T104" s="155"/>
      <c r="U104" s="167" t="s">
        <v>514</v>
      </c>
      <c r="V104" s="153" t="s">
        <v>503</v>
      </c>
      <c r="W104" s="143" t="s">
        <v>298</v>
      </c>
      <c r="X104" s="157" t="s">
        <v>227</v>
      </c>
      <c r="Y104" s="153">
        <v>9503057714</v>
      </c>
      <c r="Z104" s="143"/>
      <c r="AA104" s="162" t="s">
        <v>524</v>
      </c>
      <c r="AB104" s="143" t="s">
        <v>528</v>
      </c>
      <c r="AC104" s="155">
        <v>1</v>
      </c>
      <c r="AD104" s="155"/>
      <c r="AE104" s="155"/>
      <c r="AF104" s="155"/>
      <c r="AG104" s="155"/>
      <c r="AH104" s="143"/>
      <c r="AI104" s="158"/>
    </row>
    <row r="105" spans="1:35">
      <c r="A105" s="140"/>
      <c r="B105" s="143"/>
      <c r="C105" s="143" t="s">
        <v>78</v>
      </c>
      <c r="D105" s="143" t="s">
        <v>501</v>
      </c>
      <c r="E105" s="143" t="s">
        <v>80</v>
      </c>
      <c r="F105" s="153" t="s">
        <v>562</v>
      </c>
      <c r="G105" s="153" t="s">
        <v>138</v>
      </c>
      <c r="H105" s="153" t="s">
        <v>120</v>
      </c>
      <c r="I105" s="227">
        <v>30111</v>
      </c>
      <c r="J105" s="165">
        <v>1</v>
      </c>
      <c r="K105" s="165"/>
      <c r="L105" s="155"/>
      <c r="M105" s="155"/>
      <c r="N105" s="155"/>
      <c r="O105" s="155"/>
      <c r="P105" s="155"/>
      <c r="Q105" s="155"/>
      <c r="R105" s="155"/>
      <c r="S105" s="155"/>
      <c r="T105" s="155"/>
      <c r="U105" s="167" t="s">
        <v>514</v>
      </c>
      <c r="V105" s="153" t="s">
        <v>503</v>
      </c>
      <c r="W105" s="143" t="s">
        <v>298</v>
      </c>
      <c r="X105" s="157" t="s">
        <v>227</v>
      </c>
      <c r="Y105" s="153">
        <v>9060820696</v>
      </c>
      <c r="Z105" s="143"/>
      <c r="AA105" s="162" t="s">
        <v>524</v>
      </c>
      <c r="AB105" s="143" t="s">
        <v>528</v>
      </c>
      <c r="AC105" s="155">
        <v>1</v>
      </c>
      <c r="AD105" s="155"/>
      <c r="AE105" s="155"/>
      <c r="AF105" s="155"/>
      <c r="AG105" s="155"/>
      <c r="AH105" s="143"/>
      <c r="AI105" s="158"/>
    </row>
    <row r="106" spans="1:35">
      <c r="A106" s="140"/>
      <c r="B106" s="143"/>
      <c r="C106" s="143" t="s">
        <v>78</v>
      </c>
      <c r="D106" s="143" t="s">
        <v>501</v>
      </c>
      <c r="E106" s="143" t="s">
        <v>80</v>
      </c>
      <c r="F106" s="153" t="s">
        <v>197</v>
      </c>
      <c r="G106" s="153" t="s">
        <v>196</v>
      </c>
      <c r="H106" s="153" t="s">
        <v>120</v>
      </c>
      <c r="I106" s="227">
        <v>29097</v>
      </c>
      <c r="J106" s="165">
        <v>1</v>
      </c>
      <c r="K106" s="165"/>
      <c r="L106" s="155"/>
      <c r="M106" s="155"/>
      <c r="N106" s="155"/>
      <c r="O106" s="155"/>
      <c r="P106" s="155"/>
      <c r="Q106" s="155"/>
      <c r="R106" s="155"/>
      <c r="S106" s="155"/>
      <c r="T106" s="155"/>
      <c r="U106" s="167" t="s">
        <v>509</v>
      </c>
      <c r="V106" s="153" t="s">
        <v>503</v>
      </c>
      <c r="W106" s="143" t="s">
        <v>298</v>
      </c>
      <c r="X106" s="157" t="s">
        <v>227</v>
      </c>
      <c r="Y106" s="153">
        <v>9675703293</v>
      </c>
      <c r="Z106" s="143"/>
      <c r="AA106" s="162" t="s">
        <v>524</v>
      </c>
      <c r="AB106" s="143" t="s">
        <v>528</v>
      </c>
      <c r="AC106" s="155">
        <v>1</v>
      </c>
      <c r="AD106" s="155"/>
      <c r="AE106" s="155"/>
      <c r="AF106" s="155"/>
      <c r="AG106" s="155"/>
      <c r="AH106" s="143"/>
      <c r="AI106" s="158"/>
    </row>
    <row r="107" spans="1:35">
      <c r="A107" s="140"/>
      <c r="B107" s="143"/>
      <c r="C107" s="143" t="s">
        <v>78</v>
      </c>
      <c r="D107" s="143" t="s">
        <v>501</v>
      </c>
      <c r="E107" s="143" t="s">
        <v>80</v>
      </c>
      <c r="F107" s="153" t="s">
        <v>184</v>
      </c>
      <c r="G107" s="153" t="s">
        <v>564</v>
      </c>
      <c r="H107" s="153"/>
      <c r="I107" s="227">
        <v>31766</v>
      </c>
      <c r="J107" s="166"/>
      <c r="K107" s="165">
        <v>1</v>
      </c>
      <c r="L107" s="155"/>
      <c r="M107" s="155"/>
      <c r="N107" s="155"/>
      <c r="O107" s="155"/>
      <c r="P107" s="155"/>
      <c r="Q107" s="155"/>
      <c r="R107" s="155"/>
      <c r="S107" s="155"/>
      <c r="T107" s="155"/>
      <c r="U107" s="167" t="s">
        <v>505</v>
      </c>
      <c r="V107" s="153" t="s">
        <v>503</v>
      </c>
      <c r="W107" s="143" t="s">
        <v>298</v>
      </c>
      <c r="X107" s="157" t="s">
        <v>227</v>
      </c>
      <c r="Y107" s="153">
        <v>9976942913</v>
      </c>
      <c r="Z107" s="143"/>
      <c r="AA107" s="162" t="s">
        <v>524</v>
      </c>
      <c r="AB107" s="143" t="s">
        <v>528</v>
      </c>
      <c r="AC107" s="155">
        <v>1</v>
      </c>
      <c r="AD107" s="155"/>
      <c r="AE107" s="155"/>
      <c r="AF107" s="155"/>
      <c r="AG107" s="155"/>
      <c r="AH107" s="143"/>
      <c r="AI107" s="158"/>
    </row>
    <row r="108" spans="1:35">
      <c r="A108" s="140"/>
      <c r="B108" s="143"/>
      <c r="C108" s="143" t="s">
        <v>78</v>
      </c>
      <c r="D108" s="143" t="s">
        <v>501</v>
      </c>
      <c r="E108" s="143" t="s">
        <v>80</v>
      </c>
      <c r="F108" s="153" t="s">
        <v>565</v>
      </c>
      <c r="G108" s="153" t="s">
        <v>566</v>
      </c>
      <c r="H108" s="153" t="s">
        <v>133</v>
      </c>
      <c r="I108" s="227">
        <v>20449</v>
      </c>
      <c r="J108" s="165">
        <v>1</v>
      </c>
      <c r="K108" s="165"/>
      <c r="L108" s="155"/>
      <c r="M108" s="155">
        <v>1</v>
      </c>
      <c r="N108" s="155"/>
      <c r="O108" s="155"/>
      <c r="P108" s="155"/>
      <c r="Q108" s="155"/>
      <c r="R108" s="155"/>
      <c r="S108" s="155"/>
      <c r="T108" s="155"/>
      <c r="U108" s="167" t="s">
        <v>509</v>
      </c>
      <c r="V108" s="153" t="s">
        <v>503</v>
      </c>
      <c r="W108" s="143" t="s">
        <v>298</v>
      </c>
      <c r="X108" s="157" t="s">
        <v>227</v>
      </c>
      <c r="Y108" s="153">
        <v>9104238005</v>
      </c>
      <c r="Z108" s="143"/>
      <c r="AA108" s="162" t="s">
        <v>524</v>
      </c>
      <c r="AB108" s="143" t="s">
        <v>528</v>
      </c>
      <c r="AC108" s="155">
        <v>2</v>
      </c>
      <c r="AD108" s="155"/>
      <c r="AE108" s="155"/>
      <c r="AF108" s="155"/>
      <c r="AG108" s="155"/>
      <c r="AH108" s="143"/>
      <c r="AI108" s="158"/>
    </row>
    <row r="109" spans="1:35">
      <c r="A109" s="140"/>
      <c r="B109" s="143"/>
      <c r="C109" s="143" t="s">
        <v>78</v>
      </c>
      <c r="D109" s="143" t="s">
        <v>501</v>
      </c>
      <c r="E109" s="143" t="s">
        <v>80</v>
      </c>
      <c r="F109" s="153" t="s">
        <v>567</v>
      </c>
      <c r="G109" s="153" t="s">
        <v>568</v>
      </c>
      <c r="H109" s="153" t="s">
        <v>113</v>
      </c>
      <c r="I109" s="227">
        <v>19528</v>
      </c>
      <c r="J109" s="165">
        <v>1</v>
      </c>
      <c r="K109" s="165"/>
      <c r="L109" s="155"/>
      <c r="M109" s="155">
        <v>1</v>
      </c>
      <c r="N109" s="155"/>
      <c r="O109" s="155"/>
      <c r="P109" s="155"/>
      <c r="Q109" s="155"/>
      <c r="R109" s="155"/>
      <c r="S109" s="155"/>
      <c r="T109" s="155"/>
      <c r="U109" s="167" t="s">
        <v>514</v>
      </c>
      <c r="V109" s="153" t="s">
        <v>503</v>
      </c>
      <c r="W109" s="143" t="s">
        <v>298</v>
      </c>
      <c r="X109" s="157" t="s">
        <v>227</v>
      </c>
      <c r="Y109" s="153">
        <v>9503057714</v>
      </c>
      <c r="Z109" s="143"/>
      <c r="AA109" s="162" t="s">
        <v>524</v>
      </c>
      <c r="AB109" s="143" t="s">
        <v>528</v>
      </c>
      <c r="AC109" s="155">
        <v>1</v>
      </c>
      <c r="AD109" s="155"/>
      <c r="AE109" s="155"/>
      <c r="AF109" s="155"/>
      <c r="AG109" s="155"/>
      <c r="AH109" s="143"/>
      <c r="AI109" s="158"/>
    </row>
    <row r="110" spans="1:35">
      <c r="A110" s="140"/>
      <c r="B110" s="143"/>
      <c r="C110" s="143" t="s">
        <v>78</v>
      </c>
      <c r="D110" s="143" t="s">
        <v>501</v>
      </c>
      <c r="E110" s="143" t="s">
        <v>80</v>
      </c>
      <c r="F110" s="153" t="s">
        <v>569</v>
      </c>
      <c r="G110" s="153" t="s">
        <v>570</v>
      </c>
      <c r="H110" s="153" t="s">
        <v>286</v>
      </c>
      <c r="I110" s="227">
        <v>30083</v>
      </c>
      <c r="J110" s="166"/>
      <c r="K110" s="165">
        <v>1</v>
      </c>
      <c r="L110" s="155"/>
      <c r="M110" s="155"/>
      <c r="N110" s="155"/>
      <c r="O110" s="155"/>
      <c r="P110" s="155"/>
      <c r="Q110" s="155"/>
      <c r="R110" s="155"/>
      <c r="S110" s="155"/>
      <c r="T110" s="155"/>
      <c r="U110" s="167" t="s">
        <v>292</v>
      </c>
      <c r="V110" s="153" t="s">
        <v>503</v>
      </c>
      <c r="W110" s="143" t="s">
        <v>298</v>
      </c>
      <c r="X110" s="157" t="s">
        <v>227</v>
      </c>
      <c r="Y110" s="153">
        <v>9505982514</v>
      </c>
      <c r="Z110" s="143"/>
      <c r="AA110" s="162" t="s">
        <v>524</v>
      </c>
      <c r="AB110" s="143" t="s">
        <v>528</v>
      </c>
      <c r="AC110" s="155">
        <v>1</v>
      </c>
      <c r="AD110" s="155"/>
      <c r="AE110" s="155"/>
      <c r="AF110" s="155"/>
      <c r="AG110" s="155"/>
      <c r="AH110" s="143"/>
      <c r="AI110" s="158"/>
    </row>
    <row r="111" spans="1:35">
      <c r="A111" s="140"/>
      <c r="B111" s="143"/>
      <c r="C111" s="143" t="s">
        <v>78</v>
      </c>
      <c r="D111" s="143" t="s">
        <v>501</v>
      </c>
      <c r="E111" s="143" t="s">
        <v>80</v>
      </c>
      <c r="F111" s="153" t="s">
        <v>174</v>
      </c>
      <c r="G111" s="153" t="s">
        <v>571</v>
      </c>
      <c r="H111" s="153"/>
      <c r="I111" s="227">
        <v>27820</v>
      </c>
      <c r="J111" s="166"/>
      <c r="K111" s="165">
        <v>1</v>
      </c>
      <c r="L111" s="155"/>
      <c r="M111" s="155"/>
      <c r="N111" s="155"/>
      <c r="O111" s="155"/>
      <c r="P111" s="155"/>
      <c r="Q111" s="155"/>
      <c r="R111" s="155"/>
      <c r="S111" s="155"/>
      <c r="T111" s="155"/>
      <c r="U111" s="167" t="s">
        <v>517</v>
      </c>
      <c r="V111" s="153" t="s">
        <v>503</v>
      </c>
      <c r="W111" s="143" t="s">
        <v>298</v>
      </c>
      <c r="X111" s="157" t="s">
        <v>227</v>
      </c>
      <c r="Y111" s="153">
        <v>9481157797</v>
      </c>
      <c r="Z111" s="143"/>
      <c r="AA111" s="162" t="s">
        <v>524</v>
      </c>
      <c r="AB111" s="143" t="s">
        <v>528</v>
      </c>
      <c r="AC111" s="155">
        <v>1</v>
      </c>
      <c r="AD111" s="155"/>
      <c r="AE111" s="155"/>
      <c r="AF111" s="155"/>
      <c r="AG111" s="155"/>
      <c r="AH111" s="143"/>
      <c r="AI111" s="158"/>
    </row>
    <row r="112" spans="1:35">
      <c r="A112" s="140"/>
      <c r="B112" s="143"/>
      <c r="C112" s="143" t="s">
        <v>78</v>
      </c>
      <c r="D112" s="143" t="s">
        <v>501</v>
      </c>
      <c r="E112" s="143" t="s">
        <v>80</v>
      </c>
      <c r="F112" s="153" t="s">
        <v>572</v>
      </c>
      <c r="G112" s="153" t="s">
        <v>187</v>
      </c>
      <c r="H112" s="153" t="s">
        <v>573</v>
      </c>
      <c r="I112" s="227">
        <v>24131</v>
      </c>
      <c r="J112" s="165">
        <v>1</v>
      </c>
      <c r="K112" s="165"/>
      <c r="L112" s="155"/>
      <c r="M112" s="155"/>
      <c r="N112" s="155"/>
      <c r="O112" s="155"/>
      <c r="P112" s="155"/>
      <c r="Q112" s="155"/>
      <c r="R112" s="155"/>
      <c r="S112" s="155"/>
      <c r="T112" s="155"/>
      <c r="U112" s="167" t="s">
        <v>509</v>
      </c>
      <c r="V112" s="153" t="s">
        <v>503</v>
      </c>
      <c r="W112" s="143" t="s">
        <v>298</v>
      </c>
      <c r="X112" s="157" t="s">
        <v>227</v>
      </c>
      <c r="Y112" s="153">
        <v>9531505681</v>
      </c>
      <c r="Z112" s="143"/>
      <c r="AA112" s="162" t="s">
        <v>524</v>
      </c>
      <c r="AB112" s="143" t="s">
        <v>528</v>
      </c>
      <c r="AC112" s="155">
        <v>1</v>
      </c>
      <c r="AD112" s="155"/>
      <c r="AE112" s="155"/>
      <c r="AF112" s="155"/>
      <c r="AG112" s="155"/>
      <c r="AH112" s="143"/>
      <c r="AI112" s="158"/>
    </row>
    <row r="113" spans="1:35">
      <c r="A113" s="140"/>
      <c r="B113" s="143"/>
      <c r="C113" s="143" t="s">
        <v>78</v>
      </c>
      <c r="D113" s="143" t="s">
        <v>501</v>
      </c>
      <c r="E113" s="143" t="s">
        <v>80</v>
      </c>
      <c r="F113" s="153" t="s">
        <v>574</v>
      </c>
      <c r="G113" s="153" t="s">
        <v>459</v>
      </c>
      <c r="H113" s="153"/>
      <c r="I113" s="227">
        <v>30707</v>
      </c>
      <c r="J113" s="166"/>
      <c r="K113" s="165">
        <v>1</v>
      </c>
      <c r="L113" s="155"/>
      <c r="M113" s="155"/>
      <c r="N113" s="155"/>
      <c r="O113" s="155"/>
      <c r="P113" s="155"/>
      <c r="Q113" s="155"/>
      <c r="R113" s="155"/>
      <c r="S113" s="155"/>
      <c r="T113" s="155"/>
      <c r="U113" s="167" t="s">
        <v>506</v>
      </c>
      <c r="V113" s="153" t="s">
        <v>503</v>
      </c>
      <c r="W113" s="143" t="s">
        <v>298</v>
      </c>
      <c r="X113" s="157" t="s">
        <v>227</v>
      </c>
      <c r="Y113" s="153">
        <v>9517471247</v>
      </c>
      <c r="Z113" s="143"/>
      <c r="AA113" s="162" t="s">
        <v>524</v>
      </c>
      <c r="AB113" s="143" t="s">
        <v>528</v>
      </c>
      <c r="AC113" s="155">
        <v>1</v>
      </c>
      <c r="AD113" s="155"/>
      <c r="AE113" s="155"/>
      <c r="AF113" s="155"/>
      <c r="AG113" s="155"/>
      <c r="AH113" s="143"/>
      <c r="AI113" s="158"/>
    </row>
    <row r="114" spans="1:35">
      <c r="A114" s="140"/>
      <c r="B114" s="143"/>
      <c r="C114" s="143" t="s">
        <v>78</v>
      </c>
      <c r="D114" s="143" t="s">
        <v>501</v>
      </c>
      <c r="E114" s="143" t="s">
        <v>80</v>
      </c>
      <c r="F114" s="153" t="s">
        <v>193</v>
      </c>
      <c r="G114" s="153" t="s">
        <v>575</v>
      </c>
      <c r="H114" s="153"/>
      <c r="I114" s="227">
        <v>23494</v>
      </c>
      <c r="J114" s="166"/>
      <c r="K114" s="165">
        <v>1</v>
      </c>
      <c r="L114" s="155"/>
      <c r="M114" s="155"/>
      <c r="N114" s="155"/>
      <c r="O114" s="155"/>
      <c r="P114" s="155"/>
      <c r="Q114" s="155"/>
      <c r="R114" s="155"/>
      <c r="S114" s="155"/>
      <c r="T114" s="155"/>
      <c r="U114" s="167" t="s">
        <v>506</v>
      </c>
      <c r="V114" s="153" t="s">
        <v>503</v>
      </c>
      <c r="W114" s="143" t="s">
        <v>298</v>
      </c>
      <c r="X114" s="157" t="s">
        <v>227</v>
      </c>
      <c r="Y114" s="153">
        <v>9517471247</v>
      </c>
      <c r="Z114" s="143"/>
      <c r="AA114" s="162" t="s">
        <v>524</v>
      </c>
      <c r="AB114" s="143" t="s">
        <v>528</v>
      </c>
      <c r="AC114" s="155">
        <v>1</v>
      </c>
      <c r="AD114" s="155"/>
      <c r="AE114" s="155"/>
      <c r="AF114" s="155"/>
      <c r="AG114" s="155"/>
      <c r="AH114" s="143"/>
      <c r="AI114" s="158"/>
    </row>
    <row r="115" spans="1:35">
      <c r="A115" s="140"/>
      <c r="B115" s="143"/>
      <c r="C115" s="143" t="s">
        <v>78</v>
      </c>
      <c r="D115" s="143" t="s">
        <v>501</v>
      </c>
      <c r="E115" s="143" t="s">
        <v>80</v>
      </c>
      <c r="F115" s="153" t="s">
        <v>576</v>
      </c>
      <c r="G115" s="153" t="s">
        <v>577</v>
      </c>
      <c r="H115" s="153"/>
      <c r="I115" s="227">
        <v>35489</v>
      </c>
      <c r="J115" s="166"/>
      <c r="K115" s="165">
        <v>1</v>
      </c>
      <c r="L115" s="155"/>
      <c r="M115" s="155"/>
      <c r="N115" s="155"/>
      <c r="O115" s="155"/>
      <c r="P115" s="155"/>
      <c r="Q115" s="155"/>
      <c r="R115" s="155"/>
      <c r="S115" s="155"/>
      <c r="T115" s="155"/>
      <c r="U115" s="167" t="s">
        <v>295</v>
      </c>
      <c r="V115" s="153" t="s">
        <v>503</v>
      </c>
      <c r="W115" s="143" t="s">
        <v>298</v>
      </c>
      <c r="X115" s="157" t="s">
        <v>227</v>
      </c>
      <c r="Y115" s="153">
        <v>9758454316</v>
      </c>
      <c r="Z115" s="143"/>
      <c r="AA115" s="162" t="s">
        <v>524</v>
      </c>
      <c r="AB115" s="143" t="s">
        <v>528</v>
      </c>
      <c r="AC115" s="155">
        <v>1</v>
      </c>
      <c r="AD115" s="155"/>
      <c r="AE115" s="155"/>
      <c r="AF115" s="155"/>
      <c r="AG115" s="155"/>
      <c r="AH115" s="143"/>
      <c r="AI115" s="158"/>
    </row>
    <row r="116" spans="1:35">
      <c r="A116" s="140"/>
      <c r="B116" s="143"/>
      <c r="C116" s="143" t="s">
        <v>78</v>
      </c>
      <c r="D116" s="143" t="s">
        <v>501</v>
      </c>
      <c r="E116" s="143" t="s">
        <v>80</v>
      </c>
      <c r="F116" s="153" t="s">
        <v>578</v>
      </c>
      <c r="G116" s="153" t="s">
        <v>169</v>
      </c>
      <c r="H116" s="153" t="s">
        <v>126</v>
      </c>
      <c r="I116" s="227">
        <v>21735</v>
      </c>
      <c r="J116" s="165">
        <v>1</v>
      </c>
      <c r="K116" s="165"/>
      <c r="L116" s="155"/>
      <c r="M116" s="155">
        <v>1</v>
      </c>
      <c r="N116" s="155"/>
      <c r="O116" s="155"/>
      <c r="P116" s="155"/>
      <c r="Q116" s="155"/>
      <c r="R116" s="155"/>
      <c r="S116" s="155"/>
      <c r="T116" s="155"/>
      <c r="U116" s="167" t="s">
        <v>856</v>
      </c>
      <c r="V116" s="153" t="s">
        <v>503</v>
      </c>
      <c r="W116" s="143" t="s">
        <v>298</v>
      </c>
      <c r="X116" s="157" t="s">
        <v>227</v>
      </c>
      <c r="Y116" s="153">
        <v>9777886549</v>
      </c>
      <c r="Z116" s="143"/>
      <c r="AA116" s="162" t="s">
        <v>524</v>
      </c>
      <c r="AB116" s="143" t="s">
        <v>528</v>
      </c>
      <c r="AC116" s="155">
        <v>1</v>
      </c>
      <c r="AD116" s="155"/>
      <c r="AE116" s="155"/>
      <c r="AF116" s="155"/>
      <c r="AG116" s="155"/>
      <c r="AH116" s="143"/>
      <c r="AI116" s="158"/>
    </row>
    <row r="117" spans="1:35">
      <c r="A117" s="140"/>
      <c r="B117" s="143"/>
      <c r="C117" s="143" t="s">
        <v>78</v>
      </c>
      <c r="D117" s="143" t="s">
        <v>501</v>
      </c>
      <c r="E117" s="143" t="s">
        <v>80</v>
      </c>
      <c r="F117" s="153" t="s">
        <v>579</v>
      </c>
      <c r="G117" s="153" t="s">
        <v>580</v>
      </c>
      <c r="H117" s="153" t="s">
        <v>160</v>
      </c>
      <c r="I117" s="227">
        <v>31107</v>
      </c>
      <c r="J117" s="166"/>
      <c r="K117" s="165">
        <v>1</v>
      </c>
      <c r="L117" s="155"/>
      <c r="M117" s="155"/>
      <c r="N117" s="155"/>
      <c r="O117" s="155"/>
      <c r="P117" s="155"/>
      <c r="Q117" s="155"/>
      <c r="R117" s="155"/>
      <c r="S117" s="155"/>
      <c r="T117" s="155"/>
      <c r="U117" s="167" t="s">
        <v>517</v>
      </c>
      <c r="V117" s="153" t="s">
        <v>503</v>
      </c>
      <c r="W117" s="143" t="s">
        <v>298</v>
      </c>
      <c r="X117" s="157" t="s">
        <v>227</v>
      </c>
      <c r="Y117" s="153">
        <v>9066115144</v>
      </c>
      <c r="Z117" s="143"/>
      <c r="AA117" s="162" t="s">
        <v>524</v>
      </c>
      <c r="AB117" s="143" t="s">
        <v>528</v>
      </c>
      <c r="AC117" s="155">
        <v>1</v>
      </c>
      <c r="AD117" s="155"/>
      <c r="AE117" s="155"/>
      <c r="AF117" s="155"/>
      <c r="AG117" s="155"/>
      <c r="AH117" s="143"/>
      <c r="AI117" s="158"/>
    </row>
    <row r="118" spans="1:35">
      <c r="A118" s="140"/>
      <c r="B118" s="143"/>
      <c r="C118" s="143" t="s">
        <v>78</v>
      </c>
      <c r="D118" s="143" t="s">
        <v>501</v>
      </c>
      <c r="E118" s="143" t="s">
        <v>80</v>
      </c>
      <c r="F118" s="153" t="s">
        <v>581</v>
      </c>
      <c r="G118" s="153" t="s">
        <v>582</v>
      </c>
      <c r="H118" s="153" t="s">
        <v>160</v>
      </c>
      <c r="I118" s="227">
        <v>22633</v>
      </c>
      <c r="J118" s="165">
        <v>1</v>
      </c>
      <c r="K118" s="165"/>
      <c r="L118" s="155"/>
      <c r="M118" s="155">
        <v>1</v>
      </c>
      <c r="N118" s="155"/>
      <c r="O118" s="155"/>
      <c r="P118" s="155"/>
      <c r="Q118" s="155"/>
      <c r="R118" s="155"/>
      <c r="S118" s="155"/>
      <c r="T118" s="155"/>
      <c r="U118" s="167" t="s">
        <v>517</v>
      </c>
      <c r="V118" s="153" t="s">
        <v>503</v>
      </c>
      <c r="W118" s="143" t="s">
        <v>298</v>
      </c>
      <c r="X118" s="157" t="s">
        <v>227</v>
      </c>
      <c r="Y118" s="153">
        <v>9051902102</v>
      </c>
      <c r="Z118" s="143"/>
      <c r="AA118" s="162" t="s">
        <v>524</v>
      </c>
      <c r="AB118" s="143" t="s">
        <v>528</v>
      </c>
      <c r="AC118" s="155">
        <v>1</v>
      </c>
      <c r="AD118" s="155"/>
      <c r="AE118" s="155"/>
      <c r="AF118" s="155"/>
      <c r="AG118" s="155"/>
      <c r="AH118" s="143"/>
      <c r="AI118" s="158"/>
    </row>
    <row r="119" spans="1:35">
      <c r="A119" s="140"/>
      <c r="B119" s="143"/>
      <c r="C119" s="143" t="s">
        <v>78</v>
      </c>
      <c r="D119" s="143" t="s">
        <v>501</v>
      </c>
      <c r="E119" s="143" t="s">
        <v>80</v>
      </c>
      <c r="F119" s="153" t="s">
        <v>150</v>
      </c>
      <c r="G119" s="153" t="s">
        <v>583</v>
      </c>
      <c r="H119" s="153" t="s">
        <v>160</v>
      </c>
      <c r="I119" s="227">
        <v>28984</v>
      </c>
      <c r="J119" s="166"/>
      <c r="K119" s="165">
        <v>1</v>
      </c>
      <c r="L119" s="155"/>
      <c r="M119" s="155"/>
      <c r="N119" s="155"/>
      <c r="O119" s="155"/>
      <c r="P119" s="155"/>
      <c r="Q119" s="155"/>
      <c r="R119" s="155"/>
      <c r="S119" s="155"/>
      <c r="T119" s="155"/>
      <c r="U119" s="167" t="s">
        <v>517</v>
      </c>
      <c r="V119" s="153" t="s">
        <v>503</v>
      </c>
      <c r="W119" s="143" t="s">
        <v>298</v>
      </c>
      <c r="X119" s="157" t="s">
        <v>227</v>
      </c>
      <c r="Y119" s="153">
        <v>9305119778</v>
      </c>
      <c r="Z119" s="143"/>
      <c r="AA119" s="162" t="s">
        <v>524</v>
      </c>
      <c r="AB119" s="143" t="s">
        <v>528</v>
      </c>
      <c r="AC119" s="155">
        <v>1</v>
      </c>
      <c r="AD119" s="155"/>
      <c r="AE119" s="155"/>
      <c r="AF119" s="155"/>
      <c r="AG119" s="155"/>
      <c r="AH119" s="143"/>
      <c r="AI119" s="158"/>
    </row>
    <row r="120" spans="1:35">
      <c r="A120" s="140"/>
      <c r="B120" s="143"/>
      <c r="C120" s="143" t="s">
        <v>78</v>
      </c>
      <c r="D120" s="143" t="s">
        <v>501</v>
      </c>
      <c r="E120" s="143" t="s">
        <v>80</v>
      </c>
      <c r="F120" s="153" t="s">
        <v>584</v>
      </c>
      <c r="G120" s="153" t="s">
        <v>585</v>
      </c>
      <c r="H120" s="153" t="s">
        <v>117</v>
      </c>
      <c r="I120" s="227">
        <v>30760</v>
      </c>
      <c r="J120" s="165">
        <v>1</v>
      </c>
      <c r="K120" s="165"/>
      <c r="L120" s="155"/>
      <c r="M120" s="155"/>
      <c r="N120" s="155"/>
      <c r="O120" s="155"/>
      <c r="P120" s="155"/>
      <c r="Q120" s="155"/>
      <c r="R120" s="155"/>
      <c r="S120" s="155"/>
      <c r="T120" s="155"/>
      <c r="U120" s="167" t="s">
        <v>517</v>
      </c>
      <c r="V120" s="153" t="s">
        <v>503</v>
      </c>
      <c r="W120" s="143" t="s">
        <v>298</v>
      </c>
      <c r="X120" s="157" t="s">
        <v>227</v>
      </c>
      <c r="Y120" s="153">
        <v>9050967181</v>
      </c>
      <c r="Z120" s="143"/>
      <c r="AA120" s="162" t="s">
        <v>524</v>
      </c>
      <c r="AB120" s="143" t="s">
        <v>528</v>
      </c>
      <c r="AC120" s="155">
        <v>1</v>
      </c>
      <c r="AD120" s="155"/>
      <c r="AE120" s="155"/>
      <c r="AF120" s="155"/>
      <c r="AG120" s="155"/>
      <c r="AH120" s="143"/>
      <c r="AI120" s="158"/>
    </row>
    <row r="121" spans="1:35">
      <c r="A121" s="140"/>
      <c r="B121" s="143"/>
      <c r="C121" s="143" t="s">
        <v>78</v>
      </c>
      <c r="D121" s="143" t="s">
        <v>501</v>
      </c>
      <c r="E121" s="143" t="s">
        <v>80</v>
      </c>
      <c r="F121" s="153" t="s">
        <v>586</v>
      </c>
      <c r="G121" s="153" t="s">
        <v>587</v>
      </c>
      <c r="H121" s="153" t="s">
        <v>588</v>
      </c>
      <c r="I121" s="227">
        <v>30003</v>
      </c>
      <c r="J121" s="165">
        <v>1</v>
      </c>
      <c r="K121" s="165"/>
      <c r="L121" s="155"/>
      <c r="M121" s="155"/>
      <c r="N121" s="155"/>
      <c r="O121" s="155"/>
      <c r="P121" s="155"/>
      <c r="Q121" s="155"/>
      <c r="R121" s="155"/>
      <c r="S121" s="155"/>
      <c r="T121" s="155"/>
      <c r="U121" s="167" t="s">
        <v>517</v>
      </c>
      <c r="V121" s="153" t="s">
        <v>503</v>
      </c>
      <c r="W121" s="143" t="s">
        <v>298</v>
      </c>
      <c r="X121" s="157" t="s">
        <v>227</v>
      </c>
      <c r="Y121" s="153">
        <v>9751104424</v>
      </c>
      <c r="Z121" s="143"/>
      <c r="AA121" s="162" t="s">
        <v>524</v>
      </c>
      <c r="AB121" s="143" t="s">
        <v>528</v>
      </c>
      <c r="AC121" s="155">
        <v>1</v>
      </c>
      <c r="AD121" s="155"/>
      <c r="AE121" s="155"/>
      <c r="AF121" s="155"/>
      <c r="AG121" s="155"/>
      <c r="AH121" s="143"/>
      <c r="AI121" s="158"/>
    </row>
    <row r="122" spans="1:35">
      <c r="A122" s="140"/>
      <c r="B122" s="143"/>
      <c r="C122" s="143" t="s">
        <v>78</v>
      </c>
      <c r="D122" s="143" t="s">
        <v>501</v>
      </c>
      <c r="E122" s="143" t="s">
        <v>80</v>
      </c>
      <c r="F122" s="153" t="s">
        <v>287</v>
      </c>
      <c r="G122" s="153" t="s">
        <v>288</v>
      </c>
      <c r="H122" s="153" t="s">
        <v>126</v>
      </c>
      <c r="I122" s="227">
        <v>29115</v>
      </c>
      <c r="J122" s="166"/>
      <c r="K122" s="165">
        <v>1</v>
      </c>
      <c r="L122" s="155"/>
      <c r="M122" s="155"/>
      <c r="N122" s="155"/>
      <c r="O122" s="155"/>
      <c r="P122" s="155"/>
      <c r="Q122" s="155"/>
      <c r="R122" s="155"/>
      <c r="S122" s="155"/>
      <c r="T122" s="155"/>
      <c r="U122" s="167" t="s">
        <v>295</v>
      </c>
      <c r="V122" s="153" t="s">
        <v>503</v>
      </c>
      <c r="W122" s="143" t="s">
        <v>298</v>
      </c>
      <c r="X122" s="157" t="s">
        <v>227</v>
      </c>
      <c r="Y122" s="153">
        <v>9069697326</v>
      </c>
      <c r="Z122" s="143"/>
      <c r="AA122" s="162" t="s">
        <v>524</v>
      </c>
      <c r="AB122" s="143" t="s">
        <v>528</v>
      </c>
      <c r="AC122" s="155">
        <v>1</v>
      </c>
      <c r="AD122" s="155"/>
      <c r="AE122" s="155"/>
      <c r="AF122" s="155"/>
      <c r="AG122" s="155"/>
      <c r="AH122" s="143"/>
      <c r="AI122" s="158"/>
    </row>
    <row r="123" spans="1:35">
      <c r="A123" s="140"/>
      <c r="B123" s="143"/>
      <c r="C123" s="143" t="s">
        <v>78</v>
      </c>
      <c r="D123" s="143" t="s">
        <v>501</v>
      </c>
      <c r="E123" s="143" t="s">
        <v>80</v>
      </c>
      <c r="F123" s="153" t="s">
        <v>589</v>
      </c>
      <c r="G123" s="153" t="s">
        <v>590</v>
      </c>
      <c r="H123" s="153" t="s">
        <v>144</v>
      </c>
      <c r="I123" s="227">
        <v>28299</v>
      </c>
      <c r="J123" s="165">
        <v>1</v>
      </c>
      <c r="K123" s="165"/>
      <c r="L123" s="155"/>
      <c r="M123" s="155"/>
      <c r="N123" s="155"/>
      <c r="O123" s="155"/>
      <c r="P123" s="155"/>
      <c r="Q123" s="155"/>
      <c r="R123" s="155"/>
      <c r="S123" s="155"/>
      <c r="T123" s="155"/>
      <c r="U123" s="167" t="s">
        <v>517</v>
      </c>
      <c r="V123" s="153" t="s">
        <v>503</v>
      </c>
      <c r="W123" s="143" t="s">
        <v>298</v>
      </c>
      <c r="X123" s="157" t="s">
        <v>227</v>
      </c>
      <c r="Y123" s="153">
        <v>9124186265</v>
      </c>
      <c r="Z123" s="143"/>
      <c r="AA123" s="162" t="s">
        <v>524</v>
      </c>
      <c r="AB123" s="143" t="s">
        <v>528</v>
      </c>
      <c r="AC123" s="155">
        <v>1</v>
      </c>
      <c r="AD123" s="155"/>
      <c r="AE123" s="155"/>
      <c r="AF123" s="155"/>
      <c r="AG123" s="155"/>
      <c r="AH123" s="143"/>
      <c r="AI123" s="158"/>
    </row>
    <row r="124" spans="1:35">
      <c r="A124" s="140"/>
      <c r="B124" s="143"/>
      <c r="C124" s="143" t="s">
        <v>78</v>
      </c>
      <c r="D124" s="143" t="s">
        <v>501</v>
      </c>
      <c r="E124" s="143" t="s">
        <v>80</v>
      </c>
      <c r="F124" s="153" t="s">
        <v>591</v>
      </c>
      <c r="G124" s="153" t="s">
        <v>592</v>
      </c>
      <c r="H124" s="153"/>
      <c r="I124" s="227"/>
      <c r="J124" s="166"/>
      <c r="K124" s="165">
        <v>1</v>
      </c>
      <c r="L124" s="155"/>
      <c r="M124" s="155"/>
      <c r="N124" s="155"/>
      <c r="O124" s="155"/>
      <c r="P124" s="155"/>
      <c r="Q124" s="155"/>
      <c r="R124" s="155"/>
      <c r="S124" s="155"/>
      <c r="T124" s="155"/>
      <c r="U124" s="167" t="s">
        <v>507</v>
      </c>
      <c r="V124" s="153" t="s">
        <v>503</v>
      </c>
      <c r="W124" s="143" t="s">
        <v>298</v>
      </c>
      <c r="X124" s="157" t="s">
        <v>227</v>
      </c>
      <c r="Y124" s="153">
        <v>9501003249</v>
      </c>
      <c r="Z124" s="143"/>
      <c r="AA124" s="162" t="s">
        <v>524</v>
      </c>
      <c r="AB124" s="143" t="s">
        <v>528</v>
      </c>
      <c r="AC124" s="155">
        <v>1</v>
      </c>
      <c r="AD124" s="155"/>
      <c r="AE124" s="155"/>
      <c r="AF124" s="155"/>
      <c r="AG124" s="155"/>
      <c r="AH124" s="143"/>
      <c r="AI124" s="158"/>
    </row>
    <row r="125" spans="1:35">
      <c r="A125" s="140"/>
      <c r="B125" s="143"/>
      <c r="C125" s="143" t="s">
        <v>78</v>
      </c>
      <c r="D125" s="143" t="s">
        <v>501</v>
      </c>
      <c r="E125" s="143" t="s">
        <v>80</v>
      </c>
      <c r="F125" s="153" t="s">
        <v>593</v>
      </c>
      <c r="G125" s="153" t="s">
        <v>594</v>
      </c>
      <c r="H125" s="153"/>
      <c r="I125" s="227">
        <v>25293</v>
      </c>
      <c r="J125" s="165">
        <v>1</v>
      </c>
      <c r="K125" s="165"/>
      <c r="L125" s="155"/>
      <c r="M125" s="155"/>
      <c r="N125" s="155"/>
      <c r="O125" s="155"/>
      <c r="P125" s="155"/>
      <c r="Q125" s="155"/>
      <c r="R125" s="155"/>
      <c r="S125" s="155"/>
      <c r="T125" s="155"/>
      <c r="U125" s="167" t="s">
        <v>857</v>
      </c>
      <c r="V125" s="153" t="s">
        <v>503</v>
      </c>
      <c r="W125" s="143" t="s">
        <v>298</v>
      </c>
      <c r="X125" s="157" t="s">
        <v>227</v>
      </c>
      <c r="Y125" s="153">
        <v>9704236906</v>
      </c>
      <c r="Z125" s="143"/>
      <c r="AA125" s="162" t="s">
        <v>524</v>
      </c>
      <c r="AB125" s="143" t="s">
        <v>528</v>
      </c>
      <c r="AC125" s="155">
        <v>1</v>
      </c>
      <c r="AD125" s="155"/>
      <c r="AE125" s="155"/>
      <c r="AF125" s="155"/>
      <c r="AG125" s="155"/>
      <c r="AH125" s="143"/>
      <c r="AI125" s="158"/>
    </row>
    <row r="126" spans="1:35">
      <c r="A126" s="140"/>
      <c r="B126" s="143"/>
      <c r="C126" s="143" t="s">
        <v>78</v>
      </c>
      <c r="D126" s="143" t="s">
        <v>501</v>
      </c>
      <c r="E126" s="143" t="s">
        <v>80</v>
      </c>
      <c r="F126" s="153" t="s">
        <v>595</v>
      </c>
      <c r="G126" s="153" t="s">
        <v>596</v>
      </c>
      <c r="H126" s="153"/>
      <c r="I126" s="227">
        <v>20749</v>
      </c>
      <c r="J126" s="165">
        <v>1</v>
      </c>
      <c r="K126" s="165"/>
      <c r="L126" s="155"/>
      <c r="M126" s="155">
        <v>1</v>
      </c>
      <c r="N126" s="155"/>
      <c r="O126" s="155"/>
      <c r="P126" s="155"/>
      <c r="Q126" s="155"/>
      <c r="R126" s="155"/>
      <c r="S126" s="155"/>
      <c r="T126" s="155"/>
      <c r="U126" s="167" t="s">
        <v>857</v>
      </c>
      <c r="V126" s="153" t="s">
        <v>503</v>
      </c>
      <c r="W126" s="143" t="s">
        <v>298</v>
      </c>
      <c r="X126" s="157" t="s">
        <v>227</v>
      </c>
      <c r="Y126" s="153">
        <v>9651000123</v>
      </c>
      <c r="Z126" s="143"/>
      <c r="AA126" s="162" t="s">
        <v>524</v>
      </c>
      <c r="AB126" s="143" t="s">
        <v>528</v>
      </c>
      <c r="AC126" s="155">
        <v>1</v>
      </c>
      <c r="AD126" s="155"/>
      <c r="AE126" s="155"/>
      <c r="AF126" s="155"/>
      <c r="AG126" s="155"/>
      <c r="AH126" s="143"/>
      <c r="AI126" s="158"/>
    </row>
    <row r="127" spans="1:35">
      <c r="A127" s="140"/>
      <c r="B127" s="143"/>
      <c r="C127" s="143" t="s">
        <v>78</v>
      </c>
      <c r="D127" s="143" t="s">
        <v>501</v>
      </c>
      <c r="E127" s="143" t="s">
        <v>80</v>
      </c>
      <c r="F127" s="153" t="s">
        <v>597</v>
      </c>
      <c r="G127" s="153" t="s">
        <v>598</v>
      </c>
      <c r="H127" s="153"/>
      <c r="I127" s="227">
        <v>27810</v>
      </c>
      <c r="J127" s="165">
        <v>1</v>
      </c>
      <c r="K127" s="165"/>
      <c r="L127" s="155"/>
      <c r="M127" s="155"/>
      <c r="N127" s="155"/>
      <c r="O127" s="155"/>
      <c r="P127" s="155"/>
      <c r="Q127" s="155"/>
      <c r="R127" s="155"/>
      <c r="S127" s="155"/>
      <c r="T127" s="155"/>
      <c r="U127" s="167" t="s">
        <v>509</v>
      </c>
      <c r="V127" s="153" t="s">
        <v>503</v>
      </c>
      <c r="W127" s="143" t="s">
        <v>298</v>
      </c>
      <c r="X127" s="157" t="s">
        <v>227</v>
      </c>
      <c r="Y127" s="153">
        <v>9633376343</v>
      </c>
      <c r="Z127" s="143"/>
      <c r="AA127" s="162" t="s">
        <v>524</v>
      </c>
      <c r="AB127" s="143" t="s">
        <v>528</v>
      </c>
      <c r="AC127" s="155">
        <v>1</v>
      </c>
      <c r="AD127" s="155"/>
      <c r="AE127" s="155"/>
      <c r="AF127" s="155"/>
      <c r="AG127" s="155"/>
      <c r="AH127" s="143"/>
      <c r="AI127" s="158"/>
    </row>
    <row r="128" spans="1:35">
      <c r="A128" s="140"/>
      <c r="B128" s="143"/>
      <c r="C128" s="143" t="s">
        <v>78</v>
      </c>
      <c r="D128" s="143" t="s">
        <v>501</v>
      </c>
      <c r="E128" s="143" t="s">
        <v>80</v>
      </c>
      <c r="F128" s="153" t="s">
        <v>597</v>
      </c>
      <c r="G128" s="163" t="s">
        <v>599</v>
      </c>
      <c r="H128" s="153"/>
      <c r="I128" s="227">
        <v>35733</v>
      </c>
      <c r="J128" s="165">
        <v>1</v>
      </c>
      <c r="K128" s="165"/>
      <c r="L128" s="155"/>
      <c r="M128" s="155"/>
      <c r="N128" s="155"/>
      <c r="O128" s="155"/>
      <c r="P128" s="155"/>
      <c r="Q128" s="155"/>
      <c r="R128" s="155"/>
      <c r="S128" s="155"/>
      <c r="T128" s="155"/>
      <c r="U128" s="167" t="s">
        <v>509</v>
      </c>
      <c r="V128" s="153" t="s">
        <v>503</v>
      </c>
      <c r="W128" s="143" t="s">
        <v>298</v>
      </c>
      <c r="X128" s="157" t="s">
        <v>227</v>
      </c>
      <c r="Y128" s="153">
        <v>9517165265</v>
      </c>
      <c r="Z128" s="143"/>
      <c r="AA128" s="162" t="s">
        <v>524</v>
      </c>
      <c r="AB128" s="143" t="s">
        <v>528</v>
      </c>
      <c r="AC128" s="155">
        <v>1</v>
      </c>
      <c r="AD128" s="155"/>
      <c r="AE128" s="155"/>
      <c r="AF128" s="155"/>
      <c r="AG128" s="155"/>
      <c r="AH128" s="143"/>
      <c r="AI128" s="158"/>
    </row>
    <row r="129" spans="1:35">
      <c r="A129" s="140"/>
      <c r="B129" s="143"/>
      <c r="C129" s="143" t="s">
        <v>78</v>
      </c>
      <c r="D129" s="143" t="s">
        <v>501</v>
      </c>
      <c r="E129" s="143" t="s">
        <v>80</v>
      </c>
      <c r="F129" s="153" t="s">
        <v>600</v>
      </c>
      <c r="G129" s="153" t="s">
        <v>601</v>
      </c>
      <c r="H129" s="153"/>
      <c r="I129" s="227">
        <v>28121</v>
      </c>
      <c r="J129" s="166"/>
      <c r="K129" s="165">
        <v>1</v>
      </c>
      <c r="L129" s="155"/>
      <c r="M129" s="155"/>
      <c r="N129" s="155"/>
      <c r="O129" s="155"/>
      <c r="P129" s="155"/>
      <c r="Q129" s="155"/>
      <c r="R129" s="155"/>
      <c r="S129" s="155"/>
      <c r="T129" s="155"/>
      <c r="U129" s="167" t="s">
        <v>504</v>
      </c>
      <c r="V129" s="153" t="s">
        <v>503</v>
      </c>
      <c r="W129" s="143" t="s">
        <v>298</v>
      </c>
      <c r="X129" s="157" t="s">
        <v>227</v>
      </c>
      <c r="Y129" s="153">
        <v>9381801048</v>
      </c>
      <c r="Z129" s="143"/>
      <c r="AA129" s="162" t="s">
        <v>524</v>
      </c>
      <c r="AB129" s="143" t="s">
        <v>528</v>
      </c>
      <c r="AC129" s="155">
        <v>1</v>
      </c>
      <c r="AD129" s="155"/>
      <c r="AE129" s="155"/>
      <c r="AF129" s="155"/>
      <c r="AG129" s="155"/>
      <c r="AH129" s="143"/>
      <c r="AI129" s="158"/>
    </row>
    <row r="130" spans="1:35">
      <c r="A130" s="140"/>
      <c r="B130" s="143"/>
      <c r="C130" s="143" t="s">
        <v>78</v>
      </c>
      <c r="D130" s="143" t="s">
        <v>501</v>
      </c>
      <c r="E130" s="143" t="s">
        <v>80</v>
      </c>
      <c r="F130" s="153" t="s">
        <v>602</v>
      </c>
      <c r="G130" s="153" t="s">
        <v>603</v>
      </c>
      <c r="H130" s="153" t="s">
        <v>604</v>
      </c>
      <c r="I130" s="227">
        <v>24809</v>
      </c>
      <c r="J130" s="165">
        <v>1</v>
      </c>
      <c r="K130" s="165"/>
      <c r="L130" s="155"/>
      <c r="M130" s="155"/>
      <c r="N130" s="155"/>
      <c r="O130" s="155"/>
      <c r="P130" s="155"/>
      <c r="Q130" s="155"/>
      <c r="R130" s="155"/>
      <c r="S130" s="155"/>
      <c r="T130" s="155"/>
      <c r="U130" s="167" t="s">
        <v>504</v>
      </c>
      <c r="V130" s="153" t="s">
        <v>503</v>
      </c>
      <c r="W130" s="143" t="s">
        <v>298</v>
      </c>
      <c r="X130" s="157" t="s">
        <v>227</v>
      </c>
      <c r="Y130" s="153">
        <v>9260874880</v>
      </c>
      <c r="Z130" s="143"/>
      <c r="AA130" s="162" t="s">
        <v>524</v>
      </c>
      <c r="AB130" s="143" t="s">
        <v>528</v>
      </c>
      <c r="AC130" s="155">
        <v>1</v>
      </c>
      <c r="AD130" s="155"/>
      <c r="AE130" s="155"/>
      <c r="AF130" s="155"/>
      <c r="AG130" s="155"/>
      <c r="AH130" s="143"/>
      <c r="AI130" s="158"/>
    </row>
    <row r="131" spans="1:35">
      <c r="A131" s="140"/>
      <c r="B131" s="143"/>
      <c r="C131" s="143" t="s">
        <v>78</v>
      </c>
      <c r="D131" s="143" t="s">
        <v>501</v>
      </c>
      <c r="E131" s="143" t="s">
        <v>80</v>
      </c>
      <c r="F131" s="153" t="s">
        <v>605</v>
      </c>
      <c r="G131" s="153" t="s">
        <v>606</v>
      </c>
      <c r="H131" s="153" t="s">
        <v>607</v>
      </c>
      <c r="I131" s="227">
        <v>27939</v>
      </c>
      <c r="J131" s="166"/>
      <c r="K131" s="165">
        <v>1</v>
      </c>
      <c r="L131" s="155"/>
      <c r="M131" s="155"/>
      <c r="N131" s="155"/>
      <c r="O131" s="155"/>
      <c r="P131" s="155"/>
      <c r="Q131" s="155"/>
      <c r="R131" s="155"/>
      <c r="S131" s="155"/>
      <c r="T131" s="155"/>
      <c r="U131" s="167" t="s">
        <v>507</v>
      </c>
      <c r="V131" s="153" t="s">
        <v>503</v>
      </c>
      <c r="W131" s="143" t="s">
        <v>298</v>
      </c>
      <c r="X131" s="157" t="s">
        <v>227</v>
      </c>
      <c r="Y131" s="153">
        <v>9460410881</v>
      </c>
      <c r="Z131" s="143"/>
      <c r="AA131" s="162" t="s">
        <v>524</v>
      </c>
      <c r="AB131" s="143" t="s">
        <v>528</v>
      </c>
      <c r="AC131" s="155">
        <v>1</v>
      </c>
      <c r="AD131" s="155"/>
      <c r="AE131" s="155"/>
      <c r="AF131" s="155"/>
      <c r="AG131" s="155"/>
      <c r="AH131" s="143"/>
      <c r="AI131" s="158"/>
    </row>
    <row r="132" spans="1:35">
      <c r="A132" s="140"/>
      <c r="B132" s="143"/>
      <c r="C132" s="143" t="s">
        <v>78</v>
      </c>
      <c r="D132" s="143" t="s">
        <v>501</v>
      </c>
      <c r="E132" s="143" t="s">
        <v>80</v>
      </c>
      <c r="F132" s="153" t="s">
        <v>608</v>
      </c>
      <c r="G132" s="153" t="s">
        <v>609</v>
      </c>
      <c r="H132" s="153" t="s">
        <v>133</v>
      </c>
      <c r="I132" s="227">
        <v>35232</v>
      </c>
      <c r="J132" s="166"/>
      <c r="K132" s="165">
        <v>1</v>
      </c>
      <c r="L132" s="155"/>
      <c r="M132" s="155"/>
      <c r="N132" s="155"/>
      <c r="O132" s="155"/>
      <c r="P132" s="155"/>
      <c r="Q132" s="155"/>
      <c r="R132" s="155"/>
      <c r="S132" s="155"/>
      <c r="T132" s="155"/>
      <c r="U132" s="167" t="s">
        <v>509</v>
      </c>
      <c r="V132" s="153" t="s">
        <v>503</v>
      </c>
      <c r="W132" s="143" t="s">
        <v>298</v>
      </c>
      <c r="X132" s="157" t="s">
        <v>227</v>
      </c>
      <c r="Y132" s="153">
        <v>9304358295</v>
      </c>
      <c r="Z132" s="143"/>
      <c r="AA132" s="162" t="s">
        <v>524</v>
      </c>
      <c r="AB132" s="143" t="s">
        <v>528</v>
      </c>
      <c r="AC132" s="155">
        <v>1</v>
      </c>
      <c r="AD132" s="155"/>
      <c r="AE132" s="155"/>
      <c r="AF132" s="155"/>
      <c r="AG132" s="155"/>
      <c r="AH132" s="143"/>
      <c r="AI132" s="158"/>
    </row>
    <row r="133" spans="1:35">
      <c r="A133" s="140"/>
      <c r="B133" s="143"/>
      <c r="C133" s="143" t="s">
        <v>78</v>
      </c>
      <c r="D133" s="143" t="s">
        <v>501</v>
      </c>
      <c r="E133" s="143" t="s">
        <v>80</v>
      </c>
      <c r="F133" s="153" t="s">
        <v>610</v>
      </c>
      <c r="G133" s="153" t="s">
        <v>611</v>
      </c>
      <c r="H133" s="153" t="s">
        <v>283</v>
      </c>
      <c r="I133" s="227">
        <v>23355</v>
      </c>
      <c r="J133" s="165">
        <v>1</v>
      </c>
      <c r="K133" s="165"/>
      <c r="L133" s="155"/>
      <c r="M133" s="155"/>
      <c r="N133" s="155"/>
      <c r="O133" s="155"/>
      <c r="P133" s="155"/>
      <c r="Q133" s="155"/>
      <c r="R133" s="155"/>
      <c r="S133" s="155"/>
      <c r="T133" s="155"/>
      <c r="U133" s="167" t="s">
        <v>858</v>
      </c>
      <c r="V133" s="153" t="s">
        <v>503</v>
      </c>
      <c r="W133" s="143" t="s">
        <v>298</v>
      </c>
      <c r="X133" s="157" t="s">
        <v>227</v>
      </c>
      <c r="Y133" s="153">
        <v>9489241263</v>
      </c>
      <c r="Z133" s="143"/>
      <c r="AA133" s="162" t="s">
        <v>524</v>
      </c>
      <c r="AB133" s="143" t="s">
        <v>528</v>
      </c>
      <c r="AC133" s="155">
        <v>1</v>
      </c>
      <c r="AD133" s="155"/>
      <c r="AE133" s="155"/>
      <c r="AF133" s="155"/>
      <c r="AG133" s="155"/>
      <c r="AH133" s="143"/>
      <c r="AI133" s="158"/>
    </row>
    <row r="134" spans="1:35">
      <c r="A134" s="140"/>
      <c r="B134" s="143"/>
      <c r="C134" s="143" t="s">
        <v>78</v>
      </c>
      <c r="D134" s="143" t="s">
        <v>501</v>
      </c>
      <c r="E134" s="143" t="s">
        <v>80</v>
      </c>
      <c r="F134" s="153" t="s">
        <v>612</v>
      </c>
      <c r="G134" s="153" t="s">
        <v>613</v>
      </c>
      <c r="H134" s="153" t="s">
        <v>202</v>
      </c>
      <c r="I134" s="227">
        <v>24473</v>
      </c>
      <c r="J134" s="165">
        <v>1</v>
      </c>
      <c r="K134" s="165"/>
      <c r="L134" s="155"/>
      <c r="M134" s="155"/>
      <c r="N134" s="155"/>
      <c r="O134" s="155"/>
      <c r="P134" s="155"/>
      <c r="Q134" s="155"/>
      <c r="R134" s="155"/>
      <c r="S134" s="155"/>
      <c r="T134" s="155"/>
      <c r="U134" s="167" t="s">
        <v>859</v>
      </c>
      <c r="V134" s="153" t="s">
        <v>503</v>
      </c>
      <c r="W134" s="143" t="s">
        <v>298</v>
      </c>
      <c r="X134" s="157" t="s">
        <v>227</v>
      </c>
      <c r="Y134" s="153">
        <v>9675475860</v>
      </c>
      <c r="Z134" s="143"/>
      <c r="AA134" s="162" t="s">
        <v>524</v>
      </c>
      <c r="AB134" s="143" t="s">
        <v>528</v>
      </c>
      <c r="AC134" s="155">
        <v>1</v>
      </c>
      <c r="AD134" s="155"/>
      <c r="AE134" s="155"/>
      <c r="AF134" s="155"/>
      <c r="AG134" s="155"/>
      <c r="AH134" s="143"/>
      <c r="AI134" s="158"/>
    </row>
    <row r="135" spans="1:35">
      <c r="A135" s="140"/>
      <c r="B135" s="143"/>
      <c r="C135" s="143" t="s">
        <v>78</v>
      </c>
      <c r="D135" s="143" t="s">
        <v>501</v>
      </c>
      <c r="E135" s="143" t="s">
        <v>80</v>
      </c>
      <c r="F135" s="153" t="s">
        <v>614</v>
      </c>
      <c r="G135" s="153" t="s">
        <v>615</v>
      </c>
      <c r="H135" s="153"/>
      <c r="I135" s="227">
        <v>29810</v>
      </c>
      <c r="J135" s="166"/>
      <c r="K135" s="165">
        <v>1</v>
      </c>
      <c r="L135" s="155"/>
      <c r="M135" s="155"/>
      <c r="N135" s="155"/>
      <c r="O135" s="155"/>
      <c r="P135" s="155"/>
      <c r="Q135" s="155"/>
      <c r="R135" s="155"/>
      <c r="S135" s="155"/>
      <c r="T135" s="155"/>
      <c r="U135" s="167" t="s">
        <v>515</v>
      </c>
      <c r="V135" s="153" t="s">
        <v>503</v>
      </c>
      <c r="W135" s="143" t="s">
        <v>298</v>
      </c>
      <c r="X135" s="157" t="s">
        <v>227</v>
      </c>
      <c r="Y135" s="153">
        <v>9633377897</v>
      </c>
      <c r="Z135" s="143"/>
      <c r="AA135" s="162" t="s">
        <v>524</v>
      </c>
      <c r="AB135" s="143" t="s">
        <v>528</v>
      </c>
      <c r="AC135" s="155">
        <v>1</v>
      </c>
      <c r="AD135" s="155"/>
      <c r="AE135" s="155"/>
      <c r="AF135" s="155"/>
      <c r="AG135" s="155"/>
      <c r="AH135" s="143"/>
      <c r="AI135" s="158"/>
    </row>
    <row r="136" spans="1:35">
      <c r="A136" s="140"/>
      <c r="B136" s="143"/>
      <c r="C136" s="143" t="s">
        <v>78</v>
      </c>
      <c r="D136" s="143" t="s">
        <v>501</v>
      </c>
      <c r="E136" s="143" t="s">
        <v>80</v>
      </c>
      <c r="F136" s="153" t="s">
        <v>616</v>
      </c>
      <c r="G136" s="153" t="s">
        <v>617</v>
      </c>
      <c r="H136" s="153" t="s">
        <v>115</v>
      </c>
      <c r="I136" s="227">
        <v>35154</v>
      </c>
      <c r="J136" s="166"/>
      <c r="K136" s="165">
        <v>1</v>
      </c>
      <c r="L136" s="155"/>
      <c r="M136" s="155"/>
      <c r="N136" s="155"/>
      <c r="O136" s="155"/>
      <c r="P136" s="155"/>
      <c r="Q136" s="155"/>
      <c r="R136" s="155"/>
      <c r="S136" s="155"/>
      <c r="T136" s="155"/>
      <c r="U136" s="167"/>
      <c r="V136" s="153"/>
      <c r="W136" s="143"/>
      <c r="X136" s="157" t="s">
        <v>227</v>
      </c>
      <c r="Y136" s="153">
        <v>9633379722</v>
      </c>
      <c r="Z136" s="143"/>
      <c r="AA136" s="162" t="s">
        <v>524</v>
      </c>
      <c r="AB136" s="143" t="s">
        <v>528</v>
      </c>
      <c r="AC136" s="155">
        <v>1</v>
      </c>
      <c r="AD136" s="155"/>
      <c r="AE136" s="155"/>
      <c r="AF136" s="155"/>
      <c r="AG136" s="155"/>
      <c r="AH136" s="143"/>
      <c r="AI136" s="158"/>
    </row>
    <row r="137" spans="1:35">
      <c r="A137" s="140"/>
      <c r="B137" s="143"/>
      <c r="C137" s="143" t="s">
        <v>78</v>
      </c>
      <c r="D137" s="143" t="s">
        <v>501</v>
      </c>
      <c r="E137" s="143" t="s">
        <v>80</v>
      </c>
      <c r="F137" s="153" t="s">
        <v>618</v>
      </c>
      <c r="G137" s="153" t="s">
        <v>619</v>
      </c>
      <c r="H137" s="153" t="s">
        <v>115</v>
      </c>
      <c r="I137" s="227">
        <v>24108</v>
      </c>
      <c r="J137" s="166"/>
      <c r="K137" s="165">
        <v>1</v>
      </c>
      <c r="L137" s="155"/>
      <c r="M137" s="155"/>
      <c r="N137" s="155"/>
      <c r="O137" s="155"/>
      <c r="P137" s="155"/>
      <c r="Q137" s="155"/>
      <c r="R137" s="155"/>
      <c r="S137" s="155"/>
      <c r="T137" s="155"/>
      <c r="U137" s="167" t="s">
        <v>853</v>
      </c>
      <c r="V137" s="153" t="s">
        <v>503</v>
      </c>
      <c r="W137" s="143" t="s">
        <v>298</v>
      </c>
      <c r="X137" s="157" t="s">
        <v>227</v>
      </c>
      <c r="Y137" s="153">
        <v>9998092661</v>
      </c>
      <c r="Z137" s="143"/>
      <c r="AA137" s="162" t="s">
        <v>524</v>
      </c>
      <c r="AB137" s="143" t="s">
        <v>528</v>
      </c>
      <c r="AC137" s="155">
        <v>1</v>
      </c>
      <c r="AD137" s="155"/>
      <c r="AE137" s="155"/>
      <c r="AF137" s="155"/>
      <c r="AG137" s="155"/>
      <c r="AH137" s="143"/>
      <c r="AI137" s="158"/>
    </row>
    <row r="138" spans="1:35">
      <c r="A138" s="140"/>
      <c r="B138" s="143"/>
      <c r="C138" s="143" t="s">
        <v>78</v>
      </c>
      <c r="D138" s="143" t="s">
        <v>501</v>
      </c>
      <c r="E138" s="143" t="s">
        <v>80</v>
      </c>
      <c r="F138" s="153" t="s">
        <v>289</v>
      </c>
      <c r="G138" s="153" t="s">
        <v>620</v>
      </c>
      <c r="H138" s="153"/>
      <c r="I138" s="227">
        <v>34773</v>
      </c>
      <c r="J138" s="166"/>
      <c r="K138" s="165">
        <v>1</v>
      </c>
      <c r="L138" s="155"/>
      <c r="M138" s="155"/>
      <c r="N138" s="155"/>
      <c r="O138" s="155"/>
      <c r="P138" s="155"/>
      <c r="Q138" s="155"/>
      <c r="R138" s="155"/>
      <c r="S138" s="155"/>
      <c r="T138" s="155"/>
      <c r="U138" s="167" t="s">
        <v>515</v>
      </c>
      <c r="V138" s="153" t="s">
        <v>503</v>
      </c>
      <c r="W138" s="143" t="s">
        <v>298</v>
      </c>
      <c r="X138" s="157" t="s">
        <v>227</v>
      </c>
      <c r="Y138" s="153">
        <v>9955930338</v>
      </c>
      <c r="Z138" s="143"/>
      <c r="AA138" s="162" t="s">
        <v>524</v>
      </c>
      <c r="AB138" s="143" t="s">
        <v>528</v>
      </c>
      <c r="AC138" s="155">
        <v>1</v>
      </c>
      <c r="AD138" s="155"/>
      <c r="AE138" s="155"/>
      <c r="AF138" s="155"/>
      <c r="AG138" s="155"/>
      <c r="AH138" s="143"/>
      <c r="AI138" s="158"/>
    </row>
    <row r="139" spans="1:35">
      <c r="A139" s="140"/>
      <c r="B139" s="143"/>
      <c r="C139" s="143" t="s">
        <v>78</v>
      </c>
      <c r="D139" s="143" t="s">
        <v>501</v>
      </c>
      <c r="E139" s="143" t="s">
        <v>80</v>
      </c>
      <c r="F139" s="153" t="s">
        <v>621</v>
      </c>
      <c r="G139" s="153" t="s">
        <v>622</v>
      </c>
      <c r="H139" s="153"/>
      <c r="I139" s="227"/>
      <c r="J139" s="166"/>
      <c r="K139" s="165">
        <v>1</v>
      </c>
      <c r="L139" s="155"/>
      <c r="M139" s="155"/>
      <c r="N139" s="155"/>
      <c r="O139" s="155"/>
      <c r="P139" s="155"/>
      <c r="Q139" s="155"/>
      <c r="R139" s="155"/>
      <c r="S139" s="155"/>
      <c r="T139" s="155"/>
      <c r="U139" s="167" t="s">
        <v>544</v>
      </c>
      <c r="V139" s="153" t="s">
        <v>503</v>
      </c>
      <c r="W139" s="143" t="s">
        <v>298</v>
      </c>
      <c r="X139" s="157" t="s">
        <v>227</v>
      </c>
      <c r="Y139" s="153">
        <v>9472650673</v>
      </c>
      <c r="Z139" s="143"/>
      <c r="AA139" s="162" t="s">
        <v>524</v>
      </c>
      <c r="AB139" s="143" t="s">
        <v>528</v>
      </c>
      <c r="AC139" s="155">
        <v>1</v>
      </c>
      <c r="AD139" s="155"/>
      <c r="AE139" s="155"/>
      <c r="AF139" s="155"/>
      <c r="AG139" s="155"/>
      <c r="AH139" s="143"/>
      <c r="AI139" s="158"/>
    </row>
    <row r="140" spans="1:35">
      <c r="A140" s="140"/>
      <c r="B140" s="143"/>
      <c r="C140" s="143" t="s">
        <v>78</v>
      </c>
      <c r="D140" s="143" t="s">
        <v>501</v>
      </c>
      <c r="E140" s="143" t="s">
        <v>80</v>
      </c>
      <c r="F140" s="153" t="s">
        <v>623</v>
      </c>
      <c r="G140" s="153" t="s">
        <v>570</v>
      </c>
      <c r="H140" s="153"/>
      <c r="I140" s="227">
        <v>30606</v>
      </c>
      <c r="J140" s="166"/>
      <c r="K140" s="165">
        <v>1</v>
      </c>
      <c r="L140" s="155"/>
      <c r="M140" s="155"/>
      <c r="N140" s="155"/>
      <c r="O140" s="155"/>
      <c r="P140" s="155"/>
      <c r="Q140" s="155"/>
      <c r="R140" s="155"/>
      <c r="S140" s="155"/>
      <c r="T140" s="155"/>
      <c r="U140" s="167" t="s">
        <v>514</v>
      </c>
      <c r="V140" s="153" t="s">
        <v>503</v>
      </c>
      <c r="W140" s="143" t="s">
        <v>298</v>
      </c>
      <c r="X140" s="157" t="s">
        <v>227</v>
      </c>
      <c r="Y140" s="153">
        <v>9654496183</v>
      </c>
      <c r="Z140" s="143"/>
      <c r="AA140" s="162" t="s">
        <v>524</v>
      </c>
      <c r="AB140" s="143" t="s">
        <v>528</v>
      </c>
      <c r="AC140" s="155">
        <v>1</v>
      </c>
      <c r="AD140" s="155"/>
      <c r="AE140" s="155"/>
      <c r="AF140" s="155"/>
      <c r="AG140" s="155"/>
      <c r="AH140" s="143"/>
      <c r="AI140" s="158"/>
    </row>
    <row r="141" spans="1:35">
      <c r="A141" s="140"/>
      <c r="B141" s="143"/>
      <c r="C141" s="143" t="s">
        <v>78</v>
      </c>
      <c r="D141" s="143" t="s">
        <v>501</v>
      </c>
      <c r="E141" s="143" t="s">
        <v>80</v>
      </c>
      <c r="F141" s="153" t="s">
        <v>624</v>
      </c>
      <c r="G141" s="153" t="s">
        <v>625</v>
      </c>
      <c r="H141" s="153" t="s">
        <v>113</v>
      </c>
      <c r="I141" s="227">
        <v>24939</v>
      </c>
      <c r="J141" s="166"/>
      <c r="K141" s="165">
        <v>1</v>
      </c>
      <c r="L141" s="155"/>
      <c r="M141" s="155"/>
      <c r="N141" s="155"/>
      <c r="O141" s="155"/>
      <c r="P141" s="155"/>
      <c r="Q141" s="155"/>
      <c r="R141" s="155"/>
      <c r="S141" s="155"/>
      <c r="T141" s="155"/>
      <c r="U141" s="167" t="s">
        <v>517</v>
      </c>
      <c r="V141" s="153" t="s">
        <v>503</v>
      </c>
      <c r="W141" s="143" t="s">
        <v>298</v>
      </c>
      <c r="X141" s="157" t="s">
        <v>227</v>
      </c>
      <c r="Y141" s="153">
        <v>9469304238</v>
      </c>
      <c r="Z141" s="143"/>
      <c r="AA141" s="162" t="s">
        <v>524</v>
      </c>
      <c r="AB141" s="143" t="s">
        <v>528</v>
      </c>
      <c r="AC141" s="155">
        <v>1</v>
      </c>
      <c r="AD141" s="155"/>
      <c r="AE141" s="155"/>
      <c r="AF141" s="155"/>
      <c r="AG141" s="155"/>
      <c r="AH141" s="143"/>
      <c r="AI141" s="158"/>
    </row>
    <row r="142" spans="1:35">
      <c r="A142" s="140"/>
      <c r="B142" s="143"/>
      <c r="C142" s="143" t="s">
        <v>78</v>
      </c>
      <c r="D142" s="143" t="s">
        <v>501</v>
      </c>
      <c r="E142" s="143" t="s">
        <v>80</v>
      </c>
      <c r="F142" s="153" t="s">
        <v>626</v>
      </c>
      <c r="G142" s="153" t="s">
        <v>627</v>
      </c>
      <c r="H142" s="153"/>
      <c r="I142" s="227">
        <v>26517</v>
      </c>
      <c r="J142" s="166"/>
      <c r="K142" s="165">
        <v>1</v>
      </c>
      <c r="L142" s="155"/>
      <c r="M142" s="155"/>
      <c r="N142" s="155"/>
      <c r="O142" s="155"/>
      <c r="P142" s="155"/>
      <c r="Q142" s="155"/>
      <c r="R142" s="155"/>
      <c r="S142" s="155"/>
      <c r="T142" s="155"/>
      <c r="U142" s="167" t="s">
        <v>517</v>
      </c>
      <c r="V142" s="153" t="s">
        <v>503</v>
      </c>
      <c r="W142" s="143" t="s">
        <v>298</v>
      </c>
      <c r="X142" s="157" t="s">
        <v>227</v>
      </c>
      <c r="Y142" s="153">
        <v>9679440048</v>
      </c>
      <c r="Z142" s="143"/>
      <c r="AA142" s="162" t="s">
        <v>524</v>
      </c>
      <c r="AB142" s="143" t="s">
        <v>528</v>
      </c>
      <c r="AC142" s="155">
        <v>1</v>
      </c>
      <c r="AD142" s="155"/>
      <c r="AE142" s="155"/>
      <c r="AF142" s="155"/>
      <c r="AG142" s="155"/>
      <c r="AH142" s="143"/>
      <c r="AI142" s="158"/>
    </row>
    <row r="143" spans="1:35">
      <c r="A143" s="140"/>
      <c r="B143" s="143"/>
      <c r="C143" s="143" t="s">
        <v>78</v>
      </c>
      <c r="D143" s="143" t="s">
        <v>501</v>
      </c>
      <c r="E143" s="143" t="s">
        <v>80</v>
      </c>
      <c r="F143" s="153" t="s">
        <v>624</v>
      </c>
      <c r="G143" s="153" t="s">
        <v>628</v>
      </c>
      <c r="H143" s="153" t="s">
        <v>113</v>
      </c>
      <c r="I143" s="227">
        <v>34339</v>
      </c>
      <c r="J143" s="165">
        <v>1</v>
      </c>
      <c r="K143" s="165"/>
      <c r="L143" s="155"/>
      <c r="M143" s="155"/>
      <c r="N143" s="155"/>
      <c r="O143" s="155"/>
      <c r="P143" s="155"/>
      <c r="Q143" s="155"/>
      <c r="R143" s="155"/>
      <c r="S143" s="155"/>
      <c r="T143" s="155"/>
      <c r="U143" s="167" t="s">
        <v>517</v>
      </c>
      <c r="V143" s="153" t="s">
        <v>503</v>
      </c>
      <c r="W143" s="143" t="s">
        <v>298</v>
      </c>
      <c r="X143" s="157" t="s">
        <v>227</v>
      </c>
      <c r="Y143" s="153">
        <v>9655073408</v>
      </c>
      <c r="Z143" s="143"/>
      <c r="AA143" s="162" t="s">
        <v>524</v>
      </c>
      <c r="AB143" s="143" t="s">
        <v>528</v>
      </c>
      <c r="AC143" s="155">
        <v>1</v>
      </c>
      <c r="AD143" s="155"/>
      <c r="AE143" s="155"/>
      <c r="AF143" s="155"/>
      <c r="AG143" s="155"/>
      <c r="AH143" s="143"/>
      <c r="AI143" s="158"/>
    </row>
    <row r="144" spans="1:35">
      <c r="A144" s="140"/>
      <c r="B144" s="143"/>
      <c r="C144" s="143" t="s">
        <v>78</v>
      </c>
      <c r="D144" s="143" t="s">
        <v>501</v>
      </c>
      <c r="E144" s="143" t="s">
        <v>80</v>
      </c>
      <c r="F144" s="153" t="s">
        <v>629</v>
      </c>
      <c r="G144" s="153" t="s">
        <v>630</v>
      </c>
      <c r="H144" s="153"/>
      <c r="I144" s="227">
        <v>24214</v>
      </c>
      <c r="J144" s="166"/>
      <c r="K144" s="165">
        <v>1</v>
      </c>
      <c r="L144" s="155"/>
      <c r="M144" s="155"/>
      <c r="N144" s="155"/>
      <c r="O144" s="155"/>
      <c r="P144" s="155"/>
      <c r="Q144" s="155"/>
      <c r="R144" s="155"/>
      <c r="S144" s="155"/>
      <c r="T144" s="155"/>
      <c r="U144" s="167" t="s">
        <v>507</v>
      </c>
      <c r="V144" s="153" t="s">
        <v>503</v>
      </c>
      <c r="W144" s="143" t="s">
        <v>298</v>
      </c>
      <c r="X144" s="157" t="s">
        <v>227</v>
      </c>
      <c r="Y144" s="153">
        <v>9105664168</v>
      </c>
      <c r="Z144" s="143"/>
      <c r="AA144" s="162" t="s">
        <v>524</v>
      </c>
      <c r="AB144" s="143" t="s">
        <v>528</v>
      </c>
      <c r="AC144" s="155">
        <v>1</v>
      </c>
      <c r="AD144" s="155"/>
      <c r="AE144" s="155"/>
      <c r="AF144" s="155"/>
      <c r="AG144" s="155"/>
      <c r="AH144" s="143"/>
      <c r="AI144" s="158"/>
    </row>
    <row r="145" spans="1:35">
      <c r="A145" s="140"/>
      <c r="B145" s="143"/>
      <c r="C145" s="143" t="s">
        <v>78</v>
      </c>
      <c r="D145" s="143" t="s">
        <v>501</v>
      </c>
      <c r="E145" s="143" t="s">
        <v>80</v>
      </c>
      <c r="F145" s="153" t="s">
        <v>631</v>
      </c>
      <c r="G145" s="153" t="s">
        <v>632</v>
      </c>
      <c r="H145" s="153" t="s">
        <v>126</v>
      </c>
      <c r="I145" s="227">
        <v>28383</v>
      </c>
      <c r="J145" s="166"/>
      <c r="K145" s="165">
        <v>1</v>
      </c>
      <c r="L145" s="155"/>
      <c r="M145" s="155"/>
      <c r="N145" s="155"/>
      <c r="O145" s="155"/>
      <c r="P145" s="155"/>
      <c r="Q145" s="155"/>
      <c r="R145" s="155"/>
      <c r="S145" s="155"/>
      <c r="T145" s="155"/>
      <c r="U145" s="167" t="s">
        <v>504</v>
      </c>
      <c r="V145" s="153" t="s">
        <v>503</v>
      </c>
      <c r="W145" s="143" t="s">
        <v>298</v>
      </c>
      <c r="X145" s="157" t="s">
        <v>227</v>
      </c>
      <c r="Y145" s="153">
        <v>9095969240</v>
      </c>
      <c r="Z145" s="143"/>
      <c r="AA145" s="162" t="s">
        <v>524</v>
      </c>
      <c r="AB145" s="143" t="s">
        <v>528</v>
      </c>
      <c r="AC145" s="155">
        <v>1</v>
      </c>
      <c r="AD145" s="155"/>
      <c r="AE145" s="155"/>
      <c r="AF145" s="155"/>
      <c r="AG145" s="155"/>
      <c r="AH145" s="143"/>
      <c r="AI145" s="158"/>
    </row>
    <row r="146" spans="1:35">
      <c r="A146" s="140"/>
      <c r="B146" s="143"/>
      <c r="C146" s="143" t="s">
        <v>78</v>
      </c>
      <c r="D146" s="143" t="s">
        <v>501</v>
      </c>
      <c r="E146" s="143" t="s">
        <v>80</v>
      </c>
      <c r="F146" s="153" t="s">
        <v>633</v>
      </c>
      <c r="G146" s="153" t="s">
        <v>634</v>
      </c>
      <c r="H146" s="153"/>
      <c r="I146" s="227"/>
      <c r="J146" s="166"/>
      <c r="K146" s="165">
        <v>1</v>
      </c>
      <c r="L146" s="155"/>
      <c r="M146" s="155"/>
      <c r="N146" s="155"/>
      <c r="O146" s="155"/>
      <c r="P146" s="155"/>
      <c r="Q146" s="155"/>
      <c r="R146" s="155"/>
      <c r="S146" s="155"/>
      <c r="T146" s="155"/>
      <c r="U146" s="167" t="s">
        <v>853</v>
      </c>
      <c r="V146" s="153" t="s">
        <v>503</v>
      </c>
      <c r="W146" s="143" t="s">
        <v>298</v>
      </c>
      <c r="X146" s="157" t="s">
        <v>227</v>
      </c>
      <c r="Y146" s="153">
        <v>9103527227</v>
      </c>
      <c r="Z146" s="143"/>
      <c r="AA146" s="162" t="s">
        <v>524</v>
      </c>
      <c r="AB146" s="143" t="s">
        <v>528</v>
      </c>
      <c r="AC146" s="155">
        <v>1</v>
      </c>
      <c r="AD146" s="155"/>
      <c r="AE146" s="155"/>
      <c r="AF146" s="155"/>
      <c r="AG146" s="155"/>
      <c r="AH146" s="143"/>
      <c r="AI146" s="158"/>
    </row>
    <row r="147" spans="1:35">
      <c r="A147" s="140"/>
      <c r="B147" s="143"/>
      <c r="C147" s="143" t="s">
        <v>78</v>
      </c>
      <c r="D147" s="143" t="s">
        <v>501</v>
      </c>
      <c r="E147" s="143" t="s">
        <v>80</v>
      </c>
      <c r="F147" s="153" t="s">
        <v>635</v>
      </c>
      <c r="G147" s="153" t="s">
        <v>636</v>
      </c>
      <c r="H147" s="153" t="s">
        <v>133</v>
      </c>
      <c r="I147" s="227">
        <v>30942</v>
      </c>
      <c r="J147" s="165">
        <v>1</v>
      </c>
      <c r="K147" s="165"/>
      <c r="L147" s="155"/>
      <c r="M147" s="155"/>
      <c r="N147" s="155"/>
      <c r="O147" s="155"/>
      <c r="P147" s="155"/>
      <c r="Q147" s="155"/>
      <c r="R147" s="155"/>
      <c r="S147" s="155"/>
      <c r="T147" s="155"/>
      <c r="U147" s="167" t="s">
        <v>502</v>
      </c>
      <c r="V147" s="153" t="s">
        <v>503</v>
      </c>
      <c r="W147" s="143" t="s">
        <v>298</v>
      </c>
      <c r="X147" s="157" t="s">
        <v>227</v>
      </c>
      <c r="Y147" s="153">
        <v>9387732077</v>
      </c>
      <c r="Z147" s="143"/>
      <c r="AA147" s="163" t="s">
        <v>525</v>
      </c>
      <c r="AB147" s="143" t="s">
        <v>528</v>
      </c>
      <c r="AC147" s="155">
        <v>3</v>
      </c>
      <c r="AD147" s="155"/>
      <c r="AE147" s="155"/>
      <c r="AF147" s="155"/>
      <c r="AG147" s="155"/>
      <c r="AH147" s="143"/>
      <c r="AI147" s="158"/>
    </row>
    <row r="148" spans="1:35">
      <c r="A148" s="140"/>
      <c r="B148" s="143"/>
      <c r="C148" s="143" t="s">
        <v>78</v>
      </c>
      <c r="D148" s="143" t="s">
        <v>501</v>
      </c>
      <c r="E148" s="143" t="s">
        <v>80</v>
      </c>
      <c r="F148" s="153" t="s">
        <v>637</v>
      </c>
      <c r="G148" s="153" t="s">
        <v>638</v>
      </c>
      <c r="H148" s="153" t="s">
        <v>421</v>
      </c>
      <c r="I148" s="227">
        <v>20339</v>
      </c>
      <c r="J148" s="165">
        <v>1</v>
      </c>
      <c r="K148" s="165"/>
      <c r="L148" s="155"/>
      <c r="M148" s="155">
        <v>1</v>
      </c>
      <c r="N148" s="155"/>
      <c r="O148" s="155"/>
      <c r="P148" s="155"/>
      <c r="Q148" s="155"/>
      <c r="R148" s="155"/>
      <c r="S148" s="155"/>
      <c r="T148" s="155"/>
      <c r="U148" s="167" t="s">
        <v>506</v>
      </c>
      <c r="V148" s="153" t="s">
        <v>503</v>
      </c>
      <c r="W148" s="143" t="s">
        <v>298</v>
      </c>
      <c r="X148" s="157" t="s">
        <v>227</v>
      </c>
      <c r="Y148" s="153">
        <v>9532088727</v>
      </c>
      <c r="Z148" s="143"/>
      <c r="AA148" s="162" t="s">
        <v>524</v>
      </c>
      <c r="AB148" s="143" t="s">
        <v>528</v>
      </c>
      <c r="AC148" s="155">
        <v>1</v>
      </c>
      <c r="AD148" s="155"/>
      <c r="AE148" s="155"/>
      <c r="AF148" s="155"/>
      <c r="AG148" s="155"/>
      <c r="AH148" s="143"/>
      <c r="AI148" s="158"/>
    </row>
    <row r="149" spans="1:35">
      <c r="A149" s="140"/>
      <c r="B149" s="143"/>
      <c r="C149" s="143" t="s">
        <v>78</v>
      </c>
      <c r="D149" s="143" t="s">
        <v>501</v>
      </c>
      <c r="E149" s="143" t="s">
        <v>80</v>
      </c>
      <c r="F149" s="153" t="s">
        <v>639</v>
      </c>
      <c r="G149" s="153" t="s">
        <v>640</v>
      </c>
      <c r="H149" s="153"/>
      <c r="I149" s="227">
        <v>35141</v>
      </c>
      <c r="J149" s="166"/>
      <c r="K149" s="165">
        <v>1</v>
      </c>
      <c r="L149" s="155"/>
      <c r="M149" s="155"/>
      <c r="N149" s="155"/>
      <c r="O149" s="155"/>
      <c r="P149" s="155"/>
      <c r="Q149" s="155"/>
      <c r="R149" s="155"/>
      <c r="S149" s="155"/>
      <c r="T149" s="155"/>
      <c r="U149" s="167" t="s">
        <v>295</v>
      </c>
      <c r="V149" s="153" t="s">
        <v>503</v>
      </c>
      <c r="W149" s="143" t="s">
        <v>298</v>
      </c>
      <c r="X149" s="157" t="s">
        <v>227</v>
      </c>
      <c r="Y149" s="153">
        <v>9283935428</v>
      </c>
      <c r="Z149" s="143"/>
      <c r="AA149" s="162" t="s">
        <v>524</v>
      </c>
      <c r="AB149" s="143" t="s">
        <v>528</v>
      </c>
      <c r="AC149" s="155">
        <v>1</v>
      </c>
      <c r="AD149" s="155"/>
      <c r="AE149" s="155"/>
      <c r="AF149" s="155"/>
      <c r="AG149" s="155"/>
      <c r="AH149" s="143"/>
      <c r="AI149" s="158"/>
    </row>
    <row r="150" spans="1:35">
      <c r="A150" s="140"/>
      <c r="B150" s="143"/>
      <c r="C150" s="143" t="s">
        <v>78</v>
      </c>
      <c r="D150" s="143" t="s">
        <v>501</v>
      </c>
      <c r="E150" s="143" t="s">
        <v>80</v>
      </c>
      <c r="F150" s="153" t="s">
        <v>641</v>
      </c>
      <c r="G150" s="153" t="s">
        <v>642</v>
      </c>
      <c r="H150" s="153"/>
      <c r="I150" s="227">
        <v>29482</v>
      </c>
      <c r="J150" s="166"/>
      <c r="K150" s="165">
        <v>1</v>
      </c>
      <c r="L150" s="155"/>
      <c r="M150" s="155"/>
      <c r="N150" s="155"/>
      <c r="O150" s="155"/>
      <c r="P150" s="155"/>
      <c r="Q150" s="155"/>
      <c r="R150" s="155"/>
      <c r="S150" s="155"/>
      <c r="T150" s="155"/>
      <c r="U150" s="167" t="s">
        <v>517</v>
      </c>
      <c r="V150" s="153" t="s">
        <v>503</v>
      </c>
      <c r="W150" s="143" t="s">
        <v>298</v>
      </c>
      <c r="X150" s="157" t="s">
        <v>227</v>
      </c>
      <c r="Y150" s="153">
        <v>9751293083</v>
      </c>
      <c r="Z150" s="143"/>
      <c r="AA150" s="162" t="s">
        <v>524</v>
      </c>
      <c r="AB150" s="143" t="s">
        <v>528</v>
      </c>
      <c r="AC150" s="155">
        <v>1</v>
      </c>
      <c r="AD150" s="155"/>
      <c r="AE150" s="155"/>
      <c r="AF150" s="155"/>
      <c r="AG150" s="155"/>
      <c r="AH150" s="143"/>
      <c r="AI150" s="158"/>
    </row>
    <row r="151" spans="1:35">
      <c r="A151" s="140"/>
      <c r="B151" s="143"/>
      <c r="C151" s="143" t="s">
        <v>78</v>
      </c>
      <c r="D151" s="143" t="s">
        <v>501</v>
      </c>
      <c r="E151" s="143" t="s">
        <v>80</v>
      </c>
      <c r="F151" s="153" t="s">
        <v>643</v>
      </c>
      <c r="G151" s="153" t="s">
        <v>644</v>
      </c>
      <c r="H151" s="153" t="s">
        <v>120</v>
      </c>
      <c r="I151" s="227">
        <v>27532</v>
      </c>
      <c r="J151" s="166"/>
      <c r="K151" s="165">
        <v>1</v>
      </c>
      <c r="L151" s="155"/>
      <c r="M151" s="155"/>
      <c r="N151" s="155"/>
      <c r="O151" s="155"/>
      <c r="P151" s="155"/>
      <c r="Q151" s="155"/>
      <c r="R151" s="155"/>
      <c r="S151" s="155"/>
      <c r="T151" s="155"/>
      <c r="U151" s="167" t="s">
        <v>517</v>
      </c>
      <c r="V151" s="153" t="s">
        <v>503</v>
      </c>
      <c r="W151" s="143" t="s">
        <v>298</v>
      </c>
      <c r="X151" s="157" t="s">
        <v>227</v>
      </c>
      <c r="Y151" s="153">
        <v>9754874845</v>
      </c>
      <c r="Z151" s="143"/>
      <c r="AA151" s="162" t="s">
        <v>524</v>
      </c>
      <c r="AB151" s="143" t="s">
        <v>528</v>
      </c>
      <c r="AC151" s="155">
        <v>1</v>
      </c>
      <c r="AD151" s="155"/>
      <c r="AE151" s="155"/>
      <c r="AF151" s="155"/>
      <c r="AG151" s="155"/>
      <c r="AH151" s="143"/>
      <c r="AI151" s="158"/>
    </row>
    <row r="152" spans="1:35">
      <c r="A152" s="140"/>
      <c r="B152" s="143"/>
      <c r="C152" s="143" t="s">
        <v>78</v>
      </c>
      <c r="D152" s="143" t="s">
        <v>501</v>
      </c>
      <c r="E152" s="143" t="s">
        <v>80</v>
      </c>
      <c r="F152" s="153" t="s">
        <v>641</v>
      </c>
      <c r="G152" s="153" t="s">
        <v>645</v>
      </c>
      <c r="H152" s="153" t="s">
        <v>126</v>
      </c>
      <c r="I152" s="227">
        <v>27875</v>
      </c>
      <c r="J152" s="166"/>
      <c r="K152" s="165">
        <v>1</v>
      </c>
      <c r="L152" s="155"/>
      <c r="M152" s="155"/>
      <c r="N152" s="155"/>
      <c r="O152" s="155"/>
      <c r="P152" s="155"/>
      <c r="Q152" s="155"/>
      <c r="R152" s="155"/>
      <c r="S152" s="155"/>
      <c r="T152" s="155"/>
      <c r="U152" s="167" t="s">
        <v>517</v>
      </c>
      <c r="V152" s="153" t="s">
        <v>503</v>
      </c>
      <c r="W152" s="143" t="s">
        <v>298</v>
      </c>
      <c r="X152" s="157" t="s">
        <v>227</v>
      </c>
      <c r="Y152" s="153">
        <v>9061960591</v>
      </c>
      <c r="Z152" s="143"/>
      <c r="AA152" s="162" t="s">
        <v>524</v>
      </c>
      <c r="AB152" s="143" t="s">
        <v>528</v>
      </c>
      <c r="AC152" s="155">
        <v>1</v>
      </c>
      <c r="AD152" s="155"/>
      <c r="AE152" s="155"/>
      <c r="AF152" s="155"/>
      <c r="AG152" s="155"/>
      <c r="AH152" s="143"/>
      <c r="AI152" s="158"/>
    </row>
    <row r="153" spans="1:35">
      <c r="A153" s="140"/>
      <c r="B153" s="143"/>
      <c r="C153" s="143" t="s">
        <v>78</v>
      </c>
      <c r="D153" s="143" t="s">
        <v>501</v>
      </c>
      <c r="E153" s="143" t="s">
        <v>80</v>
      </c>
      <c r="F153" s="153" t="s">
        <v>646</v>
      </c>
      <c r="G153" s="153" t="s">
        <v>181</v>
      </c>
      <c r="H153" s="153"/>
      <c r="I153" s="227">
        <v>29346</v>
      </c>
      <c r="J153" s="165">
        <v>1</v>
      </c>
      <c r="K153" s="165"/>
      <c r="L153" s="155"/>
      <c r="M153" s="155"/>
      <c r="N153" s="155"/>
      <c r="O153" s="155"/>
      <c r="P153" s="155"/>
      <c r="Q153" s="155"/>
      <c r="R153" s="155"/>
      <c r="S153" s="155"/>
      <c r="T153" s="155"/>
      <c r="U153" s="167" t="s">
        <v>507</v>
      </c>
      <c r="V153" s="153" t="s">
        <v>503</v>
      </c>
      <c r="W153" s="143" t="s">
        <v>298</v>
      </c>
      <c r="X153" s="157" t="s">
        <v>227</v>
      </c>
      <c r="Y153" s="153">
        <v>9093073044</v>
      </c>
      <c r="Z153" s="143"/>
      <c r="AA153" s="162" t="s">
        <v>524</v>
      </c>
      <c r="AB153" s="143" t="s">
        <v>528</v>
      </c>
      <c r="AC153" s="155">
        <v>1</v>
      </c>
      <c r="AD153" s="155"/>
      <c r="AE153" s="155"/>
      <c r="AF153" s="155"/>
      <c r="AG153" s="155"/>
      <c r="AH153" s="143"/>
      <c r="AI153" s="158"/>
    </row>
    <row r="154" spans="1:35">
      <c r="A154" s="140"/>
      <c r="B154" s="143"/>
      <c r="C154" s="143" t="s">
        <v>78</v>
      </c>
      <c r="D154" s="143" t="s">
        <v>501</v>
      </c>
      <c r="E154" s="143" t="s">
        <v>80</v>
      </c>
      <c r="F154" s="153" t="s">
        <v>647</v>
      </c>
      <c r="G154" s="153" t="s">
        <v>648</v>
      </c>
      <c r="H154" s="153"/>
      <c r="I154" s="227">
        <v>30960</v>
      </c>
      <c r="J154" s="166"/>
      <c r="K154" s="165">
        <v>1</v>
      </c>
      <c r="L154" s="155"/>
      <c r="M154" s="155"/>
      <c r="N154" s="155"/>
      <c r="O154" s="155"/>
      <c r="P154" s="155"/>
      <c r="Q154" s="155"/>
      <c r="R154" s="155"/>
      <c r="S154" s="155"/>
      <c r="T154" s="155"/>
      <c r="U154" s="167" t="s">
        <v>504</v>
      </c>
      <c r="V154" s="153" t="s">
        <v>503</v>
      </c>
      <c r="W154" s="143" t="s">
        <v>298</v>
      </c>
      <c r="X154" s="157" t="s">
        <v>227</v>
      </c>
      <c r="Y154" s="153">
        <v>9050968852</v>
      </c>
      <c r="Z154" s="143"/>
      <c r="AA154" s="162" t="s">
        <v>524</v>
      </c>
      <c r="AB154" s="143" t="s">
        <v>528</v>
      </c>
      <c r="AC154" s="155">
        <v>1</v>
      </c>
      <c r="AD154" s="155"/>
      <c r="AE154" s="155"/>
      <c r="AF154" s="155"/>
      <c r="AG154" s="155"/>
      <c r="AH154" s="143"/>
      <c r="AI154" s="158"/>
    </row>
    <row r="155" spans="1:35">
      <c r="A155" s="140"/>
      <c r="B155" s="143"/>
      <c r="C155" s="143" t="s">
        <v>78</v>
      </c>
      <c r="D155" s="143" t="s">
        <v>501</v>
      </c>
      <c r="E155" s="143" t="s">
        <v>80</v>
      </c>
      <c r="F155" s="153" t="s">
        <v>649</v>
      </c>
      <c r="G155" s="153" t="s">
        <v>650</v>
      </c>
      <c r="H155" s="153"/>
      <c r="I155" s="227">
        <v>32938</v>
      </c>
      <c r="J155" s="166"/>
      <c r="K155" s="165">
        <v>1</v>
      </c>
      <c r="L155" s="155"/>
      <c r="M155" s="155"/>
      <c r="N155" s="155"/>
      <c r="O155" s="155"/>
      <c r="P155" s="155"/>
      <c r="Q155" s="155"/>
      <c r="R155" s="155"/>
      <c r="S155" s="155"/>
      <c r="T155" s="155"/>
      <c r="U155" s="167" t="s">
        <v>504</v>
      </c>
      <c r="V155" s="153" t="s">
        <v>503</v>
      </c>
      <c r="W155" s="143" t="s">
        <v>298</v>
      </c>
      <c r="X155" s="157" t="s">
        <v>227</v>
      </c>
      <c r="Y155" s="153">
        <v>9955581528</v>
      </c>
      <c r="Z155" s="143"/>
      <c r="AA155" s="162" t="s">
        <v>524</v>
      </c>
      <c r="AB155" s="143" t="s">
        <v>528</v>
      </c>
      <c r="AC155" s="155">
        <v>1</v>
      </c>
      <c r="AD155" s="155"/>
      <c r="AE155" s="155"/>
      <c r="AF155" s="155"/>
      <c r="AG155" s="155"/>
      <c r="AH155" s="143"/>
      <c r="AI155" s="158"/>
    </row>
    <row r="156" spans="1:35">
      <c r="A156" s="140"/>
      <c r="B156" s="143"/>
      <c r="C156" s="143" t="s">
        <v>78</v>
      </c>
      <c r="D156" s="143" t="s">
        <v>501</v>
      </c>
      <c r="E156" s="143" t="s">
        <v>80</v>
      </c>
      <c r="F156" s="153" t="s">
        <v>651</v>
      </c>
      <c r="G156" s="153" t="s">
        <v>652</v>
      </c>
      <c r="H156" s="153"/>
      <c r="I156" s="227">
        <v>27292</v>
      </c>
      <c r="J156" s="166"/>
      <c r="K156" s="165">
        <v>1</v>
      </c>
      <c r="L156" s="155"/>
      <c r="M156" s="155"/>
      <c r="N156" s="155"/>
      <c r="O156" s="155"/>
      <c r="P156" s="155"/>
      <c r="Q156" s="155"/>
      <c r="R156" s="155"/>
      <c r="S156" s="155"/>
      <c r="T156" s="155"/>
      <c r="U156" s="167" t="s">
        <v>504</v>
      </c>
      <c r="V156" s="153" t="s">
        <v>503</v>
      </c>
      <c r="W156" s="143" t="s">
        <v>298</v>
      </c>
      <c r="X156" s="157" t="s">
        <v>227</v>
      </c>
      <c r="Y156" s="153">
        <v>9050968852</v>
      </c>
      <c r="Z156" s="143"/>
      <c r="AA156" s="162" t="s">
        <v>524</v>
      </c>
      <c r="AB156" s="143" t="s">
        <v>528</v>
      </c>
      <c r="AC156" s="155">
        <v>1</v>
      </c>
      <c r="AD156" s="155"/>
      <c r="AE156" s="155"/>
      <c r="AF156" s="155"/>
      <c r="AG156" s="155"/>
      <c r="AH156" s="143"/>
      <c r="AI156" s="158"/>
    </row>
    <row r="157" spans="1:35">
      <c r="A157" s="140"/>
      <c r="B157" s="143"/>
      <c r="C157" s="143" t="s">
        <v>78</v>
      </c>
      <c r="D157" s="143" t="s">
        <v>501</v>
      </c>
      <c r="E157" s="143" t="s">
        <v>80</v>
      </c>
      <c r="F157" s="153" t="s">
        <v>653</v>
      </c>
      <c r="G157" s="153" t="s">
        <v>654</v>
      </c>
      <c r="H157" s="153"/>
      <c r="I157" s="227">
        <v>28077</v>
      </c>
      <c r="J157" s="166"/>
      <c r="K157" s="165">
        <v>1</v>
      </c>
      <c r="L157" s="155"/>
      <c r="M157" s="155"/>
      <c r="N157" s="155"/>
      <c r="O157" s="155"/>
      <c r="P157" s="155"/>
      <c r="Q157" s="155"/>
      <c r="R157" s="155"/>
      <c r="S157" s="155"/>
      <c r="T157" s="155"/>
      <c r="U157" s="167" t="s">
        <v>504</v>
      </c>
      <c r="V157" s="153" t="s">
        <v>503</v>
      </c>
      <c r="W157" s="143" t="s">
        <v>298</v>
      </c>
      <c r="X157" s="157" t="s">
        <v>227</v>
      </c>
      <c r="Y157" s="153">
        <v>9199749259</v>
      </c>
      <c r="Z157" s="143"/>
      <c r="AA157" s="162" t="s">
        <v>524</v>
      </c>
      <c r="AB157" s="143" t="s">
        <v>528</v>
      </c>
      <c r="AC157" s="155">
        <v>1</v>
      </c>
      <c r="AD157" s="155"/>
      <c r="AE157" s="155"/>
      <c r="AF157" s="155"/>
      <c r="AG157" s="155"/>
      <c r="AH157" s="143"/>
      <c r="AI157" s="158"/>
    </row>
    <row r="158" spans="1:35">
      <c r="A158" s="140"/>
      <c r="B158" s="143"/>
      <c r="C158" s="143" t="s">
        <v>78</v>
      </c>
      <c r="D158" s="143" t="s">
        <v>501</v>
      </c>
      <c r="E158" s="143" t="s">
        <v>80</v>
      </c>
      <c r="F158" s="153" t="s">
        <v>655</v>
      </c>
      <c r="G158" s="153" t="s">
        <v>656</v>
      </c>
      <c r="H158" s="153" t="s">
        <v>286</v>
      </c>
      <c r="I158" s="227">
        <v>23393</v>
      </c>
      <c r="J158" s="165">
        <v>1</v>
      </c>
      <c r="K158" s="165"/>
      <c r="L158" s="155"/>
      <c r="M158" s="155"/>
      <c r="N158" s="155"/>
      <c r="O158" s="155"/>
      <c r="P158" s="155"/>
      <c r="Q158" s="155"/>
      <c r="R158" s="155"/>
      <c r="S158" s="155"/>
      <c r="T158" s="155"/>
      <c r="U158" s="167" t="s">
        <v>860</v>
      </c>
      <c r="V158" s="153" t="s">
        <v>503</v>
      </c>
      <c r="W158" s="143" t="s">
        <v>298</v>
      </c>
      <c r="X158" s="157" t="s">
        <v>227</v>
      </c>
      <c r="Y158" s="153">
        <v>9353661723</v>
      </c>
      <c r="Z158" s="143"/>
      <c r="AA158" s="162" t="s">
        <v>524</v>
      </c>
      <c r="AB158" s="143" t="s">
        <v>528</v>
      </c>
      <c r="AC158" s="155">
        <v>1</v>
      </c>
      <c r="AD158" s="155"/>
      <c r="AE158" s="155"/>
      <c r="AF158" s="155"/>
      <c r="AG158" s="155"/>
      <c r="AH158" s="143"/>
      <c r="AI158" s="158"/>
    </row>
    <row r="159" spans="1:35">
      <c r="A159" s="140"/>
      <c r="B159" s="143"/>
      <c r="C159" s="143" t="s">
        <v>78</v>
      </c>
      <c r="D159" s="143" t="s">
        <v>501</v>
      </c>
      <c r="E159" s="143" t="s">
        <v>80</v>
      </c>
      <c r="F159" s="153" t="s">
        <v>657</v>
      </c>
      <c r="G159" s="153" t="s">
        <v>658</v>
      </c>
      <c r="H159" s="153"/>
      <c r="I159" s="227">
        <v>24722</v>
      </c>
      <c r="J159" s="166"/>
      <c r="K159" s="165">
        <v>1</v>
      </c>
      <c r="L159" s="155"/>
      <c r="M159" s="155"/>
      <c r="N159" s="155"/>
      <c r="O159" s="155"/>
      <c r="P159" s="155"/>
      <c r="Q159" s="155"/>
      <c r="R159" s="155"/>
      <c r="S159" s="155"/>
      <c r="T159" s="155"/>
      <c r="U159" s="167" t="s">
        <v>504</v>
      </c>
      <c r="V159" s="153" t="s">
        <v>503</v>
      </c>
      <c r="W159" s="143" t="s">
        <v>298</v>
      </c>
      <c r="X159" s="157" t="s">
        <v>227</v>
      </c>
      <c r="Y159" s="153">
        <v>9058293716</v>
      </c>
      <c r="Z159" s="143"/>
      <c r="AA159" s="162" t="s">
        <v>524</v>
      </c>
      <c r="AB159" s="143" t="s">
        <v>528</v>
      </c>
      <c r="AC159" s="155">
        <v>1</v>
      </c>
      <c r="AD159" s="155"/>
      <c r="AE159" s="155"/>
      <c r="AF159" s="155"/>
      <c r="AG159" s="155"/>
      <c r="AH159" s="143"/>
      <c r="AI159" s="158"/>
    </row>
    <row r="160" spans="1:35">
      <c r="A160" s="140"/>
      <c r="B160" s="143"/>
      <c r="C160" s="143" t="s">
        <v>78</v>
      </c>
      <c r="D160" s="143" t="s">
        <v>501</v>
      </c>
      <c r="E160" s="143" t="s">
        <v>80</v>
      </c>
      <c r="F160" s="153" t="s">
        <v>428</v>
      </c>
      <c r="G160" s="153" t="s">
        <v>659</v>
      </c>
      <c r="H160" s="153" t="s">
        <v>120</v>
      </c>
      <c r="I160" s="227">
        <v>24116</v>
      </c>
      <c r="J160" s="166"/>
      <c r="K160" s="165">
        <v>1</v>
      </c>
      <c r="L160" s="155"/>
      <c r="M160" s="155"/>
      <c r="N160" s="155"/>
      <c r="O160" s="155"/>
      <c r="P160" s="155"/>
      <c r="Q160" s="155"/>
      <c r="R160" s="155"/>
      <c r="S160" s="155"/>
      <c r="T160" s="155"/>
      <c r="U160" s="167" t="s">
        <v>504</v>
      </c>
      <c r="V160" s="153" t="s">
        <v>503</v>
      </c>
      <c r="W160" s="143" t="s">
        <v>298</v>
      </c>
      <c r="X160" s="157" t="s">
        <v>227</v>
      </c>
      <c r="Y160" s="153"/>
      <c r="Z160" s="143"/>
      <c r="AA160" s="162" t="s">
        <v>524</v>
      </c>
      <c r="AB160" s="143" t="s">
        <v>528</v>
      </c>
      <c r="AC160" s="155">
        <v>1</v>
      </c>
      <c r="AD160" s="155"/>
      <c r="AE160" s="155"/>
      <c r="AF160" s="155"/>
      <c r="AG160" s="155"/>
      <c r="AH160" s="143"/>
      <c r="AI160" s="158"/>
    </row>
    <row r="161" spans="1:35">
      <c r="A161" s="140"/>
      <c r="B161" s="143"/>
      <c r="C161" s="143" t="s">
        <v>78</v>
      </c>
      <c r="D161" s="143" t="s">
        <v>501</v>
      </c>
      <c r="E161" s="143" t="s">
        <v>80</v>
      </c>
      <c r="F161" s="153" t="s">
        <v>660</v>
      </c>
      <c r="G161" s="153" t="s">
        <v>661</v>
      </c>
      <c r="H161" s="153"/>
      <c r="I161" s="227">
        <v>24757</v>
      </c>
      <c r="J161" s="166"/>
      <c r="K161" s="165">
        <v>1</v>
      </c>
      <c r="L161" s="155"/>
      <c r="M161" s="155"/>
      <c r="N161" s="155"/>
      <c r="O161" s="155"/>
      <c r="P161" s="155"/>
      <c r="Q161" s="155"/>
      <c r="R161" s="155"/>
      <c r="S161" s="155"/>
      <c r="T161" s="155"/>
      <c r="U161" s="167" t="s">
        <v>504</v>
      </c>
      <c r="V161" s="153" t="s">
        <v>503</v>
      </c>
      <c r="W161" s="143" t="s">
        <v>298</v>
      </c>
      <c r="X161" s="157" t="s">
        <v>227</v>
      </c>
      <c r="Y161" s="153">
        <v>9269083272</v>
      </c>
      <c r="Z161" s="143"/>
      <c r="AA161" s="162" t="s">
        <v>524</v>
      </c>
      <c r="AB161" s="143" t="s">
        <v>528</v>
      </c>
      <c r="AC161" s="155">
        <v>1</v>
      </c>
      <c r="AD161" s="155"/>
      <c r="AE161" s="155"/>
      <c r="AF161" s="155"/>
      <c r="AG161" s="155"/>
      <c r="AH161" s="143"/>
      <c r="AI161" s="158"/>
    </row>
    <row r="162" spans="1:35">
      <c r="A162" s="140"/>
      <c r="B162" s="143"/>
      <c r="C162" s="143" t="s">
        <v>78</v>
      </c>
      <c r="D162" s="143" t="s">
        <v>501</v>
      </c>
      <c r="E162" s="143" t="s">
        <v>80</v>
      </c>
      <c r="F162" s="153" t="s">
        <v>662</v>
      </c>
      <c r="G162" s="153" t="s">
        <v>663</v>
      </c>
      <c r="H162" s="153" t="s">
        <v>202</v>
      </c>
      <c r="I162" s="227">
        <v>26247</v>
      </c>
      <c r="J162" s="166"/>
      <c r="K162" s="165">
        <v>1</v>
      </c>
      <c r="L162" s="155"/>
      <c r="M162" s="155"/>
      <c r="N162" s="155"/>
      <c r="O162" s="155"/>
      <c r="P162" s="155"/>
      <c r="Q162" s="155"/>
      <c r="R162" s="155"/>
      <c r="S162" s="155"/>
      <c r="T162" s="155"/>
      <c r="U162" s="167" t="s">
        <v>504</v>
      </c>
      <c r="V162" s="153" t="s">
        <v>503</v>
      </c>
      <c r="W162" s="143" t="s">
        <v>298</v>
      </c>
      <c r="X162" s="157" t="s">
        <v>227</v>
      </c>
      <c r="Y162" s="153">
        <v>9366360383</v>
      </c>
      <c r="Z162" s="143"/>
      <c r="AA162" s="162" t="s">
        <v>524</v>
      </c>
      <c r="AB162" s="143" t="s">
        <v>528</v>
      </c>
      <c r="AC162" s="155">
        <v>1</v>
      </c>
      <c r="AD162" s="155"/>
      <c r="AE162" s="155"/>
      <c r="AF162" s="155"/>
      <c r="AG162" s="155"/>
      <c r="AH162" s="143"/>
      <c r="AI162" s="158"/>
    </row>
    <row r="163" spans="1:35">
      <c r="A163" s="140"/>
      <c r="B163" s="143"/>
      <c r="C163" s="143" t="s">
        <v>78</v>
      </c>
      <c r="D163" s="143" t="s">
        <v>501</v>
      </c>
      <c r="E163" s="143" t="s">
        <v>80</v>
      </c>
      <c r="F163" s="153" t="s">
        <v>664</v>
      </c>
      <c r="G163" s="153" t="s">
        <v>665</v>
      </c>
      <c r="H163" s="153"/>
      <c r="I163" s="227">
        <v>17302</v>
      </c>
      <c r="J163" s="166"/>
      <c r="K163" s="165">
        <v>1</v>
      </c>
      <c r="L163" s="155"/>
      <c r="M163" s="155">
        <v>1</v>
      </c>
      <c r="N163" s="155"/>
      <c r="O163" s="155"/>
      <c r="P163" s="155"/>
      <c r="Q163" s="155"/>
      <c r="R163" s="155"/>
      <c r="S163" s="155"/>
      <c r="T163" s="155"/>
      <c r="U163" s="167" t="s">
        <v>504</v>
      </c>
      <c r="V163" s="153" t="s">
        <v>503</v>
      </c>
      <c r="W163" s="143" t="s">
        <v>298</v>
      </c>
      <c r="X163" s="157" t="s">
        <v>227</v>
      </c>
      <c r="Y163" s="153">
        <v>9366360383</v>
      </c>
      <c r="Z163" s="143"/>
      <c r="AA163" s="162" t="s">
        <v>524</v>
      </c>
      <c r="AB163" s="143" t="s">
        <v>528</v>
      </c>
      <c r="AC163" s="155">
        <v>1</v>
      </c>
      <c r="AD163" s="155"/>
      <c r="AE163" s="155"/>
      <c r="AF163" s="155"/>
      <c r="AG163" s="155"/>
      <c r="AH163" s="143"/>
      <c r="AI163" s="158"/>
    </row>
    <row r="164" spans="1:35">
      <c r="A164" s="140"/>
      <c r="B164" s="143"/>
      <c r="C164" s="143" t="s">
        <v>78</v>
      </c>
      <c r="D164" s="143" t="s">
        <v>501</v>
      </c>
      <c r="E164" s="143" t="s">
        <v>80</v>
      </c>
      <c r="F164" s="153" t="s">
        <v>666</v>
      </c>
      <c r="G164" s="153" t="s">
        <v>667</v>
      </c>
      <c r="H164" s="153"/>
      <c r="I164" s="227">
        <v>34994</v>
      </c>
      <c r="J164" s="166"/>
      <c r="K164" s="165">
        <v>1</v>
      </c>
      <c r="L164" s="155"/>
      <c r="M164" s="155"/>
      <c r="N164" s="155"/>
      <c r="O164" s="155"/>
      <c r="P164" s="155"/>
      <c r="Q164" s="155"/>
      <c r="R164" s="155"/>
      <c r="S164" s="155"/>
      <c r="T164" s="155"/>
      <c r="U164" s="167" t="s">
        <v>502</v>
      </c>
      <c r="V164" s="153" t="s">
        <v>503</v>
      </c>
      <c r="W164" s="143" t="s">
        <v>298</v>
      </c>
      <c r="X164" s="157" t="s">
        <v>227</v>
      </c>
      <c r="Y164" s="153">
        <v>9097788499</v>
      </c>
      <c r="Z164" s="143"/>
      <c r="AA164" s="162" t="s">
        <v>524</v>
      </c>
      <c r="AB164" s="143" t="s">
        <v>528</v>
      </c>
      <c r="AC164" s="155">
        <v>1</v>
      </c>
      <c r="AD164" s="155"/>
      <c r="AE164" s="155"/>
      <c r="AF164" s="155"/>
      <c r="AG164" s="155"/>
      <c r="AH164" s="143"/>
      <c r="AI164" s="158"/>
    </row>
    <row r="165" spans="1:35">
      <c r="A165" s="140"/>
      <c r="B165" s="143"/>
      <c r="C165" s="143" t="s">
        <v>78</v>
      </c>
      <c r="D165" s="143" t="s">
        <v>501</v>
      </c>
      <c r="E165" s="143" t="s">
        <v>80</v>
      </c>
      <c r="F165" s="153" t="s">
        <v>668</v>
      </c>
      <c r="G165" s="153" t="s">
        <v>669</v>
      </c>
      <c r="H165" s="153" t="s">
        <v>283</v>
      </c>
      <c r="I165" s="227">
        <v>28321</v>
      </c>
      <c r="J165" s="166"/>
      <c r="K165" s="165">
        <v>1</v>
      </c>
      <c r="L165" s="155"/>
      <c r="M165" s="155"/>
      <c r="N165" s="155"/>
      <c r="O165" s="155"/>
      <c r="P165" s="155"/>
      <c r="Q165" s="155"/>
      <c r="R165" s="155"/>
      <c r="S165" s="155"/>
      <c r="T165" s="155"/>
      <c r="U165" s="167" t="s">
        <v>504</v>
      </c>
      <c r="V165" s="153" t="s">
        <v>503</v>
      </c>
      <c r="W165" s="143" t="s">
        <v>298</v>
      </c>
      <c r="X165" s="157" t="s">
        <v>227</v>
      </c>
      <c r="Y165" s="153">
        <v>9754856395</v>
      </c>
      <c r="Z165" s="143"/>
      <c r="AA165" s="162" t="s">
        <v>524</v>
      </c>
      <c r="AB165" s="143" t="s">
        <v>528</v>
      </c>
      <c r="AC165" s="155">
        <v>1</v>
      </c>
      <c r="AD165" s="155"/>
      <c r="AE165" s="155"/>
      <c r="AF165" s="155"/>
      <c r="AG165" s="155"/>
      <c r="AH165" s="143"/>
      <c r="AI165" s="158"/>
    </row>
    <row r="166" spans="1:35">
      <c r="A166" s="140"/>
      <c r="B166" s="143"/>
      <c r="C166" s="143" t="s">
        <v>78</v>
      </c>
      <c r="D166" s="143" t="s">
        <v>501</v>
      </c>
      <c r="E166" s="143" t="s">
        <v>80</v>
      </c>
      <c r="F166" s="153" t="s">
        <v>670</v>
      </c>
      <c r="G166" s="153" t="s">
        <v>438</v>
      </c>
      <c r="H166" s="153"/>
      <c r="I166" s="227">
        <v>27844</v>
      </c>
      <c r="J166" s="166"/>
      <c r="K166" s="165">
        <v>1</v>
      </c>
      <c r="L166" s="155"/>
      <c r="M166" s="155"/>
      <c r="N166" s="155"/>
      <c r="O166" s="155"/>
      <c r="P166" s="155"/>
      <c r="Q166" s="155"/>
      <c r="R166" s="155"/>
      <c r="S166" s="155"/>
      <c r="T166" s="155"/>
      <c r="U166" s="167" t="s">
        <v>504</v>
      </c>
      <c r="V166" s="153" t="s">
        <v>503</v>
      </c>
      <c r="W166" s="143" t="s">
        <v>298</v>
      </c>
      <c r="X166" s="157" t="s">
        <v>227</v>
      </c>
      <c r="Y166" s="153">
        <v>9752685689</v>
      </c>
      <c r="Z166" s="143"/>
      <c r="AA166" s="162" t="s">
        <v>524</v>
      </c>
      <c r="AB166" s="143" t="s">
        <v>528</v>
      </c>
      <c r="AC166" s="155">
        <v>1</v>
      </c>
      <c r="AD166" s="155"/>
      <c r="AE166" s="155"/>
      <c r="AF166" s="155"/>
      <c r="AG166" s="155"/>
      <c r="AH166" s="143"/>
      <c r="AI166" s="158"/>
    </row>
    <row r="167" spans="1:35">
      <c r="A167" s="140"/>
      <c r="B167" s="143"/>
      <c r="C167" s="143" t="s">
        <v>78</v>
      </c>
      <c r="D167" s="143" t="s">
        <v>501</v>
      </c>
      <c r="E167" s="143" t="s">
        <v>80</v>
      </c>
      <c r="F167" s="153" t="s">
        <v>428</v>
      </c>
      <c r="G167" s="153" t="s">
        <v>671</v>
      </c>
      <c r="H167" s="153" t="s">
        <v>120</v>
      </c>
      <c r="I167" s="227">
        <v>31511</v>
      </c>
      <c r="J167" s="166"/>
      <c r="K167" s="165">
        <v>1</v>
      </c>
      <c r="L167" s="155"/>
      <c r="M167" s="155"/>
      <c r="N167" s="155"/>
      <c r="O167" s="155"/>
      <c r="P167" s="155"/>
      <c r="Q167" s="155"/>
      <c r="R167" s="155"/>
      <c r="S167" s="155"/>
      <c r="T167" s="155"/>
      <c r="U167" s="167" t="s">
        <v>504</v>
      </c>
      <c r="V167" s="153" t="s">
        <v>503</v>
      </c>
      <c r="W167" s="143" t="s">
        <v>298</v>
      </c>
      <c r="X167" s="157" t="s">
        <v>227</v>
      </c>
      <c r="Y167" s="153">
        <v>9366360383</v>
      </c>
      <c r="Z167" s="143"/>
      <c r="AA167" s="162" t="s">
        <v>524</v>
      </c>
      <c r="AB167" s="143" t="s">
        <v>528</v>
      </c>
      <c r="AC167" s="155">
        <v>1</v>
      </c>
      <c r="AD167" s="155"/>
      <c r="AE167" s="155"/>
      <c r="AF167" s="155"/>
      <c r="AG167" s="155"/>
      <c r="AH167" s="143"/>
      <c r="AI167" s="158"/>
    </row>
    <row r="168" spans="1:35">
      <c r="A168" s="140"/>
      <c r="B168" s="143"/>
      <c r="C168" s="143" t="s">
        <v>78</v>
      </c>
      <c r="D168" s="143" t="s">
        <v>501</v>
      </c>
      <c r="E168" s="143" t="s">
        <v>80</v>
      </c>
      <c r="F168" s="153" t="s">
        <v>672</v>
      </c>
      <c r="G168" s="153" t="s">
        <v>673</v>
      </c>
      <c r="H168" s="153" t="s">
        <v>113</v>
      </c>
      <c r="I168" s="227">
        <v>27140</v>
      </c>
      <c r="J168" s="166"/>
      <c r="K168" s="165">
        <v>1</v>
      </c>
      <c r="L168" s="155"/>
      <c r="M168" s="155"/>
      <c r="N168" s="155"/>
      <c r="O168" s="155"/>
      <c r="P168" s="155"/>
      <c r="Q168" s="155"/>
      <c r="R168" s="155"/>
      <c r="S168" s="155"/>
      <c r="T168" s="155"/>
      <c r="U168" s="167" t="s">
        <v>861</v>
      </c>
      <c r="V168" s="153" t="s">
        <v>503</v>
      </c>
      <c r="W168" s="143" t="s">
        <v>298</v>
      </c>
      <c r="X168" s="157" t="s">
        <v>227</v>
      </c>
      <c r="Y168" s="153">
        <v>9306483044</v>
      </c>
      <c r="Z168" s="143"/>
      <c r="AA168" s="162" t="s">
        <v>524</v>
      </c>
      <c r="AB168" s="143" t="s">
        <v>528</v>
      </c>
      <c r="AC168" s="155">
        <v>1</v>
      </c>
      <c r="AD168" s="155"/>
      <c r="AE168" s="155"/>
      <c r="AF168" s="155"/>
      <c r="AG168" s="155"/>
      <c r="AH168" s="143"/>
      <c r="AI168" s="158"/>
    </row>
    <row r="169" spans="1:35">
      <c r="A169" s="140"/>
      <c r="B169" s="143"/>
      <c r="C169" s="143" t="s">
        <v>78</v>
      </c>
      <c r="D169" s="143" t="s">
        <v>501</v>
      </c>
      <c r="E169" s="143" t="s">
        <v>80</v>
      </c>
      <c r="F169" s="153" t="s">
        <v>674</v>
      </c>
      <c r="G169" s="153" t="s">
        <v>675</v>
      </c>
      <c r="H169" s="153" t="s">
        <v>160</v>
      </c>
      <c r="I169" s="227">
        <v>35427</v>
      </c>
      <c r="J169" s="166"/>
      <c r="K169" s="165">
        <v>1</v>
      </c>
      <c r="L169" s="155"/>
      <c r="M169" s="155"/>
      <c r="N169" s="155"/>
      <c r="O169" s="155"/>
      <c r="P169" s="155"/>
      <c r="Q169" s="155"/>
      <c r="R169" s="155"/>
      <c r="S169" s="155"/>
      <c r="T169" s="155"/>
      <c r="U169" s="167" t="s">
        <v>862</v>
      </c>
      <c r="V169" s="153" t="s">
        <v>503</v>
      </c>
      <c r="W169" s="143" t="s">
        <v>298</v>
      </c>
      <c r="X169" s="157" t="s">
        <v>227</v>
      </c>
      <c r="Y169" s="153">
        <v>9771621625</v>
      </c>
      <c r="Z169" s="143"/>
      <c r="AA169" s="162" t="s">
        <v>524</v>
      </c>
      <c r="AB169" s="143" t="s">
        <v>528</v>
      </c>
      <c r="AC169" s="155">
        <v>1</v>
      </c>
      <c r="AD169" s="155"/>
      <c r="AE169" s="155"/>
      <c r="AF169" s="155"/>
      <c r="AG169" s="155"/>
      <c r="AH169" s="143"/>
      <c r="AI169" s="158"/>
    </row>
    <row r="170" spans="1:35">
      <c r="A170" s="140"/>
      <c r="B170" s="143"/>
      <c r="C170" s="143" t="s">
        <v>78</v>
      </c>
      <c r="D170" s="143" t="s">
        <v>501</v>
      </c>
      <c r="E170" s="143" t="s">
        <v>80</v>
      </c>
      <c r="F170" s="153" t="s">
        <v>674</v>
      </c>
      <c r="G170" s="153" t="s">
        <v>676</v>
      </c>
      <c r="H170" s="153"/>
      <c r="I170" s="227">
        <v>34469</v>
      </c>
      <c r="J170" s="166"/>
      <c r="K170" s="165">
        <v>1</v>
      </c>
      <c r="L170" s="155"/>
      <c r="M170" s="155"/>
      <c r="N170" s="155"/>
      <c r="O170" s="155"/>
      <c r="P170" s="155"/>
      <c r="Q170" s="155"/>
      <c r="R170" s="155"/>
      <c r="S170" s="155"/>
      <c r="T170" s="155"/>
      <c r="U170" s="167" t="s">
        <v>862</v>
      </c>
      <c r="V170" s="153" t="s">
        <v>503</v>
      </c>
      <c r="W170" s="143" t="s">
        <v>298</v>
      </c>
      <c r="X170" s="157" t="s">
        <v>227</v>
      </c>
      <c r="Y170" s="153">
        <v>9279787553</v>
      </c>
      <c r="Z170" s="143"/>
      <c r="AA170" s="162" t="s">
        <v>524</v>
      </c>
      <c r="AB170" s="143" t="s">
        <v>528</v>
      </c>
      <c r="AC170" s="155">
        <v>1</v>
      </c>
      <c r="AD170" s="155"/>
      <c r="AE170" s="155"/>
      <c r="AF170" s="155"/>
      <c r="AG170" s="155"/>
      <c r="AH170" s="143"/>
      <c r="AI170" s="158"/>
    </row>
    <row r="171" spans="1:35">
      <c r="A171" s="140"/>
      <c r="B171" s="143"/>
      <c r="C171" s="143" t="s">
        <v>78</v>
      </c>
      <c r="D171" s="143" t="s">
        <v>501</v>
      </c>
      <c r="E171" s="143" t="s">
        <v>80</v>
      </c>
      <c r="F171" s="153" t="s">
        <v>674</v>
      </c>
      <c r="G171" s="153" t="s">
        <v>677</v>
      </c>
      <c r="H171" s="153"/>
      <c r="I171" s="227">
        <v>23614</v>
      </c>
      <c r="J171" s="165">
        <v>1</v>
      </c>
      <c r="K171" s="165"/>
      <c r="L171" s="155"/>
      <c r="M171" s="155"/>
      <c r="N171" s="155"/>
      <c r="O171" s="155"/>
      <c r="P171" s="155"/>
      <c r="Q171" s="155"/>
      <c r="R171" s="155"/>
      <c r="S171" s="155"/>
      <c r="T171" s="155"/>
      <c r="U171" s="167" t="s">
        <v>862</v>
      </c>
      <c r="V171" s="153" t="s">
        <v>503</v>
      </c>
      <c r="W171" s="143" t="s">
        <v>298</v>
      </c>
      <c r="X171" s="157" t="s">
        <v>227</v>
      </c>
      <c r="Y171" s="153">
        <v>9266415332</v>
      </c>
      <c r="Z171" s="143"/>
      <c r="AA171" s="162" t="s">
        <v>524</v>
      </c>
      <c r="AB171" s="143" t="s">
        <v>528</v>
      </c>
      <c r="AC171" s="155">
        <v>1</v>
      </c>
      <c r="AD171" s="155"/>
      <c r="AE171" s="155"/>
      <c r="AF171" s="155"/>
      <c r="AG171" s="155"/>
      <c r="AH171" s="143"/>
      <c r="AI171" s="158"/>
    </row>
    <row r="172" spans="1:35">
      <c r="A172" s="140"/>
      <c r="B172" s="143"/>
      <c r="C172" s="143" t="s">
        <v>78</v>
      </c>
      <c r="D172" s="143" t="s">
        <v>501</v>
      </c>
      <c r="E172" s="143" t="s">
        <v>80</v>
      </c>
      <c r="F172" s="153" t="s">
        <v>439</v>
      </c>
      <c r="G172" s="153" t="s">
        <v>678</v>
      </c>
      <c r="H172" s="153"/>
      <c r="I172" s="227">
        <v>34639</v>
      </c>
      <c r="J172" s="166"/>
      <c r="K172" s="165">
        <v>1</v>
      </c>
      <c r="L172" s="155"/>
      <c r="M172" s="155"/>
      <c r="N172" s="155"/>
      <c r="O172" s="155"/>
      <c r="P172" s="155"/>
      <c r="Q172" s="155"/>
      <c r="R172" s="155"/>
      <c r="S172" s="155"/>
      <c r="T172" s="155"/>
      <c r="U172" s="167" t="s">
        <v>862</v>
      </c>
      <c r="V172" s="153" t="s">
        <v>503</v>
      </c>
      <c r="W172" s="143" t="s">
        <v>298</v>
      </c>
      <c r="X172" s="157" t="s">
        <v>227</v>
      </c>
      <c r="Y172" s="153">
        <v>9355110560</v>
      </c>
      <c r="Z172" s="143"/>
      <c r="AA172" s="162" t="s">
        <v>524</v>
      </c>
      <c r="AB172" s="143" t="s">
        <v>528</v>
      </c>
      <c r="AC172" s="155">
        <v>1</v>
      </c>
      <c r="AD172" s="155"/>
      <c r="AE172" s="155"/>
      <c r="AF172" s="155"/>
      <c r="AG172" s="155"/>
      <c r="AH172" s="143"/>
      <c r="AI172" s="158"/>
    </row>
    <row r="173" spans="1:35">
      <c r="A173" s="140"/>
      <c r="B173" s="143"/>
      <c r="C173" s="143" t="s">
        <v>78</v>
      </c>
      <c r="D173" s="143" t="s">
        <v>501</v>
      </c>
      <c r="E173" s="143" t="s">
        <v>80</v>
      </c>
      <c r="F173" s="153" t="s">
        <v>679</v>
      </c>
      <c r="G173" s="153" t="s">
        <v>389</v>
      </c>
      <c r="H173" s="153"/>
      <c r="I173" s="227"/>
      <c r="J173" s="165">
        <v>1</v>
      </c>
      <c r="K173" s="165"/>
      <c r="L173" s="155"/>
      <c r="M173" s="155"/>
      <c r="N173" s="155"/>
      <c r="O173" s="155"/>
      <c r="P173" s="155"/>
      <c r="Q173" s="155"/>
      <c r="R173" s="155"/>
      <c r="S173" s="155"/>
      <c r="T173" s="155"/>
      <c r="U173" s="167" t="s">
        <v>862</v>
      </c>
      <c r="V173" s="153" t="s">
        <v>503</v>
      </c>
      <c r="W173" s="143" t="s">
        <v>298</v>
      </c>
      <c r="X173" s="157" t="s">
        <v>227</v>
      </c>
      <c r="Y173" s="153">
        <v>9771621625</v>
      </c>
      <c r="Z173" s="143"/>
      <c r="AA173" s="162" t="s">
        <v>524</v>
      </c>
      <c r="AB173" s="143" t="s">
        <v>528</v>
      </c>
      <c r="AC173" s="155">
        <v>1</v>
      </c>
      <c r="AD173" s="155"/>
      <c r="AE173" s="155"/>
      <c r="AF173" s="155"/>
      <c r="AG173" s="155"/>
      <c r="AH173" s="143"/>
      <c r="AI173" s="158"/>
    </row>
    <row r="174" spans="1:35">
      <c r="A174" s="140"/>
      <c r="B174" s="143"/>
      <c r="C174" s="143" t="s">
        <v>78</v>
      </c>
      <c r="D174" s="143" t="s">
        <v>501</v>
      </c>
      <c r="E174" s="143" t="s">
        <v>80</v>
      </c>
      <c r="F174" s="153" t="s">
        <v>680</v>
      </c>
      <c r="G174" s="153" t="s">
        <v>681</v>
      </c>
      <c r="H174" s="153"/>
      <c r="I174" s="227"/>
      <c r="J174" s="165">
        <v>1</v>
      </c>
      <c r="K174" s="165"/>
      <c r="L174" s="155"/>
      <c r="M174" s="155"/>
      <c r="N174" s="155"/>
      <c r="O174" s="155"/>
      <c r="P174" s="155"/>
      <c r="Q174" s="155"/>
      <c r="R174" s="155"/>
      <c r="S174" s="155"/>
      <c r="T174" s="155"/>
      <c r="U174" s="167" t="s">
        <v>863</v>
      </c>
      <c r="V174" s="153" t="s">
        <v>872</v>
      </c>
      <c r="W174" s="143" t="s">
        <v>279</v>
      </c>
      <c r="X174" s="157" t="s">
        <v>227</v>
      </c>
      <c r="Y174" s="153">
        <v>9357524548</v>
      </c>
      <c r="Z174" s="143"/>
      <c r="AA174" s="162" t="s">
        <v>524</v>
      </c>
      <c r="AB174" s="143" t="s">
        <v>528</v>
      </c>
      <c r="AC174" s="155">
        <v>1</v>
      </c>
      <c r="AD174" s="155"/>
      <c r="AE174" s="155"/>
      <c r="AF174" s="155"/>
      <c r="AG174" s="155"/>
      <c r="AH174" s="143"/>
      <c r="AI174" s="158"/>
    </row>
    <row r="175" spans="1:35">
      <c r="A175" s="140"/>
      <c r="B175" s="143"/>
      <c r="C175" s="143" t="s">
        <v>78</v>
      </c>
      <c r="D175" s="143" t="s">
        <v>501</v>
      </c>
      <c r="E175" s="143" t="s">
        <v>80</v>
      </c>
      <c r="F175" s="153" t="s">
        <v>682</v>
      </c>
      <c r="G175" s="153" t="s">
        <v>683</v>
      </c>
      <c r="H175" s="153"/>
      <c r="I175" s="227"/>
      <c r="J175" s="165">
        <v>1</v>
      </c>
      <c r="K175" s="165"/>
      <c r="L175" s="155"/>
      <c r="M175" s="155"/>
      <c r="N175" s="155"/>
      <c r="O175" s="155"/>
      <c r="P175" s="155"/>
      <c r="Q175" s="155"/>
      <c r="R175" s="155"/>
      <c r="S175" s="155"/>
      <c r="T175" s="155"/>
      <c r="U175" s="167" t="s">
        <v>517</v>
      </c>
      <c r="V175" s="153" t="s">
        <v>503</v>
      </c>
      <c r="W175" s="143" t="s">
        <v>298</v>
      </c>
      <c r="X175" s="157" t="s">
        <v>227</v>
      </c>
      <c r="Y175" s="153">
        <v>9679440195</v>
      </c>
      <c r="Z175" s="143"/>
      <c r="AA175" s="162" t="s">
        <v>524</v>
      </c>
      <c r="AB175" s="143" t="s">
        <v>528</v>
      </c>
      <c r="AC175" s="155">
        <v>1</v>
      </c>
      <c r="AD175" s="155"/>
      <c r="AE175" s="155"/>
      <c r="AF175" s="155"/>
      <c r="AG175" s="155"/>
      <c r="AH175" s="143"/>
      <c r="AI175" s="158"/>
    </row>
    <row r="176" spans="1:35">
      <c r="A176" s="140"/>
      <c r="B176" s="143"/>
      <c r="C176" s="143" t="s">
        <v>78</v>
      </c>
      <c r="D176" s="143" t="s">
        <v>501</v>
      </c>
      <c r="E176" s="143" t="s">
        <v>80</v>
      </c>
      <c r="F176" s="153" t="s">
        <v>684</v>
      </c>
      <c r="G176" s="153" t="s">
        <v>685</v>
      </c>
      <c r="H176" s="153"/>
      <c r="I176" s="227"/>
      <c r="J176" s="166"/>
      <c r="K176" s="165">
        <v>1</v>
      </c>
      <c r="L176" s="155"/>
      <c r="M176" s="155"/>
      <c r="N176" s="155"/>
      <c r="O176" s="155"/>
      <c r="P176" s="155"/>
      <c r="Q176" s="155"/>
      <c r="R176" s="155"/>
      <c r="S176" s="155"/>
      <c r="T176" s="155"/>
      <c r="U176" s="167" t="s">
        <v>517</v>
      </c>
      <c r="V176" s="153" t="s">
        <v>503</v>
      </c>
      <c r="W176" s="143" t="s">
        <v>298</v>
      </c>
      <c r="X176" s="157" t="s">
        <v>227</v>
      </c>
      <c r="Y176" s="153">
        <v>9368307535</v>
      </c>
      <c r="Z176" s="143"/>
      <c r="AA176" s="162" t="s">
        <v>524</v>
      </c>
      <c r="AB176" s="143" t="s">
        <v>528</v>
      </c>
      <c r="AC176" s="155">
        <v>1</v>
      </c>
      <c r="AD176" s="155"/>
      <c r="AE176" s="155"/>
      <c r="AF176" s="155"/>
      <c r="AG176" s="155"/>
      <c r="AH176" s="143"/>
      <c r="AI176" s="158"/>
    </row>
    <row r="177" spans="1:35">
      <c r="A177" s="140"/>
      <c r="B177" s="143"/>
      <c r="C177" s="143" t="s">
        <v>78</v>
      </c>
      <c r="D177" s="143" t="s">
        <v>501</v>
      </c>
      <c r="E177" s="143" t="s">
        <v>80</v>
      </c>
      <c r="F177" s="153" t="s">
        <v>686</v>
      </c>
      <c r="G177" s="153" t="s">
        <v>687</v>
      </c>
      <c r="H177" s="153" t="s">
        <v>126</v>
      </c>
      <c r="I177" s="227">
        <v>30864</v>
      </c>
      <c r="J177" s="166"/>
      <c r="K177" s="165">
        <v>1</v>
      </c>
      <c r="L177" s="155"/>
      <c r="M177" s="155"/>
      <c r="N177" s="155"/>
      <c r="O177" s="155"/>
      <c r="P177" s="155"/>
      <c r="Q177" s="155"/>
      <c r="R177" s="155"/>
      <c r="S177" s="155"/>
      <c r="T177" s="155"/>
      <c r="U177" s="167" t="s">
        <v>517</v>
      </c>
      <c r="V177" s="153" t="s">
        <v>503</v>
      </c>
      <c r="W177" s="143" t="s">
        <v>298</v>
      </c>
      <c r="X177" s="157" t="s">
        <v>227</v>
      </c>
      <c r="Y177" s="153">
        <v>9465991196</v>
      </c>
      <c r="Z177" s="143"/>
      <c r="AA177" s="162" t="s">
        <v>524</v>
      </c>
      <c r="AB177" s="143" t="s">
        <v>528</v>
      </c>
      <c r="AC177" s="155">
        <v>1</v>
      </c>
      <c r="AD177" s="155"/>
      <c r="AE177" s="155"/>
      <c r="AF177" s="155"/>
      <c r="AG177" s="155"/>
      <c r="AH177" s="143"/>
      <c r="AI177" s="158"/>
    </row>
    <row r="178" spans="1:35">
      <c r="A178" s="140"/>
      <c r="B178" s="143"/>
      <c r="C178" s="143" t="s">
        <v>78</v>
      </c>
      <c r="D178" s="143" t="s">
        <v>501</v>
      </c>
      <c r="E178" s="143" t="s">
        <v>80</v>
      </c>
      <c r="F178" s="153" t="s">
        <v>688</v>
      </c>
      <c r="G178" s="153" t="s">
        <v>689</v>
      </c>
      <c r="H178" s="153"/>
      <c r="I178" s="227">
        <v>31235</v>
      </c>
      <c r="J178" s="165">
        <v>1</v>
      </c>
      <c r="K178" s="165"/>
      <c r="L178" s="155"/>
      <c r="M178" s="155"/>
      <c r="N178" s="155"/>
      <c r="O178" s="155"/>
      <c r="P178" s="155"/>
      <c r="Q178" s="155"/>
      <c r="R178" s="155"/>
      <c r="S178" s="155"/>
      <c r="T178" s="155"/>
      <c r="U178" s="167" t="s">
        <v>507</v>
      </c>
      <c r="V178" s="153" t="s">
        <v>503</v>
      </c>
      <c r="W178" s="143" t="s">
        <v>298</v>
      </c>
      <c r="X178" s="157" t="s">
        <v>227</v>
      </c>
      <c r="Y178" s="153">
        <v>9506547294</v>
      </c>
      <c r="Z178" s="143"/>
      <c r="AA178" s="162" t="s">
        <v>524</v>
      </c>
      <c r="AB178" s="143" t="s">
        <v>528</v>
      </c>
      <c r="AC178" s="155">
        <v>1</v>
      </c>
      <c r="AD178" s="155"/>
      <c r="AE178" s="155"/>
      <c r="AF178" s="155"/>
      <c r="AG178" s="155"/>
      <c r="AH178" s="143"/>
      <c r="AI178" s="158"/>
    </row>
    <row r="179" spans="1:35">
      <c r="A179" s="140"/>
      <c r="B179" s="143"/>
      <c r="C179" s="143" t="s">
        <v>78</v>
      </c>
      <c r="D179" s="143" t="s">
        <v>501</v>
      </c>
      <c r="E179" s="143" t="s">
        <v>80</v>
      </c>
      <c r="F179" s="153" t="s">
        <v>690</v>
      </c>
      <c r="G179" s="153" t="s">
        <v>691</v>
      </c>
      <c r="H179" s="153"/>
      <c r="I179" s="227">
        <v>26028</v>
      </c>
      <c r="J179" s="166"/>
      <c r="K179" s="165">
        <v>1</v>
      </c>
      <c r="L179" s="155"/>
      <c r="M179" s="155"/>
      <c r="N179" s="155"/>
      <c r="O179" s="155"/>
      <c r="P179" s="155"/>
      <c r="Q179" s="155"/>
      <c r="R179" s="155"/>
      <c r="S179" s="155"/>
      <c r="T179" s="155"/>
      <c r="U179" s="167" t="s">
        <v>517</v>
      </c>
      <c r="V179" s="153" t="s">
        <v>503</v>
      </c>
      <c r="W179" s="143" t="s">
        <v>298</v>
      </c>
      <c r="X179" s="157" t="s">
        <v>227</v>
      </c>
      <c r="Y179" s="153">
        <v>9303354954</v>
      </c>
      <c r="Z179" s="143"/>
      <c r="AA179" s="162" t="s">
        <v>524</v>
      </c>
      <c r="AB179" s="143" t="s">
        <v>528</v>
      </c>
      <c r="AC179" s="155">
        <v>1</v>
      </c>
      <c r="AD179" s="155"/>
      <c r="AE179" s="155"/>
      <c r="AF179" s="155"/>
      <c r="AG179" s="155"/>
      <c r="AH179" s="143"/>
      <c r="AI179" s="158"/>
    </row>
    <row r="180" spans="1:35">
      <c r="A180" s="140"/>
      <c r="B180" s="143"/>
      <c r="C180" s="143" t="s">
        <v>78</v>
      </c>
      <c r="D180" s="143" t="s">
        <v>501</v>
      </c>
      <c r="E180" s="143" t="s">
        <v>80</v>
      </c>
      <c r="F180" s="153" t="s">
        <v>692</v>
      </c>
      <c r="G180" s="153" t="s">
        <v>638</v>
      </c>
      <c r="H180" s="153"/>
      <c r="I180" s="227">
        <v>24738</v>
      </c>
      <c r="J180" s="165">
        <v>1</v>
      </c>
      <c r="K180" s="165"/>
      <c r="L180" s="155"/>
      <c r="M180" s="155"/>
      <c r="N180" s="155"/>
      <c r="O180" s="155"/>
      <c r="P180" s="155"/>
      <c r="Q180" s="155"/>
      <c r="R180" s="155"/>
      <c r="S180" s="155"/>
      <c r="T180" s="155"/>
      <c r="U180" s="167" t="s">
        <v>517</v>
      </c>
      <c r="V180" s="153" t="s">
        <v>503</v>
      </c>
      <c r="W180" s="143" t="s">
        <v>298</v>
      </c>
      <c r="X180" s="157" t="s">
        <v>227</v>
      </c>
      <c r="Y180" s="153">
        <v>9701283861</v>
      </c>
      <c r="Z180" s="143"/>
      <c r="AA180" s="162" t="s">
        <v>524</v>
      </c>
      <c r="AB180" s="143" t="s">
        <v>528</v>
      </c>
      <c r="AC180" s="155">
        <v>1</v>
      </c>
      <c r="AD180" s="155"/>
      <c r="AE180" s="155"/>
      <c r="AF180" s="155"/>
      <c r="AG180" s="155"/>
      <c r="AH180" s="143"/>
      <c r="AI180" s="158"/>
    </row>
    <row r="181" spans="1:35">
      <c r="A181" s="140"/>
      <c r="B181" s="143"/>
      <c r="C181" s="143" t="s">
        <v>78</v>
      </c>
      <c r="D181" s="143" t="s">
        <v>501</v>
      </c>
      <c r="E181" s="143" t="s">
        <v>80</v>
      </c>
      <c r="F181" s="153" t="s">
        <v>693</v>
      </c>
      <c r="G181" s="153" t="s">
        <v>619</v>
      </c>
      <c r="H181" s="153"/>
      <c r="I181" s="227">
        <v>28364</v>
      </c>
      <c r="J181" s="166"/>
      <c r="K181" s="165">
        <v>1</v>
      </c>
      <c r="L181" s="155"/>
      <c r="M181" s="155"/>
      <c r="N181" s="155"/>
      <c r="O181" s="155"/>
      <c r="P181" s="155"/>
      <c r="Q181" s="155"/>
      <c r="R181" s="155"/>
      <c r="S181" s="155"/>
      <c r="T181" s="155"/>
      <c r="U181" s="167" t="s">
        <v>517</v>
      </c>
      <c r="V181" s="153" t="s">
        <v>503</v>
      </c>
      <c r="W181" s="143" t="s">
        <v>298</v>
      </c>
      <c r="X181" s="157" t="s">
        <v>227</v>
      </c>
      <c r="Y181" s="153">
        <v>9380978564</v>
      </c>
      <c r="Z181" s="143"/>
      <c r="AA181" s="162" t="s">
        <v>524</v>
      </c>
      <c r="AB181" s="143" t="s">
        <v>528</v>
      </c>
      <c r="AC181" s="155">
        <v>1</v>
      </c>
      <c r="AD181" s="155"/>
      <c r="AE181" s="155"/>
      <c r="AF181" s="155"/>
      <c r="AG181" s="155"/>
      <c r="AH181" s="143"/>
      <c r="AI181" s="158"/>
    </row>
    <row r="182" spans="1:35">
      <c r="A182" s="140"/>
      <c r="B182" s="143"/>
      <c r="C182" s="143" t="s">
        <v>78</v>
      </c>
      <c r="D182" s="143" t="s">
        <v>501</v>
      </c>
      <c r="E182" s="143" t="s">
        <v>80</v>
      </c>
      <c r="F182" s="153" t="s">
        <v>690</v>
      </c>
      <c r="G182" s="153" t="s">
        <v>694</v>
      </c>
      <c r="H182" s="153"/>
      <c r="I182" s="227">
        <v>34031</v>
      </c>
      <c r="J182" s="166"/>
      <c r="K182" s="165">
        <v>1</v>
      </c>
      <c r="L182" s="155"/>
      <c r="M182" s="155"/>
      <c r="N182" s="155"/>
      <c r="O182" s="155"/>
      <c r="P182" s="155"/>
      <c r="Q182" s="155"/>
      <c r="R182" s="155"/>
      <c r="S182" s="155"/>
      <c r="T182" s="155"/>
      <c r="U182" s="167" t="s">
        <v>517</v>
      </c>
      <c r="V182" s="153" t="s">
        <v>503</v>
      </c>
      <c r="W182" s="143" t="s">
        <v>298</v>
      </c>
      <c r="X182" s="157" t="s">
        <v>227</v>
      </c>
      <c r="Y182" s="153">
        <v>9050974266</v>
      </c>
      <c r="Z182" s="143"/>
      <c r="AA182" s="162" t="s">
        <v>524</v>
      </c>
      <c r="AB182" s="143" t="s">
        <v>528</v>
      </c>
      <c r="AC182" s="155">
        <v>1</v>
      </c>
      <c r="AD182" s="155"/>
      <c r="AE182" s="155"/>
      <c r="AF182" s="155"/>
      <c r="AG182" s="155"/>
      <c r="AH182" s="143"/>
      <c r="AI182" s="158"/>
    </row>
    <row r="183" spans="1:35">
      <c r="A183" s="140"/>
      <c r="B183" s="143"/>
      <c r="C183" s="143" t="s">
        <v>78</v>
      </c>
      <c r="D183" s="143" t="s">
        <v>501</v>
      </c>
      <c r="E183" s="143" t="s">
        <v>80</v>
      </c>
      <c r="F183" s="153" t="s">
        <v>581</v>
      </c>
      <c r="G183" s="153" t="s">
        <v>695</v>
      </c>
      <c r="H183" s="153"/>
      <c r="I183" s="227">
        <v>33050</v>
      </c>
      <c r="J183" s="166"/>
      <c r="K183" s="165">
        <v>1</v>
      </c>
      <c r="L183" s="155"/>
      <c r="M183" s="155"/>
      <c r="N183" s="155"/>
      <c r="O183" s="155"/>
      <c r="P183" s="155"/>
      <c r="Q183" s="155"/>
      <c r="R183" s="155"/>
      <c r="S183" s="155"/>
      <c r="T183" s="155"/>
      <c r="U183" s="167" t="s">
        <v>517</v>
      </c>
      <c r="V183" s="153" t="s">
        <v>503</v>
      </c>
      <c r="W183" s="143" t="s">
        <v>298</v>
      </c>
      <c r="X183" s="157" t="s">
        <v>227</v>
      </c>
      <c r="Y183" s="153">
        <v>9066115144</v>
      </c>
      <c r="Z183" s="143"/>
      <c r="AA183" s="162" t="s">
        <v>524</v>
      </c>
      <c r="AB183" s="143" t="s">
        <v>528</v>
      </c>
      <c r="AC183" s="155">
        <v>1</v>
      </c>
      <c r="AD183" s="155"/>
      <c r="AE183" s="155"/>
      <c r="AF183" s="155"/>
      <c r="AG183" s="155"/>
      <c r="AH183" s="143"/>
      <c r="AI183" s="158"/>
    </row>
    <row r="184" spans="1:35">
      <c r="A184" s="140"/>
      <c r="B184" s="143"/>
      <c r="C184" s="143" t="s">
        <v>78</v>
      </c>
      <c r="D184" s="143" t="s">
        <v>501</v>
      </c>
      <c r="E184" s="143" t="s">
        <v>80</v>
      </c>
      <c r="F184" s="153" t="s">
        <v>696</v>
      </c>
      <c r="G184" s="153" t="s">
        <v>169</v>
      </c>
      <c r="H184" s="153" t="s">
        <v>136</v>
      </c>
      <c r="I184" s="227">
        <v>27458</v>
      </c>
      <c r="J184" s="165">
        <v>1</v>
      </c>
      <c r="K184" s="165"/>
      <c r="L184" s="155"/>
      <c r="M184" s="155"/>
      <c r="N184" s="155"/>
      <c r="O184" s="155"/>
      <c r="P184" s="155"/>
      <c r="Q184" s="155"/>
      <c r="R184" s="155"/>
      <c r="S184" s="155"/>
      <c r="T184" s="155"/>
      <c r="U184" s="167" t="s">
        <v>517</v>
      </c>
      <c r="V184" s="153" t="s">
        <v>503</v>
      </c>
      <c r="W184" s="143" t="s">
        <v>298</v>
      </c>
      <c r="X184" s="157" t="s">
        <v>227</v>
      </c>
      <c r="Y184" s="153">
        <v>9059522547</v>
      </c>
      <c r="Z184" s="143"/>
      <c r="AA184" s="162" t="s">
        <v>524</v>
      </c>
      <c r="AB184" s="143" t="s">
        <v>528</v>
      </c>
      <c r="AC184" s="155">
        <v>1</v>
      </c>
      <c r="AD184" s="155"/>
      <c r="AE184" s="155"/>
      <c r="AF184" s="155"/>
      <c r="AG184" s="155"/>
      <c r="AH184" s="143"/>
      <c r="AI184" s="158"/>
    </row>
    <row r="185" spans="1:35">
      <c r="A185" s="140"/>
      <c r="B185" s="143"/>
      <c r="C185" s="143" t="s">
        <v>78</v>
      </c>
      <c r="D185" s="143" t="s">
        <v>501</v>
      </c>
      <c r="E185" s="143" t="s">
        <v>80</v>
      </c>
      <c r="F185" s="153" t="s">
        <v>697</v>
      </c>
      <c r="G185" s="153" t="s">
        <v>698</v>
      </c>
      <c r="H185" s="153" t="s">
        <v>144</v>
      </c>
      <c r="I185" s="227">
        <v>27951</v>
      </c>
      <c r="J185" s="165">
        <v>1</v>
      </c>
      <c r="K185" s="165"/>
      <c r="L185" s="155"/>
      <c r="M185" s="155"/>
      <c r="N185" s="155"/>
      <c r="O185" s="155"/>
      <c r="P185" s="155"/>
      <c r="Q185" s="155"/>
      <c r="R185" s="155"/>
      <c r="S185" s="155"/>
      <c r="T185" s="155"/>
      <c r="U185" s="167" t="s">
        <v>517</v>
      </c>
      <c r="V185" s="153" t="s">
        <v>503</v>
      </c>
      <c r="W185" s="143" t="s">
        <v>298</v>
      </c>
      <c r="X185" s="157" t="s">
        <v>227</v>
      </c>
      <c r="Y185" s="153">
        <v>9756694637</v>
      </c>
      <c r="Z185" s="143"/>
      <c r="AA185" s="162" t="s">
        <v>524</v>
      </c>
      <c r="AB185" s="143" t="s">
        <v>528</v>
      </c>
      <c r="AC185" s="155">
        <v>1</v>
      </c>
      <c r="AD185" s="155"/>
      <c r="AE185" s="155"/>
      <c r="AF185" s="155"/>
      <c r="AG185" s="155"/>
      <c r="AH185" s="143"/>
      <c r="AI185" s="158"/>
    </row>
    <row r="186" spans="1:35">
      <c r="A186" s="140"/>
      <c r="B186" s="143"/>
      <c r="C186" s="143" t="s">
        <v>78</v>
      </c>
      <c r="D186" s="143" t="s">
        <v>501</v>
      </c>
      <c r="E186" s="143" t="s">
        <v>80</v>
      </c>
      <c r="F186" s="153" t="s">
        <v>150</v>
      </c>
      <c r="G186" s="153" t="s">
        <v>699</v>
      </c>
      <c r="H186" s="153" t="s">
        <v>160</v>
      </c>
      <c r="I186" s="227">
        <v>32368</v>
      </c>
      <c r="J186" s="165">
        <v>1</v>
      </c>
      <c r="K186" s="165"/>
      <c r="L186" s="155"/>
      <c r="M186" s="155"/>
      <c r="N186" s="155"/>
      <c r="O186" s="155"/>
      <c r="P186" s="155"/>
      <c r="Q186" s="155"/>
      <c r="R186" s="155"/>
      <c r="S186" s="155"/>
      <c r="T186" s="155"/>
      <c r="U186" s="167" t="s">
        <v>517</v>
      </c>
      <c r="V186" s="153" t="s">
        <v>503</v>
      </c>
      <c r="W186" s="143" t="s">
        <v>298</v>
      </c>
      <c r="X186" s="157" t="s">
        <v>227</v>
      </c>
      <c r="Y186" s="153">
        <v>9051902102</v>
      </c>
      <c r="Z186" s="143"/>
      <c r="AA186" s="162" t="s">
        <v>524</v>
      </c>
      <c r="AB186" s="143" t="s">
        <v>528</v>
      </c>
      <c r="AC186" s="155">
        <v>1</v>
      </c>
      <c r="AD186" s="155"/>
      <c r="AE186" s="155"/>
      <c r="AF186" s="155"/>
      <c r="AG186" s="155"/>
      <c r="AH186" s="143"/>
      <c r="AI186" s="158"/>
    </row>
    <row r="187" spans="1:35">
      <c r="A187" s="140"/>
      <c r="B187" s="143"/>
      <c r="C187" s="143" t="s">
        <v>78</v>
      </c>
      <c r="D187" s="143" t="s">
        <v>501</v>
      </c>
      <c r="E187" s="143" t="s">
        <v>80</v>
      </c>
      <c r="F187" s="153" t="s">
        <v>482</v>
      </c>
      <c r="G187" s="153" t="s">
        <v>700</v>
      </c>
      <c r="H187" s="153" t="s">
        <v>136</v>
      </c>
      <c r="I187" s="227">
        <v>32845</v>
      </c>
      <c r="J187" s="166"/>
      <c r="K187" s="165">
        <v>1</v>
      </c>
      <c r="L187" s="155"/>
      <c r="M187" s="155"/>
      <c r="N187" s="155"/>
      <c r="O187" s="155"/>
      <c r="P187" s="155"/>
      <c r="Q187" s="155"/>
      <c r="R187" s="155"/>
      <c r="S187" s="155"/>
      <c r="T187" s="155"/>
      <c r="U187" s="167" t="s">
        <v>517</v>
      </c>
      <c r="V187" s="153" t="s">
        <v>503</v>
      </c>
      <c r="W187" s="143" t="s">
        <v>298</v>
      </c>
      <c r="X187" s="157" t="s">
        <v>227</v>
      </c>
      <c r="Y187" s="153">
        <v>9517664102</v>
      </c>
      <c r="Z187" s="143"/>
      <c r="AA187" s="162" t="s">
        <v>524</v>
      </c>
      <c r="AB187" s="143" t="s">
        <v>528</v>
      </c>
      <c r="AC187" s="155">
        <v>1</v>
      </c>
      <c r="AD187" s="155"/>
      <c r="AE187" s="155"/>
      <c r="AF187" s="155"/>
      <c r="AG187" s="155"/>
      <c r="AH187" s="143"/>
      <c r="AI187" s="158"/>
    </row>
    <row r="188" spans="1:35">
      <c r="A188" s="140"/>
      <c r="B188" s="143"/>
      <c r="C188" s="143" t="s">
        <v>78</v>
      </c>
      <c r="D188" s="143" t="s">
        <v>501</v>
      </c>
      <c r="E188" s="143" t="s">
        <v>80</v>
      </c>
      <c r="F188" s="153" t="s">
        <v>696</v>
      </c>
      <c r="G188" s="153" t="s">
        <v>701</v>
      </c>
      <c r="H188" s="153"/>
      <c r="I188" s="227"/>
      <c r="J188" s="166"/>
      <c r="K188" s="165">
        <v>1</v>
      </c>
      <c r="L188" s="155"/>
      <c r="M188" s="155"/>
      <c r="N188" s="155"/>
      <c r="O188" s="155"/>
      <c r="P188" s="155"/>
      <c r="Q188" s="155"/>
      <c r="R188" s="155"/>
      <c r="S188" s="155"/>
      <c r="T188" s="155"/>
      <c r="U188" s="167" t="s">
        <v>517</v>
      </c>
      <c r="V188" s="153" t="s">
        <v>503</v>
      </c>
      <c r="W188" s="143" t="s">
        <v>298</v>
      </c>
      <c r="X188" s="157" t="s">
        <v>227</v>
      </c>
      <c r="Y188" s="153">
        <v>9059522547</v>
      </c>
      <c r="Z188" s="143"/>
      <c r="AA188" s="162" t="s">
        <v>524</v>
      </c>
      <c r="AB188" s="143" t="s">
        <v>528</v>
      </c>
      <c r="AC188" s="155">
        <v>1</v>
      </c>
      <c r="AD188" s="155"/>
      <c r="AE188" s="155"/>
      <c r="AF188" s="155"/>
      <c r="AG188" s="155"/>
      <c r="AH188" s="143"/>
      <c r="AI188" s="158"/>
    </row>
    <row r="189" spans="1:35">
      <c r="A189" s="140"/>
      <c r="B189" s="143"/>
      <c r="C189" s="143" t="s">
        <v>78</v>
      </c>
      <c r="D189" s="143" t="s">
        <v>501</v>
      </c>
      <c r="E189" s="143" t="s">
        <v>80</v>
      </c>
      <c r="F189" s="153" t="s">
        <v>702</v>
      </c>
      <c r="G189" s="153" t="s">
        <v>703</v>
      </c>
      <c r="H189" s="153" t="s">
        <v>126</v>
      </c>
      <c r="I189" s="227">
        <v>26179</v>
      </c>
      <c r="J189" s="166"/>
      <c r="K189" s="165">
        <v>1</v>
      </c>
      <c r="L189" s="155"/>
      <c r="M189" s="155"/>
      <c r="N189" s="155"/>
      <c r="O189" s="155"/>
      <c r="P189" s="155"/>
      <c r="Q189" s="155"/>
      <c r="R189" s="155"/>
      <c r="S189" s="155"/>
      <c r="T189" s="155"/>
      <c r="U189" s="167" t="s">
        <v>865</v>
      </c>
      <c r="V189" s="153" t="s">
        <v>873</v>
      </c>
      <c r="W189" s="143" t="s">
        <v>279</v>
      </c>
      <c r="X189" s="157" t="s">
        <v>227</v>
      </c>
      <c r="Y189" s="153">
        <v>9703637460</v>
      </c>
      <c r="Z189" s="143"/>
      <c r="AA189" s="162" t="s">
        <v>524</v>
      </c>
      <c r="AB189" s="143" t="s">
        <v>528</v>
      </c>
      <c r="AC189" s="155">
        <v>2</v>
      </c>
      <c r="AD189" s="155"/>
      <c r="AE189" s="155"/>
      <c r="AF189" s="155"/>
      <c r="AG189" s="155"/>
      <c r="AH189" s="143"/>
      <c r="AI189" s="158"/>
    </row>
    <row r="190" spans="1:35">
      <c r="A190" s="140"/>
      <c r="B190" s="143"/>
      <c r="C190" s="143" t="s">
        <v>78</v>
      </c>
      <c r="D190" s="143" t="s">
        <v>501</v>
      </c>
      <c r="E190" s="143" t="s">
        <v>80</v>
      </c>
      <c r="F190" s="153" t="s">
        <v>161</v>
      </c>
      <c r="G190" s="153" t="s">
        <v>704</v>
      </c>
      <c r="H190" s="153" t="s">
        <v>705</v>
      </c>
      <c r="I190" s="227">
        <v>29441</v>
      </c>
      <c r="J190" s="165">
        <v>1</v>
      </c>
      <c r="K190" s="165"/>
      <c r="L190" s="155"/>
      <c r="M190" s="155"/>
      <c r="N190" s="155"/>
      <c r="O190" s="155"/>
      <c r="P190" s="155"/>
      <c r="Q190" s="155"/>
      <c r="R190" s="155"/>
      <c r="S190" s="155"/>
      <c r="T190" s="155"/>
      <c r="U190" s="167" t="s">
        <v>508</v>
      </c>
      <c r="V190" s="153" t="s">
        <v>503</v>
      </c>
      <c r="W190" s="143" t="s">
        <v>298</v>
      </c>
      <c r="X190" s="157" t="s">
        <v>227</v>
      </c>
      <c r="Y190" s="153">
        <v>9489477766</v>
      </c>
      <c r="Z190" s="143"/>
      <c r="AA190" s="162" t="s">
        <v>524</v>
      </c>
      <c r="AB190" s="143" t="s">
        <v>528</v>
      </c>
      <c r="AC190" s="155">
        <v>1</v>
      </c>
      <c r="AD190" s="155"/>
      <c r="AE190" s="155"/>
      <c r="AF190" s="155"/>
      <c r="AG190" s="155"/>
      <c r="AH190" s="143"/>
      <c r="AI190" s="158"/>
    </row>
    <row r="191" spans="1:35">
      <c r="A191" s="140"/>
      <c r="B191" s="143"/>
      <c r="C191" s="143" t="s">
        <v>78</v>
      </c>
      <c r="D191" s="143" t="s">
        <v>501</v>
      </c>
      <c r="E191" s="143" t="s">
        <v>80</v>
      </c>
      <c r="F191" s="153" t="s">
        <v>706</v>
      </c>
      <c r="G191" s="153" t="s">
        <v>707</v>
      </c>
      <c r="H191" s="153" t="s">
        <v>588</v>
      </c>
      <c r="I191" s="227">
        <v>32827</v>
      </c>
      <c r="J191" s="165">
        <v>1</v>
      </c>
      <c r="K191" s="165"/>
      <c r="L191" s="155"/>
      <c r="M191" s="155"/>
      <c r="N191" s="155"/>
      <c r="O191" s="155"/>
      <c r="P191" s="155"/>
      <c r="Q191" s="155"/>
      <c r="R191" s="155"/>
      <c r="S191" s="155"/>
      <c r="T191" s="155"/>
      <c r="U191" s="167" t="s">
        <v>508</v>
      </c>
      <c r="V191" s="153" t="s">
        <v>503</v>
      </c>
      <c r="W191" s="143" t="s">
        <v>298</v>
      </c>
      <c r="X191" s="157" t="s">
        <v>227</v>
      </c>
      <c r="Y191" s="153">
        <v>9165752101</v>
      </c>
      <c r="Z191" s="143"/>
      <c r="AA191" s="162" t="s">
        <v>524</v>
      </c>
      <c r="AB191" s="143" t="s">
        <v>528</v>
      </c>
      <c r="AC191" s="155">
        <v>1</v>
      </c>
      <c r="AD191" s="155"/>
      <c r="AE191" s="155"/>
      <c r="AF191" s="155"/>
      <c r="AG191" s="155"/>
      <c r="AH191" s="143"/>
      <c r="AI191" s="158"/>
    </row>
    <row r="192" spans="1:35">
      <c r="A192" s="140"/>
      <c r="B192" s="143"/>
      <c r="C192" s="143" t="s">
        <v>78</v>
      </c>
      <c r="D192" s="143" t="s">
        <v>501</v>
      </c>
      <c r="E192" s="143" t="s">
        <v>80</v>
      </c>
      <c r="F192" s="153" t="s">
        <v>708</v>
      </c>
      <c r="G192" s="153" t="s">
        <v>709</v>
      </c>
      <c r="H192" s="153" t="s">
        <v>160</v>
      </c>
      <c r="I192" s="227">
        <v>34848</v>
      </c>
      <c r="J192" s="165">
        <v>1</v>
      </c>
      <c r="K192" s="165"/>
      <c r="L192" s="155"/>
      <c r="M192" s="155"/>
      <c r="N192" s="155"/>
      <c r="O192" s="155"/>
      <c r="P192" s="155"/>
      <c r="Q192" s="155"/>
      <c r="R192" s="155"/>
      <c r="S192" s="155"/>
      <c r="T192" s="155"/>
      <c r="U192" s="167" t="s">
        <v>508</v>
      </c>
      <c r="V192" s="153" t="s">
        <v>503</v>
      </c>
      <c r="W192" s="143" t="s">
        <v>298</v>
      </c>
      <c r="X192" s="157" t="s">
        <v>227</v>
      </c>
      <c r="Y192" s="153">
        <v>9651484879</v>
      </c>
      <c r="Z192" s="143"/>
      <c r="AA192" s="162" t="s">
        <v>524</v>
      </c>
      <c r="AB192" s="143" t="s">
        <v>528</v>
      </c>
      <c r="AC192" s="155">
        <v>1</v>
      </c>
      <c r="AD192" s="155"/>
      <c r="AE192" s="155"/>
      <c r="AF192" s="155"/>
      <c r="AG192" s="155"/>
      <c r="AH192" s="143"/>
      <c r="AI192" s="158"/>
    </row>
    <row r="193" spans="1:35">
      <c r="A193" s="140"/>
      <c r="B193" s="143"/>
      <c r="C193" s="143" t="s">
        <v>78</v>
      </c>
      <c r="D193" s="143" t="s">
        <v>501</v>
      </c>
      <c r="E193" s="143" t="s">
        <v>80</v>
      </c>
      <c r="F193" s="153" t="s">
        <v>710</v>
      </c>
      <c r="G193" s="153" t="s">
        <v>711</v>
      </c>
      <c r="H193" s="153" t="s">
        <v>120</v>
      </c>
      <c r="I193" s="227">
        <v>29471</v>
      </c>
      <c r="J193" s="165">
        <v>1</v>
      </c>
      <c r="K193" s="165"/>
      <c r="L193" s="155"/>
      <c r="M193" s="155"/>
      <c r="N193" s="155"/>
      <c r="O193" s="155"/>
      <c r="P193" s="155"/>
      <c r="Q193" s="155"/>
      <c r="R193" s="155"/>
      <c r="S193" s="155"/>
      <c r="T193" s="155"/>
      <c r="U193" s="167" t="s">
        <v>508</v>
      </c>
      <c r="V193" s="153" t="s">
        <v>503</v>
      </c>
      <c r="W193" s="143" t="s">
        <v>298</v>
      </c>
      <c r="X193" s="157" t="s">
        <v>227</v>
      </c>
      <c r="Y193" s="153">
        <v>9677958001</v>
      </c>
      <c r="Z193" s="143"/>
      <c r="AA193" s="162" t="s">
        <v>524</v>
      </c>
      <c r="AB193" s="143" t="s">
        <v>528</v>
      </c>
      <c r="AC193" s="155">
        <v>1</v>
      </c>
      <c r="AD193" s="155"/>
      <c r="AE193" s="155"/>
      <c r="AF193" s="155"/>
      <c r="AG193" s="155"/>
      <c r="AH193" s="143"/>
      <c r="AI193" s="158"/>
    </row>
    <row r="194" spans="1:35">
      <c r="A194" s="140"/>
      <c r="B194" s="143"/>
      <c r="C194" s="143" t="s">
        <v>78</v>
      </c>
      <c r="D194" s="143" t="s">
        <v>501</v>
      </c>
      <c r="E194" s="143" t="s">
        <v>80</v>
      </c>
      <c r="F194" s="153" t="s">
        <v>712</v>
      </c>
      <c r="G194" s="153" t="s">
        <v>713</v>
      </c>
      <c r="H194" s="153"/>
      <c r="I194" s="227">
        <v>26888</v>
      </c>
      <c r="J194" s="165">
        <v>1</v>
      </c>
      <c r="K194" s="165"/>
      <c r="L194" s="155"/>
      <c r="M194" s="155"/>
      <c r="N194" s="155"/>
      <c r="O194" s="155"/>
      <c r="P194" s="155"/>
      <c r="Q194" s="155"/>
      <c r="R194" s="155"/>
      <c r="S194" s="155"/>
      <c r="T194" s="155"/>
      <c r="U194" s="167" t="s">
        <v>853</v>
      </c>
      <c r="V194" s="153" t="s">
        <v>503</v>
      </c>
      <c r="W194" s="143" t="s">
        <v>298</v>
      </c>
      <c r="X194" s="157" t="s">
        <v>227</v>
      </c>
      <c r="Y194" s="153">
        <v>9353683255</v>
      </c>
      <c r="Z194" s="143"/>
      <c r="AA194" s="162" t="s">
        <v>524</v>
      </c>
      <c r="AB194" s="143" t="s">
        <v>528</v>
      </c>
      <c r="AC194" s="155">
        <v>1</v>
      </c>
      <c r="AD194" s="155"/>
      <c r="AE194" s="155"/>
      <c r="AF194" s="155"/>
      <c r="AG194" s="155"/>
      <c r="AH194" s="143"/>
      <c r="AI194" s="158"/>
    </row>
    <row r="195" spans="1:35">
      <c r="A195" s="140"/>
      <c r="B195" s="143"/>
      <c r="C195" s="143" t="s">
        <v>78</v>
      </c>
      <c r="D195" s="143" t="s">
        <v>501</v>
      </c>
      <c r="E195" s="143" t="s">
        <v>80</v>
      </c>
      <c r="F195" s="153" t="s">
        <v>714</v>
      </c>
      <c r="G195" s="153" t="s">
        <v>715</v>
      </c>
      <c r="H195" s="153" t="s">
        <v>421</v>
      </c>
      <c r="I195" s="227">
        <v>24752</v>
      </c>
      <c r="J195" s="165">
        <v>1</v>
      </c>
      <c r="K195" s="165"/>
      <c r="L195" s="155"/>
      <c r="M195" s="155"/>
      <c r="N195" s="155"/>
      <c r="O195" s="155"/>
      <c r="P195" s="155"/>
      <c r="Q195" s="155"/>
      <c r="R195" s="155"/>
      <c r="S195" s="155"/>
      <c r="T195" s="155"/>
      <c r="U195" s="167" t="s">
        <v>853</v>
      </c>
      <c r="V195" s="153" t="s">
        <v>503</v>
      </c>
      <c r="W195" s="143" t="s">
        <v>298</v>
      </c>
      <c r="X195" s="157" t="s">
        <v>227</v>
      </c>
      <c r="Y195" s="153">
        <v>9301477161</v>
      </c>
      <c r="Z195" s="143"/>
      <c r="AA195" s="162" t="s">
        <v>524</v>
      </c>
      <c r="AB195" s="143" t="s">
        <v>528</v>
      </c>
      <c r="AC195" s="155">
        <v>1</v>
      </c>
      <c r="AD195" s="155"/>
      <c r="AE195" s="155"/>
      <c r="AF195" s="155"/>
      <c r="AG195" s="155"/>
      <c r="AH195" s="143"/>
      <c r="AI195" s="158"/>
    </row>
    <row r="196" spans="1:35">
      <c r="A196" s="140"/>
      <c r="B196" s="143"/>
      <c r="C196" s="143" t="s">
        <v>78</v>
      </c>
      <c r="D196" s="143" t="s">
        <v>501</v>
      </c>
      <c r="E196" s="143" t="s">
        <v>80</v>
      </c>
      <c r="F196" s="153" t="s">
        <v>716</v>
      </c>
      <c r="G196" s="153" t="s">
        <v>717</v>
      </c>
      <c r="H196" s="153" t="s">
        <v>126</v>
      </c>
      <c r="I196" s="227">
        <v>21705</v>
      </c>
      <c r="J196" s="165">
        <v>1</v>
      </c>
      <c r="K196" s="165"/>
      <c r="L196" s="155"/>
      <c r="M196" s="155">
        <v>1</v>
      </c>
      <c r="N196" s="155"/>
      <c r="O196" s="155"/>
      <c r="P196" s="155"/>
      <c r="Q196" s="155"/>
      <c r="R196" s="155"/>
      <c r="S196" s="155"/>
      <c r="T196" s="155"/>
      <c r="U196" s="167" t="s">
        <v>853</v>
      </c>
      <c r="V196" s="153" t="s">
        <v>503</v>
      </c>
      <c r="W196" s="143" t="s">
        <v>298</v>
      </c>
      <c r="X196" s="157" t="s">
        <v>227</v>
      </c>
      <c r="Y196" s="153">
        <v>9353683255</v>
      </c>
      <c r="Z196" s="143"/>
      <c r="AA196" s="162" t="s">
        <v>524</v>
      </c>
      <c r="AB196" s="143" t="s">
        <v>528</v>
      </c>
      <c r="AC196" s="155">
        <v>1</v>
      </c>
      <c r="AD196" s="155"/>
      <c r="AE196" s="155"/>
      <c r="AF196" s="155"/>
      <c r="AG196" s="155"/>
      <c r="AH196" s="143"/>
      <c r="AI196" s="158"/>
    </row>
    <row r="197" spans="1:35">
      <c r="A197" s="140"/>
      <c r="B197" s="143"/>
      <c r="C197" s="143" t="s">
        <v>78</v>
      </c>
      <c r="D197" s="143" t="s">
        <v>501</v>
      </c>
      <c r="E197" s="143" t="s">
        <v>80</v>
      </c>
      <c r="F197" s="153" t="s">
        <v>718</v>
      </c>
      <c r="G197" s="153" t="s">
        <v>150</v>
      </c>
      <c r="H197" s="153" t="s">
        <v>136</v>
      </c>
      <c r="I197" s="227">
        <v>27580</v>
      </c>
      <c r="J197" s="165">
        <v>1</v>
      </c>
      <c r="K197" s="165"/>
      <c r="L197" s="155"/>
      <c r="M197" s="155"/>
      <c r="N197" s="155"/>
      <c r="O197" s="155"/>
      <c r="P197" s="155"/>
      <c r="Q197" s="155"/>
      <c r="R197" s="155"/>
      <c r="S197" s="155"/>
      <c r="T197" s="155"/>
      <c r="U197" s="167" t="s">
        <v>864</v>
      </c>
      <c r="V197" s="153" t="s">
        <v>503</v>
      </c>
      <c r="W197" s="143" t="s">
        <v>298</v>
      </c>
      <c r="X197" s="157" t="s">
        <v>227</v>
      </c>
      <c r="Y197" s="153">
        <v>9995326582</v>
      </c>
      <c r="Z197" s="143"/>
      <c r="AA197" s="162" t="s">
        <v>524</v>
      </c>
      <c r="AB197" s="143" t="s">
        <v>528</v>
      </c>
      <c r="AC197" s="155">
        <v>1</v>
      </c>
      <c r="AD197" s="155"/>
      <c r="AE197" s="155"/>
      <c r="AF197" s="155"/>
      <c r="AG197" s="155"/>
      <c r="AH197" s="143"/>
      <c r="AI197" s="158"/>
    </row>
    <row r="198" spans="1:35">
      <c r="A198" s="140"/>
      <c r="B198" s="143"/>
      <c r="C198" s="143" t="s">
        <v>78</v>
      </c>
      <c r="D198" s="143" t="s">
        <v>501</v>
      </c>
      <c r="E198" s="143" t="s">
        <v>80</v>
      </c>
      <c r="F198" s="153" t="s">
        <v>719</v>
      </c>
      <c r="G198" s="153" t="s">
        <v>720</v>
      </c>
      <c r="H198" s="153" t="s">
        <v>283</v>
      </c>
      <c r="I198" s="227">
        <v>26630</v>
      </c>
      <c r="J198" s="166"/>
      <c r="K198" s="165">
        <v>1</v>
      </c>
      <c r="L198" s="155"/>
      <c r="M198" s="155"/>
      <c r="N198" s="155"/>
      <c r="O198" s="155"/>
      <c r="P198" s="155"/>
      <c r="Q198" s="155"/>
      <c r="R198" s="155"/>
      <c r="S198" s="155"/>
      <c r="T198" s="155"/>
      <c r="U198" s="167" t="s">
        <v>544</v>
      </c>
      <c r="V198" s="153" t="s">
        <v>503</v>
      </c>
      <c r="W198" s="143" t="s">
        <v>298</v>
      </c>
      <c r="X198" s="157" t="s">
        <v>227</v>
      </c>
      <c r="Y198" s="153">
        <v>9552281843</v>
      </c>
      <c r="Z198" s="143"/>
      <c r="AA198" s="162" t="s">
        <v>524</v>
      </c>
      <c r="AB198" s="143" t="s">
        <v>528</v>
      </c>
      <c r="AC198" s="155">
        <v>1</v>
      </c>
      <c r="AD198" s="155"/>
      <c r="AE198" s="155"/>
      <c r="AF198" s="155"/>
      <c r="AG198" s="155"/>
      <c r="AH198" s="143"/>
      <c r="AI198" s="158"/>
    </row>
    <row r="199" spans="1:35">
      <c r="A199" s="140"/>
      <c r="B199" s="143"/>
      <c r="C199" s="143" t="s">
        <v>78</v>
      </c>
      <c r="D199" s="143" t="s">
        <v>501</v>
      </c>
      <c r="E199" s="143" t="s">
        <v>80</v>
      </c>
      <c r="F199" s="153" t="s">
        <v>721</v>
      </c>
      <c r="G199" s="153" t="s">
        <v>722</v>
      </c>
      <c r="H199" s="153"/>
      <c r="I199" s="227">
        <v>19753</v>
      </c>
      <c r="J199" s="165">
        <v>1</v>
      </c>
      <c r="K199" s="165"/>
      <c r="L199" s="155"/>
      <c r="M199" s="155">
        <v>1</v>
      </c>
      <c r="N199" s="155"/>
      <c r="O199" s="155"/>
      <c r="P199" s="155"/>
      <c r="Q199" s="155"/>
      <c r="R199" s="155"/>
      <c r="S199" s="155"/>
      <c r="T199" s="155"/>
      <c r="U199" s="167" t="s">
        <v>544</v>
      </c>
      <c r="V199" s="153" t="s">
        <v>503</v>
      </c>
      <c r="W199" s="143" t="s">
        <v>298</v>
      </c>
      <c r="X199" s="157" t="s">
        <v>227</v>
      </c>
      <c r="Y199" s="153">
        <v>9659242319</v>
      </c>
      <c r="Z199" s="143"/>
      <c r="AA199" s="162" t="s">
        <v>524</v>
      </c>
      <c r="AB199" s="143" t="s">
        <v>528</v>
      </c>
      <c r="AC199" s="155">
        <v>1</v>
      </c>
      <c r="AD199" s="155"/>
      <c r="AE199" s="155"/>
      <c r="AF199" s="155"/>
      <c r="AG199" s="155"/>
      <c r="AH199" s="143"/>
      <c r="AI199" s="158"/>
    </row>
    <row r="200" spans="1:35">
      <c r="A200" s="140"/>
      <c r="B200" s="143"/>
      <c r="C200" s="143" t="s">
        <v>78</v>
      </c>
      <c r="D200" s="143" t="s">
        <v>501</v>
      </c>
      <c r="E200" s="143" t="s">
        <v>80</v>
      </c>
      <c r="F200" s="153" t="s">
        <v>723</v>
      </c>
      <c r="G200" s="153" t="s">
        <v>724</v>
      </c>
      <c r="H200" s="153" t="s">
        <v>604</v>
      </c>
      <c r="I200" s="227">
        <v>32831</v>
      </c>
      <c r="J200" s="166"/>
      <c r="K200" s="165">
        <v>1</v>
      </c>
      <c r="L200" s="155"/>
      <c r="M200" s="155"/>
      <c r="N200" s="155"/>
      <c r="O200" s="155"/>
      <c r="P200" s="155"/>
      <c r="Q200" s="155"/>
      <c r="R200" s="155"/>
      <c r="S200" s="155"/>
      <c r="T200" s="155"/>
      <c r="U200" s="167" t="s">
        <v>544</v>
      </c>
      <c r="V200" s="153" t="s">
        <v>503</v>
      </c>
      <c r="W200" s="143" t="s">
        <v>298</v>
      </c>
      <c r="X200" s="157" t="s">
        <v>227</v>
      </c>
      <c r="Y200" s="153">
        <v>9100502247</v>
      </c>
      <c r="Z200" s="143"/>
      <c r="AA200" s="162" t="s">
        <v>524</v>
      </c>
      <c r="AB200" s="143" t="s">
        <v>528</v>
      </c>
      <c r="AC200" s="155">
        <v>1</v>
      </c>
      <c r="AD200" s="155"/>
      <c r="AE200" s="155"/>
      <c r="AF200" s="155"/>
      <c r="AG200" s="155"/>
      <c r="AH200" s="143"/>
      <c r="AI200" s="158"/>
    </row>
    <row r="201" spans="1:35">
      <c r="A201" s="140"/>
      <c r="B201" s="143"/>
      <c r="C201" s="143" t="s">
        <v>78</v>
      </c>
      <c r="D201" s="143" t="s">
        <v>501</v>
      </c>
      <c r="E201" s="143" t="s">
        <v>80</v>
      </c>
      <c r="F201" s="153" t="s">
        <v>725</v>
      </c>
      <c r="G201" s="153" t="s">
        <v>726</v>
      </c>
      <c r="H201" s="153" t="s">
        <v>136</v>
      </c>
      <c r="I201" s="227">
        <v>32073</v>
      </c>
      <c r="J201" s="165">
        <v>1</v>
      </c>
      <c r="K201" s="165"/>
      <c r="L201" s="155"/>
      <c r="M201" s="155"/>
      <c r="N201" s="155"/>
      <c r="O201" s="155"/>
      <c r="P201" s="155"/>
      <c r="Q201" s="155"/>
      <c r="R201" s="155"/>
      <c r="S201" s="155"/>
      <c r="T201" s="155"/>
      <c r="U201" s="167" t="s">
        <v>544</v>
      </c>
      <c r="V201" s="153" t="s">
        <v>503</v>
      </c>
      <c r="W201" s="143" t="s">
        <v>298</v>
      </c>
      <c r="X201" s="157" t="s">
        <v>227</v>
      </c>
      <c r="Y201" s="153">
        <v>9659665924</v>
      </c>
      <c r="Z201" s="143"/>
      <c r="AA201" s="162" t="s">
        <v>524</v>
      </c>
      <c r="AB201" s="143" t="s">
        <v>528</v>
      </c>
      <c r="AC201" s="155">
        <v>1</v>
      </c>
      <c r="AD201" s="155"/>
      <c r="AE201" s="155"/>
      <c r="AF201" s="155"/>
      <c r="AG201" s="155"/>
      <c r="AH201" s="143"/>
      <c r="AI201" s="158"/>
    </row>
    <row r="202" spans="1:35">
      <c r="A202" s="140"/>
      <c r="B202" s="143"/>
      <c r="C202" s="143" t="s">
        <v>78</v>
      </c>
      <c r="D202" s="143" t="s">
        <v>501</v>
      </c>
      <c r="E202" s="143" t="s">
        <v>80</v>
      </c>
      <c r="F202" s="153" t="s">
        <v>727</v>
      </c>
      <c r="G202" s="153" t="s">
        <v>728</v>
      </c>
      <c r="H202" s="153" t="s">
        <v>115</v>
      </c>
      <c r="I202" s="227">
        <v>25549</v>
      </c>
      <c r="J202" s="166"/>
      <c r="K202" s="165">
        <v>1</v>
      </c>
      <c r="L202" s="155"/>
      <c r="M202" s="155"/>
      <c r="N202" s="155"/>
      <c r="O202" s="155"/>
      <c r="P202" s="155"/>
      <c r="Q202" s="155"/>
      <c r="R202" s="155"/>
      <c r="S202" s="155"/>
      <c r="T202" s="155"/>
      <c r="U202" s="167" t="s">
        <v>504</v>
      </c>
      <c r="V202" s="153" t="s">
        <v>503</v>
      </c>
      <c r="W202" s="143" t="s">
        <v>298</v>
      </c>
      <c r="X202" s="157" t="s">
        <v>227</v>
      </c>
      <c r="Y202" s="153">
        <v>9353672148</v>
      </c>
      <c r="Z202" s="143"/>
      <c r="AA202" s="162" t="s">
        <v>524</v>
      </c>
      <c r="AB202" s="143" t="s">
        <v>528</v>
      </c>
      <c r="AC202" s="155">
        <v>1</v>
      </c>
      <c r="AD202" s="155"/>
      <c r="AE202" s="155"/>
      <c r="AF202" s="155"/>
      <c r="AG202" s="155"/>
      <c r="AH202" s="143"/>
      <c r="AI202" s="158"/>
    </row>
    <row r="203" spans="1:35">
      <c r="A203" s="140"/>
      <c r="B203" s="143"/>
      <c r="C203" s="143" t="s">
        <v>78</v>
      </c>
      <c r="D203" s="143" t="s">
        <v>501</v>
      </c>
      <c r="E203" s="143" t="s">
        <v>80</v>
      </c>
      <c r="F203" s="153" t="s">
        <v>729</v>
      </c>
      <c r="G203" s="153" t="s">
        <v>730</v>
      </c>
      <c r="H203" s="153" t="s">
        <v>115</v>
      </c>
      <c r="I203" s="227">
        <v>28627</v>
      </c>
      <c r="J203" s="166"/>
      <c r="K203" s="165">
        <v>1</v>
      </c>
      <c r="L203" s="155"/>
      <c r="M203" s="155"/>
      <c r="N203" s="155"/>
      <c r="O203" s="155"/>
      <c r="P203" s="155"/>
      <c r="Q203" s="155"/>
      <c r="R203" s="155"/>
      <c r="S203" s="155"/>
      <c r="T203" s="155"/>
      <c r="U203" s="167" t="s">
        <v>504</v>
      </c>
      <c r="V203" s="153" t="s">
        <v>503</v>
      </c>
      <c r="W203" s="143" t="s">
        <v>298</v>
      </c>
      <c r="X203" s="157" t="s">
        <v>227</v>
      </c>
      <c r="Y203" s="153">
        <v>9664572211</v>
      </c>
      <c r="Z203" s="143"/>
      <c r="AA203" s="162" t="s">
        <v>524</v>
      </c>
      <c r="AB203" s="143" t="s">
        <v>528</v>
      </c>
      <c r="AC203" s="155">
        <v>1</v>
      </c>
      <c r="AD203" s="155"/>
      <c r="AE203" s="155"/>
      <c r="AF203" s="155"/>
      <c r="AG203" s="155"/>
      <c r="AH203" s="143"/>
      <c r="AI203" s="158"/>
    </row>
    <row r="204" spans="1:35">
      <c r="A204" s="140"/>
      <c r="B204" s="143"/>
      <c r="C204" s="143" t="s">
        <v>78</v>
      </c>
      <c r="D204" s="143" t="s">
        <v>501</v>
      </c>
      <c r="E204" s="143" t="s">
        <v>80</v>
      </c>
      <c r="F204" s="153" t="s">
        <v>731</v>
      </c>
      <c r="G204" s="153" t="s">
        <v>732</v>
      </c>
      <c r="H204" s="153" t="s">
        <v>113</v>
      </c>
      <c r="I204" s="227">
        <v>28580</v>
      </c>
      <c r="J204" s="165">
        <v>1</v>
      </c>
      <c r="K204" s="165"/>
      <c r="L204" s="155"/>
      <c r="M204" s="155"/>
      <c r="N204" s="155"/>
      <c r="O204" s="155"/>
      <c r="P204" s="155"/>
      <c r="Q204" s="155"/>
      <c r="R204" s="155"/>
      <c r="S204" s="155"/>
      <c r="T204" s="155"/>
      <c r="U204" s="167" t="s">
        <v>504</v>
      </c>
      <c r="V204" s="153" t="s">
        <v>503</v>
      </c>
      <c r="W204" s="143" t="s">
        <v>298</v>
      </c>
      <c r="X204" s="157" t="s">
        <v>227</v>
      </c>
      <c r="Y204" s="153">
        <v>9995236790</v>
      </c>
      <c r="Z204" s="143"/>
      <c r="AA204" s="162" t="s">
        <v>524</v>
      </c>
      <c r="AB204" s="143" t="s">
        <v>528</v>
      </c>
      <c r="AC204" s="155">
        <v>1</v>
      </c>
      <c r="AD204" s="155"/>
      <c r="AE204" s="155"/>
      <c r="AF204" s="155"/>
      <c r="AG204" s="155"/>
      <c r="AH204" s="143"/>
      <c r="AI204" s="158"/>
    </row>
    <row r="205" spans="1:35">
      <c r="A205" s="140"/>
      <c r="B205" s="143"/>
      <c r="C205" s="143" t="s">
        <v>78</v>
      </c>
      <c r="D205" s="143" t="s">
        <v>501</v>
      </c>
      <c r="E205" s="143" t="s">
        <v>80</v>
      </c>
      <c r="F205" s="153" t="s">
        <v>281</v>
      </c>
      <c r="G205" s="153" t="s">
        <v>282</v>
      </c>
      <c r="H205" s="153" t="s">
        <v>283</v>
      </c>
      <c r="I205" s="227">
        <v>25771</v>
      </c>
      <c r="J205" s="166"/>
      <c r="K205" s="165">
        <v>1</v>
      </c>
      <c r="L205" s="155"/>
      <c r="M205" s="155"/>
      <c r="N205" s="155"/>
      <c r="O205" s="155"/>
      <c r="P205" s="155"/>
      <c r="Q205" s="155"/>
      <c r="R205" s="155"/>
      <c r="S205" s="155"/>
      <c r="T205" s="155"/>
      <c r="U205" s="167" t="s">
        <v>292</v>
      </c>
      <c r="V205" s="153" t="s">
        <v>503</v>
      </c>
      <c r="W205" s="143" t="s">
        <v>298</v>
      </c>
      <c r="X205" s="157" t="s">
        <v>227</v>
      </c>
      <c r="Y205" s="153">
        <v>9995343224</v>
      </c>
      <c r="Z205" s="143"/>
      <c r="AA205" s="162" t="s">
        <v>524</v>
      </c>
      <c r="AB205" s="143" t="s">
        <v>528</v>
      </c>
      <c r="AC205" s="155">
        <v>1</v>
      </c>
      <c r="AD205" s="155"/>
      <c r="AE205" s="155"/>
      <c r="AF205" s="155"/>
      <c r="AG205" s="155"/>
      <c r="AH205" s="143"/>
      <c r="AI205" s="158"/>
    </row>
    <row r="206" spans="1:35">
      <c r="A206" s="140"/>
      <c r="B206" s="143"/>
      <c r="C206" s="143" t="s">
        <v>78</v>
      </c>
      <c r="D206" s="143" t="s">
        <v>501</v>
      </c>
      <c r="E206" s="143" t="s">
        <v>80</v>
      </c>
      <c r="F206" s="153" t="s">
        <v>733</v>
      </c>
      <c r="G206" s="153" t="s">
        <v>573</v>
      </c>
      <c r="H206" s="153" t="s">
        <v>120</v>
      </c>
      <c r="I206" s="227">
        <v>25102</v>
      </c>
      <c r="J206" s="165">
        <v>1</v>
      </c>
      <c r="K206" s="165"/>
      <c r="L206" s="155"/>
      <c r="M206" s="155"/>
      <c r="N206" s="155"/>
      <c r="O206" s="155"/>
      <c r="P206" s="155"/>
      <c r="Q206" s="155"/>
      <c r="R206" s="155"/>
      <c r="S206" s="155"/>
      <c r="T206" s="155"/>
      <c r="U206" s="167" t="s">
        <v>504</v>
      </c>
      <c r="V206" s="153" t="s">
        <v>503</v>
      </c>
      <c r="W206" s="143" t="s">
        <v>298</v>
      </c>
      <c r="X206" s="157" t="s">
        <v>227</v>
      </c>
      <c r="Y206" s="153">
        <v>9653208780</v>
      </c>
      <c r="Z206" s="143"/>
      <c r="AA206" s="162" t="s">
        <v>524</v>
      </c>
      <c r="AB206" s="143" t="s">
        <v>528</v>
      </c>
      <c r="AC206" s="155">
        <v>1</v>
      </c>
      <c r="AD206" s="155"/>
      <c r="AE206" s="155"/>
      <c r="AF206" s="155"/>
      <c r="AG206" s="155"/>
      <c r="AH206" s="143"/>
      <c r="AI206" s="158"/>
    </row>
    <row r="207" spans="1:35">
      <c r="A207" s="140"/>
      <c r="B207" s="143"/>
      <c r="C207" s="143" t="s">
        <v>78</v>
      </c>
      <c r="D207" s="143" t="s">
        <v>501</v>
      </c>
      <c r="E207" s="143" t="s">
        <v>80</v>
      </c>
      <c r="F207" s="153" t="s">
        <v>734</v>
      </c>
      <c r="G207" s="153" t="s">
        <v>735</v>
      </c>
      <c r="H207" s="153" t="s">
        <v>113</v>
      </c>
      <c r="I207" s="227">
        <v>31270</v>
      </c>
      <c r="J207" s="165">
        <v>1</v>
      </c>
      <c r="K207" s="165"/>
      <c r="L207" s="155"/>
      <c r="M207" s="155"/>
      <c r="N207" s="155"/>
      <c r="O207" s="155"/>
      <c r="P207" s="155"/>
      <c r="Q207" s="155"/>
      <c r="R207" s="155"/>
      <c r="S207" s="155"/>
      <c r="T207" s="155"/>
      <c r="U207" s="167" t="s">
        <v>859</v>
      </c>
      <c r="V207" s="153" t="s">
        <v>503</v>
      </c>
      <c r="W207" s="143" t="s">
        <v>298</v>
      </c>
      <c r="X207" s="157" t="s">
        <v>227</v>
      </c>
      <c r="Y207" s="153">
        <v>9659663797</v>
      </c>
      <c r="Z207" s="143"/>
      <c r="AA207" s="162" t="s">
        <v>524</v>
      </c>
      <c r="AB207" s="143" t="s">
        <v>528</v>
      </c>
      <c r="AC207" s="155">
        <v>1</v>
      </c>
      <c r="AD207" s="155"/>
      <c r="AE207" s="155"/>
      <c r="AF207" s="155"/>
      <c r="AG207" s="155"/>
      <c r="AH207" s="143"/>
      <c r="AI207" s="158"/>
    </row>
    <row r="208" spans="1:35">
      <c r="A208" s="140"/>
      <c r="B208" s="143"/>
      <c r="C208" s="143" t="s">
        <v>78</v>
      </c>
      <c r="D208" s="143" t="s">
        <v>501</v>
      </c>
      <c r="E208" s="143" t="s">
        <v>80</v>
      </c>
      <c r="F208" s="153" t="s">
        <v>736</v>
      </c>
      <c r="G208" s="153" t="s">
        <v>737</v>
      </c>
      <c r="H208" s="153"/>
      <c r="I208" s="227">
        <v>24432</v>
      </c>
      <c r="J208" s="166"/>
      <c r="K208" s="165">
        <v>1</v>
      </c>
      <c r="L208" s="155"/>
      <c r="M208" s="155"/>
      <c r="N208" s="155"/>
      <c r="O208" s="155"/>
      <c r="P208" s="155"/>
      <c r="Q208" s="155"/>
      <c r="R208" s="155"/>
      <c r="S208" s="155"/>
      <c r="T208" s="155"/>
      <c r="U208" s="167" t="s">
        <v>506</v>
      </c>
      <c r="V208" s="153" t="s">
        <v>503</v>
      </c>
      <c r="W208" s="143" t="s">
        <v>298</v>
      </c>
      <c r="X208" s="157" t="s">
        <v>227</v>
      </c>
      <c r="Y208" s="153">
        <v>9105337415</v>
      </c>
      <c r="Z208" s="143"/>
      <c r="AA208" s="162" t="s">
        <v>524</v>
      </c>
      <c r="AB208" s="143" t="s">
        <v>528</v>
      </c>
      <c r="AC208" s="155">
        <v>1</v>
      </c>
      <c r="AD208" s="155"/>
      <c r="AE208" s="155"/>
      <c r="AF208" s="155"/>
      <c r="AG208" s="155"/>
      <c r="AH208" s="143"/>
      <c r="AI208" s="158"/>
    </row>
    <row r="209" spans="1:35">
      <c r="A209" s="140"/>
      <c r="B209" s="143"/>
      <c r="C209" s="143" t="s">
        <v>78</v>
      </c>
      <c r="D209" s="143" t="s">
        <v>501</v>
      </c>
      <c r="E209" s="143" t="s">
        <v>80</v>
      </c>
      <c r="F209" s="153" t="s">
        <v>738</v>
      </c>
      <c r="G209" s="153" t="s">
        <v>739</v>
      </c>
      <c r="H209" s="153" t="s">
        <v>705</v>
      </c>
      <c r="I209" s="227">
        <v>32596</v>
      </c>
      <c r="J209" s="165">
        <v>1</v>
      </c>
      <c r="K209" s="165"/>
      <c r="L209" s="155"/>
      <c r="M209" s="155"/>
      <c r="N209" s="155"/>
      <c r="O209" s="155"/>
      <c r="P209" s="155"/>
      <c r="Q209" s="155"/>
      <c r="R209" s="155"/>
      <c r="S209" s="155"/>
      <c r="T209" s="155"/>
      <c r="U209" s="167" t="s">
        <v>508</v>
      </c>
      <c r="V209" s="153" t="s">
        <v>503</v>
      </c>
      <c r="W209" s="143" t="s">
        <v>298</v>
      </c>
      <c r="X209" s="157" t="s">
        <v>227</v>
      </c>
      <c r="Y209" s="153">
        <v>9068467021</v>
      </c>
      <c r="Z209" s="143"/>
      <c r="AA209" s="162" t="s">
        <v>524</v>
      </c>
      <c r="AB209" s="143" t="s">
        <v>528</v>
      </c>
      <c r="AC209" s="155">
        <v>1</v>
      </c>
      <c r="AD209" s="155"/>
      <c r="AE209" s="155"/>
      <c r="AF209" s="155"/>
      <c r="AG209" s="155"/>
      <c r="AH209" s="143"/>
      <c r="AI209" s="158"/>
    </row>
    <row r="210" spans="1:35">
      <c r="A210" s="140"/>
      <c r="B210" s="143"/>
      <c r="C210" s="143" t="s">
        <v>78</v>
      </c>
      <c r="D210" s="143" t="s">
        <v>501</v>
      </c>
      <c r="E210" s="143" t="s">
        <v>80</v>
      </c>
      <c r="F210" s="153" t="s">
        <v>740</v>
      </c>
      <c r="G210" s="153" t="s">
        <v>741</v>
      </c>
      <c r="H210" s="153" t="s">
        <v>742</v>
      </c>
      <c r="I210" s="227">
        <v>33090</v>
      </c>
      <c r="J210" s="165">
        <v>1</v>
      </c>
      <c r="K210" s="165"/>
      <c r="L210" s="155"/>
      <c r="M210" s="155"/>
      <c r="N210" s="155"/>
      <c r="O210" s="155"/>
      <c r="P210" s="155"/>
      <c r="Q210" s="155"/>
      <c r="R210" s="155"/>
      <c r="S210" s="155"/>
      <c r="T210" s="155"/>
      <c r="U210" s="167" t="s">
        <v>508</v>
      </c>
      <c r="V210" s="153" t="s">
        <v>503</v>
      </c>
      <c r="W210" s="143" t="s">
        <v>298</v>
      </c>
      <c r="X210" s="157" t="s">
        <v>227</v>
      </c>
      <c r="Y210" s="153">
        <v>9978726200</v>
      </c>
      <c r="Z210" s="143"/>
      <c r="AA210" s="162" t="s">
        <v>524</v>
      </c>
      <c r="AB210" s="143" t="s">
        <v>528</v>
      </c>
      <c r="AC210" s="155">
        <v>1</v>
      </c>
      <c r="AD210" s="155"/>
      <c r="AE210" s="155"/>
      <c r="AF210" s="155"/>
      <c r="AG210" s="155"/>
      <c r="AH210" s="143"/>
      <c r="AI210" s="158"/>
    </row>
    <row r="211" spans="1:35">
      <c r="A211" s="140"/>
      <c r="B211" s="143"/>
      <c r="C211" s="143" t="s">
        <v>78</v>
      </c>
      <c r="D211" s="143" t="s">
        <v>501</v>
      </c>
      <c r="E211" s="143" t="s">
        <v>80</v>
      </c>
      <c r="F211" s="153" t="s">
        <v>743</v>
      </c>
      <c r="G211" s="153" t="s">
        <v>744</v>
      </c>
      <c r="H211" s="153"/>
      <c r="I211" s="227"/>
      <c r="J211" s="166"/>
      <c r="K211" s="165">
        <v>1</v>
      </c>
      <c r="L211" s="155"/>
      <c r="M211" s="155"/>
      <c r="N211" s="155"/>
      <c r="O211" s="155"/>
      <c r="P211" s="155"/>
      <c r="Q211" s="155"/>
      <c r="R211" s="155"/>
      <c r="S211" s="155"/>
      <c r="T211" s="155"/>
      <c r="U211" s="167" t="s">
        <v>505</v>
      </c>
      <c r="V211" s="153" t="s">
        <v>503</v>
      </c>
      <c r="W211" s="143" t="s">
        <v>298</v>
      </c>
      <c r="X211" s="157" t="s">
        <v>227</v>
      </c>
      <c r="Y211" s="153">
        <v>9151439549</v>
      </c>
      <c r="Z211" s="143"/>
      <c r="AA211" s="162" t="s">
        <v>524</v>
      </c>
      <c r="AB211" s="143" t="s">
        <v>528</v>
      </c>
      <c r="AC211" s="155">
        <v>1</v>
      </c>
      <c r="AD211" s="155"/>
      <c r="AE211" s="155"/>
      <c r="AF211" s="155"/>
      <c r="AG211" s="155"/>
      <c r="AH211" s="143"/>
      <c r="AI211" s="158"/>
    </row>
    <row r="212" spans="1:35">
      <c r="A212" s="140"/>
      <c r="B212" s="143"/>
      <c r="C212" s="143" t="s">
        <v>78</v>
      </c>
      <c r="D212" s="143" t="s">
        <v>501</v>
      </c>
      <c r="E212" s="143" t="s">
        <v>80</v>
      </c>
      <c r="F212" s="153" t="s">
        <v>706</v>
      </c>
      <c r="G212" s="153" t="s">
        <v>745</v>
      </c>
      <c r="H212" s="153" t="s">
        <v>588</v>
      </c>
      <c r="I212" s="227">
        <v>33703</v>
      </c>
      <c r="J212" s="165">
        <v>1</v>
      </c>
      <c r="K212" s="165"/>
      <c r="L212" s="155"/>
      <c r="M212" s="155"/>
      <c r="N212" s="155"/>
      <c r="O212" s="155"/>
      <c r="P212" s="155"/>
      <c r="Q212" s="155"/>
      <c r="R212" s="155"/>
      <c r="S212" s="155"/>
      <c r="T212" s="155"/>
      <c r="U212" s="167" t="s">
        <v>508</v>
      </c>
      <c r="V212" s="153" t="s">
        <v>503</v>
      </c>
      <c r="W212" s="143" t="s">
        <v>298</v>
      </c>
      <c r="X212" s="157" t="s">
        <v>227</v>
      </c>
      <c r="Y212" s="153">
        <v>9457901019</v>
      </c>
      <c r="Z212" s="143"/>
      <c r="AA212" s="162" t="s">
        <v>524</v>
      </c>
      <c r="AB212" s="143" t="s">
        <v>528</v>
      </c>
      <c r="AC212" s="155">
        <v>1</v>
      </c>
      <c r="AD212" s="155"/>
      <c r="AE212" s="155"/>
      <c r="AF212" s="155"/>
      <c r="AG212" s="155"/>
      <c r="AH212" s="143"/>
      <c r="AI212" s="158"/>
    </row>
    <row r="213" spans="1:35">
      <c r="A213" s="140"/>
      <c r="B213" s="143"/>
      <c r="C213" s="143" t="s">
        <v>78</v>
      </c>
      <c r="D213" s="143" t="s">
        <v>501</v>
      </c>
      <c r="E213" s="143" t="s">
        <v>80</v>
      </c>
      <c r="F213" s="153" t="s">
        <v>746</v>
      </c>
      <c r="G213" s="153" t="s">
        <v>747</v>
      </c>
      <c r="H213" s="153" t="s">
        <v>283</v>
      </c>
      <c r="I213" s="227">
        <v>28639</v>
      </c>
      <c r="J213" s="165">
        <v>1</v>
      </c>
      <c r="K213" s="165"/>
      <c r="L213" s="155"/>
      <c r="M213" s="155"/>
      <c r="N213" s="155"/>
      <c r="O213" s="155"/>
      <c r="P213" s="155"/>
      <c r="Q213" s="155"/>
      <c r="R213" s="155"/>
      <c r="S213" s="155"/>
      <c r="T213" s="155"/>
      <c r="U213" s="167" t="s">
        <v>508</v>
      </c>
      <c r="V213" s="153" t="s">
        <v>503</v>
      </c>
      <c r="W213" s="143" t="s">
        <v>298</v>
      </c>
      <c r="X213" s="157" t="s">
        <v>227</v>
      </c>
      <c r="Y213" s="153">
        <v>9457901019</v>
      </c>
      <c r="Z213" s="143"/>
      <c r="AA213" s="162" t="s">
        <v>524</v>
      </c>
      <c r="AB213" s="143" t="s">
        <v>528</v>
      </c>
      <c r="AC213" s="155">
        <v>1</v>
      </c>
      <c r="AD213" s="155"/>
      <c r="AE213" s="155"/>
      <c r="AF213" s="155"/>
      <c r="AG213" s="155"/>
      <c r="AH213" s="143"/>
      <c r="AI213" s="158"/>
    </row>
    <row r="214" spans="1:35">
      <c r="A214" s="140"/>
      <c r="B214" s="143"/>
      <c r="C214" s="143" t="s">
        <v>78</v>
      </c>
      <c r="D214" s="143" t="s">
        <v>501</v>
      </c>
      <c r="E214" s="143" t="s">
        <v>80</v>
      </c>
      <c r="F214" s="153" t="s">
        <v>748</v>
      </c>
      <c r="G214" s="153" t="s">
        <v>749</v>
      </c>
      <c r="H214" s="153" t="s">
        <v>115</v>
      </c>
      <c r="I214" s="227">
        <v>29765</v>
      </c>
      <c r="J214" s="166"/>
      <c r="K214" s="165">
        <v>1</v>
      </c>
      <c r="L214" s="155"/>
      <c r="M214" s="155"/>
      <c r="N214" s="155"/>
      <c r="O214" s="155"/>
      <c r="P214" s="155"/>
      <c r="Q214" s="155"/>
      <c r="R214" s="155"/>
      <c r="S214" s="155"/>
      <c r="T214" s="155"/>
      <c r="U214" s="167"/>
      <c r="V214" s="153"/>
      <c r="W214" s="143"/>
      <c r="X214" s="157" t="s">
        <v>227</v>
      </c>
      <c r="Y214" s="153">
        <v>9511085179</v>
      </c>
      <c r="Z214" s="143"/>
      <c r="AA214" s="162" t="s">
        <v>524</v>
      </c>
      <c r="AB214" s="143" t="s">
        <v>528</v>
      </c>
      <c r="AC214" s="155">
        <v>1</v>
      </c>
      <c r="AD214" s="155"/>
      <c r="AE214" s="155"/>
      <c r="AF214" s="155"/>
      <c r="AG214" s="155"/>
      <c r="AH214" s="143"/>
      <c r="AI214" s="158"/>
    </row>
    <row r="215" spans="1:35">
      <c r="A215" s="140"/>
      <c r="B215" s="143"/>
      <c r="C215" s="143" t="s">
        <v>78</v>
      </c>
      <c r="D215" s="143" t="s">
        <v>501</v>
      </c>
      <c r="E215" s="143" t="s">
        <v>80</v>
      </c>
      <c r="F215" s="153" t="s">
        <v>750</v>
      </c>
      <c r="G215" s="153" t="s">
        <v>751</v>
      </c>
      <c r="H215" s="153" t="s">
        <v>115</v>
      </c>
      <c r="I215" s="227">
        <v>26521</v>
      </c>
      <c r="J215" s="165">
        <v>1</v>
      </c>
      <c r="K215" s="165"/>
      <c r="L215" s="155"/>
      <c r="M215" s="155"/>
      <c r="N215" s="155"/>
      <c r="O215" s="155"/>
      <c r="P215" s="155"/>
      <c r="Q215" s="155"/>
      <c r="R215" s="155"/>
      <c r="S215" s="155"/>
      <c r="T215" s="155"/>
      <c r="U215" s="167" t="s">
        <v>504</v>
      </c>
      <c r="V215" s="153" t="s">
        <v>503</v>
      </c>
      <c r="W215" s="143" t="s">
        <v>298</v>
      </c>
      <c r="X215" s="157" t="s">
        <v>227</v>
      </c>
      <c r="Y215" s="153">
        <v>9755555739</v>
      </c>
      <c r="Z215" s="143"/>
      <c r="AA215" s="162" t="s">
        <v>524</v>
      </c>
      <c r="AB215" s="143" t="s">
        <v>528</v>
      </c>
      <c r="AC215" s="155">
        <v>1</v>
      </c>
      <c r="AD215" s="155"/>
      <c r="AE215" s="155"/>
      <c r="AF215" s="155"/>
      <c r="AG215" s="155"/>
      <c r="AH215" s="143"/>
      <c r="AI215" s="158"/>
    </row>
    <row r="216" spans="1:35">
      <c r="A216" s="140"/>
      <c r="B216" s="143"/>
      <c r="C216" s="143" t="s">
        <v>78</v>
      </c>
      <c r="D216" s="143" t="s">
        <v>501</v>
      </c>
      <c r="E216" s="143" t="s">
        <v>80</v>
      </c>
      <c r="F216" s="153" t="s">
        <v>752</v>
      </c>
      <c r="G216" s="153" t="s">
        <v>753</v>
      </c>
      <c r="H216" s="153"/>
      <c r="I216" s="227">
        <v>33203</v>
      </c>
      <c r="J216" s="165">
        <v>1</v>
      </c>
      <c r="K216" s="165"/>
      <c r="L216" s="155"/>
      <c r="M216" s="155"/>
      <c r="N216" s="155"/>
      <c r="O216" s="155"/>
      <c r="P216" s="155"/>
      <c r="Q216" s="155"/>
      <c r="R216" s="155"/>
      <c r="S216" s="155"/>
      <c r="T216" s="155"/>
      <c r="U216" s="167" t="s">
        <v>866</v>
      </c>
      <c r="V216" s="153" t="s">
        <v>503</v>
      </c>
      <c r="W216" s="143" t="s">
        <v>298</v>
      </c>
      <c r="X216" s="157" t="s">
        <v>227</v>
      </c>
      <c r="Y216" s="153">
        <v>9197048494</v>
      </c>
      <c r="Z216" s="143"/>
      <c r="AA216" s="162" t="s">
        <v>524</v>
      </c>
      <c r="AB216" s="143" t="s">
        <v>528</v>
      </c>
      <c r="AC216" s="155">
        <v>1</v>
      </c>
      <c r="AD216" s="155"/>
      <c r="AE216" s="155"/>
      <c r="AF216" s="155"/>
      <c r="AG216" s="155"/>
      <c r="AH216" s="143"/>
      <c r="AI216" s="158"/>
    </row>
    <row r="217" spans="1:35">
      <c r="A217" s="140"/>
      <c r="B217" s="143"/>
      <c r="C217" s="143" t="s">
        <v>78</v>
      </c>
      <c r="D217" s="143" t="s">
        <v>501</v>
      </c>
      <c r="E217" s="143" t="s">
        <v>80</v>
      </c>
      <c r="F217" s="153" t="s">
        <v>752</v>
      </c>
      <c r="G217" s="153" t="s">
        <v>754</v>
      </c>
      <c r="H217" s="153"/>
      <c r="I217" s="227">
        <v>34616</v>
      </c>
      <c r="J217" s="165">
        <v>1</v>
      </c>
      <c r="K217" s="165"/>
      <c r="L217" s="155"/>
      <c r="M217" s="155"/>
      <c r="N217" s="155"/>
      <c r="O217" s="155"/>
      <c r="P217" s="155"/>
      <c r="Q217" s="155"/>
      <c r="R217" s="155"/>
      <c r="S217" s="155"/>
      <c r="T217" s="155"/>
      <c r="U217" s="167" t="s">
        <v>866</v>
      </c>
      <c r="V217" s="153" t="s">
        <v>503</v>
      </c>
      <c r="W217" s="143" t="s">
        <v>298</v>
      </c>
      <c r="X217" s="157" t="s">
        <v>227</v>
      </c>
      <c r="Y217" s="153">
        <v>9197048494</v>
      </c>
      <c r="Z217" s="143"/>
      <c r="AA217" s="162" t="s">
        <v>524</v>
      </c>
      <c r="AB217" s="143" t="s">
        <v>528</v>
      </c>
      <c r="AC217" s="155">
        <v>1</v>
      </c>
      <c r="AD217" s="155"/>
      <c r="AE217" s="155"/>
      <c r="AF217" s="155"/>
      <c r="AG217" s="155"/>
      <c r="AH217" s="143"/>
      <c r="AI217" s="158"/>
    </row>
    <row r="218" spans="1:35">
      <c r="A218" s="140"/>
      <c r="B218" s="143"/>
      <c r="C218" s="143" t="s">
        <v>78</v>
      </c>
      <c r="D218" s="143" t="s">
        <v>501</v>
      </c>
      <c r="E218" s="143" t="s">
        <v>80</v>
      </c>
      <c r="F218" s="153" t="s">
        <v>755</v>
      </c>
      <c r="G218" s="153" t="s">
        <v>389</v>
      </c>
      <c r="H218" s="153"/>
      <c r="I218" s="227">
        <v>25879</v>
      </c>
      <c r="J218" s="165">
        <v>1</v>
      </c>
      <c r="K218" s="165"/>
      <c r="L218" s="155"/>
      <c r="M218" s="155"/>
      <c r="N218" s="155"/>
      <c r="O218" s="155"/>
      <c r="P218" s="155"/>
      <c r="Q218" s="155"/>
      <c r="R218" s="155"/>
      <c r="S218" s="155"/>
      <c r="T218" s="155"/>
      <c r="U218" s="167" t="s">
        <v>502</v>
      </c>
      <c r="V218" s="153" t="s">
        <v>503</v>
      </c>
      <c r="W218" s="143" t="s">
        <v>298</v>
      </c>
      <c r="X218" s="157" t="s">
        <v>227</v>
      </c>
      <c r="Y218" s="153">
        <v>9051935837</v>
      </c>
      <c r="Z218" s="143"/>
      <c r="AA218" s="163" t="s">
        <v>525</v>
      </c>
      <c r="AB218" s="143" t="s">
        <v>528</v>
      </c>
      <c r="AC218" s="155">
        <v>1</v>
      </c>
      <c r="AD218" s="155"/>
      <c r="AE218" s="155"/>
      <c r="AF218" s="155"/>
      <c r="AG218" s="155"/>
      <c r="AH218" s="143"/>
      <c r="AI218" s="158"/>
    </row>
    <row r="219" spans="1:35">
      <c r="A219" s="140"/>
      <c r="B219" s="143"/>
      <c r="C219" s="143" t="s">
        <v>78</v>
      </c>
      <c r="D219" s="143" t="s">
        <v>501</v>
      </c>
      <c r="E219" s="143" t="s">
        <v>80</v>
      </c>
      <c r="F219" s="153" t="s">
        <v>220</v>
      </c>
      <c r="G219" s="153" t="s">
        <v>756</v>
      </c>
      <c r="H219" s="153" t="s">
        <v>421</v>
      </c>
      <c r="I219" s="227">
        <v>22992</v>
      </c>
      <c r="J219" s="165">
        <v>1</v>
      </c>
      <c r="K219" s="165"/>
      <c r="L219" s="155"/>
      <c r="M219" s="155"/>
      <c r="N219" s="155"/>
      <c r="O219" s="155"/>
      <c r="P219" s="155"/>
      <c r="Q219" s="155"/>
      <c r="R219" s="155"/>
      <c r="S219" s="155"/>
      <c r="T219" s="155"/>
      <c r="U219" s="167" t="s">
        <v>295</v>
      </c>
      <c r="V219" s="153" t="s">
        <v>503</v>
      </c>
      <c r="W219" s="143" t="s">
        <v>298</v>
      </c>
      <c r="X219" s="157" t="s">
        <v>227</v>
      </c>
      <c r="Y219" s="153">
        <v>9359118846</v>
      </c>
      <c r="Z219" s="143"/>
      <c r="AA219" s="162" t="s">
        <v>524</v>
      </c>
      <c r="AB219" s="143" t="s">
        <v>528</v>
      </c>
      <c r="AC219" s="155">
        <v>1</v>
      </c>
      <c r="AD219" s="155"/>
      <c r="AE219" s="155"/>
      <c r="AF219" s="155"/>
      <c r="AG219" s="155"/>
      <c r="AH219" s="143"/>
      <c r="AI219" s="158"/>
    </row>
    <row r="220" spans="1:35">
      <c r="A220" s="140"/>
      <c r="B220" s="143"/>
      <c r="C220" s="143" t="s">
        <v>78</v>
      </c>
      <c r="D220" s="143" t="s">
        <v>501</v>
      </c>
      <c r="E220" s="143" t="s">
        <v>80</v>
      </c>
      <c r="F220" s="153" t="s">
        <v>757</v>
      </c>
      <c r="G220" s="153" t="s">
        <v>758</v>
      </c>
      <c r="H220" s="153" t="s">
        <v>126</v>
      </c>
      <c r="I220" s="227">
        <v>29625</v>
      </c>
      <c r="J220" s="165">
        <v>1</v>
      </c>
      <c r="K220" s="165"/>
      <c r="L220" s="155"/>
      <c r="M220" s="155"/>
      <c r="N220" s="155"/>
      <c r="O220" s="155"/>
      <c r="P220" s="155"/>
      <c r="Q220" s="155"/>
      <c r="R220" s="155"/>
      <c r="S220" s="155"/>
      <c r="T220" s="155"/>
      <c r="U220" s="167" t="s">
        <v>857</v>
      </c>
      <c r="V220" s="153" t="s">
        <v>503</v>
      </c>
      <c r="W220" s="143" t="s">
        <v>298</v>
      </c>
      <c r="X220" s="157" t="s">
        <v>227</v>
      </c>
      <c r="Y220" s="153">
        <v>9677157179</v>
      </c>
      <c r="Z220" s="143"/>
      <c r="AA220" s="162" t="s">
        <v>524</v>
      </c>
      <c r="AB220" s="143" t="s">
        <v>528</v>
      </c>
      <c r="AC220" s="155">
        <v>1</v>
      </c>
      <c r="AD220" s="155"/>
      <c r="AE220" s="155"/>
      <c r="AF220" s="155"/>
      <c r="AG220" s="155"/>
      <c r="AH220" s="143"/>
      <c r="AI220" s="158"/>
    </row>
    <row r="221" spans="1:35">
      <c r="A221" s="140"/>
      <c r="B221" s="143"/>
      <c r="C221" s="143" t="s">
        <v>78</v>
      </c>
      <c r="D221" s="143" t="s">
        <v>501</v>
      </c>
      <c r="E221" s="143" t="s">
        <v>80</v>
      </c>
      <c r="F221" s="153" t="s">
        <v>759</v>
      </c>
      <c r="G221" s="153" t="s">
        <v>489</v>
      </c>
      <c r="H221" s="153" t="s">
        <v>113</v>
      </c>
      <c r="I221" s="227">
        <v>31052</v>
      </c>
      <c r="J221" s="165">
        <v>1</v>
      </c>
      <c r="K221" s="165"/>
      <c r="L221" s="155"/>
      <c r="M221" s="155"/>
      <c r="N221" s="155"/>
      <c r="O221" s="155"/>
      <c r="P221" s="155"/>
      <c r="Q221" s="155"/>
      <c r="R221" s="155"/>
      <c r="S221" s="155"/>
      <c r="T221" s="155"/>
      <c r="U221" s="167" t="s">
        <v>857</v>
      </c>
      <c r="V221" s="153" t="s">
        <v>503</v>
      </c>
      <c r="W221" s="143" t="s">
        <v>298</v>
      </c>
      <c r="X221" s="157" t="s">
        <v>227</v>
      </c>
      <c r="Y221" s="153">
        <v>9636137230</v>
      </c>
      <c r="Z221" s="143"/>
      <c r="AA221" s="162" t="s">
        <v>524</v>
      </c>
      <c r="AB221" s="143" t="s">
        <v>528</v>
      </c>
      <c r="AC221" s="155">
        <v>1</v>
      </c>
      <c r="AD221" s="155"/>
      <c r="AE221" s="155"/>
      <c r="AF221" s="155"/>
      <c r="AG221" s="155"/>
      <c r="AH221" s="143"/>
      <c r="AI221" s="158"/>
    </row>
    <row r="222" spans="1:35">
      <c r="A222" s="140"/>
      <c r="B222" s="143"/>
      <c r="C222" s="143" t="s">
        <v>78</v>
      </c>
      <c r="D222" s="143" t="s">
        <v>501</v>
      </c>
      <c r="E222" s="143" t="s">
        <v>80</v>
      </c>
      <c r="F222" s="153" t="s">
        <v>633</v>
      </c>
      <c r="G222" s="153" t="s">
        <v>760</v>
      </c>
      <c r="H222" s="153"/>
      <c r="I222" s="227">
        <v>29644</v>
      </c>
      <c r="J222" s="165">
        <v>1</v>
      </c>
      <c r="K222" s="165"/>
      <c r="L222" s="155"/>
      <c r="M222" s="155"/>
      <c r="N222" s="155"/>
      <c r="O222" s="155"/>
      <c r="P222" s="155"/>
      <c r="Q222" s="155"/>
      <c r="R222" s="155"/>
      <c r="S222" s="155"/>
      <c r="T222" s="155"/>
      <c r="U222" s="167" t="s">
        <v>502</v>
      </c>
      <c r="V222" s="153" t="s">
        <v>503</v>
      </c>
      <c r="W222" s="143" t="s">
        <v>298</v>
      </c>
      <c r="X222" s="157" t="s">
        <v>227</v>
      </c>
      <c r="Y222" s="153">
        <v>9634581914</v>
      </c>
      <c r="Z222" s="143"/>
      <c r="AA222" s="162" t="s">
        <v>524</v>
      </c>
      <c r="AB222" s="143" t="s">
        <v>528</v>
      </c>
      <c r="AC222" s="155">
        <v>1</v>
      </c>
      <c r="AD222" s="155"/>
      <c r="AE222" s="155"/>
      <c r="AF222" s="155"/>
      <c r="AG222" s="155"/>
      <c r="AH222" s="143"/>
      <c r="AI222" s="158"/>
    </row>
    <row r="223" spans="1:35">
      <c r="A223" s="140"/>
      <c r="B223" s="143"/>
      <c r="C223" s="143" t="s">
        <v>78</v>
      </c>
      <c r="D223" s="143" t="s">
        <v>501</v>
      </c>
      <c r="E223" s="143" t="s">
        <v>80</v>
      </c>
      <c r="F223" s="153" t="s">
        <v>761</v>
      </c>
      <c r="G223" s="153" t="s">
        <v>762</v>
      </c>
      <c r="H223" s="153"/>
      <c r="I223" s="227">
        <v>29587</v>
      </c>
      <c r="J223" s="166"/>
      <c r="K223" s="165">
        <v>1</v>
      </c>
      <c r="L223" s="155"/>
      <c r="M223" s="155"/>
      <c r="N223" s="155"/>
      <c r="O223" s="155"/>
      <c r="P223" s="155"/>
      <c r="Q223" s="155"/>
      <c r="R223" s="155"/>
      <c r="S223" s="155"/>
      <c r="T223" s="155"/>
      <c r="U223" s="167" t="s">
        <v>292</v>
      </c>
      <c r="V223" s="153" t="s">
        <v>503</v>
      </c>
      <c r="W223" s="143" t="s">
        <v>298</v>
      </c>
      <c r="X223" s="157" t="s">
        <v>227</v>
      </c>
      <c r="Y223" s="153">
        <v>9754880643</v>
      </c>
      <c r="Z223" s="143"/>
      <c r="AA223" s="162" t="s">
        <v>524</v>
      </c>
      <c r="AB223" s="143" t="s">
        <v>528</v>
      </c>
      <c r="AC223" s="155">
        <v>1</v>
      </c>
      <c r="AD223" s="155"/>
      <c r="AE223" s="155"/>
      <c r="AF223" s="155"/>
      <c r="AG223" s="155"/>
      <c r="AH223" s="143"/>
      <c r="AI223" s="158"/>
    </row>
    <row r="224" spans="1:35">
      <c r="A224" s="140"/>
      <c r="B224" s="143"/>
      <c r="C224" s="143" t="s">
        <v>78</v>
      </c>
      <c r="D224" s="143" t="s">
        <v>501</v>
      </c>
      <c r="E224" s="143" t="s">
        <v>80</v>
      </c>
      <c r="F224" s="153" t="s">
        <v>761</v>
      </c>
      <c r="G224" s="153" t="s">
        <v>763</v>
      </c>
      <c r="H224" s="153" t="s">
        <v>115</v>
      </c>
      <c r="I224" s="227">
        <v>32321</v>
      </c>
      <c r="J224" s="166"/>
      <c r="K224" s="165">
        <v>1</v>
      </c>
      <c r="L224" s="155"/>
      <c r="M224" s="155"/>
      <c r="N224" s="155"/>
      <c r="O224" s="155"/>
      <c r="P224" s="155"/>
      <c r="Q224" s="155"/>
      <c r="R224" s="155"/>
      <c r="S224" s="155"/>
      <c r="T224" s="155"/>
      <c r="U224" s="167" t="s">
        <v>292</v>
      </c>
      <c r="V224" s="153" t="s">
        <v>503</v>
      </c>
      <c r="W224" s="143" t="s">
        <v>298</v>
      </c>
      <c r="X224" s="157" t="s">
        <v>227</v>
      </c>
      <c r="Y224" s="153">
        <v>9675449455</v>
      </c>
      <c r="Z224" s="143"/>
      <c r="AA224" s="162" t="s">
        <v>524</v>
      </c>
      <c r="AB224" s="143" t="s">
        <v>528</v>
      </c>
      <c r="AC224" s="155">
        <v>1</v>
      </c>
      <c r="AD224" s="155"/>
      <c r="AE224" s="155"/>
      <c r="AF224" s="155"/>
      <c r="AG224" s="155"/>
      <c r="AH224" s="143"/>
      <c r="AI224" s="158"/>
    </row>
    <row r="225" spans="1:35">
      <c r="A225" s="140"/>
      <c r="B225" s="143"/>
      <c r="C225" s="143" t="s">
        <v>78</v>
      </c>
      <c r="D225" s="143" t="s">
        <v>501</v>
      </c>
      <c r="E225" s="143" t="s">
        <v>80</v>
      </c>
      <c r="F225" s="153" t="s">
        <v>764</v>
      </c>
      <c r="G225" s="153" t="s">
        <v>765</v>
      </c>
      <c r="H225" s="153" t="s">
        <v>115</v>
      </c>
      <c r="I225" s="227">
        <v>22378</v>
      </c>
      <c r="J225" s="166"/>
      <c r="K225" s="165">
        <v>1</v>
      </c>
      <c r="L225" s="155"/>
      <c r="M225" s="155">
        <v>1</v>
      </c>
      <c r="N225" s="155"/>
      <c r="O225" s="155"/>
      <c r="P225" s="155"/>
      <c r="Q225" s="155"/>
      <c r="R225" s="155"/>
      <c r="S225" s="155"/>
      <c r="T225" s="155"/>
      <c r="U225" s="167" t="s">
        <v>859</v>
      </c>
      <c r="V225" s="153" t="s">
        <v>503</v>
      </c>
      <c r="W225" s="143" t="s">
        <v>298</v>
      </c>
      <c r="X225" s="157" t="s">
        <v>227</v>
      </c>
      <c r="Y225" s="153">
        <v>9156821012</v>
      </c>
      <c r="Z225" s="143"/>
      <c r="AA225" s="162" t="s">
        <v>524</v>
      </c>
      <c r="AB225" s="143" t="s">
        <v>528</v>
      </c>
      <c r="AC225" s="155">
        <v>1</v>
      </c>
      <c r="AD225" s="155"/>
      <c r="AE225" s="155"/>
      <c r="AF225" s="155"/>
      <c r="AG225" s="155"/>
      <c r="AH225" s="143"/>
      <c r="AI225" s="158"/>
    </row>
    <row r="226" spans="1:35">
      <c r="A226" s="140"/>
      <c r="B226" s="143"/>
      <c r="C226" s="143" t="s">
        <v>78</v>
      </c>
      <c r="D226" s="143" t="s">
        <v>501</v>
      </c>
      <c r="E226" s="143" t="s">
        <v>80</v>
      </c>
      <c r="F226" s="153" t="s">
        <v>766</v>
      </c>
      <c r="G226" s="153" t="s">
        <v>767</v>
      </c>
      <c r="H226" s="153" t="s">
        <v>115</v>
      </c>
      <c r="I226" s="227">
        <v>31248</v>
      </c>
      <c r="J226" s="165">
        <v>1</v>
      </c>
      <c r="K226" s="165"/>
      <c r="L226" s="155"/>
      <c r="M226" s="155"/>
      <c r="N226" s="155"/>
      <c r="O226" s="155"/>
      <c r="P226" s="155"/>
      <c r="Q226" s="155"/>
      <c r="R226" s="155"/>
      <c r="S226" s="155"/>
      <c r="T226" s="155"/>
      <c r="U226" s="167" t="s">
        <v>859</v>
      </c>
      <c r="V226" s="153" t="s">
        <v>503</v>
      </c>
      <c r="W226" s="143" t="s">
        <v>298</v>
      </c>
      <c r="X226" s="157" t="s">
        <v>227</v>
      </c>
      <c r="Y226" s="153">
        <v>9263075401</v>
      </c>
      <c r="Z226" s="143"/>
      <c r="AA226" s="162" t="s">
        <v>524</v>
      </c>
      <c r="AB226" s="143" t="s">
        <v>528</v>
      </c>
      <c r="AC226" s="155">
        <v>1</v>
      </c>
      <c r="AD226" s="155"/>
      <c r="AE226" s="155"/>
      <c r="AF226" s="155"/>
      <c r="AG226" s="155"/>
      <c r="AH226" s="143"/>
      <c r="AI226" s="158"/>
    </row>
    <row r="227" spans="1:35">
      <c r="A227" s="140"/>
      <c r="B227" s="143"/>
      <c r="C227" s="143" t="s">
        <v>78</v>
      </c>
      <c r="D227" s="143" t="s">
        <v>501</v>
      </c>
      <c r="E227" s="143" t="s">
        <v>80</v>
      </c>
      <c r="F227" s="153" t="s">
        <v>768</v>
      </c>
      <c r="G227" s="153" t="s">
        <v>769</v>
      </c>
      <c r="H227" s="153" t="s">
        <v>120</v>
      </c>
      <c r="I227" s="227">
        <v>19338</v>
      </c>
      <c r="J227" s="165">
        <v>1</v>
      </c>
      <c r="K227" s="165"/>
      <c r="L227" s="155"/>
      <c r="M227" s="155">
        <v>1</v>
      </c>
      <c r="N227" s="155"/>
      <c r="O227" s="155"/>
      <c r="P227" s="155"/>
      <c r="Q227" s="155"/>
      <c r="R227" s="155"/>
      <c r="S227" s="155"/>
      <c r="T227" s="155"/>
      <c r="U227" s="167" t="s">
        <v>507</v>
      </c>
      <c r="V227" s="153" t="s">
        <v>503</v>
      </c>
      <c r="W227" s="143" t="s">
        <v>298</v>
      </c>
      <c r="X227" s="157" t="s">
        <v>227</v>
      </c>
      <c r="Y227" s="153">
        <v>9651973278</v>
      </c>
      <c r="Z227" s="143"/>
      <c r="AA227" s="162" t="s">
        <v>524</v>
      </c>
      <c r="AB227" s="143" t="s">
        <v>528</v>
      </c>
      <c r="AC227" s="155">
        <v>1</v>
      </c>
      <c r="AD227" s="155"/>
      <c r="AE227" s="155"/>
      <c r="AF227" s="155"/>
      <c r="AG227" s="155"/>
      <c r="AH227" s="143"/>
      <c r="AI227" s="158"/>
    </row>
    <row r="228" spans="1:35">
      <c r="A228" s="140"/>
      <c r="B228" s="143"/>
      <c r="C228" s="143" t="s">
        <v>78</v>
      </c>
      <c r="D228" s="143" t="s">
        <v>501</v>
      </c>
      <c r="E228" s="143" t="s">
        <v>80</v>
      </c>
      <c r="F228" s="153" t="s">
        <v>770</v>
      </c>
      <c r="G228" s="153" t="s">
        <v>771</v>
      </c>
      <c r="H228" s="153"/>
      <c r="I228" s="227">
        <v>35364</v>
      </c>
      <c r="J228" s="166"/>
      <c r="K228" s="165">
        <v>1</v>
      </c>
      <c r="L228" s="155"/>
      <c r="M228" s="155"/>
      <c r="N228" s="155"/>
      <c r="O228" s="155"/>
      <c r="P228" s="155"/>
      <c r="Q228" s="155"/>
      <c r="R228" s="155"/>
      <c r="S228" s="155"/>
      <c r="T228" s="155"/>
      <c r="U228" s="167" t="s">
        <v>864</v>
      </c>
      <c r="V228" s="153" t="s">
        <v>503</v>
      </c>
      <c r="W228" s="143" t="s">
        <v>298</v>
      </c>
      <c r="X228" s="157" t="s">
        <v>227</v>
      </c>
      <c r="Y228" s="153">
        <v>9683685203</v>
      </c>
      <c r="Z228" s="143"/>
      <c r="AA228" s="162" t="s">
        <v>524</v>
      </c>
      <c r="AB228" s="143" t="s">
        <v>528</v>
      </c>
      <c r="AC228" s="155">
        <v>1</v>
      </c>
      <c r="AD228" s="155"/>
      <c r="AE228" s="155"/>
      <c r="AF228" s="155"/>
      <c r="AG228" s="155"/>
      <c r="AH228" s="143"/>
      <c r="AI228" s="158"/>
    </row>
    <row r="229" spans="1:35">
      <c r="A229" s="140"/>
      <c r="B229" s="143"/>
      <c r="C229" s="143" t="s">
        <v>78</v>
      </c>
      <c r="D229" s="143" t="s">
        <v>501</v>
      </c>
      <c r="E229" s="143" t="s">
        <v>80</v>
      </c>
      <c r="F229" s="153" t="s">
        <v>772</v>
      </c>
      <c r="G229" s="153" t="s">
        <v>773</v>
      </c>
      <c r="H229" s="153"/>
      <c r="I229" s="227">
        <v>30918</v>
      </c>
      <c r="J229" s="165">
        <v>1</v>
      </c>
      <c r="K229" s="165"/>
      <c r="L229" s="155"/>
      <c r="M229" s="155"/>
      <c r="N229" s="155"/>
      <c r="O229" s="155"/>
      <c r="P229" s="155"/>
      <c r="Q229" s="155"/>
      <c r="R229" s="155"/>
      <c r="S229" s="155"/>
      <c r="T229" s="155"/>
      <c r="U229" s="167" t="s">
        <v>515</v>
      </c>
      <c r="V229" s="153" t="s">
        <v>503</v>
      </c>
      <c r="W229" s="143" t="s">
        <v>298</v>
      </c>
      <c r="X229" s="157" t="s">
        <v>227</v>
      </c>
      <c r="Y229" s="153">
        <v>9319624932</v>
      </c>
      <c r="Z229" s="143"/>
      <c r="AA229" s="162" t="s">
        <v>524</v>
      </c>
      <c r="AB229" s="143" t="s">
        <v>528</v>
      </c>
      <c r="AC229" s="155">
        <v>1</v>
      </c>
      <c r="AD229" s="155"/>
      <c r="AE229" s="155"/>
      <c r="AF229" s="155"/>
      <c r="AG229" s="155"/>
      <c r="AH229" s="143"/>
      <c r="AI229" s="158"/>
    </row>
    <row r="230" spans="1:35">
      <c r="A230" s="140"/>
      <c r="B230" s="143"/>
      <c r="C230" s="143" t="s">
        <v>78</v>
      </c>
      <c r="D230" s="143" t="s">
        <v>501</v>
      </c>
      <c r="E230" s="143" t="s">
        <v>80</v>
      </c>
      <c r="F230" s="153" t="s">
        <v>774</v>
      </c>
      <c r="G230" s="153" t="s">
        <v>154</v>
      </c>
      <c r="H230" s="153"/>
      <c r="I230" s="227">
        <v>33289</v>
      </c>
      <c r="J230" s="165">
        <v>1</v>
      </c>
      <c r="K230" s="165"/>
      <c r="L230" s="155"/>
      <c r="M230" s="155"/>
      <c r="N230" s="155"/>
      <c r="O230" s="155"/>
      <c r="P230" s="155"/>
      <c r="Q230" s="155"/>
      <c r="R230" s="155"/>
      <c r="S230" s="155"/>
      <c r="T230" s="155"/>
      <c r="U230" s="167" t="s">
        <v>515</v>
      </c>
      <c r="V230" s="153" t="s">
        <v>503</v>
      </c>
      <c r="W230" s="143" t="s">
        <v>298</v>
      </c>
      <c r="X230" s="157" t="s">
        <v>227</v>
      </c>
      <c r="Y230" s="153">
        <v>9460825339</v>
      </c>
      <c r="Z230" s="143"/>
      <c r="AA230" s="162" t="s">
        <v>524</v>
      </c>
      <c r="AB230" s="143" t="s">
        <v>528</v>
      </c>
      <c r="AC230" s="155">
        <v>1</v>
      </c>
      <c r="AD230" s="155"/>
      <c r="AE230" s="155"/>
      <c r="AF230" s="155"/>
      <c r="AG230" s="155"/>
      <c r="AH230" s="143"/>
      <c r="AI230" s="158"/>
    </row>
    <row r="231" spans="1:35">
      <c r="A231" s="140"/>
      <c r="B231" s="143"/>
      <c r="C231" s="143" t="s">
        <v>78</v>
      </c>
      <c r="D231" s="143" t="s">
        <v>501</v>
      </c>
      <c r="E231" s="143" t="s">
        <v>80</v>
      </c>
      <c r="F231" s="153" t="s">
        <v>775</v>
      </c>
      <c r="G231" s="153" t="s">
        <v>776</v>
      </c>
      <c r="H231" s="153"/>
      <c r="I231" s="227">
        <v>28176</v>
      </c>
      <c r="J231" s="165">
        <v>1</v>
      </c>
      <c r="K231" s="165"/>
      <c r="L231" s="155"/>
      <c r="M231" s="155"/>
      <c r="N231" s="155"/>
      <c r="O231" s="155"/>
      <c r="P231" s="155"/>
      <c r="Q231" s="155"/>
      <c r="R231" s="155"/>
      <c r="S231" s="155"/>
      <c r="T231" s="155"/>
      <c r="U231" s="167" t="s">
        <v>504</v>
      </c>
      <c r="V231" s="153" t="s">
        <v>503</v>
      </c>
      <c r="W231" s="143" t="s">
        <v>298</v>
      </c>
      <c r="X231" s="157" t="s">
        <v>227</v>
      </c>
      <c r="Y231" s="153">
        <v>9051975158</v>
      </c>
      <c r="Z231" s="143"/>
      <c r="AA231" s="162" t="s">
        <v>524</v>
      </c>
      <c r="AB231" s="143" t="s">
        <v>528</v>
      </c>
      <c r="AC231" s="155">
        <v>1</v>
      </c>
      <c r="AD231" s="155"/>
      <c r="AE231" s="155"/>
      <c r="AF231" s="155"/>
      <c r="AG231" s="155"/>
      <c r="AH231" s="143"/>
      <c r="AI231" s="158"/>
    </row>
    <row r="232" spans="1:35">
      <c r="A232" s="140"/>
      <c r="B232" s="143"/>
      <c r="C232" s="143" t="s">
        <v>78</v>
      </c>
      <c r="D232" s="143" t="s">
        <v>501</v>
      </c>
      <c r="E232" s="143" t="s">
        <v>80</v>
      </c>
      <c r="F232" s="153" t="s">
        <v>777</v>
      </c>
      <c r="G232" s="153" t="s">
        <v>483</v>
      </c>
      <c r="H232" s="153" t="s">
        <v>113</v>
      </c>
      <c r="I232" s="227"/>
      <c r="J232" s="165">
        <v>1</v>
      </c>
      <c r="K232" s="165"/>
      <c r="L232" s="155"/>
      <c r="M232" s="155"/>
      <c r="N232" s="155"/>
      <c r="O232" s="155"/>
      <c r="P232" s="155"/>
      <c r="Q232" s="155"/>
      <c r="R232" s="155"/>
      <c r="S232" s="155"/>
      <c r="T232" s="155"/>
      <c r="U232" s="167"/>
      <c r="V232" s="153" t="s">
        <v>513</v>
      </c>
      <c r="W232" s="143" t="s">
        <v>279</v>
      </c>
      <c r="X232" s="157" t="s">
        <v>227</v>
      </c>
      <c r="Y232" s="153">
        <v>9197691003</v>
      </c>
      <c r="Z232" s="143"/>
      <c r="AA232" s="162" t="s">
        <v>524</v>
      </c>
      <c r="AB232" s="143" t="s">
        <v>528</v>
      </c>
      <c r="AC232" s="155">
        <v>1</v>
      </c>
      <c r="AD232" s="155"/>
      <c r="AE232" s="155"/>
      <c r="AF232" s="155"/>
      <c r="AG232" s="155"/>
      <c r="AH232" s="143"/>
      <c r="AI232" s="158"/>
    </row>
    <row r="233" spans="1:35">
      <c r="A233" s="140"/>
      <c r="B233" s="143"/>
      <c r="C233" s="143" t="s">
        <v>78</v>
      </c>
      <c r="D233" s="143" t="s">
        <v>501</v>
      </c>
      <c r="E233" s="143" t="s">
        <v>80</v>
      </c>
      <c r="F233" s="153" t="s">
        <v>778</v>
      </c>
      <c r="G233" s="153" t="s">
        <v>779</v>
      </c>
      <c r="H233" s="153"/>
      <c r="I233" s="227" t="s">
        <v>780</v>
      </c>
      <c r="J233" s="166"/>
      <c r="K233" s="165">
        <v>1</v>
      </c>
      <c r="L233" s="155"/>
      <c r="M233" s="155"/>
      <c r="N233" s="155"/>
      <c r="O233" s="155"/>
      <c r="P233" s="155"/>
      <c r="Q233" s="155"/>
      <c r="R233" s="155"/>
      <c r="S233" s="155"/>
      <c r="T233" s="155"/>
      <c r="U233" s="167" t="s">
        <v>504</v>
      </c>
      <c r="V233" s="153" t="s">
        <v>503</v>
      </c>
      <c r="W233" s="143" t="s">
        <v>298</v>
      </c>
      <c r="X233" s="157" t="s">
        <v>227</v>
      </c>
      <c r="Y233" s="153">
        <v>9664833093</v>
      </c>
      <c r="Z233" s="143"/>
      <c r="AA233" s="162" t="s">
        <v>524</v>
      </c>
      <c r="AB233" s="143" t="s">
        <v>528</v>
      </c>
      <c r="AC233" s="155">
        <v>1</v>
      </c>
      <c r="AD233" s="155"/>
      <c r="AE233" s="155"/>
      <c r="AF233" s="155"/>
      <c r="AG233" s="155"/>
      <c r="AH233" s="143"/>
      <c r="AI233" s="158"/>
    </row>
    <row r="234" spans="1:35">
      <c r="A234" s="140"/>
      <c r="B234" s="143"/>
      <c r="C234" s="143" t="s">
        <v>78</v>
      </c>
      <c r="D234" s="143" t="s">
        <v>501</v>
      </c>
      <c r="E234" s="143" t="s">
        <v>80</v>
      </c>
      <c r="F234" s="153" t="s">
        <v>490</v>
      </c>
      <c r="G234" s="153" t="s">
        <v>781</v>
      </c>
      <c r="H234" s="153" t="s">
        <v>283</v>
      </c>
      <c r="I234" s="227">
        <v>25962</v>
      </c>
      <c r="J234" s="166"/>
      <c r="K234" s="165">
        <v>1</v>
      </c>
      <c r="L234" s="155"/>
      <c r="M234" s="155"/>
      <c r="N234" s="155"/>
      <c r="O234" s="155"/>
      <c r="P234" s="155"/>
      <c r="Q234" s="155"/>
      <c r="R234" s="155"/>
      <c r="S234" s="155"/>
      <c r="T234" s="155"/>
      <c r="U234" s="167" t="s">
        <v>504</v>
      </c>
      <c r="V234" s="153" t="s">
        <v>503</v>
      </c>
      <c r="W234" s="143" t="s">
        <v>298</v>
      </c>
      <c r="X234" s="157" t="s">
        <v>227</v>
      </c>
      <c r="Y234" s="153">
        <v>9664833093</v>
      </c>
      <c r="Z234" s="143"/>
      <c r="AA234" s="162" t="s">
        <v>524</v>
      </c>
      <c r="AB234" s="143" t="s">
        <v>528</v>
      </c>
      <c r="AC234" s="155">
        <v>1</v>
      </c>
      <c r="AD234" s="155"/>
      <c r="AE234" s="155"/>
      <c r="AF234" s="155"/>
      <c r="AG234" s="155"/>
      <c r="AH234" s="143"/>
      <c r="AI234" s="158"/>
    </row>
    <row r="235" spans="1:35">
      <c r="A235" s="140"/>
      <c r="B235" s="143"/>
      <c r="C235" s="143" t="s">
        <v>78</v>
      </c>
      <c r="D235" s="143" t="s">
        <v>501</v>
      </c>
      <c r="E235" s="143" t="s">
        <v>80</v>
      </c>
      <c r="F235" s="153" t="s">
        <v>782</v>
      </c>
      <c r="G235" s="153" t="s">
        <v>783</v>
      </c>
      <c r="H235" s="153" t="s">
        <v>283</v>
      </c>
      <c r="I235" s="227">
        <v>31403</v>
      </c>
      <c r="J235" s="166"/>
      <c r="K235" s="165">
        <v>1</v>
      </c>
      <c r="L235" s="155"/>
      <c r="M235" s="155"/>
      <c r="N235" s="155"/>
      <c r="O235" s="155"/>
      <c r="P235" s="155"/>
      <c r="Q235" s="155"/>
      <c r="R235" s="155"/>
      <c r="S235" s="155"/>
      <c r="T235" s="155"/>
      <c r="U235" s="167" t="s">
        <v>504</v>
      </c>
      <c r="V235" s="153" t="s">
        <v>503</v>
      </c>
      <c r="W235" s="143" t="s">
        <v>298</v>
      </c>
      <c r="X235" s="157" t="s">
        <v>227</v>
      </c>
      <c r="Y235" s="153">
        <v>9560747099</v>
      </c>
      <c r="Z235" s="143"/>
      <c r="AA235" s="162" t="s">
        <v>524</v>
      </c>
      <c r="AB235" s="143" t="s">
        <v>528</v>
      </c>
      <c r="AC235" s="155">
        <v>1</v>
      </c>
      <c r="AD235" s="155"/>
      <c r="AE235" s="155"/>
      <c r="AF235" s="155"/>
      <c r="AG235" s="155"/>
      <c r="AH235" s="143"/>
      <c r="AI235" s="158"/>
    </row>
    <row r="236" spans="1:35">
      <c r="A236" s="140"/>
      <c r="B236" s="143"/>
      <c r="C236" s="143" t="s">
        <v>78</v>
      </c>
      <c r="D236" s="143" t="s">
        <v>501</v>
      </c>
      <c r="E236" s="143" t="s">
        <v>80</v>
      </c>
      <c r="F236" s="153" t="s">
        <v>782</v>
      </c>
      <c r="G236" s="153" t="s">
        <v>784</v>
      </c>
      <c r="H236" s="153" t="s">
        <v>283</v>
      </c>
      <c r="I236" s="227">
        <v>21371</v>
      </c>
      <c r="J236" s="166"/>
      <c r="K236" s="165">
        <v>1</v>
      </c>
      <c r="L236" s="155"/>
      <c r="M236" s="155">
        <v>1</v>
      </c>
      <c r="N236" s="155"/>
      <c r="O236" s="155"/>
      <c r="P236" s="155"/>
      <c r="Q236" s="155"/>
      <c r="R236" s="155"/>
      <c r="S236" s="155"/>
      <c r="T236" s="155"/>
      <c r="U236" s="167" t="s">
        <v>504</v>
      </c>
      <c r="V236" s="153" t="s">
        <v>503</v>
      </c>
      <c r="W236" s="143" t="s">
        <v>298</v>
      </c>
      <c r="X236" s="157" t="s">
        <v>227</v>
      </c>
      <c r="Y236" s="153">
        <v>9560747099</v>
      </c>
      <c r="Z236" s="143"/>
      <c r="AA236" s="162" t="s">
        <v>524</v>
      </c>
      <c r="AB236" s="143" t="s">
        <v>528</v>
      </c>
      <c r="AC236" s="155">
        <v>1</v>
      </c>
      <c r="AD236" s="155"/>
      <c r="AE236" s="155"/>
      <c r="AF236" s="155"/>
      <c r="AG236" s="155"/>
      <c r="AH236" s="143"/>
      <c r="AI236" s="158"/>
    </row>
    <row r="237" spans="1:35">
      <c r="A237" s="140"/>
      <c r="B237" s="143"/>
      <c r="C237" s="143" t="s">
        <v>78</v>
      </c>
      <c r="D237" s="143" t="s">
        <v>501</v>
      </c>
      <c r="E237" s="143" t="s">
        <v>80</v>
      </c>
      <c r="F237" s="153" t="s">
        <v>785</v>
      </c>
      <c r="G237" s="153" t="s">
        <v>663</v>
      </c>
      <c r="H237" s="153" t="s">
        <v>604</v>
      </c>
      <c r="I237" s="227">
        <v>30354</v>
      </c>
      <c r="J237" s="166"/>
      <c r="K237" s="165">
        <v>1</v>
      </c>
      <c r="L237" s="155"/>
      <c r="M237" s="155"/>
      <c r="N237" s="155"/>
      <c r="O237" s="155"/>
      <c r="P237" s="155"/>
      <c r="Q237" s="155"/>
      <c r="R237" s="155"/>
      <c r="S237" s="155"/>
      <c r="T237" s="155"/>
      <c r="U237" s="167" t="s">
        <v>504</v>
      </c>
      <c r="V237" s="153" t="s">
        <v>503</v>
      </c>
      <c r="W237" s="143" t="s">
        <v>298</v>
      </c>
      <c r="X237" s="157" t="s">
        <v>227</v>
      </c>
      <c r="Y237" s="153">
        <v>9560747099</v>
      </c>
      <c r="Z237" s="143"/>
      <c r="AA237" s="162" t="s">
        <v>524</v>
      </c>
      <c r="AB237" s="143" t="s">
        <v>528</v>
      </c>
      <c r="AC237" s="155">
        <v>1</v>
      </c>
      <c r="AD237" s="155"/>
      <c r="AE237" s="155"/>
      <c r="AF237" s="155"/>
      <c r="AG237" s="155"/>
      <c r="AH237" s="143"/>
      <c r="AI237" s="158"/>
    </row>
    <row r="238" spans="1:35">
      <c r="A238" s="140"/>
      <c r="B238" s="143"/>
      <c r="C238" s="143" t="s">
        <v>78</v>
      </c>
      <c r="D238" s="143" t="s">
        <v>501</v>
      </c>
      <c r="E238" s="143" t="s">
        <v>80</v>
      </c>
      <c r="F238" s="153" t="s">
        <v>786</v>
      </c>
      <c r="G238" s="153" t="s">
        <v>787</v>
      </c>
      <c r="H238" s="153" t="s">
        <v>409</v>
      </c>
      <c r="I238" s="227">
        <v>31378</v>
      </c>
      <c r="J238" s="166"/>
      <c r="K238" s="165">
        <v>1</v>
      </c>
      <c r="L238" s="155"/>
      <c r="M238" s="155"/>
      <c r="N238" s="155"/>
      <c r="O238" s="155"/>
      <c r="P238" s="155"/>
      <c r="Q238" s="155"/>
      <c r="R238" s="155"/>
      <c r="S238" s="155"/>
      <c r="T238" s="155"/>
      <c r="U238" s="167" t="s">
        <v>504</v>
      </c>
      <c r="V238" s="153" t="s">
        <v>503</v>
      </c>
      <c r="W238" s="143" t="s">
        <v>298</v>
      </c>
      <c r="X238" s="157" t="s">
        <v>227</v>
      </c>
      <c r="Y238" s="153"/>
      <c r="Z238" s="143"/>
      <c r="AA238" s="162" t="s">
        <v>524</v>
      </c>
      <c r="AB238" s="143" t="s">
        <v>528</v>
      </c>
      <c r="AC238" s="155">
        <v>1</v>
      </c>
      <c r="AD238" s="155"/>
      <c r="AE238" s="155"/>
      <c r="AF238" s="155"/>
      <c r="AG238" s="155"/>
      <c r="AH238" s="143"/>
      <c r="AI238" s="158"/>
    </row>
    <row r="239" spans="1:35">
      <c r="A239" s="140"/>
      <c r="B239" s="143"/>
      <c r="C239" s="143" t="s">
        <v>78</v>
      </c>
      <c r="D239" s="143" t="s">
        <v>501</v>
      </c>
      <c r="E239" s="143" t="s">
        <v>80</v>
      </c>
      <c r="F239" s="153" t="s">
        <v>788</v>
      </c>
      <c r="G239" s="153" t="s">
        <v>789</v>
      </c>
      <c r="H239" s="153"/>
      <c r="I239" s="227"/>
      <c r="J239" s="166"/>
      <c r="K239" s="165">
        <v>1</v>
      </c>
      <c r="L239" s="155"/>
      <c r="M239" s="155"/>
      <c r="N239" s="155"/>
      <c r="O239" s="155"/>
      <c r="P239" s="155"/>
      <c r="Q239" s="155"/>
      <c r="R239" s="155"/>
      <c r="S239" s="155"/>
      <c r="T239" s="155"/>
      <c r="U239" s="167" t="s">
        <v>504</v>
      </c>
      <c r="V239" s="153" t="s">
        <v>503</v>
      </c>
      <c r="W239" s="143" t="s">
        <v>298</v>
      </c>
      <c r="X239" s="157" t="s">
        <v>227</v>
      </c>
      <c r="Y239" s="153"/>
      <c r="Z239" s="143"/>
      <c r="AA239" s="162" t="s">
        <v>524</v>
      </c>
      <c r="AB239" s="143" t="s">
        <v>528</v>
      </c>
      <c r="AC239" s="155">
        <v>1</v>
      </c>
      <c r="AD239" s="155"/>
      <c r="AE239" s="155"/>
      <c r="AF239" s="155"/>
      <c r="AG239" s="155"/>
      <c r="AH239" s="143"/>
      <c r="AI239" s="158"/>
    </row>
    <row r="240" spans="1:35">
      <c r="A240" s="140"/>
      <c r="B240" s="143"/>
      <c r="C240" s="143" t="s">
        <v>78</v>
      </c>
      <c r="D240" s="143" t="s">
        <v>501</v>
      </c>
      <c r="E240" s="143" t="s">
        <v>80</v>
      </c>
      <c r="F240" s="153" t="s">
        <v>790</v>
      </c>
      <c r="G240" s="153" t="s">
        <v>791</v>
      </c>
      <c r="H240" s="153" t="s">
        <v>160</v>
      </c>
      <c r="I240" s="227">
        <v>35797</v>
      </c>
      <c r="J240" s="165">
        <v>1</v>
      </c>
      <c r="K240" s="165"/>
      <c r="L240" s="155"/>
      <c r="M240" s="155"/>
      <c r="N240" s="155"/>
      <c r="O240" s="155"/>
      <c r="P240" s="155"/>
      <c r="Q240" s="155"/>
      <c r="R240" s="155"/>
      <c r="S240" s="155"/>
      <c r="T240" s="155"/>
      <c r="U240" s="167" t="s">
        <v>506</v>
      </c>
      <c r="V240" s="153" t="s">
        <v>503</v>
      </c>
      <c r="W240" s="143" t="s">
        <v>298</v>
      </c>
      <c r="X240" s="157" t="s">
        <v>227</v>
      </c>
      <c r="Y240" s="153">
        <v>9759974910</v>
      </c>
      <c r="Z240" s="143"/>
      <c r="AA240" s="163" t="s">
        <v>525</v>
      </c>
      <c r="AB240" s="143" t="s">
        <v>528</v>
      </c>
      <c r="AC240" s="155">
        <v>1</v>
      </c>
      <c r="AD240" s="155"/>
      <c r="AE240" s="155"/>
      <c r="AF240" s="155"/>
      <c r="AG240" s="155"/>
      <c r="AH240" s="143"/>
      <c r="AI240" s="158"/>
    </row>
    <row r="241" spans="1:35">
      <c r="A241" s="140"/>
      <c r="B241" s="143"/>
      <c r="C241" s="143" t="s">
        <v>78</v>
      </c>
      <c r="D241" s="143" t="s">
        <v>501</v>
      </c>
      <c r="E241" s="143" t="s">
        <v>80</v>
      </c>
      <c r="F241" s="153" t="s">
        <v>792</v>
      </c>
      <c r="G241" s="153" t="s">
        <v>793</v>
      </c>
      <c r="H241" s="153" t="s">
        <v>283</v>
      </c>
      <c r="I241" s="227">
        <v>29578</v>
      </c>
      <c r="J241" s="165">
        <v>1</v>
      </c>
      <c r="K241" s="165"/>
      <c r="L241" s="155"/>
      <c r="M241" s="155"/>
      <c r="N241" s="155"/>
      <c r="O241" s="155"/>
      <c r="P241" s="155"/>
      <c r="Q241" s="155"/>
      <c r="R241" s="155"/>
      <c r="S241" s="155"/>
      <c r="T241" s="155"/>
      <c r="U241" s="167" t="s">
        <v>504</v>
      </c>
      <c r="V241" s="153" t="s">
        <v>503</v>
      </c>
      <c r="W241" s="143" t="s">
        <v>298</v>
      </c>
      <c r="X241" s="157" t="s">
        <v>227</v>
      </c>
      <c r="Y241" s="153">
        <v>9165719627</v>
      </c>
      <c r="Z241" s="143"/>
      <c r="AA241" s="162" t="s">
        <v>524</v>
      </c>
      <c r="AB241" s="143" t="s">
        <v>528</v>
      </c>
      <c r="AC241" s="155">
        <v>1</v>
      </c>
      <c r="AD241" s="155"/>
      <c r="AE241" s="155"/>
      <c r="AF241" s="155"/>
      <c r="AG241" s="155"/>
      <c r="AH241" s="143"/>
      <c r="AI241" s="158"/>
    </row>
    <row r="242" spans="1:35">
      <c r="A242" s="140"/>
      <c r="B242" s="143"/>
      <c r="C242" s="143" t="s">
        <v>78</v>
      </c>
      <c r="D242" s="143" t="s">
        <v>501</v>
      </c>
      <c r="E242" s="143" t="s">
        <v>80</v>
      </c>
      <c r="F242" s="153" t="s">
        <v>794</v>
      </c>
      <c r="G242" s="153" t="s">
        <v>795</v>
      </c>
      <c r="H242" s="153" t="s">
        <v>133</v>
      </c>
      <c r="I242" s="227">
        <v>18917</v>
      </c>
      <c r="J242" s="165">
        <v>1</v>
      </c>
      <c r="K242" s="165"/>
      <c r="L242" s="155"/>
      <c r="M242" s="155">
        <v>1</v>
      </c>
      <c r="N242" s="155"/>
      <c r="O242" s="155"/>
      <c r="P242" s="155"/>
      <c r="Q242" s="155"/>
      <c r="R242" s="155"/>
      <c r="S242" s="155"/>
      <c r="T242" s="155"/>
      <c r="U242" s="167"/>
      <c r="V242" s="153" t="s">
        <v>874</v>
      </c>
      <c r="W242" s="143" t="s">
        <v>279</v>
      </c>
      <c r="X242" s="157" t="s">
        <v>227</v>
      </c>
      <c r="Y242" s="153">
        <v>9261080865</v>
      </c>
      <c r="Z242" s="143"/>
      <c r="AA242" s="162" t="s">
        <v>524</v>
      </c>
      <c r="AB242" s="143" t="s">
        <v>528</v>
      </c>
      <c r="AC242" s="155">
        <v>1</v>
      </c>
      <c r="AD242" s="155"/>
      <c r="AE242" s="155"/>
      <c r="AF242" s="155"/>
      <c r="AG242" s="155"/>
      <c r="AH242" s="143"/>
      <c r="AI242" s="158"/>
    </row>
    <row r="243" spans="1:35">
      <c r="A243" s="140"/>
      <c r="B243" s="143"/>
      <c r="C243" s="143" t="s">
        <v>78</v>
      </c>
      <c r="D243" s="143" t="s">
        <v>501</v>
      </c>
      <c r="E243" s="143" t="s">
        <v>80</v>
      </c>
      <c r="F243" s="153" t="s">
        <v>796</v>
      </c>
      <c r="G243" s="153" t="s">
        <v>797</v>
      </c>
      <c r="H243" s="153" t="s">
        <v>133</v>
      </c>
      <c r="I243" s="227">
        <v>29599</v>
      </c>
      <c r="J243" s="166"/>
      <c r="K243" s="165">
        <v>1</v>
      </c>
      <c r="L243" s="155"/>
      <c r="M243" s="155"/>
      <c r="N243" s="155"/>
      <c r="O243" s="155"/>
      <c r="P243" s="155"/>
      <c r="Q243" s="155"/>
      <c r="R243" s="155"/>
      <c r="S243" s="155"/>
      <c r="T243" s="155"/>
      <c r="U243" s="167" t="s">
        <v>509</v>
      </c>
      <c r="V243" s="153" t="s">
        <v>503</v>
      </c>
      <c r="W243" s="143" t="s">
        <v>298</v>
      </c>
      <c r="X243" s="157" t="s">
        <v>227</v>
      </c>
      <c r="Y243" s="153">
        <v>9097261770</v>
      </c>
      <c r="Z243" s="143"/>
      <c r="AA243" s="162" t="s">
        <v>524</v>
      </c>
      <c r="AB243" s="143" t="s">
        <v>528</v>
      </c>
      <c r="AC243" s="155">
        <v>1</v>
      </c>
      <c r="AD243" s="155"/>
      <c r="AE243" s="155"/>
      <c r="AF243" s="155"/>
      <c r="AG243" s="155"/>
      <c r="AH243" s="143"/>
      <c r="AI243" s="158"/>
    </row>
    <row r="244" spans="1:35">
      <c r="A244" s="140"/>
      <c r="B244" s="143"/>
      <c r="C244" s="143" t="s">
        <v>78</v>
      </c>
      <c r="D244" s="143" t="s">
        <v>501</v>
      </c>
      <c r="E244" s="143" t="s">
        <v>80</v>
      </c>
      <c r="F244" s="153" t="s">
        <v>798</v>
      </c>
      <c r="G244" s="153" t="s">
        <v>799</v>
      </c>
      <c r="H244" s="153" t="s">
        <v>120</v>
      </c>
      <c r="I244" s="227">
        <v>28479</v>
      </c>
      <c r="J244" s="166"/>
      <c r="K244" s="165">
        <v>1</v>
      </c>
      <c r="L244" s="155"/>
      <c r="M244" s="155"/>
      <c r="N244" s="155"/>
      <c r="O244" s="155"/>
      <c r="P244" s="155"/>
      <c r="Q244" s="155"/>
      <c r="R244" s="155"/>
      <c r="S244" s="155"/>
      <c r="T244" s="155"/>
      <c r="U244" s="167" t="s">
        <v>509</v>
      </c>
      <c r="V244" s="153" t="s">
        <v>503</v>
      </c>
      <c r="W244" s="143" t="s">
        <v>298</v>
      </c>
      <c r="X244" s="157" t="s">
        <v>227</v>
      </c>
      <c r="Y244" s="153">
        <v>9702208499</v>
      </c>
      <c r="Z244" s="143"/>
      <c r="AA244" s="162" t="s">
        <v>524</v>
      </c>
      <c r="AB244" s="143" t="s">
        <v>528</v>
      </c>
      <c r="AC244" s="155">
        <v>2</v>
      </c>
      <c r="AD244" s="155"/>
      <c r="AE244" s="155"/>
      <c r="AF244" s="155"/>
      <c r="AG244" s="155"/>
      <c r="AH244" s="143"/>
      <c r="AI244" s="158"/>
    </row>
    <row r="245" spans="1:35">
      <c r="A245" s="140"/>
      <c r="B245" s="143"/>
      <c r="C245" s="143" t="s">
        <v>78</v>
      </c>
      <c r="D245" s="143" t="s">
        <v>501</v>
      </c>
      <c r="E245" s="143" t="s">
        <v>80</v>
      </c>
      <c r="F245" s="153" t="s">
        <v>796</v>
      </c>
      <c r="G245" s="153" t="s">
        <v>800</v>
      </c>
      <c r="H245" s="153"/>
      <c r="I245" s="227">
        <v>25775</v>
      </c>
      <c r="J245" s="165">
        <v>1</v>
      </c>
      <c r="K245" s="165"/>
      <c r="L245" s="155"/>
      <c r="M245" s="155"/>
      <c r="N245" s="155"/>
      <c r="O245" s="155"/>
      <c r="P245" s="155"/>
      <c r="Q245" s="155"/>
      <c r="R245" s="155"/>
      <c r="S245" s="155"/>
      <c r="T245" s="155"/>
      <c r="U245" s="167" t="s">
        <v>509</v>
      </c>
      <c r="V245" s="153" t="s">
        <v>503</v>
      </c>
      <c r="W245" s="143" t="s">
        <v>298</v>
      </c>
      <c r="X245" s="157" t="s">
        <v>227</v>
      </c>
      <c r="Y245" s="153">
        <v>9556206376</v>
      </c>
      <c r="Z245" s="143"/>
      <c r="AA245" s="162" t="s">
        <v>524</v>
      </c>
      <c r="AB245" s="143" t="s">
        <v>528</v>
      </c>
      <c r="AC245" s="155">
        <v>1</v>
      </c>
      <c r="AD245" s="155"/>
      <c r="AE245" s="155"/>
      <c r="AF245" s="155"/>
      <c r="AG245" s="155"/>
      <c r="AH245" s="143"/>
      <c r="AI245" s="158"/>
    </row>
    <row r="246" spans="1:35">
      <c r="A246" s="140"/>
      <c r="B246" s="143"/>
      <c r="C246" s="143" t="s">
        <v>78</v>
      </c>
      <c r="D246" s="143" t="s">
        <v>501</v>
      </c>
      <c r="E246" s="143" t="s">
        <v>80</v>
      </c>
      <c r="F246" s="153" t="s">
        <v>796</v>
      </c>
      <c r="G246" s="153" t="s">
        <v>389</v>
      </c>
      <c r="H246" s="153" t="s">
        <v>136</v>
      </c>
      <c r="I246" s="227">
        <v>28773</v>
      </c>
      <c r="J246" s="165">
        <v>1</v>
      </c>
      <c r="K246" s="165"/>
      <c r="L246" s="155"/>
      <c r="M246" s="155"/>
      <c r="N246" s="155"/>
      <c r="O246" s="155"/>
      <c r="P246" s="155"/>
      <c r="Q246" s="155"/>
      <c r="R246" s="155"/>
      <c r="S246" s="155"/>
      <c r="T246" s="155"/>
      <c r="U246" s="167" t="s">
        <v>509</v>
      </c>
      <c r="V246" s="153" t="s">
        <v>503</v>
      </c>
      <c r="W246" s="143" t="s">
        <v>298</v>
      </c>
      <c r="X246" s="157" t="s">
        <v>227</v>
      </c>
      <c r="Y246" s="153">
        <v>9124194187</v>
      </c>
      <c r="Z246" s="143"/>
      <c r="AA246" s="162" t="s">
        <v>524</v>
      </c>
      <c r="AB246" s="143" t="s">
        <v>528</v>
      </c>
      <c r="AC246" s="155">
        <v>1</v>
      </c>
      <c r="AD246" s="155"/>
      <c r="AE246" s="155"/>
      <c r="AF246" s="155"/>
      <c r="AG246" s="155"/>
      <c r="AH246" s="143"/>
      <c r="AI246" s="158"/>
    </row>
    <row r="247" spans="1:35">
      <c r="A247" s="140"/>
      <c r="B247" s="143"/>
      <c r="C247" s="143" t="s">
        <v>78</v>
      </c>
      <c r="D247" s="143" t="s">
        <v>501</v>
      </c>
      <c r="E247" s="143" t="s">
        <v>80</v>
      </c>
      <c r="F247" s="153" t="s">
        <v>801</v>
      </c>
      <c r="G247" s="153" t="s">
        <v>802</v>
      </c>
      <c r="H247" s="153" t="s">
        <v>421</v>
      </c>
      <c r="I247" s="227">
        <v>29396</v>
      </c>
      <c r="J247" s="166"/>
      <c r="K247" s="165">
        <v>1</v>
      </c>
      <c r="L247" s="155"/>
      <c r="M247" s="155"/>
      <c r="N247" s="155"/>
      <c r="O247" s="155"/>
      <c r="P247" s="155"/>
      <c r="Q247" s="155"/>
      <c r="R247" s="155"/>
      <c r="S247" s="155"/>
      <c r="T247" s="155"/>
      <c r="U247" s="167" t="s">
        <v>509</v>
      </c>
      <c r="V247" s="153" t="s">
        <v>503</v>
      </c>
      <c r="W247" s="143" t="s">
        <v>298</v>
      </c>
      <c r="X247" s="157" t="s">
        <v>227</v>
      </c>
      <c r="Y247" s="153">
        <v>9751292739</v>
      </c>
      <c r="Z247" s="143"/>
      <c r="AA247" s="162" t="s">
        <v>524</v>
      </c>
      <c r="AB247" s="143" t="s">
        <v>528</v>
      </c>
      <c r="AC247" s="155">
        <v>1</v>
      </c>
      <c r="AD247" s="155"/>
      <c r="AE247" s="155"/>
      <c r="AF247" s="155"/>
      <c r="AG247" s="155"/>
      <c r="AH247" s="143"/>
      <c r="AI247" s="158"/>
    </row>
    <row r="248" spans="1:35">
      <c r="A248" s="140"/>
      <c r="B248" s="143"/>
      <c r="C248" s="143" t="s">
        <v>78</v>
      </c>
      <c r="D248" s="143" t="s">
        <v>501</v>
      </c>
      <c r="E248" s="143" t="s">
        <v>80</v>
      </c>
      <c r="F248" s="153" t="s">
        <v>803</v>
      </c>
      <c r="G248" s="153" t="s">
        <v>804</v>
      </c>
      <c r="H248" s="153" t="s">
        <v>283</v>
      </c>
      <c r="I248" s="227">
        <v>24497</v>
      </c>
      <c r="J248" s="166"/>
      <c r="K248" s="165">
        <v>1</v>
      </c>
      <c r="L248" s="155"/>
      <c r="M248" s="155"/>
      <c r="N248" s="155"/>
      <c r="O248" s="155"/>
      <c r="P248" s="155"/>
      <c r="Q248" s="155"/>
      <c r="R248" s="155"/>
      <c r="S248" s="155"/>
      <c r="T248" s="155"/>
      <c r="U248" s="167" t="s">
        <v>509</v>
      </c>
      <c r="V248" s="153" t="s">
        <v>503</v>
      </c>
      <c r="W248" s="143" t="s">
        <v>298</v>
      </c>
      <c r="X248" s="157" t="s">
        <v>227</v>
      </c>
      <c r="Y248" s="153">
        <v>9633379236</v>
      </c>
      <c r="Z248" s="143"/>
      <c r="AA248" s="162" t="s">
        <v>524</v>
      </c>
      <c r="AB248" s="143" t="s">
        <v>528</v>
      </c>
      <c r="AC248" s="155">
        <v>1</v>
      </c>
      <c r="AD248" s="155"/>
      <c r="AE248" s="155"/>
      <c r="AF248" s="155"/>
      <c r="AG248" s="155"/>
      <c r="AH248" s="143"/>
      <c r="AI248" s="158"/>
    </row>
    <row r="249" spans="1:35">
      <c r="A249" s="140"/>
      <c r="B249" s="143"/>
      <c r="C249" s="143" t="s">
        <v>78</v>
      </c>
      <c r="D249" s="143" t="s">
        <v>501</v>
      </c>
      <c r="E249" s="143" t="s">
        <v>80</v>
      </c>
      <c r="F249" s="153" t="s">
        <v>805</v>
      </c>
      <c r="G249" s="153" t="s">
        <v>806</v>
      </c>
      <c r="H249" s="153" t="s">
        <v>126</v>
      </c>
      <c r="I249" s="227">
        <v>27631</v>
      </c>
      <c r="J249" s="166"/>
      <c r="K249" s="165">
        <v>1</v>
      </c>
      <c r="L249" s="155"/>
      <c r="M249" s="155"/>
      <c r="N249" s="155"/>
      <c r="O249" s="155"/>
      <c r="P249" s="155"/>
      <c r="Q249" s="155"/>
      <c r="R249" s="155"/>
      <c r="S249" s="155"/>
      <c r="T249" s="155"/>
      <c r="U249" s="167" t="s">
        <v>509</v>
      </c>
      <c r="V249" s="153" t="s">
        <v>503</v>
      </c>
      <c r="W249" s="143" t="s">
        <v>298</v>
      </c>
      <c r="X249" s="157" t="s">
        <v>227</v>
      </c>
      <c r="Y249" s="153">
        <v>9514387812</v>
      </c>
      <c r="Z249" s="143"/>
      <c r="AA249" s="162" t="s">
        <v>524</v>
      </c>
      <c r="AB249" s="143" t="s">
        <v>528</v>
      </c>
      <c r="AC249" s="155">
        <v>1</v>
      </c>
      <c r="AD249" s="155"/>
      <c r="AE249" s="155"/>
      <c r="AF249" s="155"/>
      <c r="AG249" s="155"/>
      <c r="AH249" s="143"/>
      <c r="AI249" s="158"/>
    </row>
    <row r="250" spans="1:35">
      <c r="A250" s="140"/>
      <c r="B250" s="143"/>
      <c r="C250" s="143" t="s">
        <v>78</v>
      </c>
      <c r="D250" s="143" t="s">
        <v>501</v>
      </c>
      <c r="E250" s="143" t="s">
        <v>80</v>
      </c>
      <c r="F250" s="153" t="s">
        <v>796</v>
      </c>
      <c r="G250" s="153" t="s">
        <v>807</v>
      </c>
      <c r="H250" s="153" t="s">
        <v>136</v>
      </c>
      <c r="I250" s="227">
        <v>27287</v>
      </c>
      <c r="J250" s="166"/>
      <c r="K250" s="165">
        <v>1</v>
      </c>
      <c r="L250" s="155"/>
      <c r="M250" s="155"/>
      <c r="N250" s="155"/>
      <c r="O250" s="155"/>
      <c r="P250" s="155"/>
      <c r="Q250" s="155"/>
      <c r="R250" s="155"/>
      <c r="S250" s="155"/>
      <c r="T250" s="155"/>
      <c r="U250" s="167" t="s">
        <v>509</v>
      </c>
      <c r="V250" s="153" t="s">
        <v>503</v>
      </c>
      <c r="W250" s="143" t="s">
        <v>298</v>
      </c>
      <c r="X250" s="157" t="s">
        <v>227</v>
      </c>
      <c r="Y250" s="153">
        <v>9318859296</v>
      </c>
      <c r="Z250" s="143"/>
      <c r="AA250" s="162" t="s">
        <v>524</v>
      </c>
      <c r="AB250" s="143" t="s">
        <v>528</v>
      </c>
      <c r="AC250" s="155">
        <v>1</v>
      </c>
      <c r="AD250" s="155"/>
      <c r="AE250" s="155"/>
      <c r="AF250" s="155"/>
      <c r="AG250" s="155"/>
      <c r="AH250" s="143"/>
      <c r="AI250" s="158"/>
    </row>
    <row r="251" spans="1:35">
      <c r="A251" s="140"/>
      <c r="B251" s="143"/>
      <c r="C251" s="143" t="s">
        <v>78</v>
      </c>
      <c r="D251" s="143" t="s">
        <v>501</v>
      </c>
      <c r="E251" s="143" t="s">
        <v>80</v>
      </c>
      <c r="F251" s="153" t="s">
        <v>808</v>
      </c>
      <c r="G251" s="153" t="s">
        <v>809</v>
      </c>
      <c r="H251" s="153" t="s">
        <v>283</v>
      </c>
      <c r="I251" s="227">
        <v>24008</v>
      </c>
      <c r="J251" s="166"/>
      <c r="K251" s="165">
        <v>1</v>
      </c>
      <c r="L251" s="155"/>
      <c r="M251" s="155"/>
      <c r="N251" s="155"/>
      <c r="O251" s="155"/>
      <c r="P251" s="155"/>
      <c r="Q251" s="155"/>
      <c r="R251" s="155"/>
      <c r="S251" s="155"/>
      <c r="T251" s="155"/>
      <c r="U251" s="167" t="s">
        <v>520</v>
      </c>
      <c r="V251" s="153" t="s">
        <v>503</v>
      </c>
      <c r="W251" s="143" t="s">
        <v>298</v>
      </c>
      <c r="X251" s="157" t="s">
        <v>227</v>
      </c>
      <c r="Y251" s="153">
        <v>9097783388</v>
      </c>
      <c r="Z251" s="143"/>
      <c r="AA251" s="162" t="s">
        <v>524</v>
      </c>
      <c r="AB251" s="143" t="s">
        <v>528</v>
      </c>
      <c r="AC251" s="155">
        <v>1</v>
      </c>
      <c r="AD251" s="155"/>
      <c r="AE251" s="155"/>
      <c r="AF251" s="155"/>
      <c r="AG251" s="155"/>
      <c r="AH251" s="143"/>
      <c r="AI251" s="158"/>
    </row>
    <row r="252" spans="1:35">
      <c r="A252" s="140"/>
      <c r="B252" s="143"/>
      <c r="C252" s="143" t="s">
        <v>78</v>
      </c>
      <c r="D252" s="143" t="s">
        <v>501</v>
      </c>
      <c r="E252" s="143" t="s">
        <v>80</v>
      </c>
      <c r="F252" s="153" t="s">
        <v>810</v>
      </c>
      <c r="G252" s="153" t="s">
        <v>811</v>
      </c>
      <c r="H252" s="153" t="s">
        <v>126</v>
      </c>
      <c r="I252" s="227">
        <v>25799</v>
      </c>
      <c r="J252" s="166"/>
      <c r="K252" s="165">
        <v>1</v>
      </c>
      <c r="L252" s="155"/>
      <c r="M252" s="155"/>
      <c r="N252" s="155"/>
      <c r="O252" s="155"/>
      <c r="P252" s="155"/>
      <c r="Q252" s="155"/>
      <c r="R252" s="155"/>
      <c r="S252" s="155"/>
      <c r="T252" s="155"/>
      <c r="U252" s="167" t="s">
        <v>857</v>
      </c>
      <c r="V252" s="153" t="s">
        <v>503</v>
      </c>
      <c r="W252" s="143" t="s">
        <v>298</v>
      </c>
      <c r="X252" s="157" t="s">
        <v>227</v>
      </c>
      <c r="Y252" s="153">
        <v>9121450790</v>
      </c>
      <c r="Z252" s="143"/>
      <c r="AA252" s="162" t="s">
        <v>524</v>
      </c>
      <c r="AB252" s="143" t="s">
        <v>528</v>
      </c>
      <c r="AC252" s="155">
        <v>1</v>
      </c>
      <c r="AD252" s="155"/>
      <c r="AE252" s="155"/>
      <c r="AF252" s="155"/>
      <c r="AG252" s="155"/>
      <c r="AH252" s="143"/>
      <c r="AI252" s="158"/>
    </row>
    <row r="253" spans="1:35">
      <c r="A253" s="140"/>
      <c r="B253" s="143"/>
      <c r="C253" s="143" t="s">
        <v>78</v>
      </c>
      <c r="D253" s="143" t="s">
        <v>501</v>
      </c>
      <c r="E253" s="143" t="s">
        <v>80</v>
      </c>
      <c r="F253" s="153" t="s">
        <v>812</v>
      </c>
      <c r="G253" s="153" t="s">
        <v>813</v>
      </c>
      <c r="H253" s="153" t="s">
        <v>136</v>
      </c>
      <c r="I253" s="227">
        <v>36975</v>
      </c>
      <c r="J253" s="166"/>
      <c r="K253" s="165">
        <v>1</v>
      </c>
      <c r="L253" s="155"/>
      <c r="M253" s="155"/>
      <c r="N253" s="155"/>
      <c r="O253" s="155"/>
      <c r="P253" s="155"/>
      <c r="Q253" s="155"/>
      <c r="R253" s="155"/>
      <c r="S253" s="155"/>
      <c r="T253" s="155"/>
      <c r="U253" s="167" t="s">
        <v>853</v>
      </c>
      <c r="V253" s="153" t="s">
        <v>503</v>
      </c>
      <c r="W253" s="143" t="s">
        <v>298</v>
      </c>
      <c r="X253" s="157" t="s">
        <v>227</v>
      </c>
      <c r="Y253" s="153">
        <v>9999346830</v>
      </c>
      <c r="Z253" s="143"/>
      <c r="AA253" s="162" t="s">
        <v>524</v>
      </c>
      <c r="AB253" s="143" t="s">
        <v>528</v>
      </c>
      <c r="AC253" s="155">
        <v>1</v>
      </c>
      <c r="AD253" s="155"/>
      <c r="AE253" s="155"/>
      <c r="AF253" s="155"/>
      <c r="AG253" s="155"/>
      <c r="AH253" s="143"/>
      <c r="AI253" s="158"/>
    </row>
    <row r="254" spans="1:35">
      <c r="A254" s="140"/>
      <c r="B254" s="143"/>
      <c r="C254" s="143" t="s">
        <v>78</v>
      </c>
      <c r="D254" s="143" t="s">
        <v>501</v>
      </c>
      <c r="E254" s="143" t="s">
        <v>80</v>
      </c>
      <c r="F254" s="153" t="s">
        <v>814</v>
      </c>
      <c r="G254" s="153" t="s">
        <v>815</v>
      </c>
      <c r="H254" s="153"/>
      <c r="I254" s="227">
        <v>22328</v>
      </c>
      <c r="J254" s="165">
        <v>1</v>
      </c>
      <c r="K254" s="165"/>
      <c r="L254" s="155"/>
      <c r="M254" s="155">
        <v>1</v>
      </c>
      <c r="N254" s="155"/>
      <c r="O254" s="155"/>
      <c r="P254" s="155"/>
      <c r="Q254" s="155"/>
      <c r="R254" s="155"/>
      <c r="S254" s="155"/>
      <c r="T254" s="155"/>
      <c r="U254" s="167" t="s">
        <v>867</v>
      </c>
      <c r="V254" s="153" t="s">
        <v>503</v>
      </c>
      <c r="W254" s="143" t="s">
        <v>298</v>
      </c>
      <c r="X254" s="157" t="s">
        <v>227</v>
      </c>
      <c r="Y254" s="153">
        <v>9555286095</v>
      </c>
      <c r="Z254" s="143"/>
      <c r="AA254" s="162" t="s">
        <v>524</v>
      </c>
      <c r="AB254" s="143" t="s">
        <v>528</v>
      </c>
      <c r="AC254" s="155">
        <v>1</v>
      </c>
      <c r="AD254" s="155"/>
      <c r="AE254" s="155"/>
      <c r="AF254" s="155"/>
      <c r="AG254" s="155"/>
      <c r="AH254" s="143"/>
      <c r="AI254" s="158"/>
    </row>
    <row r="255" spans="1:35">
      <c r="A255" s="140"/>
      <c r="B255" s="143"/>
      <c r="C255" s="143" t="s">
        <v>78</v>
      </c>
      <c r="D255" s="143" t="s">
        <v>501</v>
      </c>
      <c r="E255" s="143" t="s">
        <v>80</v>
      </c>
      <c r="F255" s="153" t="s">
        <v>413</v>
      </c>
      <c r="G255" s="153" t="s">
        <v>414</v>
      </c>
      <c r="H255" s="153" t="s">
        <v>150</v>
      </c>
      <c r="I255" s="227">
        <v>23925</v>
      </c>
      <c r="J255" s="166"/>
      <c r="K255" s="165">
        <v>1</v>
      </c>
      <c r="L255" s="155"/>
      <c r="M255" s="155"/>
      <c r="N255" s="155"/>
      <c r="O255" s="155"/>
      <c r="P255" s="155"/>
      <c r="Q255" s="155">
        <v>1</v>
      </c>
      <c r="R255" s="155" t="s">
        <v>1348</v>
      </c>
      <c r="S255" s="155"/>
      <c r="T255" s="155"/>
      <c r="U255" s="167" t="s">
        <v>295</v>
      </c>
      <c r="V255" s="153" t="s">
        <v>503</v>
      </c>
      <c r="W255" s="143" t="s">
        <v>298</v>
      </c>
      <c r="X255" s="157" t="s">
        <v>227</v>
      </c>
      <c r="Y255" s="153">
        <v>9357514235</v>
      </c>
      <c r="Z255" s="143"/>
      <c r="AA255" s="163" t="s">
        <v>525</v>
      </c>
      <c r="AB255" s="143" t="s">
        <v>528</v>
      </c>
      <c r="AC255" s="155">
        <v>2</v>
      </c>
      <c r="AD255" s="155"/>
      <c r="AE255" s="155"/>
      <c r="AF255" s="155"/>
      <c r="AG255" s="155"/>
      <c r="AH255" s="143"/>
      <c r="AI255" s="158"/>
    </row>
    <row r="256" spans="1:35">
      <c r="A256" s="140"/>
      <c r="B256" s="143"/>
      <c r="C256" s="143" t="s">
        <v>78</v>
      </c>
      <c r="D256" s="143" t="s">
        <v>501</v>
      </c>
      <c r="E256" s="143" t="s">
        <v>80</v>
      </c>
      <c r="F256" s="153" t="s">
        <v>816</v>
      </c>
      <c r="G256" s="153" t="s">
        <v>817</v>
      </c>
      <c r="H256" s="153"/>
      <c r="I256" s="227"/>
      <c r="J256" s="165">
        <v>1</v>
      </c>
      <c r="K256" s="165"/>
      <c r="L256" s="155"/>
      <c r="M256" s="155"/>
      <c r="N256" s="155"/>
      <c r="O256" s="155"/>
      <c r="P256" s="155"/>
      <c r="Q256" s="155"/>
      <c r="R256" s="155"/>
      <c r="S256" s="155"/>
      <c r="T256" s="155"/>
      <c r="U256" s="167" t="s">
        <v>516</v>
      </c>
      <c r="V256" s="153" t="s">
        <v>503</v>
      </c>
      <c r="W256" s="143" t="s">
        <v>298</v>
      </c>
      <c r="X256" s="157" t="s">
        <v>227</v>
      </c>
      <c r="Y256" s="153">
        <v>9097797114</v>
      </c>
      <c r="Z256" s="143"/>
      <c r="AA256" s="162" t="s">
        <v>524</v>
      </c>
      <c r="AB256" s="143" t="s">
        <v>528</v>
      </c>
      <c r="AC256" s="155">
        <v>1</v>
      </c>
      <c r="AD256" s="155"/>
      <c r="AE256" s="155"/>
      <c r="AF256" s="155"/>
      <c r="AG256" s="155"/>
      <c r="AH256" s="143"/>
      <c r="AI256" s="158"/>
    </row>
    <row r="257" spans="1:35">
      <c r="A257" s="140"/>
      <c r="B257" s="143"/>
      <c r="C257" s="143" t="s">
        <v>78</v>
      </c>
      <c r="D257" s="143" t="s">
        <v>501</v>
      </c>
      <c r="E257" s="143" t="s">
        <v>80</v>
      </c>
      <c r="F257" s="153" t="s">
        <v>184</v>
      </c>
      <c r="G257" s="153" t="s">
        <v>817</v>
      </c>
      <c r="H257" s="153" t="s">
        <v>818</v>
      </c>
      <c r="I257" s="227">
        <v>24050</v>
      </c>
      <c r="J257" s="165">
        <v>1</v>
      </c>
      <c r="K257" s="165"/>
      <c r="L257" s="155"/>
      <c r="M257" s="155"/>
      <c r="N257" s="155"/>
      <c r="O257" s="155"/>
      <c r="P257" s="155"/>
      <c r="Q257" s="155"/>
      <c r="R257" s="155"/>
      <c r="S257" s="155"/>
      <c r="T257" s="155"/>
      <c r="U257" s="167" t="s">
        <v>505</v>
      </c>
      <c r="V257" s="153" t="s">
        <v>503</v>
      </c>
      <c r="W257" s="143" t="s">
        <v>298</v>
      </c>
      <c r="X257" s="157" t="s">
        <v>227</v>
      </c>
      <c r="Y257" s="153">
        <v>9154073327</v>
      </c>
      <c r="Z257" s="143"/>
      <c r="AA257" s="162" t="s">
        <v>524</v>
      </c>
      <c r="AB257" s="143" t="s">
        <v>528</v>
      </c>
      <c r="AC257" s="155">
        <v>1</v>
      </c>
      <c r="AD257" s="155"/>
      <c r="AE257" s="155"/>
      <c r="AF257" s="155"/>
      <c r="AG257" s="155"/>
      <c r="AH257" s="143"/>
      <c r="AI257" s="158"/>
    </row>
    <row r="258" spans="1:35">
      <c r="A258" s="140"/>
      <c r="B258" s="143"/>
      <c r="C258" s="143" t="s">
        <v>78</v>
      </c>
      <c r="D258" s="143" t="s">
        <v>501</v>
      </c>
      <c r="E258" s="143" t="s">
        <v>80</v>
      </c>
      <c r="F258" s="153" t="s">
        <v>819</v>
      </c>
      <c r="G258" s="153" t="s">
        <v>820</v>
      </c>
      <c r="H258" s="153" t="s">
        <v>126</v>
      </c>
      <c r="I258" s="227">
        <v>33310</v>
      </c>
      <c r="J258" s="165">
        <v>1</v>
      </c>
      <c r="K258" s="165"/>
      <c r="L258" s="155"/>
      <c r="M258" s="155"/>
      <c r="N258" s="155"/>
      <c r="O258" s="155"/>
      <c r="P258" s="155"/>
      <c r="Q258" s="155"/>
      <c r="R258" s="155"/>
      <c r="S258" s="155"/>
      <c r="T258" s="155"/>
      <c r="U258" s="167" t="s">
        <v>509</v>
      </c>
      <c r="V258" s="153" t="s">
        <v>503</v>
      </c>
      <c r="W258" s="143" t="s">
        <v>298</v>
      </c>
      <c r="X258" s="157" t="s">
        <v>227</v>
      </c>
      <c r="Y258" s="153">
        <v>9266066879</v>
      </c>
      <c r="Z258" s="143"/>
      <c r="AA258" s="162" t="s">
        <v>524</v>
      </c>
      <c r="AB258" s="143" t="s">
        <v>528</v>
      </c>
      <c r="AC258" s="155">
        <v>1</v>
      </c>
      <c r="AD258" s="155"/>
      <c r="AE258" s="155"/>
      <c r="AF258" s="155"/>
      <c r="AG258" s="155"/>
      <c r="AH258" s="143"/>
      <c r="AI258" s="158"/>
    </row>
    <row r="259" spans="1:35">
      <c r="A259" s="140"/>
      <c r="B259" s="143"/>
      <c r="C259" s="143" t="s">
        <v>78</v>
      </c>
      <c r="D259" s="143" t="s">
        <v>501</v>
      </c>
      <c r="E259" s="143" t="s">
        <v>80</v>
      </c>
      <c r="F259" s="153" t="s">
        <v>821</v>
      </c>
      <c r="G259" s="153" t="s">
        <v>822</v>
      </c>
      <c r="H259" s="153" t="s">
        <v>283</v>
      </c>
      <c r="I259" s="227">
        <v>33539</v>
      </c>
      <c r="J259" s="166"/>
      <c r="K259" s="165">
        <v>1</v>
      </c>
      <c r="L259" s="155"/>
      <c r="M259" s="155"/>
      <c r="N259" s="155"/>
      <c r="O259" s="155"/>
      <c r="P259" s="155"/>
      <c r="Q259" s="171">
        <v>1</v>
      </c>
      <c r="R259" s="172" t="s">
        <v>957</v>
      </c>
      <c r="S259" s="155"/>
      <c r="T259" s="155"/>
      <c r="U259" s="167" t="s">
        <v>502</v>
      </c>
      <c r="V259" s="153" t="s">
        <v>503</v>
      </c>
      <c r="W259" s="143" t="s">
        <v>298</v>
      </c>
      <c r="X259" s="157" t="s">
        <v>227</v>
      </c>
      <c r="Y259" s="153">
        <v>9988509914</v>
      </c>
      <c r="Z259" s="143"/>
      <c r="AA259" s="162" t="s">
        <v>524</v>
      </c>
      <c r="AB259" s="143" t="s">
        <v>528</v>
      </c>
      <c r="AC259" s="155">
        <v>1</v>
      </c>
      <c r="AD259" s="155"/>
      <c r="AE259" s="155"/>
      <c r="AF259" s="155"/>
      <c r="AG259" s="155"/>
      <c r="AH259" s="143"/>
      <c r="AI259" s="158"/>
    </row>
    <row r="260" spans="1:35">
      <c r="A260" s="140"/>
      <c r="B260" s="143"/>
      <c r="C260" s="143" t="s">
        <v>78</v>
      </c>
      <c r="D260" s="143" t="s">
        <v>501</v>
      </c>
      <c r="E260" s="143" t="s">
        <v>80</v>
      </c>
      <c r="F260" s="153" t="s">
        <v>823</v>
      </c>
      <c r="G260" s="153" t="s">
        <v>148</v>
      </c>
      <c r="H260" s="153" t="s">
        <v>126</v>
      </c>
      <c r="I260" s="227">
        <v>22451</v>
      </c>
      <c r="J260" s="165">
        <v>1</v>
      </c>
      <c r="K260" s="165"/>
      <c r="L260" s="155"/>
      <c r="M260" s="155">
        <v>1</v>
      </c>
      <c r="N260" s="155"/>
      <c r="O260" s="155"/>
      <c r="P260" s="155"/>
      <c r="Q260" s="155"/>
      <c r="R260" s="155"/>
      <c r="S260" s="155"/>
      <c r="T260" s="155"/>
      <c r="U260" s="167" t="s">
        <v>859</v>
      </c>
      <c r="V260" s="153" t="s">
        <v>503</v>
      </c>
      <c r="W260" s="143" t="s">
        <v>298</v>
      </c>
      <c r="X260" s="157" t="s">
        <v>227</v>
      </c>
      <c r="Y260" s="153">
        <v>9452488845</v>
      </c>
      <c r="Z260" s="143"/>
      <c r="AA260" s="162" t="s">
        <v>524</v>
      </c>
      <c r="AB260" s="143" t="s">
        <v>528</v>
      </c>
      <c r="AC260" s="155">
        <v>1</v>
      </c>
      <c r="AD260" s="155"/>
      <c r="AE260" s="155"/>
      <c r="AF260" s="155"/>
      <c r="AG260" s="155"/>
      <c r="AH260" s="143"/>
      <c r="AI260" s="158"/>
    </row>
    <row r="261" spans="1:35">
      <c r="A261" s="140"/>
      <c r="B261" s="143"/>
      <c r="C261" s="143" t="s">
        <v>78</v>
      </c>
      <c r="D261" s="143" t="s">
        <v>501</v>
      </c>
      <c r="E261" s="143" t="s">
        <v>80</v>
      </c>
      <c r="F261" s="153" t="s">
        <v>796</v>
      </c>
      <c r="G261" s="153" t="s">
        <v>762</v>
      </c>
      <c r="H261" s="153" t="s">
        <v>283</v>
      </c>
      <c r="I261" s="227"/>
      <c r="J261" s="166"/>
      <c r="K261" s="165">
        <v>1</v>
      </c>
      <c r="L261" s="155"/>
      <c r="M261" s="155"/>
      <c r="N261" s="155"/>
      <c r="O261" s="155"/>
      <c r="P261" s="155"/>
      <c r="Q261" s="155"/>
      <c r="R261" s="155"/>
      <c r="S261" s="155"/>
      <c r="T261" s="155"/>
      <c r="U261" s="167" t="s">
        <v>509</v>
      </c>
      <c r="V261" s="153" t="s">
        <v>503</v>
      </c>
      <c r="W261" s="143" t="s">
        <v>298</v>
      </c>
      <c r="X261" s="157" t="s">
        <v>227</v>
      </c>
      <c r="Y261" s="153">
        <v>9556206376</v>
      </c>
      <c r="Z261" s="143"/>
      <c r="AA261" s="162" t="s">
        <v>524</v>
      </c>
      <c r="AB261" s="143" t="s">
        <v>528</v>
      </c>
      <c r="AC261" s="155">
        <v>1</v>
      </c>
      <c r="AD261" s="155"/>
      <c r="AE261" s="155"/>
      <c r="AF261" s="155"/>
      <c r="AG261" s="155"/>
      <c r="AH261" s="143"/>
      <c r="AI261" s="158"/>
    </row>
    <row r="262" spans="1:35">
      <c r="A262" s="140"/>
      <c r="B262" s="143"/>
      <c r="C262" s="143" t="s">
        <v>78</v>
      </c>
      <c r="D262" s="143" t="s">
        <v>501</v>
      </c>
      <c r="E262" s="143" t="s">
        <v>80</v>
      </c>
      <c r="F262" s="153" t="s">
        <v>824</v>
      </c>
      <c r="G262" s="153" t="s">
        <v>825</v>
      </c>
      <c r="H262" s="153"/>
      <c r="I262" s="227">
        <v>36004</v>
      </c>
      <c r="J262" s="166"/>
      <c r="K262" s="165">
        <v>1</v>
      </c>
      <c r="L262" s="155"/>
      <c r="M262" s="155"/>
      <c r="N262" s="155"/>
      <c r="O262" s="155"/>
      <c r="P262" s="155"/>
      <c r="Q262" s="155"/>
      <c r="R262" s="155"/>
      <c r="S262" s="155"/>
      <c r="T262" s="155"/>
      <c r="U262" s="167" t="s">
        <v>509</v>
      </c>
      <c r="V262" s="153" t="s">
        <v>503</v>
      </c>
      <c r="W262" s="143" t="s">
        <v>298</v>
      </c>
      <c r="X262" s="157" t="s">
        <v>227</v>
      </c>
      <c r="Y262" s="153"/>
      <c r="Z262" s="143"/>
      <c r="AA262" s="162" t="s">
        <v>524</v>
      </c>
      <c r="AB262" s="143" t="s">
        <v>528</v>
      </c>
      <c r="AC262" s="155">
        <v>1</v>
      </c>
      <c r="AD262" s="155"/>
      <c r="AE262" s="155"/>
      <c r="AF262" s="155"/>
      <c r="AG262" s="155"/>
      <c r="AH262" s="143"/>
      <c r="AI262" s="158"/>
    </row>
    <row r="263" spans="1:35">
      <c r="A263" s="140"/>
      <c r="B263" s="143"/>
      <c r="C263" s="143" t="s">
        <v>78</v>
      </c>
      <c r="D263" s="143" t="s">
        <v>501</v>
      </c>
      <c r="E263" s="143" t="s">
        <v>80</v>
      </c>
      <c r="F263" s="153" t="s">
        <v>826</v>
      </c>
      <c r="G263" s="153" t="s">
        <v>827</v>
      </c>
      <c r="H263" s="153"/>
      <c r="I263" s="227">
        <v>30850</v>
      </c>
      <c r="J263" s="165">
        <v>1</v>
      </c>
      <c r="K263" s="165"/>
      <c r="L263" s="155"/>
      <c r="M263" s="155"/>
      <c r="N263" s="155"/>
      <c r="O263" s="155"/>
      <c r="P263" s="155"/>
      <c r="Q263" s="155"/>
      <c r="R263" s="155"/>
      <c r="S263" s="155"/>
      <c r="T263" s="155"/>
      <c r="U263" s="167" t="s">
        <v>868</v>
      </c>
      <c r="V263" s="153" t="s">
        <v>513</v>
      </c>
      <c r="W263" s="143" t="s">
        <v>279</v>
      </c>
      <c r="X263" s="157" t="s">
        <v>227</v>
      </c>
      <c r="Y263" s="153">
        <v>9093192555</v>
      </c>
      <c r="Z263" s="143"/>
      <c r="AA263" s="162" t="s">
        <v>524</v>
      </c>
      <c r="AB263" s="143" t="s">
        <v>528</v>
      </c>
      <c r="AC263" s="155">
        <v>1</v>
      </c>
      <c r="AD263" s="155"/>
      <c r="AE263" s="155"/>
      <c r="AF263" s="155"/>
      <c r="AG263" s="155"/>
      <c r="AH263" s="143"/>
      <c r="AI263" s="158"/>
    </row>
    <row r="264" spans="1:35">
      <c r="A264" s="140"/>
      <c r="B264" s="143"/>
      <c r="C264" s="143" t="s">
        <v>78</v>
      </c>
      <c r="D264" s="143" t="s">
        <v>501</v>
      </c>
      <c r="E264" s="143" t="s">
        <v>80</v>
      </c>
      <c r="F264" s="153" t="s">
        <v>828</v>
      </c>
      <c r="G264" s="153" t="s">
        <v>829</v>
      </c>
      <c r="H264" s="153"/>
      <c r="I264" s="227">
        <v>34843</v>
      </c>
      <c r="J264" s="165">
        <v>1</v>
      </c>
      <c r="K264" s="165"/>
      <c r="L264" s="155"/>
      <c r="M264" s="155"/>
      <c r="N264" s="155"/>
      <c r="O264" s="155"/>
      <c r="P264" s="155"/>
      <c r="Q264" s="155"/>
      <c r="R264" s="155"/>
      <c r="S264" s="155"/>
      <c r="T264" s="155"/>
      <c r="U264" s="167" t="s">
        <v>869</v>
      </c>
      <c r="V264" s="153" t="s">
        <v>875</v>
      </c>
      <c r="W264" s="143" t="s">
        <v>298</v>
      </c>
      <c r="X264" s="157" t="s">
        <v>227</v>
      </c>
      <c r="Y264" s="153">
        <v>9631620220</v>
      </c>
      <c r="Z264" s="143"/>
      <c r="AA264" s="162" t="s">
        <v>524</v>
      </c>
      <c r="AB264" s="143" t="s">
        <v>528</v>
      </c>
      <c r="AC264" s="155">
        <v>1</v>
      </c>
      <c r="AD264" s="155"/>
      <c r="AE264" s="155"/>
      <c r="AF264" s="155"/>
      <c r="AG264" s="155"/>
      <c r="AH264" s="143"/>
      <c r="AI264" s="158"/>
    </row>
    <row r="265" spans="1:35">
      <c r="A265" s="140"/>
      <c r="B265" s="143"/>
      <c r="C265" s="143" t="s">
        <v>78</v>
      </c>
      <c r="D265" s="143" t="s">
        <v>501</v>
      </c>
      <c r="E265" s="143" t="s">
        <v>80</v>
      </c>
      <c r="F265" s="153" t="s">
        <v>406</v>
      </c>
      <c r="G265" s="153" t="s">
        <v>343</v>
      </c>
      <c r="H265" s="153" t="s">
        <v>830</v>
      </c>
      <c r="I265" s="227">
        <v>34395</v>
      </c>
      <c r="J265" s="165">
        <v>1</v>
      </c>
      <c r="K265" s="165"/>
      <c r="L265" s="155"/>
      <c r="M265" s="155"/>
      <c r="N265" s="155"/>
      <c r="O265" s="155"/>
      <c r="P265" s="155"/>
      <c r="Q265" s="155"/>
      <c r="R265" s="155"/>
      <c r="S265" s="155"/>
      <c r="T265" s="155"/>
      <c r="U265" s="167"/>
      <c r="V265" s="153" t="s">
        <v>875</v>
      </c>
      <c r="W265" s="143" t="s">
        <v>279</v>
      </c>
      <c r="X265" s="157" t="s">
        <v>227</v>
      </c>
      <c r="Y265" s="153">
        <v>9484845266</v>
      </c>
      <c r="Z265" s="143"/>
      <c r="AA265" s="162" t="s">
        <v>524</v>
      </c>
      <c r="AB265" s="143" t="s">
        <v>528</v>
      </c>
      <c r="AC265" s="155">
        <v>1</v>
      </c>
      <c r="AD265" s="155"/>
      <c r="AE265" s="155"/>
      <c r="AF265" s="155"/>
      <c r="AG265" s="155"/>
      <c r="AH265" s="143"/>
      <c r="AI265" s="158"/>
    </row>
    <row r="266" spans="1:35">
      <c r="A266" s="140"/>
      <c r="B266" s="143"/>
      <c r="C266" s="143" t="s">
        <v>78</v>
      </c>
      <c r="D266" s="143" t="s">
        <v>501</v>
      </c>
      <c r="E266" s="143" t="s">
        <v>80</v>
      </c>
      <c r="F266" s="153" t="s">
        <v>831</v>
      </c>
      <c r="G266" s="153" t="s">
        <v>343</v>
      </c>
      <c r="H266" s="153"/>
      <c r="I266" s="227">
        <v>23586</v>
      </c>
      <c r="J266" s="165">
        <v>1</v>
      </c>
      <c r="K266" s="165"/>
      <c r="L266" s="155"/>
      <c r="M266" s="155"/>
      <c r="N266" s="155"/>
      <c r="O266" s="155"/>
      <c r="P266" s="155"/>
      <c r="Q266" s="155"/>
      <c r="R266" s="155"/>
      <c r="S266" s="155"/>
      <c r="T266" s="155"/>
      <c r="U266" s="167"/>
      <c r="V266" s="153" t="s">
        <v>875</v>
      </c>
      <c r="W266" s="143" t="s">
        <v>279</v>
      </c>
      <c r="X266" s="157" t="s">
        <v>227</v>
      </c>
      <c r="Y266" s="153"/>
      <c r="Z266" s="143"/>
      <c r="AA266" s="162" t="s">
        <v>524</v>
      </c>
      <c r="AB266" s="143" t="s">
        <v>528</v>
      </c>
      <c r="AC266" s="155">
        <v>1</v>
      </c>
      <c r="AD266" s="155"/>
      <c r="AE266" s="155"/>
      <c r="AF266" s="155"/>
      <c r="AG266" s="155"/>
      <c r="AH266" s="143"/>
      <c r="AI266" s="158"/>
    </row>
    <row r="267" spans="1:35">
      <c r="A267" s="140"/>
      <c r="B267" s="143"/>
      <c r="C267" s="143" t="s">
        <v>78</v>
      </c>
      <c r="D267" s="143" t="s">
        <v>501</v>
      </c>
      <c r="E267" s="143" t="s">
        <v>80</v>
      </c>
      <c r="F267" s="153" t="s">
        <v>832</v>
      </c>
      <c r="G267" s="153" t="s">
        <v>833</v>
      </c>
      <c r="H267" s="153" t="s">
        <v>160</v>
      </c>
      <c r="I267" s="227">
        <v>29000</v>
      </c>
      <c r="J267" s="165">
        <v>1</v>
      </c>
      <c r="K267" s="165"/>
      <c r="L267" s="155"/>
      <c r="M267" s="155"/>
      <c r="N267" s="155"/>
      <c r="O267" s="155"/>
      <c r="P267" s="155"/>
      <c r="Q267" s="155"/>
      <c r="R267" s="155"/>
      <c r="S267" s="155"/>
      <c r="T267" s="155"/>
      <c r="U267" s="167"/>
      <c r="V267" s="153" t="s">
        <v>875</v>
      </c>
      <c r="W267" s="143" t="s">
        <v>279</v>
      </c>
      <c r="X267" s="157" t="s">
        <v>227</v>
      </c>
      <c r="Y267" s="153">
        <v>9096263941</v>
      </c>
      <c r="Z267" s="143"/>
      <c r="AA267" s="162" t="s">
        <v>524</v>
      </c>
      <c r="AB267" s="143" t="s">
        <v>528</v>
      </c>
      <c r="AC267" s="155">
        <v>1</v>
      </c>
      <c r="AD267" s="155"/>
      <c r="AE267" s="155"/>
      <c r="AF267" s="155"/>
      <c r="AG267" s="155"/>
      <c r="AH267" s="143"/>
      <c r="AI267" s="158"/>
    </row>
    <row r="268" spans="1:35">
      <c r="A268" s="140"/>
      <c r="B268" s="143"/>
      <c r="C268" s="143" t="s">
        <v>78</v>
      </c>
      <c r="D268" s="143" t="s">
        <v>501</v>
      </c>
      <c r="E268" s="143" t="s">
        <v>80</v>
      </c>
      <c r="F268" s="153" t="s">
        <v>834</v>
      </c>
      <c r="G268" s="153" t="s">
        <v>835</v>
      </c>
      <c r="H268" s="153"/>
      <c r="I268" s="227">
        <v>36806</v>
      </c>
      <c r="J268" s="166"/>
      <c r="K268" s="165">
        <v>1</v>
      </c>
      <c r="L268" s="155"/>
      <c r="M268" s="155"/>
      <c r="N268" s="155"/>
      <c r="O268" s="155"/>
      <c r="P268" s="155"/>
      <c r="Q268" s="155"/>
      <c r="R268" s="155"/>
      <c r="S268" s="155"/>
      <c r="T268" s="155"/>
      <c r="U268" s="167" t="s">
        <v>870</v>
      </c>
      <c r="V268" s="153" t="s">
        <v>503</v>
      </c>
      <c r="W268" s="143" t="s">
        <v>298</v>
      </c>
      <c r="X268" s="157" t="s">
        <v>227</v>
      </c>
      <c r="Y268" s="153"/>
      <c r="Z268" s="143"/>
      <c r="AA268" s="162" t="s">
        <v>524</v>
      </c>
      <c r="AB268" s="143" t="s">
        <v>528</v>
      </c>
      <c r="AC268" s="155">
        <v>1</v>
      </c>
      <c r="AD268" s="155"/>
      <c r="AE268" s="155"/>
      <c r="AF268" s="155"/>
      <c r="AG268" s="155"/>
      <c r="AH268" s="143"/>
      <c r="AI268" s="158"/>
    </row>
    <row r="269" spans="1:35">
      <c r="A269" s="140"/>
      <c r="B269" s="143"/>
      <c r="C269" s="143" t="s">
        <v>78</v>
      </c>
      <c r="D269" s="143" t="s">
        <v>501</v>
      </c>
      <c r="E269" s="143" t="s">
        <v>80</v>
      </c>
      <c r="F269" s="153" t="s">
        <v>836</v>
      </c>
      <c r="G269" s="153" t="s">
        <v>837</v>
      </c>
      <c r="H269" s="153" t="s">
        <v>120</v>
      </c>
      <c r="I269" s="227">
        <v>26370</v>
      </c>
      <c r="J269" s="165">
        <v>1</v>
      </c>
      <c r="K269" s="165"/>
      <c r="L269" s="155"/>
      <c r="M269" s="155"/>
      <c r="N269" s="155"/>
      <c r="O269" s="155"/>
      <c r="P269" s="155"/>
      <c r="Q269" s="155"/>
      <c r="R269" s="155"/>
      <c r="S269" s="155"/>
      <c r="T269" s="155"/>
      <c r="U269" s="167" t="s">
        <v>509</v>
      </c>
      <c r="V269" s="153" t="s">
        <v>503</v>
      </c>
      <c r="W269" s="143" t="s">
        <v>298</v>
      </c>
      <c r="X269" s="157" t="s">
        <v>227</v>
      </c>
      <c r="Y269" s="153">
        <v>9460865320</v>
      </c>
      <c r="Z269" s="143"/>
      <c r="AA269" s="162" t="s">
        <v>524</v>
      </c>
      <c r="AB269" s="143" t="s">
        <v>528</v>
      </c>
      <c r="AC269" s="155">
        <v>1</v>
      </c>
      <c r="AD269" s="155"/>
      <c r="AE269" s="155"/>
      <c r="AF269" s="155"/>
      <c r="AG269" s="155"/>
      <c r="AH269" s="143"/>
      <c r="AI269" s="158"/>
    </row>
    <row r="270" spans="1:35">
      <c r="A270" s="140"/>
      <c r="B270" s="143"/>
      <c r="C270" s="143" t="s">
        <v>78</v>
      </c>
      <c r="D270" s="143" t="s">
        <v>501</v>
      </c>
      <c r="E270" s="143" t="s">
        <v>80</v>
      </c>
      <c r="F270" s="153" t="s">
        <v>838</v>
      </c>
      <c r="G270" s="153" t="s">
        <v>839</v>
      </c>
      <c r="H270" s="153" t="s">
        <v>126</v>
      </c>
      <c r="I270" s="227">
        <v>32954</v>
      </c>
      <c r="J270" s="165">
        <v>1</v>
      </c>
      <c r="K270" s="165"/>
      <c r="L270" s="155"/>
      <c r="M270" s="155"/>
      <c r="N270" s="155"/>
      <c r="O270" s="155"/>
      <c r="P270" s="155"/>
      <c r="Q270" s="155"/>
      <c r="R270" s="155"/>
      <c r="S270" s="155"/>
      <c r="T270" s="155"/>
      <c r="U270" s="167" t="s">
        <v>509</v>
      </c>
      <c r="V270" s="153" t="s">
        <v>503</v>
      </c>
      <c r="W270" s="143" t="s">
        <v>298</v>
      </c>
      <c r="X270" s="157" t="s">
        <v>227</v>
      </c>
      <c r="Y270" s="153">
        <v>9654750038</v>
      </c>
      <c r="Z270" s="143"/>
      <c r="AA270" s="162" t="s">
        <v>524</v>
      </c>
      <c r="AB270" s="143" t="s">
        <v>528</v>
      </c>
      <c r="AC270" s="155">
        <v>1</v>
      </c>
      <c r="AD270" s="155"/>
      <c r="AE270" s="155"/>
      <c r="AF270" s="155"/>
      <c r="AG270" s="155"/>
      <c r="AH270" s="143"/>
      <c r="AI270" s="158"/>
    </row>
    <row r="271" spans="1:35">
      <c r="A271" s="140"/>
      <c r="B271" s="143"/>
      <c r="C271" s="143" t="s">
        <v>78</v>
      </c>
      <c r="D271" s="143" t="s">
        <v>501</v>
      </c>
      <c r="E271" s="143" t="s">
        <v>80</v>
      </c>
      <c r="F271" s="153" t="s">
        <v>312</v>
      </c>
      <c r="G271" s="153" t="s">
        <v>840</v>
      </c>
      <c r="H271" s="153" t="s">
        <v>144</v>
      </c>
      <c r="I271" s="227">
        <v>30173</v>
      </c>
      <c r="J271" s="166"/>
      <c r="K271" s="165">
        <v>1</v>
      </c>
      <c r="L271" s="155"/>
      <c r="M271" s="155"/>
      <c r="N271" s="155"/>
      <c r="O271" s="155"/>
      <c r="P271" s="155"/>
      <c r="Q271" s="155"/>
      <c r="R271" s="155"/>
      <c r="S271" s="155"/>
      <c r="T271" s="155"/>
      <c r="U271" s="167" t="s">
        <v>859</v>
      </c>
      <c r="V271" s="153" t="s">
        <v>503</v>
      </c>
      <c r="W271" s="143" t="s">
        <v>298</v>
      </c>
      <c r="X271" s="157" t="s">
        <v>227</v>
      </c>
      <c r="Y271" s="153">
        <v>9265351990</v>
      </c>
      <c r="Z271" s="143"/>
      <c r="AA271" s="162" t="s">
        <v>524</v>
      </c>
      <c r="AB271" s="143" t="s">
        <v>528</v>
      </c>
      <c r="AC271" s="155">
        <v>1</v>
      </c>
      <c r="AD271" s="155"/>
      <c r="AE271" s="155"/>
      <c r="AF271" s="155"/>
      <c r="AG271" s="155"/>
      <c r="AH271" s="143"/>
      <c r="AI271" s="158"/>
    </row>
    <row r="272" spans="1:35">
      <c r="A272" s="140"/>
      <c r="B272" s="143"/>
      <c r="C272" s="143" t="s">
        <v>78</v>
      </c>
      <c r="D272" s="143" t="s">
        <v>501</v>
      </c>
      <c r="E272" s="143" t="s">
        <v>80</v>
      </c>
      <c r="F272" s="153" t="s">
        <v>841</v>
      </c>
      <c r="G272" s="153" t="s">
        <v>842</v>
      </c>
      <c r="H272" s="153"/>
      <c r="I272" s="227">
        <v>26733</v>
      </c>
      <c r="J272" s="165">
        <v>1</v>
      </c>
      <c r="K272" s="165"/>
      <c r="L272" s="155"/>
      <c r="M272" s="155"/>
      <c r="N272" s="155"/>
      <c r="O272" s="155"/>
      <c r="P272" s="155"/>
      <c r="Q272" s="155"/>
      <c r="R272" s="155"/>
      <c r="S272" s="155"/>
      <c r="T272" s="155"/>
      <c r="U272" s="167" t="s">
        <v>854</v>
      </c>
      <c r="V272" s="153" t="s">
        <v>503</v>
      </c>
      <c r="W272" s="143" t="s">
        <v>298</v>
      </c>
      <c r="X272" s="157" t="s">
        <v>227</v>
      </c>
      <c r="Y272" s="153">
        <v>9514387817</v>
      </c>
      <c r="Z272" s="143"/>
      <c r="AA272" s="162" t="s">
        <v>524</v>
      </c>
      <c r="AB272" s="143" t="s">
        <v>528</v>
      </c>
      <c r="AC272" s="155">
        <v>1</v>
      </c>
      <c r="AD272" s="155"/>
      <c r="AE272" s="155"/>
      <c r="AF272" s="155"/>
      <c r="AG272" s="155"/>
      <c r="AH272" s="143"/>
      <c r="AI272" s="158"/>
    </row>
    <row r="273" spans="1:35">
      <c r="A273" s="140"/>
      <c r="B273" s="143"/>
      <c r="C273" s="143" t="s">
        <v>78</v>
      </c>
      <c r="D273" s="143" t="s">
        <v>501</v>
      </c>
      <c r="E273" s="143" t="s">
        <v>80</v>
      </c>
      <c r="F273" s="153" t="s">
        <v>843</v>
      </c>
      <c r="G273" s="153" t="s">
        <v>619</v>
      </c>
      <c r="H273" s="153" t="s">
        <v>136</v>
      </c>
      <c r="I273" s="227">
        <v>25434</v>
      </c>
      <c r="J273" s="166"/>
      <c r="K273" s="165">
        <v>1</v>
      </c>
      <c r="L273" s="155"/>
      <c r="M273" s="155"/>
      <c r="N273" s="155"/>
      <c r="O273" s="155"/>
      <c r="P273" s="155"/>
      <c r="Q273" s="155"/>
      <c r="R273" s="155"/>
      <c r="S273" s="155"/>
      <c r="T273" s="155"/>
      <c r="U273" s="167" t="s">
        <v>857</v>
      </c>
      <c r="V273" s="153" t="s">
        <v>503</v>
      </c>
      <c r="W273" s="143" t="s">
        <v>298</v>
      </c>
      <c r="X273" s="157" t="s">
        <v>227</v>
      </c>
      <c r="Y273" s="153">
        <v>9123569666</v>
      </c>
      <c r="Z273" s="143"/>
      <c r="AA273" s="162" t="s">
        <v>524</v>
      </c>
      <c r="AB273" s="143" t="s">
        <v>528</v>
      </c>
      <c r="AC273" s="155">
        <v>1</v>
      </c>
      <c r="AD273" s="155"/>
      <c r="AE273" s="155"/>
      <c r="AF273" s="155"/>
      <c r="AG273" s="155"/>
      <c r="AH273" s="143"/>
      <c r="AI273" s="158"/>
    </row>
    <row r="274" spans="1:35">
      <c r="A274" s="140"/>
      <c r="B274" s="143"/>
      <c r="C274" s="143" t="s">
        <v>78</v>
      </c>
      <c r="D274" s="143" t="s">
        <v>501</v>
      </c>
      <c r="E274" s="143" t="s">
        <v>80</v>
      </c>
      <c r="F274" s="153" t="s">
        <v>844</v>
      </c>
      <c r="G274" s="153" t="s">
        <v>845</v>
      </c>
      <c r="H274" s="153" t="s">
        <v>113</v>
      </c>
      <c r="I274" s="227">
        <v>26910</v>
      </c>
      <c r="J274" s="166"/>
      <c r="K274" s="165">
        <v>1</v>
      </c>
      <c r="L274" s="155"/>
      <c r="M274" s="155"/>
      <c r="N274" s="155"/>
      <c r="O274" s="155"/>
      <c r="P274" s="155"/>
      <c r="Q274" s="155"/>
      <c r="R274" s="155"/>
      <c r="S274" s="155"/>
      <c r="T274" s="155"/>
      <c r="U274" s="167" t="s">
        <v>857</v>
      </c>
      <c r="V274" s="153" t="s">
        <v>503</v>
      </c>
      <c r="W274" s="143" t="s">
        <v>298</v>
      </c>
      <c r="X274" s="157" t="s">
        <v>227</v>
      </c>
      <c r="Y274" s="153">
        <v>9502245187</v>
      </c>
      <c r="Z274" s="143"/>
      <c r="AA274" s="162" t="s">
        <v>524</v>
      </c>
      <c r="AB274" s="143" t="s">
        <v>528</v>
      </c>
      <c r="AC274" s="155">
        <v>1</v>
      </c>
      <c r="AD274" s="155"/>
      <c r="AE274" s="155"/>
      <c r="AF274" s="155"/>
      <c r="AG274" s="155"/>
      <c r="AH274" s="143"/>
      <c r="AI274" s="158"/>
    </row>
    <row r="275" spans="1:35">
      <c r="A275" s="140"/>
      <c r="B275" s="143"/>
      <c r="C275" s="143" t="s">
        <v>78</v>
      </c>
      <c r="D275" s="143" t="s">
        <v>501</v>
      </c>
      <c r="E275" s="143" t="s">
        <v>80</v>
      </c>
      <c r="F275" s="153" t="s">
        <v>846</v>
      </c>
      <c r="G275" s="153" t="s">
        <v>847</v>
      </c>
      <c r="H275" s="153" t="s">
        <v>133</v>
      </c>
      <c r="I275" s="227">
        <v>28144</v>
      </c>
      <c r="J275" s="166"/>
      <c r="K275" s="165">
        <v>1</v>
      </c>
      <c r="L275" s="155"/>
      <c r="M275" s="155"/>
      <c r="N275" s="155"/>
      <c r="O275" s="155"/>
      <c r="P275" s="155"/>
      <c r="Q275" s="155"/>
      <c r="R275" s="155"/>
      <c r="S275" s="155"/>
      <c r="T275" s="155"/>
      <c r="U275" s="167" t="s">
        <v>859</v>
      </c>
      <c r="V275" s="153" t="s">
        <v>503</v>
      </c>
      <c r="W275" s="143" t="s">
        <v>298</v>
      </c>
      <c r="X275" s="157" t="s">
        <v>227</v>
      </c>
      <c r="Y275" s="153">
        <v>9050845752</v>
      </c>
      <c r="Z275" s="143"/>
      <c r="AA275" s="162" t="s">
        <v>524</v>
      </c>
      <c r="AB275" s="143" t="s">
        <v>528</v>
      </c>
      <c r="AC275" s="155">
        <v>1</v>
      </c>
      <c r="AD275" s="155"/>
      <c r="AE275" s="155"/>
      <c r="AF275" s="155"/>
      <c r="AG275" s="155"/>
      <c r="AH275" s="143"/>
      <c r="AI275" s="158"/>
    </row>
    <row r="276" spans="1:35">
      <c r="A276" s="140"/>
      <c r="B276" s="143"/>
      <c r="C276" s="143" t="s">
        <v>78</v>
      </c>
      <c r="D276" s="143" t="s">
        <v>501</v>
      </c>
      <c r="E276" s="143" t="s">
        <v>80</v>
      </c>
      <c r="F276" s="153" t="s">
        <v>848</v>
      </c>
      <c r="G276" s="153" t="s">
        <v>849</v>
      </c>
      <c r="H276" s="153"/>
      <c r="I276" s="227">
        <v>20367</v>
      </c>
      <c r="J276" s="165">
        <v>1</v>
      </c>
      <c r="K276" s="165"/>
      <c r="L276" s="155"/>
      <c r="M276" s="155">
        <v>1</v>
      </c>
      <c r="N276" s="155"/>
      <c r="O276" s="155"/>
      <c r="P276" s="155"/>
      <c r="Q276" s="155"/>
      <c r="R276" s="155"/>
      <c r="S276" s="155"/>
      <c r="T276" s="155"/>
      <c r="U276" s="167" t="s">
        <v>871</v>
      </c>
      <c r="V276" s="153" t="s">
        <v>503</v>
      </c>
      <c r="W276" s="143" t="s">
        <v>298</v>
      </c>
      <c r="X276" s="157" t="s">
        <v>227</v>
      </c>
      <c r="Y276" s="153">
        <v>9059522497</v>
      </c>
      <c r="Z276" s="143"/>
      <c r="AA276" s="162" t="s">
        <v>524</v>
      </c>
      <c r="AB276" s="143" t="s">
        <v>528</v>
      </c>
      <c r="AC276" s="155">
        <v>1</v>
      </c>
      <c r="AD276" s="155"/>
      <c r="AE276" s="155"/>
      <c r="AF276" s="155"/>
      <c r="AG276" s="155"/>
      <c r="AH276" s="143"/>
      <c r="AI276" s="158"/>
    </row>
    <row r="277" spans="1:35">
      <c r="A277" s="140"/>
      <c r="B277" s="143"/>
      <c r="C277" s="143" t="s">
        <v>78</v>
      </c>
      <c r="D277" s="143" t="s">
        <v>501</v>
      </c>
      <c r="E277" s="143" t="s">
        <v>80</v>
      </c>
      <c r="F277" s="153" t="s">
        <v>850</v>
      </c>
      <c r="G277" s="153" t="s">
        <v>851</v>
      </c>
      <c r="H277" s="153" t="s">
        <v>133</v>
      </c>
      <c r="I277" s="227">
        <v>23768</v>
      </c>
      <c r="J277" s="165">
        <v>1</v>
      </c>
      <c r="K277" s="165"/>
      <c r="L277" s="155"/>
      <c r="M277" s="155"/>
      <c r="N277" s="155"/>
      <c r="O277" s="155"/>
      <c r="P277" s="155"/>
      <c r="Q277" s="155"/>
      <c r="R277" s="155"/>
      <c r="S277" s="155"/>
      <c r="T277" s="155"/>
      <c r="U277" s="167" t="s">
        <v>505</v>
      </c>
      <c r="V277" s="153" t="s">
        <v>503</v>
      </c>
      <c r="W277" s="143" t="s">
        <v>298</v>
      </c>
      <c r="X277" s="157" t="s">
        <v>227</v>
      </c>
      <c r="Y277" s="153">
        <v>9533370619</v>
      </c>
      <c r="Z277" s="143"/>
      <c r="AA277" s="162" t="s">
        <v>524</v>
      </c>
      <c r="AB277" s="143" t="s">
        <v>528</v>
      </c>
      <c r="AC277" s="155">
        <v>1</v>
      </c>
      <c r="AD277" s="155"/>
      <c r="AE277" s="155"/>
      <c r="AF277" s="155"/>
      <c r="AG277" s="155"/>
      <c r="AH277" s="143"/>
      <c r="AI277" s="158"/>
    </row>
    <row r="278" spans="1:35">
      <c r="A278" s="140"/>
      <c r="B278" s="143"/>
      <c r="C278" s="143" t="s">
        <v>78</v>
      </c>
      <c r="D278" s="143" t="s">
        <v>501</v>
      </c>
      <c r="E278" s="143" t="s">
        <v>80</v>
      </c>
      <c r="F278" s="163" t="s">
        <v>852</v>
      </c>
      <c r="G278" s="163" t="s">
        <v>820</v>
      </c>
      <c r="H278" s="173"/>
      <c r="I278" s="239">
        <v>36743</v>
      </c>
      <c r="J278" s="174">
        <v>1</v>
      </c>
      <c r="K278" s="175"/>
      <c r="L278" s="155"/>
      <c r="M278" s="155"/>
      <c r="N278" s="155"/>
      <c r="O278" s="155"/>
      <c r="P278" s="155"/>
      <c r="Q278" s="155"/>
      <c r="R278" s="155"/>
      <c r="S278" s="155"/>
      <c r="T278" s="155"/>
      <c r="U278" s="176" t="s">
        <v>297</v>
      </c>
      <c r="V278" s="163" t="s">
        <v>503</v>
      </c>
      <c r="W278" s="143" t="s">
        <v>298</v>
      </c>
      <c r="X278" s="157" t="s">
        <v>227</v>
      </c>
      <c r="Y278" s="163">
        <v>91709345527</v>
      </c>
      <c r="Z278" s="143"/>
      <c r="AA278" s="163" t="s">
        <v>877</v>
      </c>
      <c r="AB278" s="143" t="s">
        <v>528</v>
      </c>
      <c r="AC278" s="155">
        <v>1</v>
      </c>
      <c r="AD278" s="155"/>
      <c r="AE278" s="155"/>
      <c r="AF278" s="155"/>
      <c r="AG278" s="155"/>
      <c r="AH278" s="143"/>
      <c r="AI278" s="158"/>
    </row>
    <row r="279" spans="1:35">
      <c r="A279" s="140"/>
      <c r="B279" s="143"/>
      <c r="C279" s="143" t="s">
        <v>78</v>
      </c>
      <c r="D279" s="143" t="s">
        <v>501</v>
      </c>
      <c r="E279" s="143" t="s">
        <v>80</v>
      </c>
      <c r="F279" s="153" t="s">
        <v>488</v>
      </c>
      <c r="G279" s="153" t="s">
        <v>489</v>
      </c>
      <c r="H279" s="153"/>
      <c r="I279" s="227">
        <v>17523</v>
      </c>
      <c r="J279" s="165">
        <v>1</v>
      </c>
      <c r="K279" s="165"/>
      <c r="L279" s="155"/>
      <c r="M279" s="155">
        <v>1</v>
      </c>
      <c r="N279" s="155"/>
      <c r="O279" s="155"/>
      <c r="P279" s="155"/>
      <c r="Q279" s="155"/>
      <c r="R279" s="155"/>
      <c r="S279" s="155"/>
      <c r="T279" s="155"/>
      <c r="U279" s="167" t="s">
        <v>515</v>
      </c>
      <c r="V279" s="153" t="s">
        <v>503</v>
      </c>
      <c r="W279" s="143" t="s">
        <v>298</v>
      </c>
      <c r="X279" s="157" t="s">
        <v>227</v>
      </c>
      <c r="Y279" s="153"/>
      <c r="Z279" s="143"/>
      <c r="AA279" s="162" t="s">
        <v>524</v>
      </c>
      <c r="AB279" s="143" t="s">
        <v>528</v>
      </c>
      <c r="AC279" s="155">
        <v>1</v>
      </c>
      <c r="AD279" s="155"/>
      <c r="AE279" s="155"/>
      <c r="AF279" s="155"/>
      <c r="AG279" s="155"/>
      <c r="AH279" s="143"/>
      <c r="AI279" s="158"/>
    </row>
    <row r="280" spans="1:35">
      <c r="A280" s="140"/>
      <c r="B280" s="143"/>
      <c r="C280" s="143" t="s">
        <v>105</v>
      </c>
      <c r="D280" s="143" t="s">
        <v>501</v>
      </c>
      <c r="E280" s="143" t="s">
        <v>80</v>
      </c>
      <c r="F280" s="153" t="s">
        <v>878</v>
      </c>
      <c r="G280" s="153" t="s">
        <v>879</v>
      </c>
      <c r="H280" s="153" t="s">
        <v>1104</v>
      </c>
      <c r="I280" s="227">
        <v>21702</v>
      </c>
      <c r="J280" s="165">
        <v>1</v>
      </c>
      <c r="K280" s="165"/>
      <c r="L280" s="155"/>
      <c r="M280" s="155">
        <v>1</v>
      </c>
      <c r="N280" s="155"/>
      <c r="O280" s="155"/>
      <c r="P280" s="155"/>
      <c r="Q280" s="155"/>
      <c r="R280" s="155"/>
      <c r="S280" s="155"/>
      <c r="T280" s="155"/>
      <c r="U280" s="167" t="s">
        <v>510</v>
      </c>
      <c r="V280" s="153" t="s">
        <v>503</v>
      </c>
      <c r="W280" s="143" t="s">
        <v>298</v>
      </c>
      <c r="X280" s="157" t="s">
        <v>227</v>
      </c>
      <c r="Y280" s="153">
        <v>9176002182</v>
      </c>
      <c r="Z280" s="143"/>
      <c r="AA280" s="162" t="s">
        <v>524</v>
      </c>
      <c r="AB280" s="143" t="s">
        <v>528</v>
      </c>
      <c r="AC280" s="155">
        <v>2</v>
      </c>
      <c r="AD280" s="155"/>
      <c r="AE280" s="155"/>
      <c r="AF280" s="155"/>
      <c r="AG280" s="155"/>
      <c r="AH280" s="143"/>
      <c r="AI280" s="158"/>
    </row>
    <row r="281" spans="1:35">
      <c r="A281" s="140"/>
      <c r="B281" s="143"/>
      <c r="C281" s="143" t="s">
        <v>105</v>
      </c>
      <c r="D281" s="143" t="s">
        <v>501</v>
      </c>
      <c r="E281" s="143" t="s">
        <v>80</v>
      </c>
      <c r="F281" s="153" t="s">
        <v>880</v>
      </c>
      <c r="G281" s="153" t="s">
        <v>119</v>
      </c>
      <c r="H281" s="153" t="s">
        <v>126</v>
      </c>
      <c r="I281" s="227">
        <v>30926</v>
      </c>
      <c r="J281" s="165">
        <v>1</v>
      </c>
      <c r="K281" s="165"/>
      <c r="L281" s="155"/>
      <c r="M281" s="155"/>
      <c r="N281" s="155"/>
      <c r="O281" s="155"/>
      <c r="P281" s="155"/>
      <c r="Q281" s="155"/>
      <c r="R281" s="155"/>
      <c r="S281" s="155"/>
      <c r="T281" s="155"/>
      <c r="U281" s="167" t="s">
        <v>945</v>
      </c>
      <c r="V281" s="153" t="s">
        <v>218</v>
      </c>
      <c r="W281" s="143" t="s">
        <v>279</v>
      </c>
      <c r="X281" s="157" t="s">
        <v>227</v>
      </c>
      <c r="Y281" s="153">
        <v>9096476916</v>
      </c>
      <c r="Z281" s="143"/>
      <c r="AA281" s="162" t="s">
        <v>524</v>
      </c>
      <c r="AB281" s="143" t="s">
        <v>528</v>
      </c>
      <c r="AC281" s="155">
        <v>1</v>
      </c>
      <c r="AD281" s="155"/>
      <c r="AE281" s="155"/>
      <c r="AF281" s="155"/>
      <c r="AG281" s="155"/>
      <c r="AH281" s="143"/>
      <c r="AI281" s="158"/>
    </row>
    <row r="282" spans="1:35">
      <c r="A282" s="140"/>
      <c r="B282" s="143"/>
      <c r="C282" s="143" t="s">
        <v>105</v>
      </c>
      <c r="D282" s="143" t="s">
        <v>501</v>
      </c>
      <c r="E282" s="143" t="s">
        <v>80</v>
      </c>
      <c r="F282" s="153" t="s">
        <v>881</v>
      </c>
      <c r="G282" s="153" t="s">
        <v>882</v>
      </c>
      <c r="H282" s="153"/>
      <c r="I282" s="227">
        <v>29947</v>
      </c>
      <c r="J282" s="166"/>
      <c r="K282" s="165">
        <v>1</v>
      </c>
      <c r="L282" s="155"/>
      <c r="M282" s="155"/>
      <c r="N282" s="155"/>
      <c r="O282" s="155"/>
      <c r="P282" s="155"/>
      <c r="Q282" s="155"/>
      <c r="R282" s="155"/>
      <c r="S282" s="155"/>
      <c r="T282" s="155"/>
      <c r="U282" s="167" t="s">
        <v>221</v>
      </c>
      <c r="V282" s="153" t="s">
        <v>218</v>
      </c>
      <c r="W282" s="143" t="s">
        <v>279</v>
      </c>
      <c r="X282" s="157" t="s">
        <v>227</v>
      </c>
      <c r="Y282" s="153"/>
      <c r="Z282" s="143"/>
      <c r="AA282" s="162" t="s">
        <v>524</v>
      </c>
      <c r="AB282" s="143" t="s">
        <v>528</v>
      </c>
      <c r="AC282" s="155">
        <v>1</v>
      </c>
      <c r="AD282" s="155"/>
      <c r="AE282" s="155"/>
      <c r="AF282" s="155"/>
      <c r="AG282" s="155"/>
      <c r="AH282" s="143"/>
      <c r="AI282" s="158"/>
    </row>
    <row r="283" spans="1:35">
      <c r="A283" s="140"/>
      <c r="B283" s="143"/>
      <c r="C283" s="143" t="s">
        <v>105</v>
      </c>
      <c r="D283" s="143" t="s">
        <v>501</v>
      </c>
      <c r="E283" s="143" t="s">
        <v>80</v>
      </c>
      <c r="F283" s="153" t="s">
        <v>883</v>
      </c>
      <c r="G283" s="153" t="s">
        <v>884</v>
      </c>
      <c r="H283" s="153" t="s">
        <v>885</v>
      </c>
      <c r="I283" s="227">
        <v>34007</v>
      </c>
      <c r="J283" s="166"/>
      <c r="K283" s="165">
        <v>1</v>
      </c>
      <c r="L283" s="155"/>
      <c r="M283" s="155"/>
      <c r="N283" s="155"/>
      <c r="O283" s="155"/>
      <c r="P283" s="155"/>
      <c r="Q283" s="155"/>
      <c r="R283" s="155"/>
      <c r="S283" s="155"/>
      <c r="T283" s="155"/>
      <c r="U283" s="167" t="s">
        <v>946</v>
      </c>
      <c r="V283" s="153" t="s">
        <v>218</v>
      </c>
      <c r="W283" s="143" t="s">
        <v>279</v>
      </c>
      <c r="X283" s="157" t="s">
        <v>227</v>
      </c>
      <c r="Y283" s="153">
        <v>9102114185</v>
      </c>
      <c r="Z283" s="143"/>
      <c r="AA283" s="162" t="s">
        <v>524</v>
      </c>
      <c r="AB283" s="143" t="s">
        <v>528</v>
      </c>
      <c r="AC283" s="155">
        <v>1</v>
      </c>
      <c r="AD283" s="155"/>
      <c r="AE283" s="155"/>
      <c r="AF283" s="155"/>
      <c r="AG283" s="155"/>
      <c r="AH283" s="143"/>
      <c r="AI283" s="158"/>
    </row>
    <row r="284" spans="1:35">
      <c r="A284" s="140"/>
      <c r="B284" s="143"/>
      <c r="C284" s="143" t="s">
        <v>105</v>
      </c>
      <c r="D284" s="143" t="s">
        <v>501</v>
      </c>
      <c r="E284" s="143" t="s">
        <v>80</v>
      </c>
      <c r="F284" s="153" t="s">
        <v>886</v>
      </c>
      <c r="G284" s="153" t="s">
        <v>887</v>
      </c>
      <c r="H284" s="153" t="s">
        <v>120</v>
      </c>
      <c r="I284" s="227">
        <v>36726</v>
      </c>
      <c r="J284" s="165">
        <v>1</v>
      </c>
      <c r="K284" s="165"/>
      <c r="L284" s="155"/>
      <c r="M284" s="155"/>
      <c r="N284" s="155"/>
      <c r="O284" s="155"/>
      <c r="P284" s="155"/>
      <c r="Q284" s="155"/>
      <c r="R284" s="155"/>
      <c r="S284" s="155"/>
      <c r="T284" s="155"/>
      <c r="U284" s="167" t="s">
        <v>947</v>
      </c>
      <c r="V284" s="153" t="s">
        <v>513</v>
      </c>
      <c r="W284" s="143" t="s">
        <v>279</v>
      </c>
      <c r="X284" s="157" t="s">
        <v>227</v>
      </c>
      <c r="Y284" s="153">
        <v>9354755619</v>
      </c>
      <c r="Z284" s="143"/>
      <c r="AA284" s="163" t="s">
        <v>525</v>
      </c>
      <c r="AB284" s="143" t="s">
        <v>528</v>
      </c>
      <c r="AC284" s="155">
        <v>1</v>
      </c>
      <c r="AD284" s="155"/>
      <c r="AE284" s="155"/>
      <c r="AF284" s="155"/>
      <c r="AG284" s="155"/>
      <c r="AH284" s="143"/>
      <c r="AI284" s="158"/>
    </row>
    <row r="285" spans="1:35">
      <c r="A285" s="140"/>
      <c r="B285" s="143"/>
      <c r="C285" s="143" t="s">
        <v>105</v>
      </c>
      <c r="D285" s="143" t="s">
        <v>501</v>
      </c>
      <c r="E285" s="143" t="s">
        <v>80</v>
      </c>
      <c r="F285" s="153" t="s">
        <v>888</v>
      </c>
      <c r="G285" s="153" t="s">
        <v>889</v>
      </c>
      <c r="H285" s="153"/>
      <c r="I285" s="227">
        <v>33170</v>
      </c>
      <c r="J285" s="166"/>
      <c r="K285" s="165">
        <v>1</v>
      </c>
      <c r="L285" s="155"/>
      <c r="M285" s="155"/>
      <c r="N285" s="155"/>
      <c r="O285" s="155"/>
      <c r="P285" s="155"/>
      <c r="Q285" s="155"/>
      <c r="R285" s="155"/>
      <c r="S285" s="155"/>
      <c r="T285" s="155"/>
      <c r="U285" s="167" t="s">
        <v>509</v>
      </c>
      <c r="V285" s="153" t="s">
        <v>503</v>
      </c>
      <c r="W285" s="143" t="s">
        <v>298</v>
      </c>
      <c r="X285" s="157" t="s">
        <v>227</v>
      </c>
      <c r="Y285" s="153">
        <v>9078326911</v>
      </c>
      <c r="Z285" s="143"/>
      <c r="AA285" s="162" t="s">
        <v>524</v>
      </c>
      <c r="AB285" s="143" t="s">
        <v>528</v>
      </c>
      <c r="AC285" s="155">
        <v>2</v>
      </c>
      <c r="AD285" s="155"/>
      <c r="AE285" s="155"/>
      <c r="AF285" s="155"/>
      <c r="AG285" s="155"/>
      <c r="AH285" s="143"/>
      <c r="AI285" s="158"/>
    </row>
    <row r="286" spans="1:35">
      <c r="A286" s="140"/>
      <c r="B286" s="143"/>
      <c r="C286" s="143" t="s">
        <v>105</v>
      </c>
      <c r="D286" s="143" t="s">
        <v>501</v>
      </c>
      <c r="E286" s="143" t="s">
        <v>80</v>
      </c>
      <c r="F286" s="153" t="s">
        <v>490</v>
      </c>
      <c r="G286" s="153" t="s">
        <v>890</v>
      </c>
      <c r="H286" s="153"/>
      <c r="I286" s="227">
        <v>29819</v>
      </c>
      <c r="J286" s="166"/>
      <c r="K286" s="165">
        <v>1</v>
      </c>
      <c r="L286" s="155"/>
      <c r="M286" s="155"/>
      <c r="N286" s="155"/>
      <c r="O286" s="155"/>
      <c r="P286" s="155"/>
      <c r="Q286" s="155"/>
      <c r="R286" s="155"/>
      <c r="S286" s="155"/>
      <c r="T286" s="155"/>
      <c r="U286" s="167" t="s">
        <v>859</v>
      </c>
      <c r="V286" s="153" t="s">
        <v>503</v>
      </c>
      <c r="W286" s="143" t="s">
        <v>298</v>
      </c>
      <c r="X286" s="157" t="s">
        <v>227</v>
      </c>
      <c r="Y286" s="153">
        <v>9561100202</v>
      </c>
      <c r="Z286" s="143"/>
      <c r="AA286" s="162" t="s">
        <v>524</v>
      </c>
      <c r="AB286" s="143" t="s">
        <v>528</v>
      </c>
      <c r="AC286" s="155">
        <v>1</v>
      </c>
      <c r="AD286" s="155"/>
      <c r="AE286" s="155"/>
      <c r="AF286" s="155"/>
      <c r="AG286" s="155"/>
      <c r="AH286" s="143"/>
      <c r="AI286" s="158"/>
    </row>
    <row r="287" spans="1:35">
      <c r="A287" s="140"/>
      <c r="B287" s="143"/>
      <c r="C287" s="143" t="s">
        <v>105</v>
      </c>
      <c r="D287" s="143" t="s">
        <v>501</v>
      </c>
      <c r="E287" s="143" t="s">
        <v>80</v>
      </c>
      <c r="F287" s="153" t="s">
        <v>891</v>
      </c>
      <c r="G287" s="153" t="s">
        <v>892</v>
      </c>
      <c r="H287" s="153" t="s">
        <v>604</v>
      </c>
      <c r="I287" s="227">
        <v>25650</v>
      </c>
      <c r="J287" s="166"/>
      <c r="K287" s="165">
        <v>1</v>
      </c>
      <c r="L287" s="155"/>
      <c r="M287" s="155"/>
      <c r="N287" s="155"/>
      <c r="O287" s="155"/>
      <c r="P287" s="155"/>
      <c r="Q287" s="155"/>
      <c r="R287" s="155"/>
      <c r="S287" s="155"/>
      <c r="T287" s="155"/>
      <c r="U287" s="167" t="s">
        <v>507</v>
      </c>
      <c r="V287" s="153" t="s">
        <v>503</v>
      </c>
      <c r="W287" s="143" t="s">
        <v>298</v>
      </c>
      <c r="X287" s="157" t="s">
        <v>227</v>
      </c>
      <c r="Y287" s="153">
        <v>9757516322</v>
      </c>
      <c r="Z287" s="143"/>
      <c r="AA287" s="163" t="s">
        <v>525</v>
      </c>
      <c r="AB287" s="143" t="s">
        <v>528</v>
      </c>
      <c r="AC287" s="155">
        <v>1</v>
      </c>
      <c r="AD287" s="155"/>
      <c r="AE287" s="155"/>
      <c r="AF287" s="155"/>
      <c r="AG287" s="155"/>
      <c r="AH287" s="143"/>
      <c r="AI287" s="158"/>
    </row>
    <row r="288" spans="1:35">
      <c r="A288" s="140"/>
      <c r="B288" s="143"/>
      <c r="C288" s="143" t="s">
        <v>105</v>
      </c>
      <c r="D288" s="143" t="s">
        <v>501</v>
      </c>
      <c r="E288" s="143" t="s">
        <v>80</v>
      </c>
      <c r="F288" s="153" t="s">
        <v>893</v>
      </c>
      <c r="G288" s="153" t="s">
        <v>894</v>
      </c>
      <c r="H288" s="153" t="s">
        <v>120</v>
      </c>
      <c r="I288" s="227">
        <v>28983</v>
      </c>
      <c r="J288" s="166"/>
      <c r="K288" s="165">
        <v>1</v>
      </c>
      <c r="L288" s="155"/>
      <c r="M288" s="155"/>
      <c r="N288" s="155"/>
      <c r="O288" s="155"/>
      <c r="P288" s="155"/>
      <c r="Q288" s="155"/>
      <c r="R288" s="155"/>
      <c r="S288" s="155"/>
      <c r="T288" s="155"/>
      <c r="U288" s="167" t="s">
        <v>508</v>
      </c>
      <c r="V288" s="153" t="s">
        <v>503</v>
      </c>
      <c r="W288" s="143" t="s">
        <v>298</v>
      </c>
      <c r="X288" s="157" t="s">
        <v>227</v>
      </c>
      <c r="Y288" s="153">
        <v>9089955943</v>
      </c>
      <c r="Z288" s="143"/>
      <c r="AA288" s="162" t="s">
        <v>524</v>
      </c>
      <c r="AB288" s="143" t="s">
        <v>528</v>
      </c>
      <c r="AC288" s="155">
        <v>1</v>
      </c>
      <c r="AD288" s="155"/>
      <c r="AE288" s="155"/>
      <c r="AF288" s="155"/>
      <c r="AG288" s="155"/>
      <c r="AH288" s="143"/>
      <c r="AI288" s="158"/>
    </row>
    <row r="289" spans="1:35">
      <c r="A289" s="140"/>
      <c r="B289" s="143"/>
      <c r="C289" s="143" t="s">
        <v>105</v>
      </c>
      <c r="D289" s="143" t="s">
        <v>501</v>
      </c>
      <c r="E289" s="143" t="s">
        <v>80</v>
      </c>
      <c r="F289" s="153" t="s">
        <v>312</v>
      </c>
      <c r="G289" s="153" t="s">
        <v>895</v>
      </c>
      <c r="H289" s="153"/>
      <c r="I289" s="227">
        <v>37391</v>
      </c>
      <c r="J289" s="166"/>
      <c r="K289" s="165">
        <v>1</v>
      </c>
      <c r="L289" s="155"/>
      <c r="M289" s="155"/>
      <c r="N289" s="155"/>
      <c r="O289" s="155"/>
      <c r="P289" s="155"/>
      <c r="Q289" s="155"/>
      <c r="R289" s="155"/>
      <c r="S289" s="155"/>
      <c r="T289" s="155"/>
      <c r="U289" s="167"/>
      <c r="V289" s="153" t="s">
        <v>873</v>
      </c>
      <c r="W289" s="143" t="s">
        <v>279</v>
      </c>
      <c r="X289" s="157" t="s">
        <v>227</v>
      </c>
      <c r="Y289" s="153"/>
      <c r="Z289" s="143"/>
      <c r="AA289" s="162" t="s">
        <v>524</v>
      </c>
      <c r="AB289" s="143" t="s">
        <v>528</v>
      </c>
      <c r="AC289" s="155">
        <v>1</v>
      </c>
      <c r="AD289" s="155"/>
      <c r="AE289" s="155"/>
      <c r="AF289" s="155"/>
      <c r="AG289" s="155"/>
      <c r="AH289" s="143"/>
      <c r="AI289" s="158"/>
    </row>
    <row r="290" spans="1:35">
      <c r="A290" s="140"/>
      <c r="B290" s="143"/>
      <c r="C290" s="143" t="s">
        <v>105</v>
      </c>
      <c r="D290" s="143" t="s">
        <v>501</v>
      </c>
      <c r="E290" s="143" t="s">
        <v>80</v>
      </c>
      <c r="F290" s="153" t="s">
        <v>896</v>
      </c>
      <c r="G290" s="153" t="s">
        <v>897</v>
      </c>
      <c r="H290" s="153" t="s">
        <v>115</v>
      </c>
      <c r="I290" s="227">
        <v>32002</v>
      </c>
      <c r="J290" s="165">
        <v>1</v>
      </c>
      <c r="K290" s="165"/>
      <c r="L290" s="155"/>
      <c r="M290" s="155"/>
      <c r="N290" s="155"/>
      <c r="O290" s="155"/>
      <c r="P290" s="155"/>
      <c r="Q290" s="155"/>
      <c r="R290" s="155"/>
      <c r="S290" s="155"/>
      <c r="T290" s="155"/>
      <c r="U290" s="167"/>
      <c r="V290" s="153" t="s">
        <v>873</v>
      </c>
      <c r="W290" s="143" t="s">
        <v>279</v>
      </c>
      <c r="X290" s="157" t="s">
        <v>227</v>
      </c>
      <c r="Y290" s="153"/>
      <c r="Z290" s="143"/>
      <c r="AA290" s="162" t="s">
        <v>524</v>
      </c>
      <c r="AB290" s="143" t="s">
        <v>528</v>
      </c>
      <c r="AC290" s="155">
        <v>1</v>
      </c>
      <c r="AD290" s="155"/>
      <c r="AE290" s="155"/>
      <c r="AF290" s="155"/>
      <c r="AG290" s="155"/>
      <c r="AH290" s="143"/>
      <c r="AI290" s="158"/>
    </row>
    <row r="291" spans="1:35">
      <c r="A291" s="140"/>
      <c r="B291" s="143"/>
      <c r="C291" s="143" t="s">
        <v>105</v>
      </c>
      <c r="D291" s="143" t="s">
        <v>501</v>
      </c>
      <c r="E291" s="143" t="s">
        <v>80</v>
      </c>
      <c r="F291" s="153" t="s">
        <v>413</v>
      </c>
      <c r="G291" s="153" t="s">
        <v>898</v>
      </c>
      <c r="H291" s="153" t="s">
        <v>150</v>
      </c>
      <c r="I291" s="227">
        <v>36771</v>
      </c>
      <c r="J291" s="165">
        <v>1</v>
      </c>
      <c r="K291" s="165"/>
      <c r="L291" s="155"/>
      <c r="M291" s="155"/>
      <c r="N291" s="155"/>
      <c r="O291" s="155"/>
      <c r="P291" s="155"/>
      <c r="Q291" s="155"/>
      <c r="R291" s="155"/>
      <c r="S291" s="155"/>
      <c r="T291" s="155"/>
      <c r="U291" s="167" t="s">
        <v>295</v>
      </c>
      <c r="V291" s="153" t="s">
        <v>503</v>
      </c>
      <c r="W291" s="143" t="s">
        <v>298</v>
      </c>
      <c r="X291" s="157" t="s">
        <v>227</v>
      </c>
      <c r="Y291" s="153">
        <v>9977122477</v>
      </c>
      <c r="Z291" s="143"/>
      <c r="AA291" s="162" t="s">
        <v>524</v>
      </c>
      <c r="AB291" s="143" t="s">
        <v>528</v>
      </c>
      <c r="AC291" s="155">
        <v>1</v>
      </c>
      <c r="AD291" s="155"/>
      <c r="AE291" s="155"/>
      <c r="AF291" s="155"/>
      <c r="AG291" s="155"/>
      <c r="AH291" s="143"/>
      <c r="AI291" s="158"/>
    </row>
    <row r="292" spans="1:35">
      <c r="A292" s="140"/>
      <c r="B292" s="143"/>
      <c r="C292" s="143" t="s">
        <v>105</v>
      </c>
      <c r="D292" s="143" t="s">
        <v>501</v>
      </c>
      <c r="E292" s="143" t="s">
        <v>80</v>
      </c>
      <c r="F292" s="153" t="s">
        <v>899</v>
      </c>
      <c r="G292" s="153" t="s">
        <v>900</v>
      </c>
      <c r="H292" s="153"/>
      <c r="I292" s="227">
        <v>32992</v>
      </c>
      <c r="J292" s="166"/>
      <c r="K292" s="165">
        <v>1</v>
      </c>
      <c r="L292" s="155"/>
      <c r="M292" s="155"/>
      <c r="N292" s="155"/>
      <c r="O292" s="155"/>
      <c r="P292" s="155"/>
      <c r="Q292" s="155"/>
      <c r="R292" s="155"/>
      <c r="S292" s="155"/>
      <c r="T292" s="155"/>
      <c r="U292" s="167" t="s">
        <v>506</v>
      </c>
      <c r="V292" s="153" t="s">
        <v>503</v>
      </c>
      <c r="W292" s="143" t="s">
        <v>298</v>
      </c>
      <c r="X292" s="157" t="s">
        <v>227</v>
      </c>
      <c r="Y292" s="153">
        <v>9202835911</v>
      </c>
      <c r="Z292" s="143"/>
      <c r="AA292" s="162" t="s">
        <v>524</v>
      </c>
      <c r="AB292" s="143" t="s">
        <v>528</v>
      </c>
      <c r="AC292" s="155">
        <v>1</v>
      </c>
      <c r="AD292" s="155"/>
      <c r="AE292" s="155"/>
      <c r="AF292" s="155"/>
      <c r="AG292" s="155"/>
      <c r="AH292" s="143"/>
      <c r="AI292" s="158"/>
    </row>
    <row r="293" spans="1:35">
      <c r="A293" s="140"/>
      <c r="B293" s="143"/>
      <c r="C293" s="143" t="s">
        <v>105</v>
      </c>
      <c r="D293" s="143" t="s">
        <v>501</v>
      </c>
      <c r="E293" s="143" t="s">
        <v>80</v>
      </c>
      <c r="F293" s="153" t="s">
        <v>901</v>
      </c>
      <c r="G293" s="153" t="s">
        <v>902</v>
      </c>
      <c r="H293" s="153"/>
      <c r="I293" s="227"/>
      <c r="J293" s="166"/>
      <c r="K293" s="165">
        <v>1</v>
      </c>
      <c r="L293" s="155"/>
      <c r="M293" s="155"/>
      <c r="N293" s="155"/>
      <c r="O293" s="155"/>
      <c r="P293" s="155"/>
      <c r="Q293" s="155"/>
      <c r="R293" s="155"/>
      <c r="S293" s="155"/>
      <c r="T293" s="155"/>
      <c r="U293" s="167" t="s">
        <v>508</v>
      </c>
      <c r="V293" s="153" t="s">
        <v>503</v>
      </c>
      <c r="W293" s="143" t="s">
        <v>298</v>
      </c>
      <c r="X293" s="157" t="s">
        <v>227</v>
      </c>
      <c r="Y293" s="153">
        <v>9059955941</v>
      </c>
      <c r="Z293" s="143"/>
      <c r="AA293" s="162" t="s">
        <v>524</v>
      </c>
      <c r="AB293" s="143" t="s">
        <v>528</v>
      </c>
      <c r="AC293" s="155">
        <v>1</v>
      </c>
      <c r="AD293" s="155"/>
      <c r="AE293" s="155"/>
      <c r="AF293" s="155"/>
      <c r="AG293" s="155"/>
      <c r="AH293" s="143"/>
      <c r="AI293" s="158"/>
    </row>
    <row r="294" spans="1:35">
      <c r="A294" s="140"/>
      <c r="B294" s="143"/>
      <c r="C294" s="143" t="s">
        <v>105</v>
      </c>
      <c r="D294" s="143" t="s">
        <v>501</v>
      </c>
      <c r="E294" s="143" t="s">
        <v>80</v>
      </c>
      <c r="F294" s="153" t="s">
        <v>903</v>
      </c>
      <c r="G294" s="153" t="s">
        <v>465</v>
      </c>
      <c r="H294" s="153"/>
      <c r="I294" s="227">
        <v>31145</v>
      </c>
      <c r="J294" s="166"/>
      <c r="K294" s="165">
        <v>1</v>
      </c>
      <c r="L294" s="155"/>
      <c r="M294" s="155"/>
      <c r="N294" s="155"/>
      <c r="O294" s="155"/>
      <c r="P294" s="155"/>
      <c r="Q294" s="155"/>
      <c r="R294" s="155"/>
      <c r="S294" s="155"/>
      <c r="T294" s="155"/>
      <c r="U294" s="167" t="s">
        <v>517</v>
      </c>
      <c r="V294" s="153" t="s">
        <v>503</v>
      </c>
      <c r="W294" s="143" t="s">
        <v>298</v>
      </c>
      <c r="X294" s="157" t="s">
        <v>227</v>
      </c>
      <c r="Y294" s="153">
        <v>9169548305</v>
      </c>
      <c r="Z294" s="143"/>
      <c r="AA294" s="162" t="s">
        <v>524</v>
      </c>
      <c r="AB294" s="143" t="s">
        <v>528</v>
      </c>
      <c r="AC294" s="155">
        <v>1</v>
      </c>
      <c r="AD294" s="155"/>
      <c r="AE294" s="155"/>
      <c r="AF294" s="155"/>
      <c r="AG294" s="155"/>
      <c r="AH294" s="143"/>
      <c r="AI294" s="158"/>
    </row>
    <row r="295" spans="1:35">
      <c r="A295" s="140"/>
      <c r="B295" s="143"/>
      <c r="C295" s="143" t="s">
        <v>105</v>
      </c>
      <c r="D295" s="143" t="s">
        <v>501</v>
      </c>
      <c r="E295" s="143" t="s">
        <v>80</v>
      </c>
      <c r="F295" s="153" t="s">
        <v>633</v>
      </c>
      <c r="G295" s="153" t="s">
        <v>634</v>
      </c>
      <c r="H295" s="153"/>
      <c r="I295" s="227">
        <v>20693</v>
      </c>
      <c r="J295" s="166"/>
      <c r="K295" s="165">
        <v>1</v>
      </c>
      <c r="L295" s="155"/>
      <c r="M295" s="155">
        <v>1</v>
      </c>
      <c r="N295" s="155"/>
      <c r="O295" s="155"/>
      <c r="P295" s="155"/>
      <c r="Q295" s="155"/>
      <c r="R295" s="155"/>
      <c r="S295" s="155"/>
      <c r="T295" s="155"/>
      <c r="U295" s="167"/>
      <c r="V295" s="153"/>
      <c r="W295" s="143"/>
      <c r="X295" s="157" t="s">
        <v>227</v>
      </c>
      <c r="Y295" s="153">
        <v>9751124361</v>
      </c>
      <c r="Z295" s="143"/>
      <c r="AA295" s="162" t="s">
        <v>524</v>
      </c>
      <c r="AB295" s="143" t="s">
        <v>528</v>
      </c>
      <c r="AC295" s="155">
        <v>1</v>
      </c>
      <c r="AD295" s="155"/>
      <c r="AE295" s="155"/>
      <c r="AF295" s="155"/>
      <c r="AG295" s="155"/>
      <c r="AH295" s="143"/>
      <c r="AI295" s="158"/>
    </row>
    <row r="296" spans="1:35">
      <c r="A296" s="140"/>
      <c r="B296" s="143"/>
      <c r="C296" s="143" t="s">
        <v>105</v>
      </c>
      <c r="D296" s="143" t="s">
        <v>501</v>
      </c>
      <c r="E296" s="143" t="s">
        <v>80</v>
      </c>
      <c r="F296" s="153" t="s">
        <v>904</v>
      </c>
      <c r="G296" s="153" t="s">
        <v>905</v>
      </c>
      <c r="H296" s="153" t="s">
        <v>136</v>
      </c>
      <c r="I296" s="227">
        <v>17878</v>
      </c>
      <c r="J296" s="165">
        <v>1</v>
      </c>
      <c r="K296" s="165"/>
      <c r="L296" s="155"/>
      <c r="M296" s="155">
        <v>1</v>
      </c>
      <c r="N296" s="155"/>
      <c r="O296" s="155"/>
      <c r="P296" s="155"/>
      <c r="Q296" s="155"/>
      <c r="R296" s="155"/>
      <c r="S296" s="155"/>
      <c r="T296" s="155"/>
      <c r="U296" s="167" t="s">
        <v>507</v>
      </c>
      <c r="V296" s="153" t="s">
        <v>503</v>
      </c>
      <c r="W296" s="143" t="s">
        <v>298</v>
      </c>
      <c r="X296" s="157" t="s">
        <v>227</v>
      </c>
      <c r="Y296" s="153">
        <v>9064250154</v>
      </c>
      <c r="Z296" s="143"/>
      <c r="AA296" s="162" t="s">
        <v>524</v>
      </c>
      <c r="AB296" s="143" t="s">
        <v>528</v>
      </c>
      <c r="AC296" s="155">
        <v>1</v>
      </c>
      <c r="AD296" s="155"/>
      <c r="AE296" s="155"/>
      <c r="AF296" s="155"/>
      <c r="AG296" s="155"/>
      <c r="AH296" s="143"/>
      <c r="AI296" s="158"/>
    </row>
    <row r="297" spans="1:35">
      <c r="A297" s="140"/>
      <c r="B297" s="143"/>
      <c r="C297" s="143" t="s">
        <v>105</v>
      </c>
      <c r="D297" s="143" t="s">
        <v>501</v>
      </c>
      <c r="E297" s="143" t="s">
        <v>80</v>
      </c>
      <c r="F297" s="153" t="s">
        <v>906</v>
      </c>
      <c r="G297" s="153" t="s">
        <v>907</v>
      </c>
      <c r="H297" s="153"/>
      <c r="I297" s="227">
        <v>21408</v>
      </c>
      <c r="J297" s="165">
        <v>1</v>
      </c>
      <c r="K297" s="165"/>
      <c r="L297" s="155"/>
      <c r="M297" s="155">
        <v>1</v>
      </c>
      <c r="N297" s="155"/>
      <c r="O297" s="155"/>
      <c r="P297" s="155"/>
      <c r="Q297" s="155"/>
      <c r="R297" s="155"/>
      <c r="S297" s="155"/>
      <c r="T297" s="155"/>
      <c r="U297" s="167" t="s">
        <v>507</v>
      </c>
      <c r="V297" s="153" t="s">
        <v>503</v>
      </c>
      <c r="W297" s="143" t="s">
        <v>298</v>
      </c>
      <c r="X297" s="157" t="s">
        <v>227</v>
      </c>
      <c r="Y297" s="153">
        <v>9759449471</v>
      </c>
      <c r="Z297" s="143"/>
      <c r="AA297" s="162" t="s">
        <v>524</v>
      </c>
      <c r="AB297" s="143" t="s">
        <v>528</v>
      </c>
      <c r="AC297" s="155">
        <v>1</v>
      </c>
      <c r="AD297" s="155"/>
      <c r="AE297" s="155"/>
      <c r="AF297" s="155"/>
      <c r="AG297" s="155"/>
      <c r="AH297" s="143"/>
      <c r="AI297" s="158"/>
    </row>
    <row r="298" spans="1:35">
      <c r="A298" s="140"/>
      <c r="B298" s="143"/>
      <c r="C298" s="143" t="s">
        <v>105</v>
      </c>
      <c r="D298" s="143" t="s">
        <v>501</v>
      </c>
      <c r="E298" s="143" t="s">
        <v>80</v>
      </c>
      <c r="F298" s="153" t="s">
        <v>197</v>
      </c>
      <c r="G298" s="153" t="s">
        <v>198</v>
      </c>
      <c r="H298" s="153" t="s">
        <v>409</v>
      </c>
      <c r="I298" s="227">
        <v>27453</v>
      </c>
      <c r="J298" s="165">
        <v>1</v>
      </c>
      <c r="K298" s="165"/>
      <c r="L298" s="155"/>
      <c r="M298" s="155"/>
      <c r="N298" s="155"/>
      <c r="O298" s="155"/>
      <c r="P298" s="155"/>
      <c r="Q298" s="155"/>
      <c r="R298" s="155"/>
      <c r="S298" s="155"/>
      <c r="T298" s="155"/>
      <c r="U298" s="167" t="s">
        <v>224</v>
      </c>
      <c r="V298" s="153" t="s">
        <v>223</v>
      </c>
      <c r="W298" s="143" t="s">
        <v>279</v>
      </c>
      <c r="X298" s="157" t="s">
        <v>227</v>
      </c>
      <c r="Y298" s="153">
        <v>9659242499</v>
      </c>
      <c r="Z298" s="143"/>
      <c r="AA298" s="162" t="s">
        <v>524</v>
      </c>
      <c r="AB298" s="143" t="s">
        <v>528</v>
      </c>
      <c r="AC298" s="155">
        <v>1</v>
      </c>
      <c r="AD298" s="155"/>
      <c r="AE298" s="155"/>
      <c r="AF298" s="155"/>
      <c r="AG298" s="155"/>
      <c r="AH298" s="143"/>
      <c r="AI298" s="158"/>
    </row>
    <row r="299" spans="1:35">
      <c r="A299" s="140"/>
      <c r="B299" s="143"/>
      <c r="C299" s="143" t="s">
        <v>105</v>
      </c>
      <c r="D299" s="143" t="s">
        <v>501</v>
      </c>
      <c r="E299" s="143" t="s">
        <v>80</v>
      </c>
      <c r="F299" s="153" t="s">
        <v>908</v>
      </c>
      <c r="G299" s="153" t="s">
        <v>909</v>
      </c>
      <c r="H299" s="153" t="s">
        <v>136</v>
      </c>
      <c r="I299" s="227">
        <v>33750</v>
      </c>
      <c r="J299" s="165">
        <v>1</v>
      </c>
      <c r="K299" s="165"/>
      <c r="L299" s="155"/>
      <c r="M299" s="155"/>
      <c r="N299" s="155"/>
      <c r="O299" s="155"/>
      <c r="P299" s="155"/>
      <c r="Q299" s="155"/>
      <c r="R299" s="155"/>
      <c r="S299" s="155"/>
      <c r="T299" s="155"/>
      <c r="U299" s="167" t="s">
        <v>502</v>
      </c>
      <c r="V299" s="153" t="s">
        <v>503</v>
      </c>
      <c r="W299" s="143" t="s">
        <v>298</v>
      </c>
      <c r="X299" s="157" t="s">
        <v>227</v>
      </c>
      <c r="Y299" s="153">
        <v>9707241502</v>
      </c>
      <c r="Z299" s="143"/>
      <c r="AA299" s="162" t="s">
        <v>524</v>
      </c>
      <c r="AB299" s="143" t="s">
        <v>528</v>
      </c>
      <c r="AC299" s="155">
        <v>1</v>
      </c>
      <c r="AD299" s="155"/>
      <c r="AE299" s="155"/>
      <c r="AF299" s="155"/>
      <c r="AG299" s="155"/>
      <c r="AH299" s="143"/>
      <c r="AI299" s="158"/>
    </row>
    <row r="300" spans="1:35">
      <c r="A300" s="140"/>
      <c r="B300" s="143"/>
      <c r="C300" s="143" t="s">
        <v>105</v>
      </c>
      <c r="D300" s="143" t="s">
        <v>501</v>
      </c>
      <c r="E300" s="143" t="s">
        <v>80</v>
      </c>
      <c r="F300" s="153" t="s">
        <v>910</v>
      </c>
      <c r="G300" s="153" t="s">
        <v>911</v>
      </c>
      <c r="H300" s="153"/>
      <c r="I300" s="227">
        <v>32766</v>
      </c>
      <c r="J300" s="165"/>
      <c r="K300" s="165">
        <v>1</v>
      </c>
      <c r="L300" s="155"/>
      <c r="M300" s="155"/>
      <c r="N300" s="155"/>
      <c r="O300" s="155"/>
      <c r="P300" s="155"/>
      <c r="Q300" s="155"/>
      <c r="R300" s="155"/>
      <c r="S300" s="155"/>
      <c r="T300" s="155"/>
      <c r="U300" s="167"/>
      <c r="V300" s="153" t="s">
        <v>218</v>
      </c>
      <c r="W300" s="143" t="s">
        <v>279</v>
      </c>
      <c r="X300" s="157" t="s">
        <v>227</v>
      </c>
      <c r="Y300" s="153">
        <v>9368339345</v>
      </c>
      <c r="Z300" s="143"/>
      <c r="AA300" s="162" t="s">
        <v>524</v>
      </c>
      <c r="AB300" s="143" t="s">
        <v>528</v>
      </c>
      <c r="AC300" s="155">
        <v>1</v>
      </c>
      <c r="AD300" s="155"/>
      <c r="AE300" s="155"/>
      <c r="AF300" s="155"/>
      <c r="AG300" s="155"/>
      <c r="AH300" s="143"/>
      <c r="AI300" s="158"/>
    </row>
    <row r="301" spans="1:35">
      <c r="A301" s="140"/>
      <c r="B301" s="143"/>
      <c r="C301" s="143" t="s">
        <v>105</v>
      </c>
      <c r="D301" s="143" t="s">
        <v>501</v>
      </c>
      <c r="E301" s="143" t="s">
        <v>80</v>
      </c>
      <c r="F301" s="153" t="s">
        <v>912</v>
      </c>
      <c r="G301" s="153" t="s">
        <v>913</v>
      </c>
      <c r="H301" s="153" t="s">
        <v>588</v>
      </c>
      <c r="I301" s="227">
        <v>29695</v>
      </c>
      <c r="J301" s="165">
        <v>1</v>
      </c>
      <c r="K301" s="165"/>
      <c r="L301" s="155"/>
      <c r="M301" s="155"/>
      <c r="N301" s="155"/>
      <c r="O301" s="155"/>
      <c r="P301" s="155"/>
      <c r="Q301" s="155"/>
      <c r="R301" s="155"/>
      <c r="S301" s="155"/>
      <c r="T301" s="155"/>
      <c r="U301" s="167"/>
      <c r="V301" s="153" t="s">
        <v>503</v>
      </c>
      <c r="W301" s="143" t="s">
        <v>298</v>
      </c>
      <c r="X301" s="157" t="s">
        <v>227</v>
      </c>
      <c r="Y301" s="153">
        <v>9056704902</v>
      </c>
      <c r="Z301" s="143"/>
      <c r="AA301" s="162" t="s">
        <v>524</v>
      </c>
      <c r="AB301" s="143" t="s">
        <v>528</v>
      </c>
      <c r="AC301" s="155">
        <v>1</v>
      </c>
      <c r="AD301" s="155"/>
      <c r="AE301" s="155"/>
      <c r="AF301" s="155"/>
      <c r="AG301" s="155"/>
      <c r="AH301" s="143"/>
      <c r="AI301" s="158"/>
    </row>
    <row r="302" spans="1:35">
      <c r="A302" s="140"/>
      <c r="B302" s="143"/>
      <c r="C302" s="143" t="s">
        <v>105</v>
      </c>
      <c r="D302" s="143" t="s">
        <v>501</v>
      </c>
      <c r="E302" s="143" t="s">
        <v>80</v>
      </c>
      <c r="F302" s="153" t="s">
        <v>914</v>
      </c>
      <c r="G302" s="153" t="s">
        <v>915</v>
      </c>
      <c r="H302" s="153" t="s">
        <v>136</v>
      </c>
      <c r="I302" s="227">
        <v>29258</v>
      </c>
      <c r="J302" s="166"/>
      <c r="K302" s="165">
        <v>1</v>
      </c>
      <c r="L302" s="155"/>
      <c r="M302" s="155"/>
      <c r="N302" s="155"/>
      <c r="O302" s="155"/>
      <c r="P302" s="155"/>
      <c r="Q302" s="155"/>
      <c r="R302" s="155"/>
      <c r="S302" s="155"/>
      <c r="T302" s="155"/>
      <c r="U302" s="167" t="s">
        <v>948</v>
      </c>
      <c r="V302" s="153" t="s">
        <v>503</v>
      </c>
      <c r="W302" s="143" t="s">
        <v>298</v>
      </c>
      <c r="X302" s="157" t="s">
        <v>227</v>
      </c>
      <c r="Y302" s="153">
        <v>9754064492</v>
      </c>
      <c r="Z302" s="143"/>
      <c r="AA302" s="162" t="s">
        <v>524</v>
      </c>
      <c r="AB302" s="143" t="s">
        <v>528</v>
      </c>
      <c r="AC302" s="155">
        <v>3</v>
      </c>
      <c r="AD302" s="155"/>
      <c r="AE302" s="155"/>
      <c r="AF302" s="155"/>
      <c r="AG302" s="155"/>
      <c r="AH302" s="143"/>
      <c r="AI302" s="158"/>
    </row>
    <row r="303" spans="1:35">
      <c r="A303" s="140"/>
      <c r="B303" s="143"/>
      <c r="C303" s="143" t="s">
        <v>105</v>
      </c>
      <c r="D303" s="143" t="s">
        <v>501</v>
      </c>
      <c r="E303" s="143" t="s">
        <v>80</v>
      </c>
      <c r="F303" s="153" t="s">
        <v>916</v>
      </c>
      <c r="G303" s="153" t="s">
        <v>917</v>
      </c>
      <c r="H303" s="153" t="s">
        <v>133</v>
      </c>
      <c r="I303" s="227">
        <v>28336</v>
      </c>
      <c r="J303" s="166"/>
      <c r="K303" s="165">
        <v>1</v>
      </c>
      <c r="L303" s="155"/>
      <c r="M303" s="155"/>
      <c r="N303" s="155"/>
      <c r="O303" s="155"/>
      <c r="P303" s="155"/>
      <c r="Q303" s="155">
        <v>1</v>
      </c>
      <c r="R303" s="155" t="s">
        <v>957</v>
      </c>
      <c r="S303" s="155"/>
      <c r="T303" s="155"/>
      <c r="U303" s="167" t="s">
        <v>502</v>
      </c>
      <c r="V303" s="153" t="s">
        <v>503</v>
      </c>
      <c r="W303" s="143" t="s">
        <v>298</v>
      </c>
      <c r="X303" s="157" t="s">
        <v>227</v>
      </c>
      <c r="Y303" s="153">
        <v>9359131970</v>
      </c>
      <c r="Z303" s="143"/>
      <c r="AA303" s="162" t="s">
        <v>524</v>
      </c>
      <c r="AB303" s="143" t="s">
        <v>528</v>
      </c>
      <c r="AC303" s="155">
        <v>1</v>
      </c>
      <c r="AD303" s="155"/>
      <c r="AE303" s="155"/>
      <c r="AF303" s="155"/>
      <c r="AG303" s="155"/>
      <c r="AH303" s="143"/>
      <c r="AI303" s="158"/>
    </row>
    <row r="304" spans="1:35">
      <c r="A304" s="140"/>
      <c r="B304" s="143"/>
      <c r="C304" s="143" t="s">
        <v>105</v>
      </c>
      <c r="D304" s="143" t="s">
        <v>501</v>
      </c>
      <c r="E304" s="143" t="s">
        <v>80</v>
      </c>
      <c r="F304" s="153" t="s">
        <v>918</v>
      </c>
      <c r="G304" s="153" t="s">
        <v>919</v>
      </c>
      <c r="H304" s="153"/>
      <c r="I304" s="227">
        <v>24918</v>
      </c>
      <c r="J304" s="166"/>
      <c r="K304" s="165">
        <v>1</v>
      </c>
      <c r="L304" s="155"/>
      <c r="M304" s="155"/>
      <c r="N304" s="155"/>
      <c r="O304" s="155"/>
      <c r="P304" s="155"/>
      <c r="Q304" s="155"/>
      <c r="R304" s="155"/>
      <c r="S304" s="155"/>
      <c r="T304" s="155"/>
      <c r="U304" s="167" t="s">
        <v>502</v>
      </c>
      <c r="V304" s="153" t="s">
        <v>503</v>
      </c>
      <c r="W304" s="143" t="s">
        <v>298</v>
      </c>
      <c r="X304" s="157" t="s">
        <v>227</v>
      </c>
      <c r="Y304" s="153">
        <v>9109451565</v>
      </c>
      <c r="Z304" s="143"/>
      <c r="AA304" s="163" t="s">
        <v>525</v>
      </c>
      <c r="AB304" s="143" t="s">
        <v>528</v>
      </c>
      <c r="AC304" s="155">
        <v>1</v>
      </c>
      <c r="AD304" s="155"/>
      <c r="AE304" s="155"/>
      <c r="AF304" s="155"/>
      <c r="AG304" s="155"/>
      <c r="AH304" s="143"/>
      <c r="AI304" s="158"/>
    </row>
    <row r="305" spans="1:35">
      <c r="A305" s="140"/>
      <c r="B305" s="143"/>
      <c r="C305" s="143" t="s">
        <v>105</v>
      </c>
      <c r="D305" s="143" t="s">
        <v>501</v>
      </c>
      <c r="E305" s="143" t="s">
        <v>80</v>
      </c>
      <c r="F305" s="153" t="s">
        <v>920</v>
      </c>
      <c r="G305" s="153" t="s">
        <v>921</v>
      </c>
      <c r="H305" s="153"/>
      <c r="I305" s="227">
        <v>29965</v>
      </c>
      <c r="J305" s="166"/>
      <c r="K305" s="165">
        <v>1</v>
      </c>
      <c r="L305" s="155"/>
      <c r="M305" s="155"/>
      <c r="N305" s="155"/>
      <c r="O305" s="155"/>
      <c r="P305" s="155"/>
      <c r="Q305" s="155"/>
      <c r="R305" s="155"/>
      <c r="S305" s="155"/>
      <c r="T305" s="155"/>
      <c r="U305" s="167"/>
      <c r="V305" s="153" t="s">
        <v>949</v>
      </c>
      <c r="W305" s="143" t="s">
        <v>280</v>
      </c>
      <c r="X305" s="157" t="s">
        <v>227</v>
      </c>
      <c r="Y305" s="153">
        <v>9176511238</v>
      </c>
      <c r="Z305" s="143"/>
      <c r="AA305" s="163" t="s">
        <v>876</v>
      </c>
      <c r="AB305" s="143" t="s">
        <v>528</v>
      </c>
      <c r="AC305" s="155">
        <v>1</v>
      </c>
      <c r="AD305" s="155"/>
      <c r="AE305" s="155"/>
      <c r="AF305" s="155"/>
      <c r="AG305" s="155"/>
      <c r="AH305" s="143"/>
      <c r="AI305" s="158"/>
    </row>
    <row r="306" spans="1:35">
      <c r="A306" s="140"/>
      <c r="B306" s="143"/>
      <c r="C306" s="143" t="s">
        <v>105</v>
      </c>
      <c r="D306" s="143" t="s">
        <v>501</v>
      </c>
      <c r="E306" s="143" t="s">
        <v>80</v>
      </c>
      <c r="F306" s="153" t="s">
        <v>203</v>
      </c>
      <c r="G306" s="153" t="s">
        <v>922</v>
      </c>
      <c r="H306" s="153"/>
      <c r="I306" s="227">
        <v>26736</v>
      </c>
      <c r="J306" s="165">
        <v>1</v>
      </c>
      <c r="K306" s="165"/>
      <c r="L306" s="155"/>
      <c r="M306" s="155"/>
      <c r="N306" s="155"/>
      <c r="O306" s="155"/>
      <c r="P306" s="155"/>
      <c r="Q306" s="155"/>
      <c r="R306" s="155"/>
      <c r="S306" s="155"/>
      <c r="T306" s="155"/>
      <c r="U306" s="167"/>
      <c r="V306" s="153" t="s">
        <v>503</v>
      </c>
      <c r="W306" s="143" t="s">
        <v>298</v>
      </c>
      <c r="X306" s="157" t="s">
        <v>227</v>
      </c>
      <c r="Y306" s="153">
        <v>9265893779</v>
      </c>
      <c r="Z306" s="143"/>
      <c r="AA306" s="162" t="s">
        <v>524</v>
      </c>
      <c r="AB306" s="143" t="s">
        <v>528</v>
      </c>
      <c r="AC306" s="155">
        <v>1</v>
      </c>
      <c r="AD306" s="155"/>
      <c r="AE306" s="155"/>
      <c r="AF306" s="155"/>
      <c r="AG306" s="155"/>
      <c r="AH306" s="143"/>
      <c r="AI306" s="158"/>
    </row>
    <row r="307" spans="1:35">
      <c r="A307" s="140"/>
      <c r="B307" s="143"/>
      <c r="C307" s="143" t="s">
        <v>105</v>
      </c>
      <c r="D307" s="143" t="s">
        <v>501</v>
      </c>
      <c r="E307" s="143" t="s">
        <v>80</v>
      </c>
      <c r="F307" s="153" t="s">
        <v>312</v>
      </c>
      <c r="G307" s="153" t="s">
        <v>955</v>
      </c>
      <c r="H307" s="153" t="s">
        <v>286</v>
      </c>
      <c r="I307" s="227">
        <v>23696</v>
      </c>
      <c r="J307" s="165"/>
      <c r="K307" s="165">
        <v>1</v>
      </c>
      <c r="L307" s="155"/>
      <c r="M307" s="155"/>
      <c r="N307" s="155"/>
      <c r="O307" s="155"/>
      <c r="P307" s="155"/>
      <c r="Q307" s="155"/>
      <c r="R307" s="155"/>
      <c r="S307" s="155"/>
      <c r="T307" s="155"/>
      <c r="U307" s="167" t="s">
        <v>509</v>
      </c>
      <c r="V307" s="153" t="s">
        <v>503</v>
      </c>
      <c r="W307" s="143" t="s">
        <v>298</v>
      </c>
      <c r="X307" s="157" t="s">
        <v>227</v>
      </c>
      <c r="Y307" s="153"/>
      <c r="Z307" s="143"/>
      <c r="AA307" s="163" t="s">
        <v>525</v>
      </c>
      <c r="AB307" s="143" t="s">
        <v>528</v>
      </c>
      <c r="AC307" s="155">
        <v>1</v>
      </c>
      <c r="AD307" s="155"/>
      <c r="AE307" s="155"/>
      <c r="AF307" s="155"/>
      <c r="AG307" s="155"/>
      <c r="AH307" s="143"/>
      <c r="AI307" s="158"/>
    </row>
    <row r="308" spans="1:35">
      <c r="A308" s="140"/>
      <c r="B308" s="143"/>
      <c r="C308" s="143" t="s">
        <v>105</v>
      </c>
      <c r="D308" s="143" t="s">
        <v>501</v>
      </c>
      <c r="E308" s="143" t="s">
        <v>80</v>
      </c>
      <c r="F308" s="153" t="s">
        <v>923</v>
      </c>
      <c r="G308" s="153" t="s">
        <v>924</v>
      </c>
      <c r="H308" s="153"/>
      <c r="I308" s="227">
        <v>35470</v>
      </c>
      <c r="J308" s="165"/>
      <c r="K308" s="165">
        <v>1</v>
      </c>
      <c r="L308" s="155"/>
      <c r="M308" s="155"/>
      <c r="N308" s="155"/>
      <c r="O308" s="155"/>
      <c r="P308" s="155"/>
      <c r="Q308" s="155"/>
      <c r="R308" s="155"/>
      <c r="S308" s="155"/>
      <c r="T308" s="155"/>
      <c r="U308" s="167" t="s">
        <v>508</v>
      </c>
      <c r="V308" s="153" t="s">
        <v>503</v>
      </c>
      <c r="W308" s="143" t="s">
        <v>298</v>
      </c>
      <c r="X308" s="157" t="s">
        <v>227</v>
      </c>
      <c r="Y308" s="153">
        <v>9484187386</v>
      </c>
      <c r="Z308" s="143"/>
      <c r="AA308" s="162" t="s">
        <v>524</v>
      </c>
      <c r="AB308" s="143" t="s">
        <v>528</v>
      </c>
      <c r="AC308" s="155">
        <v>1</v>
      </c>
      <c r="AD308" s="155"/>
      <c r="AE308" s="155"/>
      <c r="AF308" s="155"/>
      <c r="AG308" s="155"/>
      <c r="AH308" s="143"/>
      <c r="AI308" s="158"/>
    </row>
    <row r="309" spans="1:35">
      <c r="A309" s="140"/>
      <c r="B309" s="143"/>
      <c r="C309" s="143" t="s">
        <v>105</v>
      </c>
      <c r="D309" s="143" t="s">
        <v>501</v>
      </c>
      <c r="E309" s="143" t="s">
        <v>80</v>
      </c>
      <c r="F309" s="153" t="s">
        <v>702</v>
      </c>
      <c r="G309" s="153" t="s">
        <v>925</v>
      </c>
      <c r="H309" s="153"/>
      <c r="I309" s="227">
        <v>28199</v>
      </c>
      <c r="J309" s="165"/>
      <c r="K309" s="165">
        <v>1</v>
      </c>
      <c r="L309" s="155"/>
      <c r="M309" s="155"/>
      <c r="N309" s="155"/>
      <c r="O309" s="155"/>
      <c r="P309" s="155"/>
      <c r="Q309" s="155"/>
      <c r="R309" s="155"/>
      <c r="S309" s="155"/>
      <c r="T309" s="155"/>
      <c r="U309" s="167" t="s">
        <v>515</v>
      </c>
      <c r="V309" s="153" t="s">
        <v>503</v>
      </c>
      <c r="W309" s="143" t="s">
        <v>298</v>
      </c>
      <c r="X309" s="157" t="s">
        <v>227</v>
      </c>
      <c r="Y309" s="153">
        <v>9508511057</v>
      </c>
      <c r="Z309" s="143"/>
      <c r="AA309" s="162" t="s">
        <v>524</v>
      </c>
      <c r="AB309" s="143" t="s">
        <v>528</v>
      </c>
      <c r="AC309" s="155">
        <v>1</v>
      </c>
      <c r="AD309" s="155"/>
      <c r="AE309" s="155"/>
      <c r="AF309" s="155"/>
      <c r="AG309" s="155"/>
      <c r="AH309" s="143"/>
      <c r="AI309" s="158"/>
    </row>
    <row r="310" spans="1:35">
      <c r="A310" s="140"/>
      <c r="B310" s="143"/>
      <c r="C310" s="143" t="s">
        <v>105</v>
      </c>
      <c r="D310" s="143" t="s">
        <v>501</v>
      </c>
      <c r="E310" s="143" t="s">
        <v>80</v>
      </c>
      <c r="F310" s="153" t="s">
        <v>926</v>
      </c>
      <c r="G310" s="153" t="s">
        <v>927</v>
      </c>
      <c r="H310" s="153" t="s">
        <v>133</v>
      </c>
      <c r="I310" s="227">
        <v>20241</v>
      </c>
      <c r="J310" s="165">
        <v>1</v>
      </c>
      <c r="K310" s="165"/>
      <c r="L310" s="155"/>
      <c r="M310" s="155">
        <v>1</v>
      </c>
      <c r="N310" s="155"/>
      <c r="O310" s="155"/>
      <c r="P310" s="155"/>
      <c r="Q310" s="155"/>
      <c r="R310" s="155"/>
      <c r="S310" s="155"/>
      <c r="T310" s="155"/>
      <c r="U310" s="167" t="s">
        <v>950</v>
      </c>
      <c r="V310" s="153" t="s">
        <v>503</v>
      </c>
      <c r="W310" s="143" t="s">
        <v>298</v>
      </c>
      <c r="X310" s="157" t="s">
        <v>227</v>
      </c>
      <c r="Y310" s="153">
        <v>9385258525</v>
      </c>
      <c r="Z310" s="143"/>
      <c r="AA310" s="162" t="s">
        <v>524</v>
      </c>
      <c r="AB310" s="143" t="s">
        <v>528</v>
      </c>
      <c r="AC310" s="155">
        <v>1</v>
      </c>
      <c r="AD310" s="155"/>
      <c r="AE310" s="155"/>
      <c r="AF310" s="155"/>
      <c r="AG310" s="155"/>
      <c r="AH310" s="143"/>
      <c r="AI310" s="158"/>
    </row>
    <row r="311" spans="1:35">
      <c r="A311" s="140"/>
      <c r="B311" s="143"/>
      <c r="C311" s="143" t="s">
        <v>105</v>
      </c>
      <c r="D311" s="143" t="s">
        <v>501</v>
      </c>
      <c r="E311" s="143" t="s">
        <v>80</v>
      </c>
      <c r="F311" s="153" t="s">
        <v>928</v>
      </c>
      <c r="G311" s="153" t="s">
        <v>929</v>
      </c>
      <c r="H311" s="153"/>
      <c r="I311" s="227">
        <v>31739</v>
      </c>
      <c r="J311" s="165"/>
      <c r="K311" s="165">
        <v>1</v>
      </c>
      <c r="L311" s="155"/>
      <c r="M311" s="155"/>
      <c r="N311" s="155"/>
      <c r="O311" s="155"/>
      <c r="P311" s="155"/>
      <c r="Q311" s="155"/>
      <c r="R311" s="155"/>
      <c r="S311" s="155"/>
      <c r="T311" s="155"/>
      <c r="U311" s="167" t="s">
        <v>855</v>
      </c>
      <c r="V311" s="153" t="s">
        <v>503</v>
      </c>
      <c r="W311" s="143" t="s">
        <v>298</v>
      </c>
      <c r="X311" s="157" t="s">
        <v>227</v>
      </c>
      <c r="Y311" s="153">
        <v>9559310938</v>
      </c>
      <c r="Z311" s="143"/>
      <c r="AA311" s="162" t="s">
        <v>524</v>
      </c>
      <c r="AB311" s="143" t="s">
        <v>528</v>
      </c>
      <c r="AC311" s="155">
        <v>1</v>
      </c>
      <c r="AD311" s="155"/>
      <c r="AE311" s="155"/>
      <c r="AF311" s="155"/>
      <c r="AG311" s="155"/>
      <c r="AH311" s="143"/>
      <c r="AI311" s="158"/>
    </row>
    <row r="312" spans="1:35">
      <c r="A312" s="140"/>
      <c r="B312" s="143"/>
      <c r="C312" s="143" t="s">
        <v>105</v>
      </c>
      <c r="D312" s="143" t="s">
        <v>501</v>
      </c>
      <c r="E312" s="143" t="s">
        <v>80</v>
      </c>
      <c r="F312" s="153" t="s">
        <v>930</v>
      </c>
      <c r="G312" s="153" t="s">
        <v>931</v>
      </c>
      <c r="H312" s="153"/>
      <c r="I312" s="227">
        <v>27310</v>
      </c>
      <c r="J312" s="165">
        <v>1</v>
      </c>
      <c r="K312" s="165"/>
      <c r="L312" s="155"/>
      <c r="M312" s="155"/>
      <c r="N312" s="155"/>
      <c r="O312" s="155"/>
      <c r="P312" s="155"/>
      <c r="Q312" s="155"/>
      <c r="R312" s="155"/>
      <c r="S312" s="155"/>
      <c r="T312" s="155"/>
      <c r="U312" s="167" t="s">
        <v>510</v>
      </c>
      <c r="V312" s="153" t="s">
        <v>503</v>
      </c>
      <c r="W312" s="143" t="s">
        <v>298</v>
      </c>
      <c r="X312" s="157" t="s">
        <v>227</v>
      </c>
      <c r="Y312" s="153">
        <v>9062079029</v>
      </c>
      <c r="Z312" s="143"/>
      <c r="AA312" s="162" t="s">
        <v>524</v>
      </c>
      <c r="AB312" s="143" t="s">
        <v>528</v>
      </c>
      <c r="AC312" s="155">
        <v>1</v>
      </c>
      <c r="AD312" s="155"/>
      <c r="AE312" s="155"/>
      <c r="AF312" s="155"/>
      <c r="AG312" s="155"/>
      <c r="AH312" s="143"/>
      <c r="AI312" s="158"/>
    </row>
    <row r="313" spans="1:35">
      <c r="A313" s="140"/>
      <c r="B313" s="143"/>
      <c r="C313" s="143" t="s">
        <v>105</v>
      </c>
      <c r="D313" s="143" t="s">
        <v>501</v>
      </c>
      <c r="E313" s="143" t="s">
        <v>80</v>
      </c>
      <c r="F313" s="153" t="s">
        <v>932</v>
      </c>
      <c r="G313" s="153" t="s">
        <v>933</v>
      </c>
      <c r="H313" s="153"/>
      <c r="I313" s="227">
        <v>34142</v>
      </c>
      <c r="J313" s="165">
        <v>1</v>
      </c>
      <c r="K313" s="165"/>
      <c r="L313" s="155"/>
      <c r="M313" s="155"/>
      <c r="N313" s="155"/>
      <c r="O313" s="155"/>
      <c r="P313" s="155"/>
      <c r="Q313" s="155"/>
      <c r="R313" s="155"/>
      <c r="S313" s="155"/>
      <c r="T313" s="155"/>
      <c r="U313" s="167" t="s">
        <v>951</v>
      </c>
      <c r="V313" s="153" t="s">
        <v>503</v>
      </c>
      <c r="W313" s="143" t="s">
        <v>298</v>
      </c>
      <c r="X313" s="157" t="s">
        <v>227</v>
      </c>
      <c r="Y313" s="153">
        <v>9809920382</v>
      </c>
      <c r="Z313" s="143"/>
      <c r="AA313" s="162" t="s">
        <v>524</v>
      </c>
      <c r="AB313" s="143" t="s">
        <v>528</v>
      </c>
      <c r="AC313" s="155">
        <v>1</v>
      </c>
      <c r="AD313" s="155"/>
      <c r="AE313" s="155"/>
      <c r="AF313" s="155"/>
      <c r="AG313" s="155"/>
      <c r="AH313" s="143"/>
      <c r="AI313" s="158"/>
    </row>
    <row r="314" spans="1:35">
      <c r="A314" s="140"/>
      <c r="B314" s="143"/>
      <c r="C314" s="143" t="s">
        <v>105</v>
      </c>
      <c r="D314" s="143" t="s">
        <v>501</v>
      </c>
      <c r="E314" s="143" t="s">
        <v>80</v>
      </c>
      <c r="F314" s="153" t="s">
        <v>934</v>
      </c>
      <c r="G314" s="153" t="s">
        <v>935</v>
      </c>
      <c r="H314" s="153"/>
      <c r="I314" s="227">
        <v>33036</v>
      </c>
      <c r="J314" s="165">
        <v>1</v>
      </c>
      <c r="K314" s="165"/>
      <c r="L314" s="155"/>
      <c r="M314" s="155"/>
      <c r="N314" s="155"/>
      <c r="O314" s="155"/>
      <c r="P314" s="155"/>
      <c r="Q314" s="155"/>
      <c r="R314" s="155"/>
      <c r="S314" s="155"/>
      <c r="T314" s="155"/>
      <c r="U314" s="167" t="s">
        <v>502</v>
      </c>
      <c r="V314" s="153" t="s">
        <v>503</v>
      </c>
      <c r="W314" s="143" t="s">
        <v>298</v>
      </c>
      <c r="X314" s="157" t="s">
        <v>227</v>
      </c>
      <c r="Y314" s="153">
        <v>9982340404</v>
      </c>
      <c r="Z314" s="143"/>
      <c r="AA314" s="162" t="s">
        <v>524</v>
      </c>
      <c r="AB314" s="143" t="s">
        <v>528</v>
      </c>
      <c r="AC314" s="155">
        <v>1</v>
      </c>
      <c r="AD314" s="155"/>
      <c r="AE314" s="155"/>
      <c r="AF314" s="155"/>
      <c r="AG314" s="155"/>
      <c r="AH314" s="143"/>
      <c r="AI314" s="158"/>
    </row>
    <row r="315" spans="1:35">
      <c r="A315" s="140"/>
      <c r="B315" s="143"/>
      <c r="C315" s="143" t="s">
        <v>105</v>
      </c>
      <c r="D315" s="143" t="s">
        <v>501</v>
      </c>
      <c r="E315" s="143" t="s">
        <v>80</v>
      </c>
      <c r="F315" s="153" t="s">
        <v>936</v>
      </c>
      <c r="G315" s="153" t="s">
        <v>937</v>
      </c>
      <c r="H315" s="153"/>
      <c r="I315" s="227">
        <v>35655</v>
      </c>
      <c r="J315" s="165">
        <v>1</v>
      </c>
      <c r="K315" s="165"/>
      <c r="L315" s="155"/>
      <c r="M315" s="155"/>
      <c r="N315" s="155"/>
      <c r="O315" s="155"/>
      <c r="P315" s="155"/>
      <c r="Q315" s="155"/>
      <c r="R315" s="155"/>
      <c r="S315" s="155"/>
      <c r="T315" s="155"/>
      <c r="U315" s="167"/>
      <c r="V315" s="153" t="s">
        <v>952</v>
      </c>
      <c r="W315" s="143" t="s">
        <v>280</v>
      </c>
      <c r="X315" s="157" t="s">
        <v>227</v>
      </c>
      <c r="Y315" s="153">
        <v>9297096407</v>
      </c>
      <c r="Z315" s="143"/>
      <c r="AA315" s="163" t="s">
        <v>525</v>
      </c>
      <c r="AB315" s="143" t="s">
        <v>528</v>
      </c>
      <c r="AC315" s="155">
        <v>1</v>
      </c>
      <c r="AD315" s="155"/>
      <c r="AE315" s="155"/>
      <c r="AF315" s="155"/>
      <c r="AG315" s="155"/>
      <c r="AH315" s="143"/>
      <c r="AI315" s="158"/>
    </row>
    <row r="316" spans="1:35">
      <c r="A316" s="140"/>
      <c r="B316" s="143"/>
      <c r="C316" s="143" t="s">
        <v>105</v>
      </c>
      <c r="D316" s="143" t="s">
        <v>501</v>
      </c>
      <c r="E316" s="143" t="s">
        <v>80</v>
      </c>
      <c r="F316" s="153" t="s">
        <v>168</v>
      </c>
      <c r="G316" s="153" t="s">
        <v>938</v>
      </c>
      <c r="H316" s="153"/>
      <c r="I316" s="227"/>
      <c r="J316" s="165">
        <v>1</v>
      </c>
      <c r="K316" s="165"/>
      <c r="L316" s="155"/>
      <c r="M316" s="155"/>
      <c r="N316" s="155"/>
      <c r="O316" s="155"/>
      <c r="P316" s="155"/>
      <c r="Q316" s="155"/>
      <c r="R316" s="155"/>
      <c r="S316" s="155"/>
      <c r="T316" s="155"/>
      <c r="U316" s="167" t="s">
        <v>506</v>
      </c>
      <c r="V316" s="153" t="s">
        <v>503</v>
      </c>
      <c r="W316" s="143" t="s">
        <v>298</v>
      </c>
      <c r="X316" s="157" t="s">
        <v>227</v>
      </c>
      <c r="Y316" s="153">
        <v>9175902069</v>
      </c>
      <c r="Z316" s="143"/>
      <c r="AA316" s="162" t="s">
        <v>524</v>
      </c>
      <c r="AB316" s="143" t="s">
        <v>528</v>
      </c>
      <c r="AC316" s="155">
        <v>1</v>
      </c>
      <c r="AD316" s="155"/>
      <c r="AE316" s="155"/>
      <c r="AF316" s="155"/>
      <c r="AG316" s="155"/>
      <c r="AH316" s="143"/>
      <c r="AI316" s="158"/>
    </row>
    <row r="317" spans="1:35">
      <c r="A317" s="140"/>
      <c r="B317" s="143"/>
      <c r="C317" s="143" t="s">
        <v>105</v>
      </c>
      <c r="D317" s="143" t="s">
        <v>501</v>
      </c>
      <c r="E317" s="143" t="s">
        <v>80</v>
      </c>
      <c r="F317" s="153" t="s">
        <v>939</v>
      </c>
      <c r="G317" s="153" t="s">
        <v>704</v>
      </c>
      <c r="H317" s="153" t="s">
        <v>604</v>
      </c>
      <c r="I317" s="227">
        <v>29149</v>
      </c>
      <c r="J317" s="165">
        <v>1</v>
      </c>
      <c r="K317" s="165"/>
      <c r="L317" s="155"/>
      <c r="M317" s="155"/>
      <c r="N317" s="155"/>
      <c r="O317" s="155"/>
      <c r="P317" s="155"/>
      <c r="Q317" s="155"/>
      <c r="R317" s="155"/>
      <c r="S317" s="155"/>
      <c r="T317" s="155"/>
      <c r="U317" s="167"/>
      <c r="V317" s="153" t="s">
        <v>953</v>
      </c>
      <c r="W317" s="143" t="s">
        <v>280</v>
      </c>
      <c r="X317" s="157" t="s">
        <v>227</v>
      </c>
      <c r="Y317" s="153">
        <v>9079558398</v>
      </c>
      <c r="Z317" s="143"/>
      <c r="AA317" s="162" t="s">
        <v>524</v>
      </c>
      <c r="AB317" s="143" t="s">
        <v>528</v>
      </c>
      <c r="AC317" s="155">
        <v>1</v>
      </c>
      <c r="AD317" s="155"/>
      <c r="AE317" s="155"/>
      <c r="AF317" s="155"/>
      <c r="AG317" s="155"/>
      <c r="AH317" s="143"/>
      <c r="AI317" s="158"/>
    </row>
    <row r="318" spans="1:35">
      <c r="A318" s="140"/>
      <c r="B318" s="143"/>
      <c r="C318" s="143" t="s">
        <v>105</v>
      </c>
      <c r="D318" s="143" t="s">
        <v>501</v>
      </c>
      <c r="E318" s="143" t="s">
        <v>80</v>
      </c>
      <c r="F318" s="153" t="s">
        <v>940</v>
      </c>
      <c r="G318" s="153" t="s">
        <v>839</v>
      </c>
      <c r="H318" s="153"/>
      <c r="I318" s="227">
        <v>26577</v>
      </c>
      <c r="J318" s="165">
        <v>1</v>
      </c>
      <c r="K318" s="165"/>
      <c r="L318" s="155"/>
      <c r="M318" s="155"/>
      <c r="N318" s="155"/>
      <c r="O318" s="155"/>
      <c r="P318" s="155"/>
      <c r="Q318" s="155">
        <v>1</v>
      </c>
      <c r="R318" s="155" t="s">
        <v>962</v>
      </c>
      <c r="S318" s="155"/>
      <c r="T318" s="155"/>
      <c r="U318" s="167"/>
      <c r="V318" s="153" t="s">
        <v>949</v>
      </c>
      <c r="W318" s="143" t="s">
        <v>280</v>
      </c>
      <c r="X318" s="157" t="s">
        <v>227</v>
      </c>
      <c r="Y318" s="153">
        <v>9205517815</v>
      </c>
      <c r="Z318" s="143"/>
      <c r="AA318" s="163" t="s">
        <v>525</v>
      </c>
      <c r="AB318" s="143" t="s">
        <v>528</v>
      </c>
      <c r="AC318" s="155">
        <v>2</v>
      </c>
      <c r="AD318" s="155"/>
      <c r="AE318" s="155"/>
      <c r="AF318" s="155"/>
      <c r="AG318" s="155"/>
      <c r="AH318" s="143"/>
      <c r="AI318" s="158"/>
    </row>
    <row r="319" spans="1:35">
      <c r="A319" s="140"/>
      <c r="B319" s="143"/>
      <c r="C319" s="143" t="s">
        <v>105</v>
      </c>
      <c r="D319" s="143" t="s">
        <v>501</v>
      </c>
      <c r="E319" s="143" t="s">
        <v>80</v>
      </c>
      <c r="F319" s="153" t="s">
        <v>941</v>
      </c>
      <c r="G319" s="153" t="s">
        <v>942</v>
      </c>
      <c r="H319" s="153"/>
      <c r="I319" s="227"/>
      <c r="J319" s="165"/>
      <c r="K319" s="165">
        <v>1</v>
      </c>
      <c r="L319" s="155"/>
      <c r="M319" s="155"/>
      <c r="N319" s="155"/>
      <c r="O319" s="155"/>
      <c r="P319" s="155"/>
      <c r="Q319" s="155"/>
      <c r="R319" s="155"/>
      <c r="S319" s="155"/>
      <c r="T319" s="155"/>
      <c r="U319" s="167" t="s">
        <v>517</v>
      </c>
      <c r="V319" s="153" t="s">
        <v>503</v>
      </c>
      <c r="W319" s="143" t="s">
        <v>298</v>
      </c>
      <c r="X319" s="157" t="s">
        <v>227</v>
      </c>
      <c r="Y319" s="153">
        <v>9501239442</v>
      </c>
      <c r="Z319" s="143"/>
      <c r="AA319" s="162" t="s">
        <v>524</v>
      </c>
      <c r="AB319" s="143" t="s">
        <v>528</v>
      </c>
      <c r="AC319" s="155">
        <v>1</v>
      </c>
      <c r="AD319" s="155"/>
      <c r="AE319" s="155"/>
      <c r="AF319" s="155"/>
      <c r="AG319" s="155"/>
      <c r="AH319" s="143"/>
      <c r="AI319" s="158"/>
    </row>
    <row r="320" spans="1:35">
      <c r="A320" s="140"/>
      <c r="B320" s="143"/>
      <c r="C320" s="143" t="s">
        <v>105</v>
      </c>
      <c r="D320" s="143" t="s">
        <v>501</v>
      </c>
      <c r="E320" s="143" t="s">
        <v>80</v>
      </c>
      <c r="F320" s="153" t="s">
        <v>482</v>
      </c>
      <c r="G320" s="153" t="s">
        <v>483</v>
      </c>
      <c r="H320" s="153"/>
      <c r="I320" s="227"/>
      <c r="J320" s="165">
        <v>1</v>
      </c>
      <c r="K320" s="165"/>
      <c r="L320" s="155"/>
      <c r="M320" s="155"/>
      <c r="N320" s="155"/>
      <c r="O320" s="155"/>
      <c r="P320" s="155"/>
      <c r="Q320" s="155">
        <v>1</v>
      </c>
      <c r="R320" s="155" t="s">
        <v>1348</v>
      </c>
      <c r="S320" s="155"/>
      <c r="T320" s="155"/>
      <c r="U320" s="167" t="s">
        <v>507</v>
      </c>
      <c r="V320" s="153" t="s">
        <v>503</v>
      </c>
      <c r="W320" s="143" t="s">
        <v>298</v>
      </c>
      <c r="X320" s="157" t="s">
        <v>227</v>
      </c>
      <c r="Y320" s="153">
        <v>9187949708</v>
      </c>
      <c r="Z320" s="143"/>
      <c r="AA320" s="163" t="s">
        <v>525</v>
      </c>
      <c r="AB320" s="143" t="s">
        <v>528</v>
      </c>
      <c r="AC320" s="155">
        <v>1</v>
      </c>
      <c r="AD320" s="155"/>
      <c r="AE320" s="155"/>
      <c r="AF320" s="155"/>
      <c r="AG320" s="155"/>
      <c r="AH320" s="143"/>
      <c r="AI320" s="158"/>
    </row>
    <row r="321" spans="1:35">
      <c r="A321" s="140"/>
      <c r="B321" s="143"/>
      <c r="C321" s="143" t="s">
        <v>105</v>
      </c>
      <c r="D321" s="143" t="s">
        <v>501</v>
      </c>
      <c r="E321" s="143" t="s">
        <v>80</v>
      </c>
      <c r="F321" s="153" t="s">
        <v>943</v>
      </c>
      <c r="G321" s="153" t="s">
        <v>944</v>
      </c>
      <c r="H321" s="153" t="s">
        <v>283</v>
      </c>
      <c r="I321" s="227">
        <v>23832</v>
      </c>
      <c r="J321" s="165"/>
      <c r="K321" s="165">
        <v>1</v>
      </c>
      <c r="L321" s="155"/>
      <c r="M321" s="155"/>
      <c r="N321" s="155"/>
      <c r="O321" s="155"/>
      <c r="P321" s="155"/>
      <c r="Q321" s="155"/>
      <c r="R321" s="155"/>
      <c r="S321" s="155"/>
      <c r="T321" s="155"/>
      <c r="U321" s="167"/>
      <c r="V321" s="153" t="s">
        <v>503</v>
      </c>
      <c r="W321" s="143" t="s">
        <v>298</v>
      </c>
      <c r="X321" s="157" t="s">
        <v>227</v>
      </c>
      <c r="Y321" s="153">
        <v>9754566640</v>
      </c>
      <c r="Z321" s="143"/>
      <c r="AA321" s="163" t="s">
        <v>525</v>
      </c>
      <c r="AB321" s="143" t="s">
        <v>528</v>
      </c>
      <c r="AC321" s="155">
        <v>1</v>
      </c>
      <c r="AD321" s="155"/>
      <c r="AE321" s="155"/>
      <c r="AF321" s="155"/>
      <c r="AG321" s="155"/>
      <c r="AH321" s="143"/>
      <c r="AI321" s="158"/>
    </row>
    <row r="322" spans="1:35" s="76" customFormat="1">
      <c r="A322" s="177"/>
      <c r="B322" s="178"/>
      <c r="C322" s="178" t="s">
        <v>105</v>
      </c>
      <c r="D322" s="178" t="s">
        <v>501</v>
      </c>
      <c r="E322" s="178" t="s">
        <v>80</v>
      </c>
      <c r="F322" s="178" t="s">
        <v>995</v>
      </c>
      <c r="G322" s="178" t="s">
        <v>996</v>
      </c>
      <c r="H322" s="178"/>
      <c r="I322" s="239">
        <v>25195</v>
      </c>
      <c r="J322" s="174">
        <v>1</v>
      </c>
      <c r="K322" s="179"/>
      <c r="L322" s="171">
        <v>1</v>
      </c>
      <c r="M322" s="171"/>
      <c r="N322" s="171"/>
      <c r="O322" s="171"/>
      <c r="P322" s="171"/>
      <c r="Q322" s="171"/>
      <c r="R322" s="171"/>
      <c r="S322" s="171"/>
      <c r="T322" s="171"/>
      <c r="U322" s="180" t="s">
        <v>505</v>
      </c>
      <c r="V322" s="163" t="s">
        <v>503</v>
      </c>
      <c r="W322" s="178" t="s">
        <v>298</v>
      </c>
      <c r="X322" s="178" t="s">
        <v>227</v>
      </c>
      <c r="Y322" s="163">
        <v>9102856243</v>
      </c>
      <c r="Z322" s="178"/>
      <c r="AA322" s="163" t="s">
        <v>525</v>
      </c>
      <c r="AB322" s="178" t="s">
        <v>528</v>
      </c>
      <c r="AC322" s="171">
        <v>1</v>
      </c>
      <c r="AD322" s="171"/>
      <c r="AE322" s="171"/>
      <c r="AF322" s="171"/>
      <c r="AG322" s="171"/>
      <c r="AH322" s="178"/>
      <c r="AI322" s="181"/>
    </row>
    <row r="323" spans="1:35">
      <c r="A323" s="140"/>
      <c r="B323" s="143"/>
      <c r="C323" s="143" t="s">
        <v>105</v>
      </c>
      <c r="D323" s="143" t="s">
        <v>501</v>
      </c>
      <c r="E323" s="143" t="s">
        <v>80</v>
      </c>
      <c r="F323" s="143" t="s">
        <v>755</v>
      </c>
      <c r="G323" s="143" t="s">
        <v>389</v>
      </c>
      <c r="H323" s="143" t="s">
        <v>453</v>
      </c>
      <c r="I323" s="199">
        <v>25879</v>
      </c>
      <c r="J323" s="165">
        <v>1</v>
      </c>
      <c r="K323" s="182"/>
      <c r="L323" s="155"/>
      <c r="M323" s="155"/>
      <c r="N323" s="155"/>
      <c r="O323" s="155"/>
      <c r="P323" s="155"/>
      <c r="Q323" s="155"/>
      <c r="R323" s="155"/>
      <c r="S323" s="155"/>
      <c r="T323" s="155"/>
      <c r="U323" s="183" t="s">
        <v>502</v>
      </c>
      <c r="V323" s="153" t="s">
        <v>503</v>
      </c>
      <c r="W323" s="143" t="s">
        <v>298</v>
      </c>
      <c r="X323" s="157" t="s">
        <v>227</v>
      </c>
      <c r="Y323" s="184">
        <v>9051935837</v>
      </c>
      <c r="Z323" s="143"/>
      <c r="AA323" s="163" t="s">
        <v>525</v>
      </c>
      <c r="AB323" s="143" t="s">
        <v>528</v>
      </c>
      <c r="AC323" s="155">
        <v>1</v>
      </c>
      <c r="AD323" s="155"/>
      <c r="AE323" s="155"/>
      <c r="AF323" s="155"/>
      <c r="AG323" s="155"/>
      <c r="AH323" s="143"/>
      <c r="AI323" s="158"/>
    </row>
    <row r="324" spans="1:35">
      <c r="A324" s="140"/>
      <c r="B324" s="143"/>
      <c r="C324" s="143" t="s">
        <v>105</v>
      </c>
      <c r="D324" s="143" t="s">
        <v>501</v>
      </c>
      <c r="E324" s="143" t="s">
        <v>80</v>
      </c>
      <c r="F324" s="143" t="s">
        <v>997</v>
      </c>
      <c r="G324" s="143" t="s">
        <v>998</v>
      </c>
      <c r="H324" s="143"/>
      <c r="I324" s="199">
        <v>26299</v>
      </c>
      <c r="J324" s="165">
        <v>1</v>
      </c>
      <c r="K324" s="182"/>
      <c r="L324" s="155"/>
      <c r="M324" s="155"/>
      <c r="N324" s="155"/>
      <c r="O324" s="155"/>
      <c r="P324" s="155"/>
      <c r="Q324" s="155">
        <v>1</v>
      </c>
      <c r="R324" s="155" t="s">
        <v>962</v>
      </c>
      <c r="S324" s="155"/>
      <c r="T324" s="155"/>
      <c r="U324" s="183" t="s">
        <v>506</v>
      </c>
      <c r="V324" s="143" t="s">
        <v>503</v>
      </c>
      <c r="W324" s="143" t="s">
        <v>298</v>
      </c>
      <c r="X324" s="143" t="s">
        <v>227</v>
      </c>
      <c r="Y324" s="184">
        <v>9177205713</v>
      </c>
      <c r="Z324" s="143"/>
      <c r="AA324" s="143" t="s">
        <v>876</v>
      </c>
      <c r="AB324" s="143" t="s">
        <v>528</v>
      </c>
      <c r="AC324" s="155">
        <v>1</v>
      </c>
      <c r="AD324" s="155"/>
      <c r="AE324" s="155"/>
      <c r="AF324" s="155"/>
      <c r="AG324" s="155"/>
      <c r="AH324" s="143"/>
      <c r="AI324" s="158"/>
    </row>
    <row r="325" spans="1:35">
      <c r="A325" s="140"/>
      <c r="B325" s="143"/>
      <c r="C325" s="143" t="s">
        <v>105</v>
      </c>
      <c r="D325" s="143" t="s">
        <v>501</v>
      </c>
      <c r="E325" s="143" t="s">
        <v>80</v>
      </c>
      <c r="F325" s="143" t="s">
        <v>999</v>
      </c>
      <c r="G325" s="143" t="s">
        <v>1000</v>
      </c>
      <c r="H325" s="143" t="s">
        <v>120</v>
      </c>
      <c r="I325" s="199">
        <v>26236</v>
      </c>
      <c r="J325" s="182"/>
      <c r="K325" s="182">
        <v>1</v>
      </c>
      <c r="L325" s="155"/>
      <c r="M325" s="155"/>
      <c r="N325" s="155"/>
      <c r="O325" s="155"/>
      <c r="P325" s="155"/>
      <c r="Q325" s="155"/>
      <c r="R325" s="155"/>
      <c r="S325" s="155"/>
      <c r="T325" s="155"/>
      <c r="U325" s="183" t="s">
        <v>508</v>
      </c>
      <c r="V325" s="143" t="s">
        <v>503</v>
      </c>
      <c r="W325" s="143" t="s">
        <v>298</v>
      </c>
      <c r="X325" s="143" t="s">
        <v>227</v>
      </c>
      <c r="Y325" s="184">
        <v>9354755619</v>
      </c>
      <c r="Z325" s="143"/>
      <c r="AA325" s="162" t="s">
        <v>524</v>
      </c>
      <c r="AB325" s="143" t="s">
        <v>528</v>
      </c>
      <c r="AC325" s="155">
        <v>1</v>
      </c>
      <c r="AD325" s="155"/>
      <c r="AE325" s="155"/>
      <c r="AF325" s="155"/>
      <c r="AG325" s="155"/>
      <c r="AH325" s="143"/>
      <c r="AI325" s="158"/>
    </row>
    <row r="326" spans="1:35">
      <c r="A326" s="140"/>
      <c r="B326" s="143"/>
      <c r="C326" s="143" t="s">
        <v>105</v>
      </c>
      <c r="D326" s="143" t="s">
        <v>501</v>
      </c>
      <c r="E326" s="143" t="s">
        <v>80</v>
      </c>
      <c r="F326" s="143" t="s">
        <v>608</v>
      </c>
      <c r="G326" s="143" t="s">
        <v>1001</v>
      </c>
      <c r="H326" s="143" t="s">
        <v>421</v>
      </c>
      <c r="I326" s="199">
        <v>37173</v>
      </c>
      <c r="J326" s="182">
        <v>1</v>
      </c>
      <c r="K326" s="182"/>
      <c r="L326" s="155"/>
      <c r="M326" s="155"/>
      <c r="N326" s="155"/>
      <c r="O326" s="155"/>
      <c r="P326" s="155"/>
      <c r="Q326" s="155">
        <v>1</v>
      </c>
      <c r="R326" s="155" t="s">
        <v>1348</v>
      </c>
      <c r="S326" s="155"/>
      <c r="T326" s="155"/>
      <c r="U326" s="183" t="s">
        <v>508</v>
      </c>
      <c r="V326" s="143" t="s">
        <v>503</v>
      </c>
      <c r="W326" s="143" t="s">
        <v>298</v>
      </c>
      <c r="X326" s="143" t="s">
        <v>227</v>
      </c>
      <c r="Y326" s="184">
        <v>9303364509</v>
      </c>
      <c r="Z326" s="143"/>
      <c r="AA326" s="163" t="s">
        <v>525</v>
      </c>
      <c r="AB326" s="143" t="s">
        <v>528</v>
      </c>
      <c r="AC326" s="155">
        <v>1</v>
      </c>
      <c r="AD326" s="155"/>
      <c r="AE326" s="155"/>
      <c r="AF326" s="155"/>
      <c r="AG326" s="155"/>
      <c r="AH326" s="143"/>
      <c r="AI326" s="158"/>
    </row>
    <row r="327" spans="1:35">
      <c r="A327" s="140"/>
      <c r="B327" s="143"/>
      <c r="C327" s="143" t="s">
        <v>105</v>
      </c>
      <c r="D327" s="143" t="s">
        <v>501</v>
      </c>
      <c r="E327" s="143" t="s">
        <v>80</v>
      </c>
      <c r="F327" s="143" t="s">
        <v>565</v>
      </c>
      <c r="G327" s="143" t="s">
        <v>566</v>
      </c>
      <c r="H327" s="143" t="s">
        <v>133</v>
      </c>
      <c r="I327" s="199">
        <v>20449</v>
      </c>
      <c r="J327" s="182">
        <v>1</v>
      </c>
      <c r="K327" s="182"/>
      <c r="L327" s="155">
        <v>1</v>
      </c>
      <c r="M327" s="155">
        <v>1</v>
      </c>
      <c r="N327" s="155"/>
      <c r="O327" s="155"/>
      <c r="P327" s="155"/>
      <c r="Q327" s="155"/>
      <c r="R327" s="155"/>
      <c r="S327" s="155"/>
      <c r="T327" s="155"/>
      <c r="U327" s="183" t="s">
        <v>509</v>
      </c>
      <c r="V327" s="143" t="s">
        <v>503</v>
      </c>
      <c r="W327" s="143" t="s">
        <v>298</v>
      </c>
      <c r="X327" s="143" t="s">
        <v>227</v>
      </c>
      <c r="Y327" s="184">
        <v>9104238005</v>
      </c>
      <c r="Z327" s="143"/>
      <c r="AA327" s="162" t="s">
        <v>524</v>
      </c>
      <c r="AB327" s="143" t="s">
        <v>528</v>
      </c>
      <c r="AC327" s="155">
        <v>2</v>
      </c>
      <c r="AD327" s="155"/>
      <c r="AE327" s="155"/>
      <c r="AF327" s="155"/>
      <c r="AG327" s="155"/>
      <c r="AH327" s="143"/>
      <c r="AI327" s="158"/>
    </row>
    <row r="328" spans="1:35">
      <c r="A328" s="140"/>
      <c r="B328" s="143"/>
      <c r="C328" s="143" t="s">
        <v>105</v>
      </c>
      <c r="D328" s="143" t="s">
        <v>501</v>
      </c>
      <c r="E328" s="143" t="s">
        <v>80</v>
      </c>
      <c r="F328" s="143" t="s">
        <v>1002</v>
      </c>
      <c r="G328" s="143" t="s">
        <v>1003</v>
      </c>
      <c r="H328" s="143" t="s">
        <v>136</v>
      </c>
      <c r="I328" s="199">
        <v>32405</v>
      </c>
      <c r="J328" s="182"/>
      <c r="K328" s="182">
        <v>1</v>
      </c>
      <c r="L328" s="155"/>
      <c r="M328" s="155"/>
      <c r="N328" s="155"/>
      <c r="O328" s="155"/>
      <c r="P328" s="155"/>
      <c r="Q328" s="155">
        <v>1</v>
      </c>
      <c r="R328" s="172" t="s">
        <v>957</v>
      </c>
      <c r="S328" s="155"/>
      <c r="T328" s="155"/>
      <c r="U328" s="183" t="s">
        <v>508</v>
      </c>
      <c r="V328" s="143" t="s">
        <v>503</v>
      </c>
      <c r="W328" s="143" t="s">
        <v>298</v>
      </c>
      <c r="X328" s="143" t="s">
        <v>227</v>
      </c>
      <c r="Y328" s="184">
        <v>9519578183</v>
      </c>
      <c r="Z328" s="143"/>
      <c r="AA328" s="162" t="s">
        <v>524</v>
      </c>
      <c r="AB328" s="143" t="s">
        <v>528</v>
      </c>
      <c r="AC328" s="155">
        <v>1</v>
      </c>
      <c r="AD328" s="155"/>
      <c r="AE328" s="155"/>
      <c r="AF328" s="155"/>
      <c r="AG328" s="155"/>
      <c r="AH328" s="143"/>
      <c r="AI328" s="158"/>
    </row>
    <row r="329" spans="1:35">
      <c r="A329" s="140"/>
      <c r="B329" s="143"/>
      <c r="C329" s="143" t="s">
        <v>105</v>
      </c>
      <c r="D329" s="143" t="s">
        <v>501</v>
      </c>
      <c r="E329" s="143" t="s">
        <v>80</v>
      </c>
      <c r="F329" s="143" t="s">
        <v>468</v>
      </c>
      <c r="G329" s="143" t="s">
        <v>470</v>
      </c>
      <c r="H329" s="143"/>
      <c r="I329" s="227">
        <v>28892</v>
      </c>
      <c r="J329" s="182">
        <v>1</v>
      </c>
      <c r="K329" s="182"/>
      <c r="L329" s="155">
        <v>1</v>
      </c>
      <c r="M329" s="155"/>
      <c r="N329" s="155"/>
      <c r="O329" s="155"/>
      <c r="P329" s="155"/>
      <c r="Q329" s="155"/>
      <c r="R329" s="155"/>
      <c r="S329" s="155"/>
      <c r="T329" s="155"/>
      <c r="U329" s="183" t="s">
        <v>870</v>
      </c>
      <c r="V329" s="143" t="s">
        <v>503</v>
      </c>
      <c r="W329" s="143" t="s">
        <v>298</v>
      </c>
      <c r="X329" s="143" t="s">
        <v>227</v>
      </c>
      <c r="Y329" s="184">
        <v>9104034500</v>
      </c>
      <c r="Z329" s="143"/>
      <c r="AA329" s="162" t="s">
        <v>524</v>
      </c>
      <c r="AB329" s="143" t="s">
        <v>528</v>
      </c>
      <c r="AC329" s="155">
        <v>1</v>
      </c>
      <c r="AD329" s="155"/>
      <c r="AE329" s="155"/>
      <c r="AF329" s="155"/>
      <c r="AG329" s="155"/>
      <c r="AH329" s="143"/>
      <c r="AI329" s="158"/>
    </row>
    <row r="330" spans="1:35">
      <c r="A330" s="140"/>
      <c r="B330" s="143"/>
      <c r="C330" s="143" t="s">
        <v>105</v>
      </c>
      <c r="D330" s="143" t="s">
        <v>501</v>
      </c>
      <c r="E330" s="143" t="s">
        <v>80</v>
      </c>
      <c r="F330" s="143" t="s">
        <v>1005</v>
      </c>
      <c r="G330" s="143" t="s">
        <v>1006</v>
      </c>
      <c r="H330" s="143" t="s">
        <v>286</v>
      </c>
      <c r="I330" s="199">
        <v>26132</v>
      </c>
      <c r="J330" s="182"/>
      <c r="K330" s="182">
        <v>1</v>
      </c>
      <c r="L330" s="155"/>
      <c r="M330" s="155"/>
      <c r="N330" s="155"/>
      <c r="O330" s="155"/>
      <c r="P330" s="155"/>
      <c r="Q330" s="155">
        <v>1</v>
      </c>
      <c r="R330" s="172" t="s">
        <v>957</v>
      </c>
      <c r="S330" s="155"/>
      <c r="T330" s="155"/>
      <c r="U330" s="183"/>
      <c r="V330" s="143" t="s">
        <v>952</v>
      </c>
      <c r="W330" s="143" t="s">
        <v>280</v>
      </c>
      <c r="X330" s="143" t="s">
        <v>227</v>
      </c>
      <c r="Y330" s="184">
        <v>9365610932</v>
      </c>
      <c r="Z330" s="143"/>
      <c r="AA330" s="163" t="s">
        <v>525</v>
      </c>
      <c r="AB330" s="143" t="s">
        <v>528</v>
      </c>
      <c r="AC330" s="155">
        <v>1</v>
      </c>
      <c r="AD330" s="155"/>
      <c r="AE330" s="155"/>
      <c r="AF330" s="155"/>
      <c r="AG330" s="155"/>
      <c r="AH330" s="143"/>
      <c r="AI330" s="158"/>
    </row>
    <row r="331" spans="1:35">
      <c r="A331" s="140"/>
      <c r="B331" s="143"/>
      <c r="C331" s="143" t="s">
        <v>105</v>
      </c>
      <c r="D331" s="143" t="s">
        <v>501</v>
      </c>
      <c r="E331" s="143" t="s">
        <v>80</v>
      </c>
      <c r="F331" s="143" t="s">
        <v>1007</v>
      </c>
      <c r="G331" s="143" t="s">
        <v>1008</v>
      </c>
      <c r="H331" s="143" t="s">
        <v>136</v>
      </c>
      <c r="I331" s="199">
        <v>26641</v>
      </c>
      <c r="J331" s="182">
        <v>1</v>
      </c>
      <c r="K331" s="182"/>
      <c r="L331" s="155"/>
      <c r="M331" s="155"/>
      <c r="N331" s="155"/>
      <c r="O331" s="155"/>
      <c r="P331" s="155"/>
      <c r="Q331" s="155">
        <v>1</v>
      </c>
      <c r="R331" s="155" t="s">
        <v>1009</v>
      </c>
      <c r="S331" s="155"/>
      <c r="T331" s="155"/>
      <c r="U331" s="183" t="s">
        <v>1010</v>
      </c>
      <c r="V331" s="143" t="s">
        <v>519</v>
      </c>
      <c r="W331" s="143" t="s">
        <v>280</v>
      </c>
      <c r="X331" s="143" t="s">
        <v>227</v>
      </c>
      <c r="Y331" s="184">
        <v>9353663519</v>
      </c>
      <c r="Z331" s="143"/>
      <c r="AA331" s="162" t="s">
        <v>524</v>
      </c>
      <c r="AB331" s="143" t="s">
        <v>528</v>
      </c>
      <c r="AC331" s="155">
        <v>1</v>
      </c>
      <c r="AD331" s="155"/>
      <c r="AE331" s="155"/>
      <c r="AF331" s="155"/>
      <c r="AG331" s="155"/>
      <c r="AH331" s="143"/>
      <c r="AI331" s="158"/>
    </row>
    <row r="332" spans="1:35">
      <c r="A332" s="140"/>
      <c r="B332" s="143"/>
      <c r="C332" s="143" t="s">
        <v>105</v>
      </c>
      <c r="D332" s="143" t="s">
        <v>501</v>
      </c>
      <c r="E332" s="143" t="s">
        <v>80</v>
      </c>
      <c r="F332" s="143" t="s">
        <v>1011</v>
      </c>
      <c r="G332" s="143" t="s">
        <v>1012</v>
      </c>
      <c r="H332" s="143" t="s">
        <v>1013</v>
      </c>
      <c r="I332" s="199">
        <v>31501</v>
      </c>
      <c r="J332" s="182">
        <v>1</v>
      </c>
      <c r="K332" s="182"/>
      <c r="L332" s="155"/>
      <c r="M332" s="155"/>
      <c r="N332" s="155"/>
      <c r="O332" s="155"/>
      <c r="P332" s="155"/>
      <c r="Q332" s="155">
        <v>1</v>
      </c>
      <c r="R332" s="155"/>
      <c r="S332" s="155"/>
      <c r="T332" s="155"/>
      <c r="U332" s="183" t="s">
        <v>505</v>
      </c>
      <c r="V332" s="143" t="s">
        <v>503</v>
      </c>
      <c r="W332" s="143" t="s">
        <v>298</v>
      </c>
      <c r="X332" s="143" t="s">
        <v>227</v>
      </c>
      <c r="Y332" s="184">
        <v>9105663173</v>
      </c>
      <c r="Z332" s="143"/>
      <c r="AA332" s="162" t="s">
        <v>524</v>
      </c>
      <c r="AB332" s="143" t="s">
        <v>528</v>
      </c>
      <c r="AC332" s="155">
        <v>1</v>
      </c>
      <c r="AD332" s="155"/>
      <c r="AE332" s="155"/>
      <c r="AF332" s="155"/>
      <c r="AG332" s="155"/>
      <c r="AH332" s="143"/>
      <c r="AI332" s="158"/>
    </row>
    <row r="333" spans="1:35">
      <c r="A333" s="140"/>
      <c r="B333" s="143"/>
      <c r="C333" s="143" t="s">
        <v>105</v>
      </c>
      <c r="D333" s="143" t="s">
        <v>501</v>
      </c>
      <c r="E333" s="143" t="s">
        <v>80</v>
      </c>
      <c r="F333" s="143" t="s">
        <v>1014</v>
      </c>
      <c r="G333" s="143" t="s">
        <v>1015</v>
      </c>
      <c r="H333" s="143" t="s">
        <v>409</v>
      </c>
      <c r="I333" s="199">
        <v>30407</v>
      </c>
      <c r="J333" s="182">
        <v>1</v>
      </c>
      <c r="K333" s="182"/>
      <c r="L333" s="155">
        <v>1</v>
      </c>
      <c r="M333" s="155"/>
      <c r="N333" s="155"/>
      <c r="O333" s="155"/>
      <c r="P333" s="155"/>
      <c r="Q333" s="155"/>
      <c r="R333" s="155"/>
      <c r="S333" s="155"/>
      <c r="T333" s="155"/>
      <c r="U333" s="183" t="s">
        <v>870</v>
      </c>
      <c r="V333" s="143" t="s">
        <v>503</v>
      </c>
      <c r="W333" s="143" t="s">
        <v>298</v>
      </c>
      <c r="X333" s="143" t="s">
        <v>227</v>
      </c>
      <c r="Y333" s="184">
        <v>9350976226</v>
      </c>
      <c r="Z333" s="143"/>
      <c r="AA333" s="163" t="s">
        <v>525</v>
      </c>
      <c r="AB333" s="143" t="s">
        <v>528</v>
      </c>
      <c r="AC333" s="155">
        <v>1</v>
      </c>
      <c r="AD333" s="155"/>
      <c r="AE333" s="155"/>
      <c r="AF333" s="155"/>
      <c r="AG333" s="155"/>
      <c r="AH333" s="143"/>
      <c r="AI333" s="158"/>
    </row>
    <row r="334" spans="1:35">
      <c r="A334" s="140"/>
      <c r="B334" s="143"/>
      <c r="C334" s="143" t="s">
        <v>105</v>
      </c>
      <c r="D334" s="143" t="s">
        <v>501</v>
      </c>
      <c r="E334" s="143" t="s">
        <v>80</v>
      </c>
      <c r="F334" s="143" t="s">
        <v>572</v>
      </c>
      <c r="G334" s="143" t="s">
        <v>1016</v>
      </c>
      <c r="H334" s="143"/>
      <c r="I334" s="199">
        <v>37772</v>
      </c>
      <c r="J334" s="182">
        <v>1</v>
      </c>
      <c r="K334" s="182"/>
      <c r="L334" s="155">
        <v>1</v>
      </c>
      <c r="M334" s="155"/>
      <c r="N334" s="155"/>
      <c r="O334" s="155"/>
      <c r="P334" s="155"/>
      <c r="Q334" s="155"/>
      <c r="R334" s="155"/>
      <c r="S334" s="155"/>
      <c r="T334" s="155"/>
      <c r="U334" s="183" t="s">
        <v>509</v>
      </c>
      <c r="V334" s="143" t="s">
        <v>503</v>
      </c>
      <c r="W334" s="143" t="s">
        <v>298</v>
      </c>
      <c r="X334" s="143" t="s">
        <v>227</v>
      </c>
      <c r="Y334" s="184">
        <v>9531505681</v>
      </c>
      <c r="Z334" s="143"/>
      <c r="AA334" s="163" t="s">
        <v>525</v>
      </c>
      <c r="AB334" s="143" t="s">
        <v>528</v>
      </c>
      <c r="AC334" s="155">
        <v>1</v>
      </c>
      <c r="AD334" s="155"/>
      <c r="AE334" s="155"/>
      <c r="AF334" s="155"/>
      <c r="AG334" s="155"/>
      <c r="AH334" s="143"/>
      <c r="AI334" s="158"/>
    </row>
    <row r="335" spans="1:35">
      <c r="A335" s="140"/>
      <c r="B335" s="143"/>
      <c r="C335" s="143" t="s">
        <v>105</v>
      </c>
      <c r="D335" s="143" t="s">
        <v>501</v>
      </c>
      <c r="E335" s="143" t="s">
        <v>80</v>
      </c>
      <c r="F335" s="143" t="s">
        <v>1017</v>
      </c>
      <c r="G335" s="143" t="s">
        <v>1018</v>
      </c>
      <c r="H335" s="143"/>
      <c r="I335" s="199">
        <v>35065</v>
      </c>
      <c r="J335" s="182">
        <v>1</v>
      </c>
      <c r="K335" s="182"/>
      <c r="L335" s="155">
        <v>1</v>
      </c>
      <c r="M335" s="155"/>
      <c r="N335" s="155"/>
      <c r="O335" s="155"/>
      <c r="P335" s="155"/>
      <c r="Q335" s="155"/>
      <c r="R335" s="155"/>
      <c r="S335" s="155"/>
      <c r="T335" s="155"/>
      <c r="U335" s="183" t="s">
        <v>509</v>
      </c>
      <c r="V335" s="143" t="s">
        <v>503</v>
      </c>
      <c r="W335" s="143" t="s">
        <v>298</v>
      </c>
      <c r="X335" s="143" t="s">
        <v>227</v>
      </c>
      <c r="Y335" s="184">
        <v>9306471804</v>
      </c>
      <c r="Z335" s="143"/>
      <c r="AA335" s="163" t="s">
        <v>525</v>
      </c>
      <c r="AB335" s="143" t="s">
        <v>528</v>
      </c>
      <c r="AC335" s="155">
        <v>1</v>
      </c>
      <c r="AD335" s="155"/>
      <c r="AE335" s="155"/>
      <c r="AF335" s="155"/>
      <c r="AG335" s="155"/>
      <c r="AH335" s="143"/>
      <c r="AI335" s="158"/>
    </row>
    <row r="336" spans="1:35">
      <c r="A336" s="140"/>
      <c r="B336" s="143"/>
      <c r="C336" s="143" t="s">
        <v>105</v>
      </c>
      <c r="D336" s="143" t="s">
        <v>501</v>
      </c>
      <c r="E336" s="143" t="s">
        <v>80</v>
      </c>
      <c r="F336" s="153" t="s">
        <v>490</v>
      </c>
      <c r="G336" s="153" t="s">
        <v>890</v>
      </c>
      <c r="H336" s="153"/>
      <c r="I336" s="227">
        <v>29819</v>
      </c>
      <c r="J336" s="166"/>
      <c r="K336" s="165">
        <v>1</v>
      </c>
      <c r="L336" s="155"/>
      <c r="M336" s="155"/>
      <c r="N336" s="155"/>
      <c r="O336" s="155"/>
      <c r="P336" s="155"/>
      <c r="Q336" s="155"/>
      <c r="R336" s="155"/>
      <c r="S336" s="155"/>
      <c r="T336" s="155"/>
      <c r="U336" s="167" t="s">
        <v>859</v>
      </c>
      <c r="V336" s="153" t="s">
        <v>503</v>
      </c>
      <c r="W336" s="143" t="s">
        <v>298</v>
      </c>
      <c r="X336" s="157" t="s">
        <v>227</v>
      </c>
      <c r="Y336" s="153">
        <v>9076644743</v>
      </c>
      <c r="Z336" s="143"/>
      <c r="AA336" s="162" t="s">
        <v>524</v>
      </c>
      <c r="AB336" s="143" t="s">
        <v>528</v>
      </c>
      <c r="AC336" s="155">
        <v>1</v>
      </c>
      <c r="AD336" s="155"/>
      <c r="AE336" s="155"/>
      <c r="AF336" s="155"/>
      <c r="AG336" s="155"/>
      <c r="AH336" s="143"/>
      <c r="AI336" s="158"/>
    </row>
    <row r="337" spans="1:35">
      <c r="A337" s="140"/>
      <c r="B337" s="143"/>
      <c r="C337" s="143" t="s">
        <v>105</v>
      </c>
      <c r="D337" s="143" t="s">
        <v>501</v>
      </c>
      <c r="E337" s="143" t="s">
        <v>80</v>
      </c>
      <c r="F337" s="143" t="s">
        <v>1019</v>
      </c>
      <c r="G337" s="143" t="s">
        <v>1020</v>
      </c>
      <c r="H337" s="143"/>
      <c r="I337" s="199">
        <v>27148</v>
      </c>
      <c r="J337" s="182">
        <v>1</v>
      </c>
      <c r="K337" s="182"/>
      <c r="L337" s="155"/>
      <c r="M337" s="155"/>
      <c r="N337" s="155"/>
      <c r="O337" s="155"/>
      <c r="P337" s="155"/>
      <c r="Q337" s="155">
        <v>1</v>
      </c>
      <c r="R337" s="155" t="s">
        <v>1348</v>
      </c>
      <c r="S337" s="155"/>
      <c r="T337" s="155"/>
      <c r="U337" s="183" t="s">
        <v>295</v>
      </c>
      <c r="V337" s="143" t="s">
        <v>503</v>
      </c>
      <c r="W337" s="143" t="s">
        <v>298</v>
      </c>
      <c r="X337" s="143" t="s">
        <v>227</v>
      </c>
      <c r="Y337" s="184">
        <v>9215660904</v>
      </c>
      <c r="Z337" s="143"/>
      <c r="AA337" s="163" t="s">
        <v>525</v>
      </c>
      <c r="AB337" s="143" t="s">
        <v>528</v>
      </c>
      <c r="AC337" s="155">
        <v>1</v>
      </c>
      <c r="AD337" s="155"/>
      <c r="AE337" s="155"/>
      <c r="AF337" s="155"/>
      <c r="AG337" s="155"/>
      <c r="AH337" s="143"/>
      <c r="AI337" s="158"/>
    </row>
    <row r="338" spans="1:35">
      <c r="A338" s="140"/>
      <c r="B338" s="143"/>
      <c r="C338" s="143" t="s">
        <v>105</v>
      </c>
      <c r="D338" s="143" t="s">
        <v>501</v>
      </c>
      <c r="E338" s="143" t="s">
        <v>80</v>
      </c>
      <c r="F338" s="143" t="s">
        <v>1021</v>
      </c>
      <c r="G338" s="143" t="s">
        <v>1022</v>
      </c>
      <c r="H338" s="143" t="s">
        <v>113</v>
      </c>
      <c r="I338" s="199">
        <v>25742</v>
      </c>
      <c r="J338" s="182"/>
      <c r="K338" s="182">
        <v>1</v>
      </c>
      <c r="L338" s="155"/>
      <c r="M338" s="155"/>
      <c r="N338" s="155"/>
      <c r="O338" s="155"/>
      <c r="P338" s="155"/>
      <c r="Q338" s="155">
        <v>1</v>
      </c>
      <c r="R338" s="172" t="s">
        <v>957</v>
      </c>
      <c r="S338" s="155"/>
      <c r="T338" s="155"/>
      <c r="U338" s="183" t="s">
        <v>1023</v>
      </c>
      <c r="V338" s="143" t="s">
        <v>872</v>
      </c>
      <c r="W338" s="143" t="s">
        <v>280</v>
      </c>
      <c r="X338" s="143" t="s">
        <v>227</v>
      </c>
      <c r="Y338" s="185" t="s">
        <v>1073</v>
      </c>
      <c r="Z338" s="143"/>
      <c r="AA338" s="162" t="s">
        <v>1074</v>
      </c>
      <c r="AB338" s="143" t="s">
        <v>528</v>
      </c>
      <c r="AC338" s="155">
        <v>3</v>
      </c>
      <c r="AD338" s="155"/>
      <c r="AE338" s="155"/>
      <c r="AF338" s="155"/>
      <c r="AG338" s="155"/>
      <c r="AH338" s="143"/>
      <c r="AI338" s="158"/>
    </row>
    <row r="339" spans="1:35">
      <c r="A339" s="140"/>
      <c r="B339" s="143"/>
      <c r="C339" s="143" t="s">
        <v>105</v>
      </c>
      <c r="D339" s="143" t="s">
        <v>501</v>
      </c>
      <c r="E339" s="143" t="s">
        <v>80</v>
      </c>
      <c r="F339" s="143" t="s">
        <v>1024</v>
      </c>
      <c r="G339" s="143" t="s">
        <v>1025</v>
      </c>
      <c r="H339" s="143"/>
      <c r="I339" s="199"/>
      <c r="J339" s="182"/>
      <c r="K339" s="182">
        <v>1</v>
      </c>
      <c r="L339" s="155"/>
      <c r="M339" s="155"/>
      <c r="N339" s="155"/>
      <c r="O339" s="155"/>
      <c r="P339" s="155"/>
      <c r="Q339" s="155">
        <v>1</v>
      </c>
      <c r="R339" s="172" t="s">
        <v>957</v>
      </c>
      <c r="S339" s="155"/>
      <c r="T339" s="155"/>
      <c r="U339" s="183" t="s">
        <v>502</v>
      </c>
      <c r="V339" s="143" t="s">
        <v>503</v>
      </c>
      <c r="W339" s="143" t="s">
        <v>298</v>
      </c>
      <c r="X339" s="143" t="s">
        <v>227</v>
      </c>
      <c r="Y339" s="184">
        <v>4332781</v>
      </c>
      <c r="Z339" s="143"/>
      <c r="AA339" s="163" t="s">
        <v>525</v>
      </c>
      <c r="AB339" s="143" t="s">
        <v>528</v>
      </c>
      <c r="AC339" s="155">
        <v>1</v>
      </c>
      <c r="AD339" s="155"/>
      <c r="AE339" s="155"/>
      <c r="AF339" s="155"/>
      <c r="AG339" s="155"/>
      <c r="AH339" s="143"/>
      <c r="AI339" s="158"/>
    </row>
    <row r="340" spans="1:35">
      <c r="A340" s="140"/>
      <c r="B340" s="143"/>
      <c r="C340" s="143" t="s">
        <v>105</v>
      </c>
      <c r="D340" s="143" t="s">
        <v>501</v>
      </c>
      <c r="E340" s="143" t="s">
        <v>80</v>
      </c>
      <c r="F340" s="143" t="s">
        <v>413</v>
      </c>
      <c r="G340" s="143" t="s">
        <v>414</v>
      </c>
      <c r="H340" s="143" t="s">
        <v>150</v>
      </c>
      <c r="I340" s="227">
        <v>23925</v>
      </c>
      <c r="J340" s="166"/>
      <c r="K340" s="165">
        <v>1</v>
      </c>
      <c r="L340" s="155"/>
      <c r="M340" s="155"/>
      <c r="N340" s="155"/>
      <c r="O340" s="155"/>
      <c r="P340" s="155"/>
      <c r="Q340" s="155">
        <v>1</v>
      </c>
      <c r="R340" s="155" t="s">
        <v>1348</v>
      </c>
      <c r="S340" s="155"/>
      <c r="T340" s="155"/>
      <c r="U340" s="167" t="s">
        <v>295</v>
      </c>
      <c r="V340" s="153" t="s">
        <v>503</v>
      </c>
      <c r="W340" s="143" t="s">
        <v>298</v>
      </c>
      <c r="X340" s="157" t="s">
        <v>227</v>
      </c>
      <c r="Y340" s="153">
        <v>9357514235</v>
      </c>
      <c r="Z340" s="143"/>
      <c r="AA340" s="163" t="s">
        <v>525</v>
      </c>
      <c r="AB340" s="143" t="s">
        <v>528</v>
      </c>
      <c r="AC340" s="155">
        <v>2</v>
      </c>
      <c r="AD340" s="155"/>
      <c r="AE340" s="155"/>
      <c r="AF340" s="155"/>
      <c r="AG340" s="155"/>
      <c r="AH340" s="143"/>
      <c r="AI340" s="158"/>
    </row>
    <row r="341" spans="1:35">
      <c r="A341" s="140"/>
      <c r="B341" s="143"/>
      <c r="C341" s="143" t="s">
        <v>105</v>
      </c>
      <c r="D341" s="143" t="s">
        <v>501</v>
      </c>
      <c r="E341" s="143" t="s">
        <v>80</v>
      </c>
      <c r="F341" s="143" t="s">
        <v>1026</v>
      </c>
      <c r="G341" s="143" t="s">
        <v>1027</v>
      </c>
      <c r="H341" s="143"/>
      <c r="I341" s="199">
        <v>34042</v>
      </c>
      <c r="J341" s="182">
        <v>1</v>
      </c>
      <c r="K341" s="182"/>
      <c r="L341" s="155"/>
      <c r="M341" s="155"/>
      <c r="N341" s="155"/>
      <c r="O341" s="155"/>
      <c r="P341" s="155"/>
      <c r="Q341" s="155">
        <v>1</v>
      </c>
      <c r="R341" s="155" t="s">
        <v>1348</v>
      </c>
      <c r="S341" s="155"/>
      <c r="T341" s="155"/>
      <c r="U341" s="183" t="s">
        <v>507</v>
      </c>
      <c r="V341" s="143" t="s">
        <v>503</v>
      </c>
      <c r="W341" s="143" t="s">
        <v>298</v>
      </c>
      <c r="X341" s="143" t="s">
        <v>227</v>
      </c>
      <c r="Y341" s="184">
        <v>9151963610</v>
      </c>
      <c r="Z341" s="143"/>
      <c r="AA341" s="163" t="s">
        <v>525</v>
      </c>
      <c r="AB341" s="143" t="s">
        <v>528</v>
      </c>
      <c r="AC341" s="155">
        <v>1</v>
      </c>
      <c r="AD341" s="155"/>
      <c r="AE341" s="155"/>
      <c r="AF341" s="155"/>
      <c r="AG341" s="155"/>
      <c r="AH341" s="143"/>
      <c r="AI341" s="158"/>
    </row>
    <row r="342" spans="1:35">
      <c r="A342" s="140"/>
      <c r="B342" s="143"/>
      <c r="C342" s="143" t="s">
        <v>1102</v>
      </c>
      <c r="D342" s="143" t="s">
        <v>501</v>
      </c>
      <c r="E342" s="143" t="s">
        <v>80</v>
      </c>
      <c r="F342" s="143" t="s">
        <v>1028</v>
      </c>
      <c r="G342" s="143" t="s">
        <v>1029</v>
      </c>
      <c r="H342" s="143" t="s">
        <v>113</v>
      </c>
      <c r="I342" s="199">
        <v>20457</v>
      </c>
      <c r="J342" s="182"/>
      <c r="K342" s="182">
        <v>1</v>
      </c>
      <c r="L342" s="155"/>
      <c r="M342" s="155">
        <v>1</v>
      </c>
      <c r="N342" s="155"/>
      <c r="O342" s="155"/>
      <c r="P342" s="155"/>
      <c r="Q342" s="155">
        <v>1</v>
      </c>
      <c r="R342" s="172" t="s">
        <v>957</v>
      </c>
      <c r="S342" s="155"/>
      <c r="T342" s="155"/>
      <c r="U342" s="183" t="s">
        <v>853</v>
      </c>
      <c r="V342" s="143" t="s">
        <v>503</v>
      </c>
      <c r="W342" s="143" t="s">
        <v>298</v>
      </c>
      <c r="X342" s="143" t="s">
        <v>227</v>
      </c>
      <c r="Y342" s="184">
        <v>9286851165</v>
      </c>
      <c r="Z342" s="143"/>
      <c r="AA342" s="162" t="s">
        <v>524</v>
      </c>
      <c r="AB342" s="143" t="s">
        <v>528</v>
      </c>
      <c r="AC342" s="155">
        <v>1</v>
      </c>
      <c r="AD342" s="155"/>
      <c r="AE342" s="155"/>
      <c r="AF342" s="155"/>
      <c r="AG342" s="155"/>
      <c r="AH342" s="143"/>
      <c r="AI342" s="158"/>
    </row>
    <row r="343" spans="1:35">
      <c r="A343" s="140"/>
      <c r="B343" s="143"/>
      <c r="C343" s="143" t="s">
        <v>1102</v>
      </c>
      <c r="D343" s="143" t="s">
        <v>501</v>
      </c>
      <c r="E343" s="143" t="s">
        <v>80</v>
      </c>
      <c r="F343" s="143" t="s">
        <v>1030</v>
      </c>
      <c r="G343" s="143" t="s">
        <v>1031</v>
      </c>
      <c r="H343" s="186"/>
      <c r="I343" s="199"/>
      <c r="J343" s="182"/>
      <c r="K343" s="182">
        <v>1</v>
      </c>
      <c r="L343" s="155"/>
      <c r="M343" s="155"/>
      <c r="N343" s="155"/>
      <c r="O343" s="155"/>
      <c r="P343" s="155"/>
      <c r="Q343" s="155">
        <v>1</v>
      </c>
      <c r="R343" s="155" t="s">
        <v>1348</v>
      </c>
      <c r="S343" s="155"/>
      <c r="T343" s="155"/>
      <c r="U343" s="183" t="s">
        <v>504</v>
      </c>
      <c r="V343" s="143" t="s">
        <v>503</v>
      </c>
      <c r="W343" s="143" t="s">
        <v>298</v>
      </c>
      <c r="X343" s="143" t="s">
        <v>227</v>
      </c>
      <c r="Y343" s="184">
        <v>9777172927</v>
      </c>
      <c r="Z343" s="143"/>
      <c r="AA343" s="162" t="s">
        <v>524</v>
      </c>
      <c r="AB343" s="143" t="s">
        <v>528</v>
      </c>
      <c r="AC343" s="155">
        <v>1</v>
      </c>
      <c r="AD343" s="155"/>
      <c r="AE343" s="155"/>
      <c r="AF343" s="155"/>
      <c r="AG343" s="155"/>
      <c r="AH343" s="143"/>
      <c r="AI343" s="158"/>
    </row>
    <row r="344" spans="1:35">
      <c r="A344" s="140"/>
      <c r="B344" s="143"/>
      <c r="C344" s="143" t="s">
        <v>1102</v>
      </c>
      <c r="D344" s="143" t="s">
        <v>501</v>
      </c>
      <c r="E344" s="143" t="s">
        <v>80</v>
      </c>
      <c r="F344" s="143" t="s">
        <v>1032</v>
      </c>
      <c r="G344" s="143" t="s">
        <v>1033</v>
      </c>
      <c r="H344" s="143"/>
      <c r="I344" s="199"/>
      <c r="J344" s="182"/>
      <c r="K344" s="182">
        <v>1</v>
      </c>
      <c r="L344" s="155"/>
      <c r="M344" s="155"/>
      <c r="N344" s="155"/>
      <c r="O344" s="155"/>
      <c r="P344" s="155"/>
      <c r="Q344" s="155">
        <v>1</v>
      </c>
      <c r="R344" s="155"/>
      <c r="S344" s="155"/>
      <c r="T344" s="155"/>
      <c r="U344" s="183"/>
      <c r="V344" s="143" t="s">
        <v>218</v>
      </c>
      <c r="W344" s="143" t="s">
        <v>298</v>
      </c>
      <c r="X344" s="143" t="s">
        <v>227</v>
      </c>
      <c r="Y344" s="143"/>
      <c r="Z344" s="143"/>
      <c r="AA344" s="162" t="s">
        <v>524</v>
      </c>
      <c r="AB344" s="143" t="s">
        <v>528</v>
      </c>
      <c r="AC344" s="155">
        <v>1</v>
      </c>
      <c r="AD344" s="155"/>
      <c r="AE344" s="155"/>
      <c r="AF344" s="155"/>
      <c r="AG344" s="155"/>
      <c r="AH344" s="143"/>
      <c r="AI344" s="158"/>
    </row>
    <row r="345" spans="1:35">
      <c r="A345" s="140"/>
      <c r="B345" s="143"/>
      <c r="C345" s="143" t="s">
        <v>1102</v>
      </c>
      <c r="D345" s="143" t="s">
        <v>501</v>
      </c>
      <c r="E345" s="143" t="s">
        <v>80</v>
      </c>
      <c r="F345" s="143" t="s">
        <v>1034</v>
      </c>
      <c r="G345" s="143" t="s">
        <v>1035</v>
      </c>
      <c r="H345" s="143"/>
      <c r="I345" s="199">
        <v>26647</v>
      </c>
      <c r="J345" s="182">
        <v>1</v>
      </c>
      <c r="K345" s="182"/>
      <c r="L345" s="155">
        <v>1</v>
      </c>
      <c r="M345" s="155"/>
      <c r="N345" s="155"/>
      <c r="O345" s="155"/>
      <c r="P345" s="155"/>
      <c r="Q345" s="155"/>
      <c r="R345" s="155"/>
      <c r="S345" s="155"/>
      <c r="T345" s="155"/>
      <c r="U345" s="183" t="s">
        <v>517</v>
      </c>
      <c r="V345" s="143" t="s">
        <v>503</v>
      </c>
      <c r="W345" s="143" t="s">
        <v>298</v>
      </c>
      <c r="X345" s="143" t="s">
        <v>227</v>
      </c>
      <c r="Y345" s="184">
        <v>9675884351</v>
      </c>
      <c r="Z345" s="143"/>
      <c r="AA345" s="143" t="s">
        <v>877</v>
      </c>
      <c r="AB345" s="143" t="s">
        <v>528</v>
      </c>
      <c r="AC345" s="155">
        <v>1</v>
      </c>
      <c r="AD345" s="155"/>
      <c r="AE345" s="155"/>
      <c r="AF345" s="155"/>
      <c r="AG345" s="155"/>
      <c r="AH345" s="143"/>
      <c r="AI345" s="158"/>
    </row>
    <row r="346" spans="1:35">
      <c r="A346" s="140"/>
      <c r="B346" s="143"/>
      <c r="C346" s="143" t="s">
        <v>1102</v>
      </c>
      <c r="D346" s="143" t="s">
        <v>501</v>
      </c>
      <c r="E346" s="143" t="s">
        <v>80</v>
      </c>
      <c r="F346" s="143" t="s">
        <v>1036</v>
      </c>
      <c r="G346" s="143" t="s">
        <v>1037</v>
      </c>
      <c r="H346" s="143" t="s">
        <v>120</v>
      </c>
      <c r="I346" s="199"/>
      <c r="J346" s="182">
        <v>1</v>
      </c>
      <c r="K346" s="182"/>
      <c r="L346" s="155">
        <v>1</v>
      </c>
      <c r="M346" s="155"/>
      <c r="N346" s="155"/>
      <c r="O346" s="155"/>
      <c r="P346" s="155"/>
      <c r="Q346" s="155"/>
      <c r="R346" s="155"/>
      <c r="S346" s="155"/>
      <c r="T346" s="155"/>
      <c r="U346" s="183" t="s">
        <v>509</v>
      </c>
      <c r="V346" s="143" t="s">
        <v>503</v>
      </c>
      <c r="W346" s="143" t="s">
        <v>298</v>
      </c>
      <c r="X346" s="143" t="s">
        <v>227</v>
      </c>
      <c r="Y346" s="184">
        <v>9122314177</v>
      </c>
      <c r="Z346" s="143"/>
      <c r="AA346" s="163" t="s">
        <v>525</v>
      </c>
      <c r="AB346" s="143" t="s">
        <v>528</v>
      </c>
      <c r="AC346" s="155">
        <v>1</v>
      </c>
      <c r="AD346" s="155"/>
      <c r="AE346" s="155"/>
      <c r="AF346" s="155"/>
      <c r="AG346" s="155"/>
      <c r="AH346" s="143"/>
      <c r="AI346" s="158"/>
    </row>
    <row r="347" spans="1:35">
      <c r="A347" s="140"/>
      <c r="B347" s="143"/>
      <c r="C347" s="143" t="s">
        <v>1102</v>
      </c>
      <c r="D347" s="143" t="s">
        <v>501</v>
      </c>
      <c r="E347" s="143" t="s">
        <v>80</v>
      </c>
      <c r="F347" s="143" t="s">
        <v>1038</v>
      </c>
      <c r="G347" s="143" t="s">
        <v>1039</v>
      </c>
      <c r="H347" s="143" t="s">
        <v>1040</v>
      </c>
      <c r="I347" s="199">
        <v>30788</v>
      </c>
      <c r="J347" s="182">
        <v>1</v>
      </c>
      <c r="K347" s="182"/>
      <c r="L347" s="155"/>
      <c r="M347" s="155"/>
      <c r="N347" s="155"/>
      <c r="O347" s="155"/>
      <c r="P347" s="155"/>
      <c r="Q347" s="155">
        <v>1</v>
      </c>
      <c r="R347" s="155"/>
      <c r="S347" s="155"/>
      <c r="T347" s="155"/>
      <c r="U347" s="183"/>
      <c r="V347" s="143" t="s">
        <v>503</v>
      </c>
      <c r="W347" s="143" t="s">
        <v>298</v>
      </c>
      <c r="X347" s="143" t="s">
        <v>227</v>
      </c>
      <c r="Y347" s="184">
        <v>9051968432</v>
      </c>
      <c r="Z347" s="143"/>
      <c r="AA347" s="162" t="s">
        <v>524</v>
      </c>
      <c r="AB347" s="143" t="s">
        <v>528</v>
      </c>
      <c r="AC347" s="155">
        <v>1</v>
      </c>
      <c r="AD347" s="155"/>
      <c r="AE347" s="155"/>
      <c r="AF347" s="155"/>
      <c r="AG347" s="155"/>
      <c r="AH347" s="143"/>
      <c r="AI347" s="158"/>
    </row>
    <row r="348" spans="1:35">
      <c r="A348" s="140"/>
      <c r="B348" s="143"/>
      <c r="C348" s="143" t="s">
        <v>1102</v>
      </c>
      <c r="D348" s="143" t="s">
        <v>501</v>
      </c>
      <c r="E348" s="143" t="s">
        <v>80</v>
      </c>
      <c r="F348" s="143" t="s">
        <v>1041</v>
      </c>
      <c r="G348" s="143" t="s">
        <v>1042</v>
      </c>
      <c r="H348" s="143"/>
      <c r="I348" s="199">
        <v>29686</v>
      </c>
      <c r="J348" s="182">
        <v>1</v>
      </c>
      <c r="K348" s="182"/>
      <c r="L348" s="155"/>
      <c r="M348" s="155"/>
      <c r="N348" s="155"/>
      <c r="O348" s="155"/>
      <c r="P348" s="155"/>
      <c r="Q348" s="155">
        <v>1</v>
      </c>
      <c r="R348" s="155" t="s">
        <v>1348</v>
      </c>
      <c r="S348" s="155"/>
      <c r="T348" s="155"/>
      <c r="U348" s="183" t="s">
        <v>502</v>
      </c>
      <c r="V348" s="143" t="s">
        <v>503</v>
      </c>
      <c r="W348" s="143" t="s">
        <v>298</v>
      </c>
      <c r="X348" s="143" t="s">
        <v>227</v>
      </c>
      <c r="Y348" s="184">
        <v>9533319993</v>
      </c>
      <c r="Z348" s="143"/>
      <c r="AA348" s="163" t="s">
        <v>525</v>
      </c>
      <c r="AB348" s="143" t="s">
        <v>528</v>
      </c>
      <c r="AC348" s="155">
        <v>1</v>
      </c>
      <c r="AD348" s="155"/>
      <c r="AE348" s="155"/>
      <c r="AF348" s="155"/>
      <c r="AG348" s="155"/>
      <c r="AH348" s="143"/>
      <c r="AI348" s="158"/>
    </row>
    <row r="349" spans="1:35">
      <c r="A349" s="140"/>
      <c r="B349" s="143"/>
      <c r="C349" s="143" t="s">
        <v>1102</v>
      </c>
      <c r="D349" s="143" t="s">
        <v>501</v>
      </c>
      <c r="E349" s="143" t="s">
        <v>80</v>
      </c>
      <c r="F349" s="143" t="s">
        <v>1043</v>
      </c>
      <c r="G349" s="143" t="s">
        <v>1044</v>
      </c>
      <c r="H349" s="143" t="s">
        <v>120</v>
      </c>
      <c r="I349" s="199">
        <v>33983</v>
      </c>
      <c r="J349" s="182"/>
      <c r="K349" s="182">
        <v>1</v>
      </c>
      <c r="L349" s="155"/>
      <c r="M349" s="155"/>
      <c r="N349" s="155"/>
      <c r="O349" s="155"/>
      <c r="P349" s="155"/>
      <c r="Q349" s="155">
        <v>1</v>
      </c>
      <c r="R349" s="155" t="s">
        <v>1045</v>
      </c>
      <c r="S349" s="155"/>
      <c r="T349" s="155"/>
      <c r="U349" s="183" t="s">
        <v>853</v>
      </c>
      <c r="V349" s="143" t="s">
        <v>503</v>
      </c>
      <c r="W349" s="143" t="s">
        <v>298</v>
      </c>
      <c r="X349" s="143" t="s">
        <v>227</v>
      </c>
      <c r="Y349" s="184">
        <v>9305444679</v>
      </c>
      <c r="Z349" s="143"/>
      <c r="AA349" s="162" t="s">
        <v>524</v>
      </c>
      <c r="AB349" s="143" t="s">
        <v>528</v>
      </c>
      <c r="AC349" s="155">
        <v>1</v>
      </c>
      <c r="AD349" s="155"/>
      <c r="AE349" s="155"/>
      <c r="AF349" s="155"/>
      <c r="AG349" s="155"/>
      <c r="AH349" s="143"/>
      <c r="AI349" s="158"/>
    </row>
    <row r="350" spans="1:35">
      <c r="A350" s="140"/>
      <c r="B350" s="143"/>
      <c r="C350" s="143" t="s">
        <v>1102</v>
      </c>
      <c r="D350" s="143" t="s">
        <v>501</v>
      </c>
      <c r="E350" s="143" t="s">
        <v>80</v>
      </c>
      <c r="F350" s="143" t="s">
        <v>1046</v>
      </c>
      <c r="G350" s="143" t="s">
        <v>1047</v>
      </c>
      <c r="H350" s="143"/>
      <c r="I350" s="199">
        <v>33590</v>
      </c>
      <c r="J350" s="182">
        <v>1</v>
      </c>
      <c r="K350" s="182"/>
      <c r="L350" s="155"/>
      <c r="M350" s="155"/>
      <c r="N350" s="155"/>
      <c r="O350" s="155"/>
      <c r="P350" s="155"/>
      <c r="Q350" s="155">
        <v>1</v>
      </c>
      <c r="R350" s="155" t="s">
        <v>1045</v>
      </c>
      <c r="S350" s="155"/>
      <c r="T350" s="155"/>
      <c r="U350" s="183" t="s">
        <v>508</v>
      </c>
      <c r="V350" s="143" t="s">
        <v>503</v>
      </c>
      <c r="W350" s="143" t="s">
        <v>298</v>
      </c>
      <c r="X350" s="143" t="s">
        <v>227</v>
      </c>
      <c r="Y350" s="184">
        <v>9299950876</v>
      </c>
      <c r="Z350" s="143"/>
      <c r="AA350" s="162" t="s">
        <v>524</v>
      </c>
      <c r="AB350" s="143" t="s">
        <v>528</v>
      </c>
      <c r="AC350" s="155">
        <v>1</v>
      </c>
      <c r="AD350" s="155"/>
      <c r="AE350" s="155"/>
      <c r="AF350" s="155"/>
      <c r="AG350" s="155"/>
      <c r="AH350" s="143"/>
      <c r="AI350" s="158"/>
    </row>
    <row r="351" spans="1:35">
      <c r="A351" s="140"/>
      <c r="B351" s="143"/>
      <c r="C351" s="143" t="s">
        <v>1102</v>
      </c>
      <c r="D351" s="143" t="s">
        <v>501</v>
      </c>
      <c r="E351" s="143" t="s">
        <v>80</v>
      </c>
      <c r="F351" s="143" t="s">
        <v>1048</v>
      </c>
      <c r="G351" s="143" t="s">
        <v>634</v>
      </c>
      <c r="H351" s="143" t="s">
        <v>120</v>
      </c>
      <c r="I351" s="199"/>
      <c r="J351" s="182"/>
      <c r="K351" s="182">
        <v>1</v>
      </c>
      <c r="L351" s="155"/>
      <c r="M351" s="155"/>
      <c r="N351" s="155"/>
      <c r="O351" s="155"/>
      <c r="P351" s="155"/>
      <c r="Q351" s="155">
        <v>1</v>
      </c>
      <c r="R351" s="155" t="s">
        <v>1045</v>
      </c>
      <c r="S351" s="155"/>
      <c r="T351" s="155"/>
      <c r="U351" s="183" t="s">
        <v>507</v>
      </c>
      <c r="V351" s="143" t="s">
        <v>503</v>
      </c>
      <c r="W351" s="143" t="s">
        <v>298</v>
      </c>
      <c r="X351" s="143" t="s">
        <v>227</v>
      </c>
      <c r="Y351" s="184">
        <v>9262235760</v>
      </c>
      <c r="Z351" s="143"/>
      <c r="AA351" s="162" t="s">
        <v>524</v>
      </c>
      <c r="AB351" s="143" t="s">
        <v>528</v>
      </c>
      <c r="AC351" s="155">
        <v>1</v>
      </c>
      <c r="AD351" s="155"/>
      <c r="AE351" s="155"/>
      <c r="AF351" s="155"/>
      <c r="AG351" s="155"/>
      <c r="AH351" s="143"/>
      <c r="AI351" s="158"/>
    </row>
    <row r="352" spans="1:35">
      <c r="A352" s="140"/>
      <c r="B352" s="143"/>
      <c r="C352" s="143" t="s">
        <v>1102</v>
      </c>
      <c r="D352" s="143" t="s">
        <v>501</v>
      </c>
      <c r="E352" s="143" t="s">
        <v>80</v>
      </c>
      <c r="F352" s="143" t="s">
        <v>1049</v>
      </c>
      <c r="G352" s="143" t="s">
        <v>1050</v>
      </c>
      <c r="H352" s="143" t="s">
        <v>1051</v>
      </c>
      <c r="I352" s="199"/>
      <c r="J352" s="182"/>
      <c r="K352" s="182">
        <v>1</v>
      </c>
      <c r="L352" s="155"/>
      <c r="M352" s="155"/>
      <c r="N352" s="155"/>
      <c r="O352" s="155"/>
      <c r="P352" s="155"/>
      <c r="Q352" s="155">
        <v>1</v>
      </c>
      <c r="R352" s="155" t="s">
        <v>1348</v>
      </c>
      <c r="S352" s="155"/>
      <c r="T352" s="155"/>
      <c r="U352" s="183" t="s">
        <v>515</v>
      </c>
      <c r="V352" s="143" t="s">
        <v>503</v>
      </c>
      <c r="W352" s="143" t="s">
        <v>298</v>
      </c>
      <c r="X352" s="143" t="s">
        <v>227</v>
      </c>
      <c r="Y352" s="184">
        <v>9519336920</v>
      </c>
      <c r="Z352" s="143"/>
      <c r="AA352" s="162" t="s">
        <v>524</v>
      </c>
      <c r="AB352" s="143" t="s">
        <v>528</v>
      </c>
      <c r="AC352" s="155">
        <v>1</v>
      </c>
      <c r="AD352" s="155"/>
      <c r="AE352" s="155"/>
      <c r="AF352" s="155"/>
      <c r="AG352" s="155"/>
      <c r="AH352" s="143"/>
      <c r="AI352" s="158"/>
    </row>
    <row r="353" spans="1:35">
      <c r="A353" s="140"/>
      <c r="B353" s="143"/>
      <c r="C353" s="143" t="s">
        <v>1102</v>
      </c>
      <c r="D353" s="143" t="s">
        <v>501</v>
      </c>
      <c r="E353" s="143" t="s">
        <v>80</v>
      </c>
      <c r="F353" s="143" t="s">
        <v>1052</v>
      </c>
      <c r="G353" s="143" t="s">
        <v>1053</v>
      </c>
      <c r="H353" s="143"/>
      <c r="I353" s="199">
        <v>35453</v>
      </c>
      <c r="J353" s="182"/>
      <c r="K353" s="182">
        <v>1</v>
      </c>
      <c r="L353" s="155"/>
      <c r="M353" s="155"/>
      <c r="N353" s="155"/>
      <c r="O353" s="155"/>
      <c r="P353" s="155"/>
      <c r="Q353" s="155">
        <v>1</v>
      </c>
      <c r="R353" s="155" t="s">
        <v>1348</v>
      </c>
      <c r="S353" s="155"/>
      <c r="T353" s="155"/>
      <c r="U353" s="183" t="s">
        <v>515</v>
      </c>
      <c r="V353" s="143" t="s">
        <v>503</v>
      </c>
      <c r="W353" s="143" t="s">
        <v>298</v>
      </c>
      <c r="X353" s="143" t="s">
        <v>227</v>
      </c>
      <c r="Y353" s="184">
        <v>9300905213</v>
      </c>
      <c r="Z353" s="143"/>
      <c r="AA353" s="162" t="s">
        <v>524</v>
      </c>
      <c r="AB353" s="143" t="s">
        <v>528</v>
      </c>
      <c r="AC353" s="155">
        <v>1</v>
      </c>
      <c r="AD353" s="155"/>
      <c r="AE353" s="155"/>
      <c r="AF353" s="155"/>
      <c r="AG353" s="155"/>
      <c r="AH353" s="143"/>
      <c r="AI353" s="158"/>
    </row>
    <row r="354" spans="1:35">
      <c r="A354" s="140"/>
      <c r="B354" s="143"/>
      <c r="C354" s="143" t="s">
        <v>1102</v>
      </c>
      <c r="D354" s="143" t="s">
        <v>501</v>
      </c>
      <c r="E354" s="143" t="s">
        <v>80</v>
      </c>
      <c r="F354" s="143" t="s">
        <v>2124</v>
      </c>
      <c r="G354" s="143" t="s">
        <v>1054</v>
      </c>
      <c r="H354" s="143"/>
      <c r="I354" s="199"/>
      <c r="J354" s="182">
        <v>1</v>
      </c>
      <c r="K354" s="182"/>
      <c r="L354" s="155"/>
      <c r="M354" s="155"/>
      <c r="N354" s="155"/>
      <c r="O354" s="155"/>
      <c r="P354" s="155"/>
      <c r="Q354" s="155">
        <v>1</v>
      </c>
      <c r="R354" s="155" t="s">
        <v>1045</v>
      </c>
      <c r="S354" s="155"/>
      <c r="T354" s="155"/>
      <c r="U354" s="183"/>
      <c r="V354" s="143" t="s">
        <v>503</v>
      </c>
      <c r="W354" s="143" t="s">
        <v>298</v>
      </c>
      <c r="X354" s="143" t="s">
        <v>227</v>
      </c>
      <c r="Y354" s="143"/>
      <c r="Z354" s="143"/>
      <c r="AA354" s="162" t="s">
        <v>524</v>
      </c>
      <c r="AB354" s="143" t="s">
        <v>528</v>
      </c>
      <c r="AC354" s="155">
        <v>1</v>
      </c>
      <c r="AD354" s="155"/>
      <c r="AE354" s="155"/>
      <c r="AF354" s="155"/>
      <c r="AG354" s="155"/>
      <c r="AH354" s="143"/>
      <c r="AI354" s="158"/>
    </row>
    <row r="355" spans="1:35">
      <c r="A355" s="140"/>
      <c r="B355" s="143"/>
      <c r="C355" s="143" t="s">
        <v>1102</v>
      </c>
      <c r="D355" s="143" t="s">
        <v>501</v>
      </c>
      <c r="E355" s="143" t="s">
        <v>80</v>
      </c>
      <c r="F355" s="143" t="s">
        <v>1055</v>
      </c>
      <c r="G355" s="143" t="s">
        <v>496</v>
      </c>
      <c r="H355" s="143" t="s">
        <v>113</v>
      </c>
      <c r="I355" s="199">
        <v>24018</v>
      </c>
      <c r="J355" s="182">
        <v>1</v>
      </c>
      <c r="K355" s="182"/>
      <c r="L355" s="155"/>
      <c r="M355" s="155"/>
      <c r="N355" s="155"/>
      <c r="O355" s="155"/>
      <c r="P355" s="155"/>
      <c r="Q355" s="155">
        <v>1</v>
      </c>
      <c r="R355" s="155" t="s">
        <v>1009</v>
      </c>
      <c r="S355" s="155"/>
      <c r="T355" s="155"/>
      <c r="U355" s="183"/>
      <c r="V355" s="143" t="s">
        <v>873</v>
      </c>
      <c r="W355" s="143" t="s">
        <v>279</v>
      </c>
      <c r="X355" s="143" t="s">
        <v>227</v>
      </c>
      <c r="Y355" s="184">
        <v>9177744555</v>
      </c>
      <c r="Z355" s="143"/>
      <c r="AA355" s="162" t="s">
        <v>524</v>
      </c>
      <c r="AB355" s="143" t="s">
        <v>528</v>
      </c>
      <c r="AC355" s="155">
        <v>1</v>
      </c>
      <c r="AD355" s="155"/>
      <c r="AE355" s="155"/>
      <c r="AF355" s="155"/>
      <c r="AG355" s="155"/>
      <c r="AH355" s="143"/>
      <c r="AI355" s="158"/>
    </row>
    <row r="356" spans="1:35">
      <c r="A356" s="140"/>
      <c r="B356" s="143"/>
      <c r="C356" s="143" t="s">
        <v>1102</v>
      </c>
      <c r="D356" s="143" t="s">
        <v>501</v>
      </c>
      <c r="E356" s="143" t="s">
        <v>80</v>
      </c>
      <c r="F356" s="143" t="s">
        <v>1056</v>
      </c>
      <c r="G356" s="143" t="s">
        <v>1057</v>
      </c>
      <c r="H356" s="143" t="s">
        <v>283</v>
      </c>
      <c r="I356" s="199">
        <v>29220</v>
      </c>
      <c r="J356" s="182"/>
      <c r="K356" s="182">
        <v>1</v>
      </c>
      <c r="L356" s="155"/>
      <c r="M356" s="155"/>
      <c r="N356" s="155"/>
      <c r="O356" s="155"/>
      <c r="P356" s="155"/>
      <c r="Q356" s="155">
        <v>1</v>
      </c>
      <c r="R356" s="155" t="s">
        <v>1009</v>
      </c>
      <c r="S356" s="155"/>
      <c r="T356" s="155"/>
      <c r="U356" s="183"/>
      <c r="V356" s="143" t="s">
        <v>873</v>
      </c>
      <c r="W356" s="143" t="s">
        <v>279</v>
      </c>
      <c r="X356" s="143" t="s">
        <v>227</v>
      </c>
      <c r="Y356" s="184">
        <v>9168953912</v>
      </c>
      <c r="Z356" s="143"/>
      <c r="AA356" s="162" t="s">
        <v>524</v>
      </c>
      <c r="AB356" s="143" t="s">
        <v>528</v>
      </c>
      <c r="AC356" s="155">
        <v>1</v>
      </c>
      <c r="AD356" s="155"/>
      <c r="AE356" s="155"/>
      <c r="AF356" s="155"/>
      <c r="AG356" s="155"/>
      <c r="AH356" s="143"/>
      <c r="AI356" s="158"/>
    </row>
    <row r="357" spans="1:35">
      <c r="A357" s="140"/>
      <c r="B357" s="143"/>
      <c r="C357" s="143" t="s">
        <v>1102</v>
      </c>
      <c r="D357" s="143" t="s">
        <v>501</v>
      </c>
      <c r="E357" s="143" t="s">
        <v>80</v>
      </c>
      <c r="F357" s="143" t="s">
        <v>1058</v>
      </c>
      <c r="G357" s="143" t="s">
        <v>1059</v>
      </c>
      <c r="H357" s="143"/>
      <c r="I357" s="199">
        <v>24811</v>
      </c>
      <c r="J357" s="182"/>
      <c r="K357" s="182">
        <v>1</v>
      </c>
      <c r="L357" s="155">
        <v>1</v>
      </c>
      <c r="M357" s="155"/>
      <c r="N357" s="155"/>
      <c r="O357" s="155"/>
      <c r="P357" s="155"/>
      <c r="Q357" s="155"/>
      <c r="R357" s="155"/>
      <c r="S357" s="155"/>
      <c r="T357" s="155"/>
      <c r="U357" s="183" t="s">
        <v>1060</v>
      </c>
      <c r="V357" s="143" t="s">
        <v>872</v>
      </c>
      <c r="W357" s="143" t="s">
        <v>279</v>
      </c>
      <c r="X357" s="143" t="s">
        <v>227</v>
      </c>
      <c r="Y357" s="184">
        <v>9058328722</v>
      </c>
      <c r="Z357" s="143"/>
      <c r="AA357" s="143" t="s">
        <v>877</v>
      </c>
      <c r="AB357" s="143" t="s">
        <v>528</v>
      </c>
      <c r="AC357" s="155">
        <v>1</v>
      </c>
      <c r="AD357" s="155"/>
      <c r="AE357" s="155"/>
      <c r="AF357" s="155"/>
      <c r="AG357" s="155"/>
      <c r="AH357" s="143"/>
      <c r="AI357" s="158"/>
    </row>
    <row r="358" spans="1:35">
      <c r="A358" s="140"/>
      <c r="B358" s="143"/>
      <c r="C358" s="143" t="s">
        <v>1102</v>
      </c>
      <c r="D358" s="143" t="s">
        <v>501</v>
      </c>
      <c r="E358" s="143" t="s">
        <v>80</v>
      </c>
      <c r="F358" s="143" t="s">
        <v>1061</v>
      </c>
      <c r="G358" s="143" t="s">
        <v>1062</v>
      </c>
      <c r="H358" s="143"/>
      <c r="I358" s="199">
        <v>22933</v>
      </c>
      <c r="J358" s="182">
        <v>1</v>
      </c>
      <c r="K358" s="182"/>
      <c r="L358" s="155">
        <v>1</v>
      </c>
      <c r="M358" s="155"/>
      <c r="N358" s="155"/>
      <c r="O358" s="155"/>
      <c r="P358" s="155"/>
      <c r="Q358" s="155"/>
      <c r="R358" s="155"/>
      <c r="S358" s="155"/>
      <c r="T358" s="155"/>
      <c r="U358" s="183" t="s">
        <v>502</v>
      </c>
      <c r="V358" s="143" t="s">
        <v>503</v>
      </c>
      <c r="W358" s="143" t="s">
        <v>298</v>
      </c>
      <c r="X358" s="143" t="s">
        <v>227</v>
      </c>
      <c r="Y358" s="184">
        <v>9359135618</v>
      </c>
      <c r="Z358" s="143"/>
      <c r="AA358" s="163" t="s">
        <v>525</v>
      </c>
      <c r="AB358" s="143" t="s">
        <v>528</v>
      </c>
      <c r="AC358" s="155">
        <v>1</v>
      </c>
      <c r="AD358" s="155"/>
      <c r="AE358" s="155"/>
      <c r="AF358" s="155"/>
      <c r="AG358" s="155"/>
      <c r="AH358" s="143"/>
      <c r="AI358" s="158"/>
    </row>
    <row r="359" spans="1:35">
      <c r="A359" s="140"/>
      <c r="B359" s="143"/>
      <c r="C359" s="143" t="s">
        <v>1102</v>
      </c>
      <c r="D359" s="143" t="s">
        <v>501</v>
      </c>
      <c r="E359" s="143" t="s">
        <v>80</v>
      </c>
      <c r="F359" s="143" t="s">
        <v>1063</v>
      </c>
      <c r="G359" s="143" t="s">
        <v>1064</v>
      </c>
      <c r="H359" s="143"/>
      <c r="I359" s="199"/>
      <c r="J359" s="182"/>
      <c r="K359" s="182">
        <v>1</v>
      </c>
      <c r="L359" s="155"/>
      <c r="M359" s="155"/>
      <c r="N359" s="155"/>
      <c r="O359" s="155"/>
      <c r="P359" s="155"/>
      <c r="Q359" s="155">
        <v>1</v>
      </c>
      <c r="R359" s="155" t="s">
        <v>1045</v>
      </c>
      <c r="S359" s="155"/>
      <c r="T359" s="155"/>
      <c r="U359" s="183" t="s">
        <v>505</v>
      </c>
      <c r="V359" s="143" t="s">
        <v>503</v>
      </c>
      <c r="W359" s="143" t="s">
        <v>298</v>
      </c>
      <c r="X359" s="143" t="s">
        <v>227</v>
      </c>
      <c r="Y359" s="184">
        <v>9171099636</v>
      </c>
      <c r="Z359" s="143"/>
      <c r="AA359" s="162" t="s">
        <v>524</v>
      </c>
      <c r="AB359" s="143" t="s">
        <v>528</v>
      </c>
      <c r="AC359" s="155">
        <v>1</v>
      </c>
      <c r="AD359" s="155"/>
      <c r="AE359" s="155"/>
      <c r="AF359" s="155"/>
      <c r="AG359" s="155"/>
      <c r="AH359" s="143"/>
      <c r="AI359" s="158"/>
    </row>
    <row r="360" spans="1:35">
      <c r="A360" s="140"/>
      <c r="B360" s="143"/>
      <c r="C360" s="143" t="s">
        <v>1102</v>
      </c>
      <c r="D360" s="143" t="s">
        <v>501</v>
      </c>
      <c r="E360" s="143" t="s">
        <v>80</v>
      </c>
      <c r="F360" s="143" t="s">
        <v>1065</v>
      </c>
      <c r="G360" s="143" t="s">
        <v>1066</v>
      </c>
      <c r="H360" s="143"/>
      <c r="I360" s="199">
        <v>32763</v>
      </c>
      <c r="J360" s="182">
        <v>1</v>
      </c>
      <c r="K360" s="182"/>
      <c r="L360" s="155"/>
      <c r="M360" s="155"/>
      <c r="N360" s="155"/>
      <c r="O360" s="155"/>
      <c r="P360" s="155"/>
      <c r="Q360" s="155">
        <v>1</v>
      </c>
      <c r="R360" s="155" t="s">
        <v>1045</v>
      </c>
      <c r="S360" s="155"/>
      <c r="T360" s="155"/>
      <c r="U360" s="183" t="s">
        <v>502</v>
      </c>
      <c r="V360" s="143" t="s">
        <v>503</v>
      </c>
      <c r="W360" s="143" t="s">
        <v>298</v>
      </c>
      <c r="X360" s="143" t="s">
        <v>227</v>
      </c>
      <c r="Y360" s="184">
        <v>9452573559</v>
      </c>
      <c r="Z360" s="143"/>
      <c r="AA360" s="162" t="s">
        <v>524</v>
      </c>
      <c r="AB360" s="143" t="s">
        <v>528</v>
      </c>
      <c r="AC360" s="155">
        <v>1</v>
      </c>
      <c r="AD360" s="155"/>
      <c r="AE360" s="155"/>
      <c r="AF360" s="155"/>
      <c r="AG360" s="155"/>
      <c r="AH360" s="143"/>
      <c r="AI360" s="158"/>
    </row>
    <row r="361" spans="1:35">
      <c r="A361" s="140"/>
      <c r="B361" s="143"/>
      <c r="C361" s="143" t="s">
        <v>1102</v>
      </c>
      <c r="D361" s="143" t="s">
        <v>501</v>
      </c>
      <c r="E361" s="143" t="s">
        <v>80</v>
      </c>
      <c r="F361" s="143" t="s">
        <v>774</v>
      </c>
      <c r="G361" s="143" t="s">
        <v>1067</v>
      </c>
      <c r="H361" s="143"/>
      <c r="I361" s="199">
        <v>35381</v>
      </c>
      <c r="J361" s="182"/>
      <c r="K361" s="182">
        <v>1</v>
      </c>
      <c r="L361" s="155"/>
      <c r="M361" s="155"/>
      <c r="N361" s="155"/>
      <c r="O361" s="155"/>
      <c r="P361" s="155"/>
      <c r="Q361" s="155">
        <v>1</v>
      </c>
      <c r="R361" s="155" t="s">
        <v>1348</v>
      </c>
      <c r="S361" s="155"/>
      <c r="T361" s="155"/>
      <c r="U361" s="183" t="s">
        <v>1068</v>
      </c>
      <c r="V361" s="143" t="s">
        <v>949</v>
      </c>
      <c r="W361" s="143" t="s">
        <v>280</v>
      </c>
      <c r="X361" s="143" t="s">
        <v>227</v>
      </c>
      <c r="Y361" s="143"/>
      <c r="Z361" s="143"/>
      <c r="AA361" s="162" t="s">
        <v>524</v>
      </c>
      <c r="AB361" s="143" t="s">
        <v>528</v>
      </c>
      <c r="AC361" s="155">
        <v>1</v>
      </c>
      <c r="AD361" s="155"/>
      <c r="AE361" s="155"/>
      <c r="AF361" s="155"/>
      <c r="AG361" s="155"/>
      <c r="AH361" s="143"/>
      <c r="AI361" s="158"/>
    </row>
    <row r="362" spans="1:35">
      <c r="A362" s="140"/>
      <c r="B362" s="143"/>
      <c r="C362" s="143" t="s">
        <v>1102</v>
      </c>
      <c r="D362" s="143" t="s">
        <v>501</v>
      </c>
      <c r="E362" s="143" t="s">
        <v>80</v>
      </c>
      <c r="F362" s="143" t="s">
        <v>908</v>
      </c>
      <c r="G362" s="143" t="s">
        <v>1069</v>
      </c>
      <c r="H362" s="143"/>
      <c r="I362" s="199">
        <v>22860</v>
      </c>
      <c r="J362" s="182">
        <v>1</v>
      </c>
      <c r="K362" s="182"/>
      <c r="L362" s="155"/>
      <c r="M362" s="155"/>
      <c r="N362" s="155"/>
      <c r="O362" s="155"/>
      <c r="P362" s="155"/>
      <c r="Q362" s="155">
        <v>1</v>
      </c>
      <c r="R362" s="155" t="s">
        <v>1348</v>
      </c>
      <c r="S362" s="155"/>
      <c r="T362" s="155"/>
      <c r="U362" s="183" t="s">
        <v>502</v>
      </c>
      <c r="V362" s="143" t="s">
        <v>503</v>
      </c>
      <c r="W362" s="143" t="s">
        <v>298</v>
      </c>
      <c r="X362" s="143" t="s">
        <v>227</v>
      </c>
      <c r="Y362" s="184">
        <v>9261482353</v>
      </c>
      <c r="Z362" s="143"/>
      <c r="AA362" s="163" t="s">
        <v>525</v>
      </c>
      <c r="AB362" s="143" t="s">
        <v>528</v>
      </c>
      <c r="AC362" s="155">
        <v>1</v>
      </c>
      <c r="AD362" s="155"/>
      <c r="AE362" s="155"/>
      <c r="AF362" s="155"/>
      <c r="AG362" s="155"/>
      <c r="AH362" s="143"/>
      <c r="AI362" s="158"/>
    </row>
    <row r="363" spans="1:35">
      <c r="A363" s="140"/>
      <c r="B363" s="143"/>
      <c r="C363" s="143" t="s">
        <v>1102</v>
      </c>
      <c r="D363" s="143" t="s">
        <v>501</v>
      </c>
      <c r="E363" s="143" t="s">
        <v>80</v>
      </c>
      <c r="F363" s="143" t="s">
        <v>1070</v>
      </c>
      <c r="G363" s="143" t="s">
        <v>1071</v>
      </c>
      <c r="H363" s="143" t="s">
        <v>144</v>
      </c>
      <c r="I363" s="199">
        <v>32822</v>
      </c>
      <c r="J363" s="182">
        <v>1</v>
      </c>
      <c r="K363" s="182"/>
      <c r="L363" s="155"/>
      <c r="M363" s="155"/>
      <c r="N363" s="155"/>
      <c r="O363" s="155"/>
      <c r="P363" s="155"/>
      <c r="Q363" s="155">
        <v>1</v>
      </c>
      <c r="R363" s="155" t="s">
        <v>1348</v>
      </c>
      <c r="S363" s="155"/>
      <c r="T363" s="155"/>
      <c r="U363" s="183" t="s">
        <v>1072</v>
      </c>
      <c r="V363" s="143" t="s">
        <v>503</v>
      </c>
      <c r="W363" s="143" t="s">
        <v>298</v>
      </c>
      <c r="X363" s="143" t="s">
        <v>227</v>
      </c>
      <c r="Y363" s="184">
        <v>9976939030</v>
      </c>
      <c r="Z363" s="143"/>
      <c r="AA363" s="162" t="s">
        <v>524</v>
      </c>
      <c r="AB363" s="143" t="s">
        <v>528</v>
      </c>
      <c r="AC363" s="155">
        <v>1</v>
      </c>
      <c r="AD363" s="155"/>
      <c r="AE363" s="155"/>
      <c r="AF363" s="155"/>
      <c r="AG363" s="155"/>
      <c r="AH363" s="143"/>
      <c r="AI363" s="158"/>
    </row>
    <row r="364" spans="1:35">
      <c r="A364" s="140"/>
      <c r="B364" s="143"/>
      <c r="C364" s="143" t="s">
        <v>1102</v>
      </c>
      <c r="D364" s="143" t="s">
        <v>501</v>
      </c>
      <c r="E364" s="143" t="s">
        <v>80</v>
      </c>
      <c r="F364" s="143" t="s">
        <v>1075</v>
      </c>
      <c r="G364" s="143" t="s">
        <v>1076</v>
      </c>
      <c r="H364" s="143" t="s">
        <v>126</v>
      </c>
      <c r="I364" s="199">
        <v>28408</v>
      </c>
      <c r="J364" s="182">
        <v>1</v>
      </c>
      <c r="K364" s="182"/>
      <c r="L364" s="155"/>
      <c r="M364" s="155"/>
      <c r="N364" s="155"/>
      <c r="O364" s="155"/>
      <c r="P364" s="155"/>
      <c r="Q364" s="155">
        <v>1</v>
      </c>
      <c r="R364" s="155" t="s">
        <v>962</v>
      </c>
      <c r="S364" s="155"/>
      <c r="T364" s="155"/>
      <c r="U364" s="183"/>
      <c r="V364" s="143" t="s">
        <v>355</v>
      </c>
      <c r="W364" s="143" t="s">
        <v>298</v>
      </c>
      <c r="X364" s="143" t="s">
        <v>227</v>
      </c>
      <c r="Y364" s="184">
        <v>9774153255</v>
      </c>
      <c r="Z364" s="143"/>
      <c r="AA364" s="163" t="s">
        <v>525</v>
      </c>
      <c r="AB364" s="143" t="s">
        <v>528</v>
      </c>
      <c r="AC364" s="155">
        <v>1</v>
      </c>
      <c r="AD364" s="155"/>
      <c r="AE364" s="155"/>
      <c r="AF364" s="155"/>
      <c r="AG364" s="155"/>
      <c r="AH364" s="143"/>
      <c r="AI364" s="158"/>
    </row>
    <row r="365" spans="1:35">
      <c r="A365" s="140"/>
      <c r="B365" s="143"/>
      <c r="C365" s="143" t="s">
        <v>1102</v>
      </c>
      <c r="D365" s="143" t="s">
        <v>501</v>
      </c>
      <c r="E365" s="143" t="s">
        <v>80</v>
      </c>
      <c r="F365" s="143" t="s">
        <v>1077</v>
      </c>
      <c r="G365" s="143" t="s">
        <v>1078</v>
      </c>
      <c r="H365" s="143" t="s">
        <v>830</v>
      </c>
      <c r="I365" s="199">
        <v>27524</v>
      </c>
      <c r="J365" s="182"/>
      <c r="K365" s="182">
        <v>1</v>
      </c>
      <c r="L365" s="155"/>
      <c r="M365" s="155"/>
      <c r="N365" s="155"/>
      <c r="O365" s="155"/>
      <c r="P365" s="155"/>
      <c r="Q365" s="155">
        <v>1</v>
      </c>
      <c r="R365" s="155" t="s">
        <v>1348</v>
      </c>
      <c r="S365" s="155"/>
      <c r="T365" s="155"/>
      <c r="U365" s="183" t="s">
        <v>855</v>
      </c>
      <c r="V365" s="143" t="s">
        <v>503</v>
      </c>
      <c r="W365" s="143" t="s">
        <v>298</v>
      </c>
      <c r="X365" s="143" t="s">
        <v>227</v>
      </c>
      <c r="Y365" s="184">
        <v>9102099575</v>
      </c>
      <c r="Z365" s="143"/>
      <c r="AA365" s="162" t="s">
        <v>524</v>
      </c>
      <c r="AB365" s="143" t="s">
        <v>528</v>
      </c>
      <c r="AC365" s="155">
        <v>2</v>
      </c>
      <c r="AD365" s="155"/>
      <c r="AE365" s="155"/>
      <c r="AF365" s="155"/>
      <c r="AG365" s="155"/>
      <c r="AH365" s="143"/>
      <c r="AI365" s="158"/>
    </row>
    <row r="366" spans="1:35">
      <c r="A366" s="140"/>
      <c r="B366" s="143"/>
      <c r="C366" s="143" t="s">
        <v>1102</v>
      </c>
      <c r="D366" s="143" t="s">
        <v>501</v>
      </c>
      <c r="E366" s="143" t="s">
        <v>80</v>
      </c>
      <c r="F366" s="143" t="s">
        <v>1079</v>
      </c>
      <c r="G366" s="143" t="s">
        <v>1080</v>
      </c>
      <c r="H366" s="143" t="s">
        <v>136</v>
      </c>
      <c r="I366" s="199"/>
      <c r="J366" s="182"/>
      <c r="K366" s="182">
        <v>1</v>
      </c>
      <c r="L366" s="155"/>
      <c r="M366" s="155"/>
      <c r="N366" s="155"/>
      <c r="O366" s="155"/>
      <c r="P366" s="155"/>
      <c r="Q366" s="155">
        <v>1</v>
      </c>
      <c r="R366" s="155" t="s">
        <v>1045</v>
      </c>
      <c r="S366" s="155"/>
      <c r="T366" s="155"/>
      <c r="U366" s="183"/>
      <c r="V366" s="143" t="s">
        <v>503</v>
      </c>
      <c r="W366" s="143" t="s">
        <v>298</v>
      </c>
      <c r="X366" s="143" t="s">
        <v>227</v>
      </c>
      <c r="Y366" s="184">
        <v>9177863036</v>
      </c>
      <c r="Z366" s="143"/>
      <c r="AA366" s="162" t="s">
        <v>524</v>
      </c>
      <c r="AB366" s="143" t="s">
        <v>528</v>
      </c>
      <c r="AC366" s="155">
        <v>1</v>
      </c>
      <c r="AD366" s="155"/>
      <c r="AE366" s="155"/>
      <c r="AF366" s="155"/>
      <c r="AG366" s="155"/>
      <c r="AH366" s="143"/>
      <c r="AI366" s="158"/>
    </row>
    <row r="367" spans="1:35">
      <c r="A367" s="140"/>
      <c r="B367" s="143"/>
      <c r="C367" s="143" t="s">
        <v>1102</v>
      </c>
      <c r="D367" s="143" t="s">
        <v>501</v>
      </c>
      <c r="E367" s="143" t="s">
        <v>80</v>
      </c>
      <c r="F367" s="143" t="s">
        <v>158</v>
      </c>
      <c r="G367" s="143" t="s">
        <v>1081</v>
      </c>
      <c r="H367" s="143" t="s">
        <v>136</v>
      </c>
      <c r="I367" s="199">
        <v>30293</v>
      </c>
      <c r="J367" s="182"/>
      <c r="K367" s="182">
        <v>1</v>
      </c>
      <c r="L367" s="155"/>
      <c r="M367" s="155"/>
      <c r="N367" s="155"/>
      <c r="O367" s="155"/>
      <c r="P367" s="155"/>
      <c r="Q367" s="155">
        <v>1</v>
      </c>
      <c r="R367" s="155" t="s">
        <v>1009</v>
      </c>
      <c r="S367" s="155"/>
      <c r="T367" s="155"/>
      <c r="U367" s="183"/>
      <c r="V367" s="143" t="s">
        <v>873</v>
      </c>
      <c r="W367" s="143" t="s">
        <v>279</v>
      </c>
      <c r="X367" s="143" t="s">
        <v>227</v>
      </c>
      <c r="Y367" s="184">
        <v>9979105066</v>
      </c>
      <c r="Z367" s="143"/>
      <c r="AA367" s="162" t="s">
        <v>524</v>
      </c>
      <c r="AB367" s="143" t="s">
        <v>528</v>
      </c>
      <c r="AC367" s="155">
        <v>1</v>
      </c>
      <c r="AD367" s="155"/>
      <c r="AE367" s="155"/>
      <c r="AF367" s="155"/>
      <c r="AG367" s="155"/>
      <c r="AH367" s="143"/>
      <c r="AI367" s="158"/>
    </row>
    <row r="368" spans="1:35">
      <c r="A368" s="140"/>
      <c r="B368" s="143"/>
      <c r="C368" s="143" t="s">
        <v>1102</v>
      </c>
      <c r="D368" s="143" t="s">
        <v>501</v>
      </c>
      <c r="E368" s="143" t="s">
        <v>80</v>
      </c>
      <c r="F368" s="143" t="s">
        <v>1082</v>
      </c>
      <c r="G368" s="143" t="s">
        <v>922</v>
      </c>
      <c r="H368" s="143" t="s">
        <v>286</v>
      </c>
      <c r="I368" s="199"/>
      <c r="J368" s="182">
        <v>1</v>
      </c>
      <c r="K368" s="182"/>
      <c r="L368" s="155"/>
      <c r="M368" s="155"/>
      <c r="N368" s="155"/>
      <c r="O368" s="155"/>
      <c r="P368" s="155"/>
      <c r="Q368" s="155">
        <v>1</v>
      </c>
      <c r="R368" s="155" t="s">
        <v>1009</v>
      </c>
      <c r="S368" s="155"/>
      <c r="T368" s="155"/>
      <c r="U368" s="183"/>
      <c r="V368" s="143" t="s">
        <v>873</v>
      </c>
      <c r="W368" s="143" t="s">
        <v>279</v>
      </c>
      <c r="X368" s="143" t="s">
        <v>227</v>
      </c>
      <c r="Y368" s="143"/>
      <c r="Z368" s="143"/>
      <c r="AA368" s="162" t="s">
        <v>524</v>
      </c>
      <c r="AB368" s="143" t="s">
        <v>528</v>
      </c>
      <c r="AC368" s="155">
        <v>1</v>
      </c>
      <c r="AD368" s="155"/>
      <c r="AE368" s="155"/>
      <c r="AF368" s="155"/>
      <c r="AG368" s="155"/>
      <c r="AH368" s="143"/>
      <c r="AI368" s="158"/>
    </row>
    <row r="369" spans="1:35">
      <c r="A369" s="140"/>
      <c r="B369" s="143"/>
      <c r="C369" s="143" t="s">
        <v>1102</v>
      </c>
      <c r="D369" s="143" t="s">
        <v>501</v>
      </c>
      <c r="E369" s="143" t="s">
        <v>80</v>
      </c>
      <c r="F369" s="143" t="s">
        <v>312</v>
      </c>
      <c r="G369" s="143" t="s">
        <v>895</v>
      </c>
      <c r="H369" s="143" t="s">
        <v>421</v>
      </c>
      <c r="I369" s="199"/>
      <c r="J369" s="182"/>
      <c r="K369" s="182">
        <v>1</v>
      </c>
      <c r="L369" s="155"/>
      <c r="M369" s="155"/>
      <c r="N369" s="155"/>
      <c r="O369" s="155"/>
      <c r="P369" s="155"/>
      <c r="Q369" s="155">
        <v>1</v>
      </c>
      <c r="R369" s="155" t="s">
        <v>1009</v>
      </c>
      <c r="S369" s="155"/>
      <c r="T369" s="155"/>
      <c r="U369" s="183"/>
      <c r="V369" s="143" t="s">
        <v>873</v>
      </c>
      <c r="W369" s="143" t="s">
        <v>279</v>
      </c>
      <c r="X369" s="143" t="s">
        <v>227</v>
      </c>
      <c r="Y369" s="143"/>
      <c r="Z369" s="143"/>
      <c r="AA369" s="162" t="s">
        <v>524</v>
      </c>
      <c r="AB369" s="143" t="s">
        <v>528</v>
      </c>
      <c r="AC369" s="155">
        <v>1</v>
      </c>
      <c r="AD369" s="155"/>
      <c r="AE369" s="155"/>
      <c r="AF369" s="155"/>
      <c r="AG369" s="155"/>
      <c r="AH369" s="143"/>
      <c r="AI369" s="158"/>
    </row>
    <row r="370" spans="1:35">
      <c r="A370" s="140"/>
      <c r="B370" s="143"/>
      <c r="C370" s="143" t="s">
        <v>1102</v>
      </c>
      <c r="D370" s="143" t="s">
        <v>501</v>
      </c>
      <c r="E370" s="143" t="s">
        <v>80</v>
      </c>
      <c r="F370" s="143" t="s">
        <v>1083</v>
      </c>
      <c r="G370" s="143" t="s">
        <v>1071</v>
      </c>
      <c r="H370" s="143" t="s">
        <v>144</v>
      </c>
      <c r="I370" s="199">
        <v>32822</v>
      </c>
      <c r="J370" s="182">
        <v>1</v>
      </c>
      <c r="K370" s="182"/>
      <c r="L370" s="155"/>
      <c r="M370" s="155"/>
      <c r="N370" s="155"/>
      <c r="O370" s="155"/>
      <c r="P370" s="155"/>
      <c r="Q370" s="155">
        <v>1</v>
      </c>
      <c r="R370" s="155" t="s">
        <v>1348</v>
      </c>
      <c r="S370" s="155"/>
      <c r="T370" s="155"/>
      <c r="U370" s="183" t="s">
        <v>1072</v>
      </c>
      <c r="V370" s="143" t="s">
        <v>503</v>
      </c>
      <c r="W370" s="143" t="s">
        <v>298</v>
      </c>
      <c r="X370" s="143" t="s">
        <v>227</v>
      </c>
      <c r="Y370" s="184">
        <v>9976939030</v>
      </c>
      <c r="Z370" s="143"/>
      <c r="AA370" s="162" t="s">
        <v>524</v>
      </c>
      <c r="AB370" s="143" t="s">
        <v>528</v>
      </c>
      <c r="AC370" s="155">
        <v>1</v>
      </c>
      <c r="AD370" s="155"/>
      <c r="AE370" s="155"/>
      <c r="AF370" s="155"/>
      <c r="AG370" s="155"/>
      <c r="AH370" s="143"/>
      <c r="AI370" s="158"/>
    </row>
    <row r="371" spans="1:35">
      <c r="A371" s="140"/>
      <c r="B371" s="143"/>
      <c r="C371" s="143" t="s">
        <v>1102</v>
      </c>
      <c r="D371" s="143" t="s">
        <v>501</v>
      </c>
      <c r="E371" s="143" t="s">
        <v>80</v>
      </c>
      <c r="F371" s="143" t="s">
        <v>1084</v>
      </c>
      <c r="G371" s="143" t="s">
        <v>1085</v>
      </c>
      <c r="H371" s="143" t="s">
        <v>115</v>
      </c>
      <c r="I371" s="199">
        <v>25688</v>
      </c>
      <c r="J371" s="182">
        <v>1</v>
      </c>
      <c r="K371" s="182"/>
      <c r="L371" s="155"/>
      <c r="M371" s="155"/>
      <c r="N371" s="155"/>
      <c r="O371" s="155"/>
      <c r="P371" s="155"/>
      <c r="Q371" s="155">
        <v>1</v>
      </c>
      <c r="R371" s="155" t="s">
        <v>962</v>
      </c>
      <c r="S371" s="155"/>
      <c r="T371" s="155"/>
      <c r="U371" s="183" t="s">
        <v>1068</v>
      </c>
      <c r="V371" s="143" t="s">
        <v>949</v>
      </c>
      <c r="W371" s="143" t="s">
        <v>280</v>
      </c>
      <c r="X371" s="143" t="s">
        <v>227</v>
      </c>
      <c r="Y371" s="184">
        <v>9460864240</v>
      </c>
      <c r="Z371" s="143"/>
      <c r="AA371" s="163" t="s">
        <v>525</v>
      </c>
      <c r="AB371" s="143" t="s">
        <v>528</v>
      </c>
      <c r="AC371" s="155">
        <v>1</v>
      </c>
      <c r="AD371" s="155"/>
      <c r="AE371" s="155"/>
      <c r="AF371" s="155"/>
      <c r="AG371" s="155"/>
      <c r="AH371" s="143"/>
      <c r="AI371" s="158"/>
    </row>
    <row r="372" spans="1:35">
      <c r="A372" s="140"/>
      <c r="B372" s="143"/>
      <c r="C372" s="143" t="s">
        <v>1102</v>
      </c>
      <c r="D372" s="143" t="s">
        <v>501</v>
      </c>
      <c r="E372" s="143" t="s">
        <v>80</v>
      </c>
      <c r="F372" s="143" t="s">
        <v>1086</v>
      </c>
      <c r="G372" s="143" t="s">
        <v>1087</v>
      </c>
      <c r="H372" s="143"/>
      <c r="I372" s="199">
        <v>27620</v>
      </c>
      <c r="J372" s="182"/>
      <c r="K372" s="182">
        <v>1</v>
      </c>
      <c r="L372" s="155"/>
      <c r="M372" s="155"/>
      <c r="N372" s="155"/>
      <c r="O372" s="155"/>
      <c r="P372" s="155"/>
      <c r="Q372" s="155">
        <v>1</v>
      </c>
      <c r="R372" s="155" t="s">
        <v>1348</v>
      </c>
      <c r="S372" s="155"/>
      <c r="T372" s="155"/>
      <c r="U372" s="183" t="s">
        <v>508</v>
      </c>
      <c r="V372" s="143" t="s">
        <v>503</v>
      </c>
      <c r="W372" s="143" t="s">
        <v>298</v>
      </c>
      <c r="X372" s="143" t="s">
        <v>227</v>
      </c>
      <c r="Y372" s="184">
        <v>9268149463</v>
      </c>
      <c r="Z372" s="143"/>
      <c r="AA372" s="163" t="s">
        <v>525</v>
      </c>
      <c r="AB372" s="143" t="s">
        <v>528</v>
      </c>
      <c r="AC372" s="155">
        <v>1</v>
      </c>
      <c r="AD372" s="155"/>
      <c r="AE372" s="155"/>
      <c r="AF372" s="155"/>
      <c r="AG372" s="155"/>
      <c r="AH372" s="143"/>
      <c r="AI372" s="158"/>
    </row>
    <row r="373" spans="1:35">
      <c r="A373" s="140"/>
      <c r="B373" s="143"/>
      <c r="C373" s="143" t="s">
        <v>1102</v>
      </c>
      <c r="D373" s="143" t="s">
        <v>501</v>
      </c>
      <c r="E373" s="143" t="s">
        <v>80</v>
      </c>
      <c r="F373" s="143" t="s">
        <v>1088</v>
      </c>
      <c r="G373" s="143" t="s">
        <v>1089</v>
      </c>
      <c r="H373" s="143" t="s">
        <v>1040</v>
      </c>
      <c r="I373" s="199">
        <v>26965</v>
      </c>
      <c r="J373" s="182"/>
      <c r="K373" s="182">
        <v>1</v>
      </c>
      <c r="L373" s="155"/>
      <c r="M373" s="155"/>
      <c r="N373" s="155"/>
      <c r="O373" s="155"/>
      <c r="P373" s="155"/>
      <c r="Q373" s="155">
        <v>1</v>
      </c>
      <c r="R373" s="155" t="s">
        <v>1348</v>
      </c>
      <c r="S373" s="155"/>
      <c r="T373" s="155"/>
      <c r="U373" s="183" t="s">
        <v>505</v>
      </c>
      <c r="V373" s="143" t="s">
        <v>503</v>
      </c>
      <c r="W373" s="143" t="s">
        <v>298</v>
      </c>
      <c r="X373" s="143" t="s">
        <v>227</v>
      </c>
      <c r="Y373" s="184">
        <v>9691186903</v>
      </c>
      <c r="Z373" s="143"/>
      <c r="AA373" s="162" t="s">
        <v>524</v>
      </c>
      <c r="AB373" s="143" t="s">
        <v>528</v>
      </c>
      <c r="AC373" s="155">
        <v>1</v>
      </c>
      <c r="AD373" s="155"/>
      <c r="AE373" s="155"/>
      <c r="AF373" s="155"/>
      <c r="AG373" s="155"/>
      <c r="AH373" s="143"/>
      <c r="AI373" s="158"/>
    </row>
    <row r="374" spans="1:35">
      <c r="A374" s="140"/>
      <c r="B374" s="143"/>
      <c r="C374" s="143" t="s">
        <v>1102</v>
      </c>
      <c r="D374" s="143" t="s">
        <v>501</v>
      </c>
      <c r="E374" s="143" t="s">
        <v>80</v>
      </c>
      <c r="F374" s="143" t="s">
        <v>1090</v>
      </c>
      <c r="G374" s="143" t="s">
        <v>1091</v>
      </c>
      <c r="H374" s="143" t="s">
        <v>604</v>
      </c>
      <c r="I374" s="199">
        <v>22118</v>
      </c>
      <c r="J374" s="182"/>
      <c r="K374" s="182">
        <v>1</v>
      </c>
      <c r="L374" s="155"/>
      <c r="M374" s="155">
        <v>1</v>
      </c>
      <c r="N374" s="155"/>
      <c r="O374" s="155"/>
      <c r="P374" s="155"/>
      <c r="Q374" s="155">
        <v>1</v>
      </c>
      <c r="R374" s="155" t="s">
        <v>1348</v>
      </c>
      <c r="S374" s="155"/>
      <c r="T374" s="155"/>
      <c r="U374" s="183"/>
      <c r="V374" s="143" t="s">
        <v>1092</v>
      </c>
      <c r="W374" s="143" t="s">
        <v>279</v>
      </c>
      <c r="X374" s="143" t="s">
        <v>227</v>
      </c>
      <c r="Y374" s="184">
        <v>9906349146</v>
      </c>
      <c r="Z374" s="143"/>
      <c r="AA374" s="163" t="s">
        <v>525</v>
      </c>
      <c r="AB374" s="143" t="s">
        <v>528</v>
      </c>
      <c r="AC374" s="155">
        <v>1</v>
      </c>
      <c r="AD374" s="155"/>
      <c r="AE374" s="155"/>
      <c r="AF374" s="155"/>
      <c r="AG374" s="155"/>
      <c r="AH374" s="143"/>
      <c r="AI374" s="158"/>
    </row>
    <row r="375" spans="1:35">
      <c r="A375" s="140"/>
      <c r="B375" s="143"/>
      <c r="C375" s="143" t="s">
        <v>1102</v>
      </c>
      <c r="D375" s="143" t="s">
        <v>501</v>
      </c>
      <c r="E375" s="143" t="s">
        <v>80</v>
      </c>
      <c r="F375" s="143" t="s">
        <v>949</v>
      </c>
      <c r="G375" s="143" t="s">
        <v>210</v>
      </c>
      <c r="H375" s="143"/>
      <c r="I375" s="199">
        <v>26863</v>
      </c>
      <c r="J375" s="182">
        <v>1</v>
      </c>
      <c r="K375" s="182"/>
      <c r="L375" s="155">
        <v>1</v>
      </c>
      <c r="M375" s="155"/>
      <c r="N375" s="155"/>
      <c r="O375" s="155"/>
      <c r="P375" s="155"/>
      <c r="Q375" s="155">
        <v>1</v>
      </c>
      <c r="R375" s="155" t="s">
        <v>962</v>
      </c>
      <c r="S375" s="155"/>
      <c r="T375" s="155"/>
      <c r="U375" s="183"/>
      <c r="V375" s="143" t="s">
        <v>949</v>
      </c>
      <c r="W375" s="143" t="s">
        <v>280</v>
      </c>
      <c r="X375" s="143" t="s">
        <v>227</v>
      </c>
      <c r="Y375" s="184">
        <v>9678430705</v>
      </c>
      <c r="Z375" s="143"/>
      <c r="AA375" s="163" t="s">
        <v>525</v>
      </c>
      <c r="AB375" s="143" t="s">
        <v>528</v>
      </c>
      <c r="AC375" s="155">
        <v>1</v>
      </c>
      <c r="AD375" s="155"/>
      <c r="AE375" s="155"/>
      <c r="AF375" s="155"/>
      <c r="AG375" s="155"/>
      <c r="AH375" s="143"/>
      <c r="AI375" s="158"/>
    </row>
    <row r="376" spans="1:35">
      <c r="A376" s="140"/>
      <c r="B376" s="143"/>
      <c r="C376" s="143" t="s">
        <v>1102</v>
      </c>
      <c r="D376" s="143" t="s">
        <v>501</v>
      </c>
      <c r="E376" s="143" t="s">
        <v>80</v>
      </c>
      <c r="F376" s="143" t="s">
        <v>1093</v>
      </c>
      <c r="G376" s="143" t="s">
        <v>713</v>
      </c>
      <c r="H376" s="143"/>
      <c r="I376" s="199">
        <v>18540</v>
      </c>
      <c r="J376" s="182">
        <v>1</v>
      </c>
      <c r="K376" s="182"/>
      <c r="L376" s="155"/>
      <c r="M376" s="155">
        <v>1</v>
      </c>
      <c r="N376" s="155"/>
      <c r="O376" s="155"/>
      <c r="P376" s="155"/>
      <c r="Q376" s="155">
        <v>1</v>
      </c>
      <c r="R376" s="155" t="s">
        <v>1045</v>
      </c>
      <c r="S376" s="155"/>
      <c r="T376" s="155"/>
      <c r="U376" s="183"/>
      <c r="V376" s="143" t="s">
        <v>503</v>
      </c>
      <c r="W376" s="143" t="s">
        <v>298</v>
      </c>
      <c r="X376" s="143" t="s">
        <v>227</v>
      </c>
      <c r="Y376" s="184">
        <v>9178131056</v>
      </c>
      <c r="Z376" s="143"/>
      <c r="AA376" s="162" t="s">
        <v>524</v>
      </c>
      <c r="AB376" s="143" t="s">
        <v>528</v>
      </c>
      <c r="AC376" s="155">
        <v>1</v>
      </c>
      <c r="AD376" s="155"/>
      <c r="AE376" s="155"/>
      <c r="AF376" s="155"/>
      <c r="AG376" s="155"/>
      <c r="AH376" s="143"/>
      <c r="AI376" s="158"/>
    </row>
    <row r="377" spans="1:35">
      <c r="A377" s="140"/>
      <c r="B377" s="143"/>
      <c r="C377" s="143" t="s">
        <v>1102</v>
      </c>
      <c r="D377" s="143" t="s">
        <v>501</v>
      </c>
      <c r="E377" s="143" t="s">
        <v>80</v>
      </c>
      <c r="F377" s="143" t="s">
        <v>397</v>
      </c>
      <c r="G377" s="143" t="s">
        <v>398</v>
      </c>
      <c r="H377" s="143"/>
      <c r="I377" s="199">
        <v>37290</v>
      </c>
      <c r="J377" s="182">
        <v>1</v>
      </c>
      <c r="K377" s="182"/>
      <c r="L377" s="155"/>
      <c r="M377" s="155"/>
      <c r="N377" s="155"/>
      <c r="O377" s="155"/>
      <c r="P377" s="155"/>
      <c r="Q377" s="155">
        <v>1</v>
      </c>
      <c r="R377" s="155" t="s">
        <v>1045</v>
      </c>
      <c r="S377" s="155"/>
      <c r="T377" s="155"/>
      <c r="U377" s="183" t="s">
        <v>517</v>
      </c>
      <c r="V377" s="143" t="s">
        <v>503</v>
      </c>
      <c r="W377" s="143" t="s">
        <v>298</v>
      </c>
      <c r="X377" s="143" t="s">
        <v>227</v>
      </c>
      <c r="Y377" s="184">
        <v>9162371805</v>
      </c>
      <c r="Z377" s="143"/>
      <c r="AA377" s="162" t="s">
        <v>524</v>
      </c>
      <c r="AB377" s="143" t="s">
        <v>528</v>
      </c>
      <c r="AC377" s="155">
        <v>1</v>
      </c>
      <c r="AD377" s="155"/>
      <c r="AE377" s="155"/>
      <c r="AF377" s="155"/>
      <c r="AG377" s="155"/>
      <c r="AH377" s="143"/>
      <c r="AI377" s="158"/>
    </row>
    <row r="378" spans="1:35">
      <c r="A378" s="140"/>
      <c r="B378" s="143"/>
      <c r="C378" s="143" t="s">
        <v>1102</v>
      </c>
      <c r="D378" s="143" t="s">
        <v>501</v>
      </c>
      <c r="E378" s="143" t="s">
        <v>80</v>
      </c>
      <c r="F378" s="143" t="s">
        <v>312</v>
      </c>
      <c r="G378" s="143" t="s">
        <v>955</v>
      </c>
      <c r="H378" s="143" t="s">
        <v>286</v>
      </c>
      <c r="I378" s="199">
        <v>23696</v>
      </c>
      <c r="J378" s="182"/>
      <c r="K378" s="182">
        <v>1</v>
      </c>
      <c r="L378" s="155"/>
      <c r="M378" s="155"/>
      <c r="N378" s="155"/>
      <c r="O378" s="155"/>
      <c r="P378" s="155"/>
      <c r="Q378" s="155">
        <v>1</v>
      </c>
      <c r="R378" s="155" t="s">
        <v>1348</v>
      </c>
      <c r="S378" s="155"/>
      <c r="T378" s="155"/>
      <c r="U378" s="183" t="s">
        <v>1094</v>
      </c>
      <c r="V378" s="143" t="s">
        <v>503</v>
      </c>
      <c r="W378" s="143" t="s">
        <v>298</v>
      </c>
      <c r="X378" s="143" t="s">
        <v>227</v>
      </c>
      <c r="Y378" s="184">
        <v>9061976785</v>
      </c>
      <c r="Z378" s="143"/>
      <c r="AA378" s="163" t="s">
        <v>525</v>
      </c>
      <c r="AB378" s="143" t="s">
        <v>528</v>
      </c>
      <c r="AC378" s="155">
        <v>1</v>
      </c>
      <c r="AD378" s="155"/>
      <c r="AE378" s="155"/>
      <c r="AF378" s="155"/>
      <c r="AG378" s="155"/>
      <c r="AH378" s="143"/>
      <c r="AI378" s="158"/>
    </row>
    <row r="379" spans="1:35">
      <c r="A379" s="140"/>
      <c r="B379" s="143"/>
      <c r="C379" s="143" t="s">
        <v>1102</v>
      </c>
      <c r="D379" s="143" t="s">
        <v>501</v>
      </c>
      <c r="E379" s="143" t="s">
        <v>80</v>
      </c>
      <c r="F379" s="143" t="s">
        <v>1095</v>
      </c>
      <c r="G379" s="143" t="s">
        <v>1096</v>
      </c>
      <c r="H379" s="143"/>
      <c r="I379" s="199"/>
      <c r="J379" s="182">
        <v>1</v>
      </c>
      <c r="K379" s="182"/>
      <c r="L379" s="155"/>
      <c r="M379" s="155"/>
      <c r="N379" s="155"/>
      <c r="O379" s="155"/>
      <c r="P379" s="155"/>
      <c r="Q379" s="155">
        <v>1</v>
      </c>
      <c r="R379" s="155" t="s">
        <v>1348</v>
      </c>
      <c r="S379" s="155"/>
      <c r="T379" s="155"/>
      <c r="U379" s="183" t="s">
        <v>502</v>
      </c>
      <c r="V379" s="143" t="s">
        <v>503</v>
      </c>
      <c r="W379" s="143" t="s">
        <v>298</v>
      </c>
      <c r="X379" s="143" t="s">
        <v>227</v>
      </c>
      <c r="Y379" s="143"/>
      <c r="Z379" s="143"/>
      <c r="AA379" s="162" t="s">
        <v>524</v>
      </c>
      <c r="AB379" s="143" t="s">
        <v>528</v>
      </c>
      <c r="AC379" s="155">
        <v>1</v>
      </c>
      <c r="AD379" s="155"/>
      <c r="AE379" s="155"/>
      <c r="AF379" s="155"/>
      <c r="AG379" s="155"/>
      <c r="AH379" s="143"/>
      <c r="AI379" s="158"/>
    </row>
    <row r="380" spans="1:35">
      <c r="A380" s="140"/>
      <c r="B380" s="143"/>
      <c r="C380" s="143" t="s">
        <v>1102</v>
      </c>
      <c r="D380" s="143" t="s">
        <v>501</v>
      </c>
      <c r="E380" s="143" t="s">
        <v>80</v>
      </c>
      <c r="F380" s="143" t="s">
        <v>1097</v>
      </c>
      <c r="G380" s="143" t="s">
        <v>1098</v>
      </c>
      <c r="H380" s="143" t="s">
        <v>283</v>
      </c>
      <c r="I380" s="199">
        <v>28207</v>
      </c>
      <c r="J380" s="182"/>
      <c r="K380" s="182">
        <v>1</v>
      </c>
      <c r="L380" s="155"/>
      <c r="M380" s="155"/>
      <c r="N380" s="155"/>
      <c r="O380" s="155"/>
      <c r="P380" s="155"/>
      <c r="Q380" s="155">
        <v>1</v>
      </c>
      <c r="R380" s="155" t="s">
        <v>1045</v>
      </c>
      <c r="S380" s="155"/>
      <c r="T380" s="155"/>
      <c r="U380" s="183" t="s">
        <v>502</v>
      </c>
      <c r="V380" s="143" t="s">
        <v>503</v>
      </c>
      <c r="W380" s="143" t="s">
        <v>298</v>
      </c>
      <c r="X380" s="143" t="s">
        <v>227</v>
      </c>
      <c r="Y380" s="184">
        <v>9091946261</v>
      </c>
      <c r="Z380" s="143"/>
      <c r="AA380" s="162" t="s">
        <v>524</v>
      </c>
      <c r="AB380" s="143" t="s">
        <v>528</v>
      </c>
      <c r="AC380" s="155">
        <v>1</v>
      </c>
      <c r="AD380" s="155"/>
      <c r="AE380" s="155"/>
      <c r="AF380" s="155"/>
      <c r="AG380" s="155"/>
      <c r="AH380" s="143"/>
      <c r="AI380" s="158"/>
    </row>
    <row r="381" spans="1:35">
      <c r="A381" s="140"/>
      <c r="B381" s="143"/>
      <c r="C381" s="143" t="s">
        <v>1102</v>
      </c>
      <c r="D381" s="143" t="s">
        <v>501</v>
      </c>
      <c r="E381" s="143" t="s">
        <v>80</v>
      </c>
      <c r="F381" s="143" t="s">
        <v>821</v>
      </c>
      <c r="G381" s="143" t="s">
        <v>1200</v>
      </c>
      <c r="H381" s="143"/>
      <c r="I381" s="199">
        <v>30927</v>
      </c>
      <c r="J381" s="182">
        <v>1</v>
      </c>
      <c r="K381" s="182"/>
      <c r="L381" s="155"/>
      <c r="M381" s="155"/>
      <c r="N381" s="155"/>
      <c r="O381" s="155"/>
      <c r="P381" s="155"/>
      <c r="Q381" s="155">
        <v>1</v>
      </c>
      <c r="R381" s="155" t="s">
        <v>962</v>
      </c>
      <c r="S381" s="155"/>
      <c r="T381" s="155"/>
      <c r="U381" s="183" t="s">
        <v>502</v>
      </c>
      <c r="V381" s="143" t="s">
        <v>503</v>
      </c>
      <c r="W381" s="143" t="s">
        <v>298</v>
      </c>
      <c r="X381" s="143" t="s">
        <v>227</v>
      </c>
      <c r="Y381" s="184">
        <v>9091946261</v>
      </c>
      <c r="Z381" s="143"/>
      <c r="AA381" s="162" t="s">
        <v>524</v>
      </c>
      <c r="AB381" s="143" t="s">
        <v>528</v>
      </c>
      <c r="AC381" s="155">
        <v>1</v>
      </c>
      <c r="AD381" s="155"/>
      <c r="AE381" s="155"/>
      <c r="AF381" s="155"/>
      <c r="AG381" s="155"/>
      <c r="AH381" s="143"/>
      <c r="AI381" s="158"/>
    </row>
    <row r="382" spans="1:35">
      <c r="A382" s="140"/>
      <c r="B382" s="143"/>
      <c r="C382" s="143" t="s">
        <v>1102</v>
      </c>
      <c r="D382" s="143" t="s">
        <v>501</v>
      </c>
      <c r="E382" s="143" t="s">
        <v>80</v>
      </c>
      <c r="F382" s="143" t="s">
        <v>1099</v>
      </c>
      <c r="G382" s="143" t="s">
        <v>1100</v>
      </c>
      <c r="H382" s="143" t="s">
        <v>136</v>
      </c>
      <c r="I382" s="199">
        <v>28611</v>
      </c>
      <c r="J382" s="182">
        <v>1</v>
      </c>
      <c r="K382" s="182"/>
      <c r="L382" s="155"/>
      <c r="M382" s="155"/>
      <c r="N382" s="155"/>
      <c r="O382" s="155"/>
      <c r="P382" s="155"/>
      <c r="Q382" s="155">
        <v>1</v>
      </c>
      <c r="R382" s="155" t="s">
        <v>1045</v>
      </c>
      <c r="S382" s="155"/>
      <c r="T382" s="155"/>
      <c r="U382" s="183"/>
      <c r="V382" s="143" t="s">
        <v>952</v>
      </c>
      <c r="W382" s="143" t="s">
        <v>280</v>
      </c>
      <c r="X382" s="143" t="s">
        <v>227</v>
      </c>
      <c r="Y382" s="184">
        <v>9354747019</v>
      </c>
      <c r="Z382" s="143"/>
      <c r="AA382" s="162" t="s">
        <v>524</v>
      </c>
      <c r="AB382" s="143" t="s">
        <v>528</v>
      </c>
      <c r="AC382" s="155">
        <v>1</v>
      </c>
      <c r="AD382" s="155"/>
      <c r="AE382" s="155"/>
      <c r="AF382" s="155"/>
      <c r="AG382" s="155"/>
      <c r="AH382" s="143"/>
      <c r="AI382" s="158"/>
    </row>
    <row r="383" spans="1:35">
      <c r="A383" s="140"/>
      <c r="B383" s="143"/>
      <c r="C383" s="143" t="s">
        <v>1102</v>
      </c>
      <c r="D383" s="143" t="s">
        <v>501</v>
      </c>
      <c r="E383" s="143" t="s">
        <v>80</v>
      </c>
      <c r="F383" s="143" t="s">
        <v>490</v>
      </c>
      <c r="G383" s="143" t="s">
        <v>1101</v>
      </c>
      <c r="H383" s="143"/>
      <c r="I383" s="199">
        <v>34875</v>
      </c>
      <c r="J383" s="182"/>
      <c r="K383" s="182">
        <v>1</v>
      </c>
      <c r="L383" s="155"/>
      <c r="M383" s="155"/>
      <c r="N383" s="155"/>
      <c r="O383" s="155"/>
      <c r="P383" s="155"/>
      <c r="Q383" s="155">
        <v>1</v>
      </c>
      <c r="R383" s="155" t="s">
        <v>1348</v>
      </c>
      <c r="S383" s="155"/>
      <c r="T383" s="155"/>
      <c r="U383" s="183" t="s">
        <v>859</v>
      </c>
      <c r="V383" s="143" t="s">
        <v>503</v>
      </c>
      <c r="W383" s="143" t="s">
        <v>298</v>
      </c>
      <c r="X383" s="143" t="s">
        <v>227</v>
      </c>
      <c r="Y383" s="184">
        <v>9972018554</v>
      </c>
      <c r="Z383" s="143"/>
      <c r="AA383" s="163" t="s">
        <v>525</v>
      </c>
      <c r="AB383" s="143" t="s">
        <v>528</v>
      </c>
      <c r="AC383" s="155">
        <v>1</v>
      </c>
      <c r="AD383" s="155"/>
      <c r="AE383" s="155"/>
      <c r="AF383" s="155"/>
      <c r="AG383" s="155"/>
      <c r="AH383" s="143"/>
      <c r="AI383" s="158"/>
    </row>
    <row r="384" spans="1:35">
      <c r="A384" s="140"/>
      <c r="B384" s="143"/>
      <c r="C384" s="143"/>
      <c r="D384" s="143"/>
      <c r="E384" s="143"/>
      <c r="F384" s="143"/>
      <c r="G384" s="143"/>
      <c r="H384" s="143"/>
      <c r="I384" s="199"/>
      <c r="J384" s="182"/>
      <c r="K384" s="182"/>
      <c r="L384" s="155"/>
      <c r="M384" s="155"/>
      <c r="N384" s="155"/>
      <c r="O384" s="155"/>
      <c r="P384" s="155"/>
      <c r="Q384" s="155"/>
      <c r="R384" s="155"/>
      <c r="S384" s="155"/>
      <c r="T384" s="155"/>
      <c r="U384" s="183"/>
      <c r="V384" s="143"/>
      <c r="W384" s="143"/>
      <c r="X384" s="143"/>
      <c r="Y384" s="143"/>
      <c r="Z384" s="143"/>
      <c r="AA384" s="143"/>
      <c r="AB384" s="143"/>
      <c r="AC384" s="155"/>
      <c r="AD384" s="155"/>
      <c r="AE384" s="155"/>
      <c r="AF384" s="155"/>
      <c r="AG384" s="155"/>
      <c r="AH384" s="143"/>
      <c r="AI384" s="158"/>
    </row>
    <row r="385" spans="1:35" s="6" customFormat="1">
      <c r="A385" s="149"/>
      <c r="B385" s="150"/>
      <c r="C385" s="150" t="s">
        <v>82</v>
      </c>
      <c r="D385" s="150"/>
      <c r="E385" s="150"/>
      <c r="F385" s="150"/>
      <c r="G385" s="150"/>
      <c r="H385" s="150"/>
      <c r="I385" s="237"/>
      <c r="J385" s="151">
        <f>SUM(J386:J666)</f>
        <v>180</v>
      </c>
      <c r="K385" s="151">
        <f t="shared" ref="K385:Q385" si="1">SUM(K386:K666)</f>
        <v>97</v>
      </c>
      <c r="L385" s="151">
        <f t="shared" si="1"/>
        <v>65</v>
      </c>
      <c r="M385" s="151">
        <f t="shared" si="1"/>
        <v>23</v>
      </c>
      <c r="N385" s="151">
        <f t="shared" si="1"/>
        <v>25</v>
      </c>
      <c r="O385" s="151">
        <f t="shared" si="1"/>
        <v>0</v>
      </c>
      <c r="P385" s="151">
        <f t="shared" si="1"/>
        <v>0</v>
      </c>
      <c r="Q385" s="151">
        <f t="shared" si="1"/>
        <v>218</v>
      </c>
      <c r="R385" s="151"/>
      <c r="S385" s="151">
        <f>SUM(S386:S668)</f>
        <v>0</v>
      </c>
      <c r="T385" s="151">
        <f>SUM(T386:T668)</f>
        <v>0</v>
      </c>
      <c r="U385" s="150"/>
      <c r="V385" s="150"/>
      <c r="W385" s="150"/>
      <c r="X385" s="150"/>
      <c r="Y385" s="150"/>
      <c r="Z385" s="150"/>
      <c r="AA385" s="150"/>
      <c r="AB385" s="150"/>
      <c r="AC385" s="151">
        <f>SUM(AC386:AC666)</f>
        <v>315</v>
      </c>
      <c r="AD385" s="151">
        <f>SUM(AD386:AD668)</f>
        <v>0</v>
      </c>
      <c r="AE385" s="151" t="e">
        <f>AVERAGE(AE386:AE668)</f>
        <v>#DIV/0!</v>
      </c>
      <c r="AF385" s="151" t="e">
        <f>AVERAGE(AF386:AF668)</f>
        <v>#DIV/0!</v>
      </c>
      <c r="AG385" s="151" t="e">
        <f>AVERAGE(AG386:AG668)</f>
        <v>#DIV/0!</v>
      </c>
      <c r="AH385" s="150"/>
      <c r="AI385" s="152"/>
    </row>
    <row r="386" spans="1:35">
      <c r="A386" s="140"/>
      <c r="B386" s="143"/>
      <c r="C386" s="143" t="s">
        <v>1103</v>
      </c>
      <c r="D386" s="143" t="s">
        <v>501</v>
      </c>
      <c r="E386" s="143" t="s">
        <v>80</v>
      </c>
      <c r="F386" s="143" t="s">
        <v>878</v>
      </c>
      <c r="G386" s="143" t="s">
        <v>879</v>
      </c>
      <c r="H386" s="143" t="s">
        <v>1104</v>
      </c>
      <c r="I386" s="199">
        <v>21702</v>
      </c>
      <c r="J386" s="155">
        <v>1</v>
      </c>
      <c r="K386" s="155"/>
      <c r="L386" s="155"/>
      <c r="M386" s="155">
        <v>1</v>
      </c>
      <c r="N386" s="155"/>
      <c r="O386" s="155"/>
      <c r="P386" s="155"/>
      <c r="Q386" s="155">
        <v>1</v>
      </c>
      <c r="R386" s="155" t="s">
        <v>1348</v>
      </c>
      <c r="S386" s="155"/>
      <c r="T386" s="155"/>
      <c r="U386" s="143" t="s">
        <v>510</v>
      </c>
      <c r="V386" s="143" t="s">
        <v>503</v>
      </c>
      <c r="W386" s="143" t="s">
        <v>298</v>
      </c>
      <c r="X386" s="143" t="s">
        <v>227</v>
      </c>
      <c r="Y386" s="184">
        <v>9167730232</v>
      </c>
      <c r="Z386" s="143"/>
      <c r="AA386" s="184" t="s">
        <v>525</v>
      </c>
      <c r="AB386" s="143" t="s">
        <v>528</v>
      </c>
      <c r="AC386" s="155">
        <v>1</v>
      </c>
      <c r="AD386" s="155"/>
      <c r="AE386" s="155"/>
      <c r="AF386" s="155"/>
      <c r="AG386" s="155"/>
      <c r="AH386" s="143"/>
      <c r="AI386" s="158"/>
    </row>
    <row r="387" spans="1:35">
      <c r="A387" s="140"/>
      <c r="B387" s="143"/>
      <c r="C387" s="143" t="s">
        <v>1103</v>
      </c>
      <c r="D387" s="143" t="s">
        <v>501</v>
      </c>
      <c r="E387" s="143" t="s">
        <v>80</v>
      </c>
      <c r="F387" s="143" t="s">
        <v>1105</v>
      </c>
      <c r="G387" s="143" t="s">
        <v>1106</v>
      </c>
      <c r="H387" s="143"/>
      <c r="I387" s="199">
        <v>34091</v>
      </c>
      <c r="J387" s="155">
        <v>1</v>
      </c>
      <c r="K387" s="155"/>
      <c r="L387" s="155"/>
      <c r="M387" s="155"/>
      <c r="N387" s="155"/>
      <c r="O387" s="155"/>
      <c r="P387" s="155"/>
      <c r="Q387" s="155">
        <v>1</v>
      </c>
      <c r="R387" s="155" t="s">
        <v>1045</v>
      </c>
      <c r="S387" s="155"/>
      <c r="T387" s="155"/>
      <c r="U387" s="143"/>
      <c r="V387" s="143" t="s">
        <v>1107</v>
      </c>
      <c r="W387" s="143"/>
      <c r="X387" s="143"/>
      <c r="Y387" s="184">
        <v>9451769056</v>
      </c>
      <c r="Z387" s="143"/>
      <c r="AA387" s="143" t="s">
        <v>524</v>
      </c>
      <c r="AB387" s="143" t="s">
        <v>528</v>
      </c>
      <c r="AC387" s="155">
        <v>2</v>
      </c>
      <c r="AD387" s="155"/>
      <c r="AE387" s="155"/>
      <c r="AF387" s="155"/>
      <c r="AG387" s="155"/>
      <c r="AH387" s="143"/>
      <c r="AI387" s="158"/>
    </row>
    <row r="388" spans="1:35">
      <c r="A388" s="140"/>
      <c r="B388" s="143"/>
      <c r="C388" s="143" t="s">
        <v>1103</v>
      </c>
      <c r="D388" s="143" t="s">
        <v>501</v>
      </c>
      <c r="E388" s="143" t="s">
        <v>80</v>
      </c>
      <c r="F388" s="143" t="s">
        <v>1129</v>
      </c>
      <c r="G388" s="143" t="s">
        <v>989</v>
      </c>
      <c r="H388" s="143"/>
      <c r="I388" s="199">
        <v>28284</v>
      </c>
      <c r="J388" s="155">
        <v>1</v>
      </c>
      <c r="K388" s="155"/>
      <c r="L388" s="155"/>
      <c r="M388" s="155"/>
      <c r="N388" s="155"/>
      <c r="O388" s="155"/>
      <c r="P388" s="155"/>
      <c r="Q388" s="155">
        <v>1</v>
      </c>
      <c r="R388" s="155" t="s">
        <v>1045</v>
      </c>
      <c r="S388" s="155"/>
      <c r="T388" s="155"/>
      <c r="U388" s="143"/>
      <c r="V388" s="143"/>
      <c r="W388" s="143"/>
      <c r="X388" s="143" t="s">
        <v>1108</v>
      </c>
      <c r="Y388" s="184">
        <v>9494047300</v>
      </c>
      <c r="Z388" s="143"/>
      <c r="AA388" s="143" t="s">
        <v>524</v>
      </c>
      <c r="AB388" s="143" t="s">
        <v>528</v>
      </c>
      <c r="AC388" s="155">
        <v>2</v>
      </c>
      <c r="AD388" s="155"/>
      <c r="AE388" s="155"/>
      <c r="AF388" s="155"/>
      <c r="AG388" s="155"/>
      <c r="AH388" s="143"/>
      <c r="AI388" s="158"/>
    </row>
    <row r="389" spans="1:35">
      <c r="A389" s="140"/>
      <c r="B389" s="143"/>
      <c r="C389" s="143" t="s">
        <v>1103</v>
      </c>
      <c r="D389" s="143" t="s">
        <v>501</v>
      </c>
      <c r="E389" s="143" t="s">
        <v>80</v>
      </c>
      <c r="F389" s="143" t="s">
        <v>1109</v>
      </c>
      <c r="G389" s="143" t="s">
        <v>1110</v>
      </c>
      <c r="H389" s="143"/>
      <c r="I389" s="199">
        <v>33889</v>
      </c>
      <c r="J389" s="155">
        <v>1</v>
      </c>
      <c r="K389" s="155"/>
      <c r="L389" s="155"/>
      <c r="M389" s="155"/>
      <c r="N389" s="155"/>
      <c r="O389" s="155"/>
      <c r="P389" s="155"/>
      <c r="Q389" s="155">
        <v>1</v>
      </c>
      <c r="R389" s="155" t="s">
        <v>1045</v>
      </c>
      <c r="S389" s="155"/>
      <c r="T389" s="155"/>
      <c r="U389" s="143"/>
      <c r="V389" s="143"/>
      <c r="W389" s="143"/>
      <c r="X389" s="143" t="s">
        <v>1108</v>
      </c>
      <c r="Y389" s="184">
        <v>9194103351</v>
      </c>
      <c r="Z389" s="143"/>
      <c r="AA389" s="143" t="s">
        <v>524</v>
      </c>
      <c r="AB389" s="143" t="s">
        <v>528</v>
      </c>
      <c r="AC389" s="155">
        <v>2</v>
      </c>
      <c r="AD389" s="155"/>
      <c r="AE389" s="155"/>
      <c r="AF389" s="155"/>
      <c r="AG389" s="155"/>
      <c r="AH389" s="143"/>
      <c r="AI389" s="158"/>
    </row>
    <row r="390" spans="1:35">
      <c r="A390" s="140"/>
      <c r="B390" s="143"/>
      <c r="C390" s="143" t="s">
        <v>1103</v>
      </c>
      <c r="D390" s="143" t="s">
        <v>501</v>
      </c>
      <c r="E390" s="143" t="s">
        <v>80</v>
      </c>
      <c r="F390" s="143" t="s">
        <v>1111</v>
      </c>
      <c r="G390" s="143" t="s">
        <v>1112</v>
      </c>
      <c r="H390" s="143" t="s">
        <v>160</v>
      </c>
      <c r="I390" s="199">
        <v>33337</v>
      </c>
      <c r="J390" s="155">
        <v>1</v>
      </c>
      <c r="K390" s="155"/>
      <c r="L390" s="155"/>
      <c r="M390" s="155"/>
      <c r="N390" s="155"/>
      <c r="O390" s="155"/>
      <c r="P390" s="155"/>
      <c r="Q390" s="155">
        <v>1</v>
      </c>
      <c r="R390" s="155" t="s">
        <v>1045</v>
      </c>
      <c r="S390" s="155"/>
      <c r="T390" s="155"/>
      <c r="U390" s="143"/>
      <c r="V390" s="143" t="s">
        <v>1113</v>
      </c>
      <c r="W390" s="143"/>
      <c r="X390" s="143" t="s">
        <v>1108</v>
      </c>
      <c r="Y390" s="184">
        <v>9394636423</v>
      </c>
      <c r="Z390" s="143"/>
      <c r="AA390" s="143" t="s">
        <v>524</v>
      </c>
      <c r="AB390" s="143" t="s">
        <v>528</v>
      </c>
      <c r="AC390" s="155">
        <v>2</v>
      </c>
      <c r="AD390" s="155"/>
      <c r="AE390" s="155"/>
      <c r="AF390" s="155"/>
      <c r="AG390" s="155"/>
      <c r="AH390" s="143"/>
      <c r="AI390" s="158"/>
    </row>
    <row r="391" spans="1:35">
      <c r="A391" s="140"/>
      <c r="B391" s="143"/>
      <c r="C391" s="143" t="s">
        <v>1103</v>
      </c>
      <c r="D391" s="143" t="s">
        <v>501</v>
      </c>
      <c r="E391" s="143" t="s">
        <v>80</v>
      </c>
      <c r="F391" s="143" t="s">
        <v>1114</v>
      </c>
      <c r="G391" s="143" t="s">
        <v>1115</v>
      </c>
      <c r="H391" s="143" t="s">
        <v>115</v>
      </c>
      <c r="I391" s="199">
        <v>22899</v>
      </c>
      <c r="J391" s="155">
        <v>1</v>
      </c>
      <c r="K391" s="155"/>
      <c r="L391" s="155"/>
      <c r="M391" s="155"/>
      <c r="N391" s="155"/>
      <c r="O391" s="155"/>
      <c r="P391" s="155"/>
      <c r="Q391" s="155">
        <v>1</v>
      </c>
      <c r="R391" s="155" t="s">
        <v>1009</v>
      </c>
      <c r="S391" s="155"/>
      <c r="T391" s="155"/>
      <c r="U391" s="143" t="s">
        <v>502</v>
      </c>
      <c r="V391" s="143" t="s">
        <v>503</v>
      </c>
      <c r="W391" s="143" t="s">
        <v>298</v>
      </c>
      <c r="X391" s="143" t="s">
        <v>227</v>
      </c>
      <c r="Y391" s="184">
        <v>9196707398</v>
      </c>
      <c r="Z391" s="143"/>
      <c r="AA391" s="143" t="s">
        <v>524</v>
      </c>
      <c r="AB391" s="143" t="s">
        <v>528</v>
      </c>
      <c r="AC391" s="155">
        <v>1</v>
      </c>
      <c r="AD391" s="155"/>
      <c r="AE391" s="155"/>
      <c r="AF391" s="155"/>
      <c r="AG391" s="155"/>
      <c r="AH391" s="143"/>
      <c r="AI391" s="158"/>
    </row>
    <row r="392" spans="1:35">
      <c r="A392" s="140"/>
      <c r="B392" s="143"/>
      <c r="C392" s="143" t="s">
        <v>1103</v>
      </c>
      <c r="D392" s="143" t="s">
        <v>501</v>
      </c>
      <c r="E392" s="143" t="s">
        <v>80</v>
      </c>
      <c r="F392" s="143" t="s">
        <v>1116</v>
      </c>
      <c r="G392" s="143" t="s">
        <v>1117</v>
      </c>
      <c r="H392" s="143" t="s">
        <v>117</v>
      </c>
      <c r="I392" s="199">
        <v>21210</v>
      </c>
      <c r="J392" s="155">
        <v>1</v>
      </c>
      <c r="K392" s="155"/>
      <c r="L392" s="155"/>
      <c r="M392" s="155">
        <v>1</v>
      </c>
      <c r="N392" s="155"/>
      <c r="O392" s="155"/>
      <c r="P392" s="155"/>
      <c r="Q392" s="155">
        <v>1</v>
      </c>
      <c r="R392" s="155" t="s">
        <v>1009</v>
      </c>
      <c r="S392" s="155"/>
      <c r="T392" s="155"/>
      <c r="U392" s="143" t="s">
        <v>502</v>
      </c>
      <c r="V392" s="143" t="s">
        <v>503</v>
      </c>
      <c r="W392" s="143" t="s">
        <v>298</v>
      </c>
      <c r="X392" s="143" t="s">
        <v>227</v>
      </c>
      <c r="Y392" s="184">
        <v>9151524424</v>
      </c>
      <c r="Z392" s="143"/>
      <c r="AA392" s="143" t="s">
        <v>524</v>
      </c>
      <c r="AB392" s="143" t="s">
        <v>528</v>
      </c>
      <c r="AC392" s="155">
        <v>1</v>
      </c>
      <c r="AD392" s="155"/>
      <c r="AE392" s="155"/>
      <c r="AF392" s="155"/>
      <c r="AG392" s="155"/>
      <c r="AH392" s="143"/>
      <c r="AI392" s="158"/>
    </row>
    <row r="393" spans="1:35">
      <c r="A393" s="140"/>
      <c r="B393" s="143"/>
      <c r="C393" s="143" t="s">
        <v>1103</v>
      </c>
      <c r="D393" s="143" t="s">
        <v>501</v>
      </c>
      <c r="E393" s="143" t="s">
        <v>80</v>
      </c>
      <c r="F393" s="143" t="s">
        <v>439</v>
      </c>
      <c r="G393" s="143" t="s">
        <v>751</v>
      </c>
      <c r="H393" s="143"/>
      <c r="I393" s="199">
        <v>28706</v>
      </c>
      <c r="J393" s="155">
        <v>1</v>
      </c>
      <c r="K393" s="155"/>
      <c r="L393" s="155"/>
      <c r="M393" s="155"/>
      <c r="N393" s="155"/>
      <c r="O393" s="155"/>
      <c r="P393" s="155"/>
      <c r="Q393" s="155">
        <v>1</v>
      </c>
      <c r="R393" s="155" t="s">
        <v>1009</v>
      </c>
      <c r="S393" s="155"/>
      <c r="T393" s="155"/>
      <c r="U393" s="143" t="s">
        <v>502</v>
      </c>
      <c r="V393" s="143" t="s">
        <v>503</v>
      </c>
      <c r="W393" s="143" t="s">
        <v>298</v>
      </c>
      <c r="X393" s="143" t="s">
        <v>227</v>
      </c>
      <c r="Y393" s="184">
        <v>9559560270</v>
      </c>
      <c r="Z393" s="143"/>
      <c r="AA393" s="143" t="s">
        <v>524</v>
      </c>
      <c r="AB393" s="143" t="s">
        <v>528</v>
      </c>
      <c r="AC393" s="155">
        <v>1</v>
      </c>
      <c r="AD393" s="155"/>
      <c r="AE393" s="155"/>
      <c r="AF393" s="155"/>
      <c r="AG393" s="155"/>
      <c r="AH393" s="143"/>
      <c r="AI393" s="158"/>
    </row>
    <row r="394" spans="1:35">
      <c r="A394" s="140"/>
      <c r="B394" s="143"/>
      <c r="C394" s="143" t="s">
        <v>1103</v>
      </c>
      <c r="D394" s="143" t="s">
        <v>501</v>
      </c>
      <c r="E394" s="143" t="s">
        <v>80</v>
      </c>
      <c r="F394" s="143" t="s">
        <v>1118</v>
      </c>
      <c r="G394" s="143" t="s">
        <v>1119</v>
      </c>
      <c r="H394" s="143"/>
      <c r="I394" s="199">
        <v>37014</v>
      </c>
      <c r="J394" s="155">
        <v>1</v>
      </c>
      <c r="K394" s="155"/>
      <c r="L394" s="155"/>
      <c r="M394" s="155"/>
      <c r="N394" s="155"/>
      <c r="O394" s="155"/>
      <c r="P394" s="155"/>
      <c r="Q394" s="155">
        <v>1</v>
      </c>
      <c r="R394" s="155" t="s">
        <v>1045</v>
      </c>
      <c r="S394" s="155"/>
      <c r="T394" s="155"/>
      <c r="U394" s="143" t="s">
        <v>502</v>
      </c>
      <c r="V394" s="143" t="s">
        <v>503</v>
      </c>
      <c r="W394" s="143" t="s">
        <v>298</v>
      </c>
      <c r="X394" s="143" t="s">
        <v>227</v>
      </c>
      <c r="Y394" s="184">
        <v>9126006293</v>
      </c>
      <c r="Z394" s="143"/>
      <c r="AA394" s="143" t="s">
        <v>524</v>
      </c>
      <c r="AB394" s="143" t="s">
        <v>528</v>
      </c>
      <c r="AC394" s="155">
        <v>1</v>
      </c>
      <c r="AD394" s="155"/>
      <c r="AE394" s="155"/>
      <c r="AF394" s="155"/>
      <c r="AG394" s="155"/>
      <c r="AH394" s="143"/>
      <c r="AI394" s="158"/>
    </row>
    <row r="395" spans="1:35">
      <c r="A395" s="140"/>
      <c r="B395" s="143"/>
      <c r="C395" s="143" t="s">
        <v>1103</v>
      </c>
      <c r="D395" s="143" t="s">
        <v>501</v>
      </c>
      <c r="E395" s="143" t="s">
        <v>80</v>
      </c>
      <c r="F395" s="143" t="s">
        <v>1120</v>
      </c>
      <c r="G395" s="143" t="s">
        <v>1121</v>
      </c>
      <c r="H395" s="143" t="s">
        <v>1040</v>
      </c>
      <c r="I395" s="199">
        <v>22049</v>
      </c>
      <c r="J395" s="155"/>
      <c r="K395" s="155">
        <v>1</v>
      </c>
      <c r="L395" s="155"/>
      <c r="M395" s="155">
        <v>1</v>
      </c>
      <c r="N395" s="155"/>
      <c r="O395" s="155"/>
      <c r="P395" s="155"/>
      <c r="Q395" s="155">
        <v>1</v>
      </c>
      <c r="R395" s="155" t="s">
        <v>1348</v>
      </c>
      <c r="S395" s="155"/>
      <c r="T395" s="155"/>
      <c r="U395" s="143" t="s">
        <v>507</v>
      </c>
      <c r="V395" s="143" t="s">
        <v>503</v>
      </c>
      <c r="W395" s="143" t="s">
        <v>298</v>
      </c>
      <c r="X395" s="143" t="s">
        <v>227</v>
      </c>
      <c r="Y395" s="184">
        <v>9186994851</v>
      </c>
      <c r="Z395" s="143"/>
      <c r="AA395" s="184" t="s">
        <v>525</v>
      </c>
      <c r="AB395" s="143" t="s">
        <v>528</v>
      </c>
      <c r="AC395" s="155">
        <v>1</v>
      </c>
      <c r="AD395" s="155"/>
      <c r="AE395" s="155"/>
      <c r="AF395" s="155"/>
      <c r="AG395" s="155"/>
      <c r="AH395" s="143"/>
      <c r="AI395" s="158"/>
    </row>
    <row r="396" spans="1:35">
      <c r="A396" s="140"/>
      <c r="B396" s="143"/>
      <c r="C396" s="143" t="s">
        <v>1103</v>
      </c>
      <c r="D396" s="143" t="s">
        <v>501</v>
      </c>
      <c r="E396" s="143" t="s">
        <v>80</v>
      </c>
      <c r="F396" s="143" t="s">
        <v>413</v>
      </c>
      <c r="G396" s="143" t="s">
        <v>414</v>
      </c>
      <c r="H396" s="143" t="s">
        <v>150</v>
      </c>
      <c r="I396" s="227">
        <v>23925</v>
      </c>
      <c r="J396" s="166"/>
      <c r="K396" s="165">
        <v>1</v>
      </c>
      <c r="L396" s="155"/>
      <c r="M396" s="155"/>
      <c r="N396" s="155"/>
      <c r="O396" s="155"/>
      <c r="P396" s="155"/>
      <c r="Q396" s="155">
        <v>1</v>
      </c>
      <c r="R396" s="155" t="s">
        <v>1348</v>
      </c>
      <c r="S396" s="155"/>
      <c r="T396" s="155"/>
      <c r="U396" s="167" t="s">
        <v>295</v>
      </c>
      <c r="V396" s="153" t="s">
        <v>503</v>
      </c>
      <c r="W396" s="143" t="s">
        <v>298</v>
      </c>
      <c r="X396" s="157" t="s">
        <v>227</v>
      </c>
      <c r="Y396" s="153">
        <v>9357514235</v>
      </c>
      <c r="Z396" s="143"/>
      <c r="AA396" s="163" t="s">
        <v>525</v>
      </c>
      <c r="AB396" s="143" t="s">
        <v>528</v>
      </c>
      <c r="AC396" s="155">
        <v>6</v>
      </c>
      <c r="AD396" s="155"/>
      <c r="AE396" s="155"/>
      <c r="AF396" s="155"/>
      <c r="AG396" s="155"/>
      <c r="AH396" s="143"/>
      <c r="AI396" s="158"/>
    </row>
    <row r="397" spans="1:35">
      <c r="A397" s="140"/>
      <c r="B397" s="143"/>
      <c r="C397" s="143" t="s">
        <v>1103</v>
      </c>
      <c r="D397" s="143" t="s">
        <v>501</v>
      </c>
      <c r="E397" s="143" t="s">
        <v>80</v>
      </c>
      <c r="F397" s="153" t="s">
        <v>903</v>
      </c>
      <c r="G397" s="153" t="s">
        <v>465</v>
      </c>
      <c r="H397" s="153"/>
      <c r="I397" s="227">
        <v>31145</v>
      </c>
      <c r="J397" s="166"/>
      <c r="K397" s="165">
        <v>1</v>
      </c>
      <c r="L397" s="155"/>
      <c r="M397" s="155"/>
      <c r="N397" s="155"/>
      <c r="O397" s="155"/>
      <c r="P397" s="155"/>
      <c r="Q397" s="155">
        <v>1</v>
      </c>
      <c r="R397" s="155" t="s">
        <v>957</v>
      </c>
      <c r="S397" s="155"/>
      <c r="T397" s="155"/>
      <c r="U397" s="167" t="s">
        <v>517</v>
      </c>
      <c r="V397" s="153" t="s">
        <v>503</v>
      </c>
      <c r="W397" s="143" t="s">
        <v>298</v>
      </c>
      <c r="X397" s="157" t="s">
        <v>227</v>
      </c>
      <c r="Y397" s="153">
        <v>9169548305</v>
      </c>
      <c r="Z397" s="143"/>
      <c r="AA397" s="163" t="s">
        <v>525</v>
      </c>
      <c r="AB397" s="143" t="s">
        <v>528</v>
      </c>
      <c r="AC397" s="155">
        <v>2</v>
      </c>
      <c r="AD397" s="155"/>
      <c r="AE397" s="155"/>
      <c r="AF397" s="155"/>
      <c r="AG397" s="155"/>
      <c r="AH397" s="143"/>
      <c r="AI397" s="158"/>
    </row>
    <row r="398" spans="1:35">
      <c r="A398" s="140"/>
      <c r="B398" s="143"/>
      <c r="C398" s="143" t="s">
        <v>1103</v>
      </c>
      <c r="D398" s="143" t="s">
        <v>501</v>
      </c>
      <c r="E398" s="143" t="s">
        <v>80</v>
      </c>
      <c r="F398" s="143" t="s">
        <v>1122</v>
      </c>
      <c r="G398" s="143" t="s">
        <v>1123</v>
      </c>
      <c r="H398" s="143"/>
      <c r="I398" s="199"/>
      <c r="J398" s="155"/>
      <c r="K398" s="155"/>
      <c r="L398" s="155"/>
      <c r="M398" s="155"/>
      <c r="N398" s="155"/>
      <c r="O398" s="155"/>
      <c r="P398" s="155"/>
      <c r="Q398" s="155">
        <v>1</v>
      </c>
      <c r="R398" s="155" t="s">
        <v>1128</v>
      </c>
      <c r="S398" s="155"/>
      <c r="T398" s="155"/>
      <c r="U398" s="143"/>
      <c r="V398" s="143" t="s">
        <v>1127</v>
      </c>
      <c r="W398" s="143"/>
      <c r="X398" s="143"/>
      <c r="Y398" s="143"/>
      <c r="Z398" s="143"/>
      <c r="AA398" s="143" t="s">
        <v>524</v>
      </c>
      <c r="AB398" s="143" t="s">
        <v>528</v>
      </c>
      <c r="AC398" s="155">
        <v>1</v>
      </c>
      <c r="AD398" s="155"/>
      <c r="AE398" s="155"/>
      <c r="AF398" s="155"/>
      <c r="AG398" s="155"/>
      <c r="AH398" s="143"/>
      <c r="AI398" s="158"/>
    </row>
    <row r="399" spans="1:35">
      <c r="A399" s="140"/>
      <c r="B399" s="143"/>
      <c r="C399" s="143" t="s">
        <v>1103</v>
      </c>
      <c r="D399" s="143" t="s">
        <v>501</v>
      </c>
      <c r="E399" s="143" t="s">
        <v>80</v>
      </c>
      <c r="F399" s="143" t="s">
        <v>1124</v>
      </c>
      <c r="G399" s="143" t="s">
        <v>615</v>
      </c>
      <c r="H399" s="143"/>
      <c r="I399" s="199"/>
      <c r="J399" s="155"/>
      <c r="K399" s="155"/>
      <c r="L399" s="155"/>
      <c r="M399" s="155"/>
      <c r="N399" s="155"/>
      <c r="O399" s="155"/>
      <c r="P399" s="155"/>
      <c r="Q399" s="155">
        <v>1</v>
      </c>
      <c r="R399" s="155" t="s">
        <v>1128</v>
      </c>
      <c r="S399" s="155"/>
      <c r="T399" s="155"/>
      <c r="U399" s="143"/>
      <c r="V399" s="143" t="s">
        <v>1127</v>
      </c>
      <c r="W399" s="143"/>
      <c r="X399" s="143"/>
      <c r="Y399" s="143"/>
      <c r="Z399" s="143"/>
      <c r="AA399" s="143" t="s">
        <v>524</v>
      </c>
      <c r="AB399" s="143" t="s">
        <v>528</v>
      </c>
      <c r="AC399" s="155">
        <v>1</v>
      </c>
      <c r="AD399" s="155"/>
      <c r="AE399" s="155"/>
      <c r="AF399" s="155"/>
      <c r="AG399" s="155"/>
      <c r="AH399" s="143"/>
      <c r="AI399" s="158"/>
    </row>
    <row r="400" spans="1:35">
      <c r="A400" s="140"/>
      <c r="B400" s="143"/>
      <c r="C400" s="143" t="s">
        <v>1103</v>
      </c>
      <c r="D400" s="143" t="s">
        <v>501</v>
      </c>
      <c r="E400" s="143" t="s">
        <v>80</v>
      </c>
      <c r="F400" s="143" t="s">
        <v>1125</v>
      </c>
      <c r="G400" s="143" t="s">
        <v>1126</v>
      </c>
      <c r="H400" s="143"/>
      <c r="I400" s="199"/>
      <c r="J400" s="155"/>
      <c r="K400" s="155"/>
      <c r="L400" s="155"/>
      <c r="M400" s="155"/>
      <c r="N400" s="155"/>
      <c r="O400" s="155"/>
      <c r="P400" s="155"/>
      <c r="Q400" s="155">
        <v>1</v>
      </c>
      <c r="R400" s="155" t="s">
        <v>1128</v>
      </c>
      <c r="S400" s="155"/>
      <c r="T400" s="155"/>
      <c r="U400" s="143"/>
      <c r="V400" s="143" t="s">
        <v>1127</v>
      </c>
      <c r="W400" s="143"/>
      <c r="X400" s="143"/>
      <c r="Y400" s="143"/>
      <c r="Z400" s="143"/>
      <c r="AA400" s="143" t="s">
        <v>524</v>
      </c>
      <c r="AB400" s="143" t="s">
        <v>528</v>
      </c>
      <c r="AC400" s="155">
        <v>1</v>
      </c>
      <c r="AD400" s="155"/>
      <c r="AE400" s="155"/>
      <c r="AF400" s="155"/>
      <c r="AG400" s="155"/>
      <c r="AH400" s="143"/>
      <c r="AI400" s="158"/>
    </row>
    <row r="401" spans="1:35">
      <c r="A401" s="140"/>
      <c r="B401" s="143"/>
      <c r="C401" s="143" t="s">
        <v>1103</v>
      </c>
      <c r="D401" s="143" t="s">
        <v>501</v>
      </c>
      <c r="E401" s="143" t="s">
        <v>80</v>
      </c>
      <c r="F401" s="143" t="s">
        <v>1130</v>
      </c>
      <c r="G401" s="143" t="s">
        <v>288</v>
      </c>
      <c r="H401" s="143" t="s">
        <v>120</v>
      </c>
      <c r="I401" s="199"/>
      <c r="J401" s="155"/>
      <c r="K401" s="155">
        <v>1</v>
      </c>
      <c r="L401" s="155">
        <v>1</v>
      </c>
      <c r="M401" s="155"/>
      <c r="N401" s="155"/>
      <c r="O401" s="155"/>
      <c r="P401" s="155"/>
      <c r="Q401" s="155"/>
      <c r="R401" s="155"/>
      <c r="S401" s="155"/>
      <c r="T401" s="155"/>
      <c r="U401" s="143" t="s">
        <v>870</v>
      </c>
      <c r="V401" s="143" t="s">
        <v>503</v>
      </c>
      <c r="W401" s="143" t="s">
        <v>298</v>
      </c>
      <c r="X401" s="143" t="s">
        <v>227</v>
      </c>
      <c r="Y401" s="143">
        <v>9059601545</v>
      </c>
      <c r="Z401" s="143"/>
      <c r="AA401" s="143" t="s">
        <v>877</v>
      </c>
      <c r="AB401" s="143" t="s">
        <v>528</v>
      </c>
      <c r="AC401" s="155">
        <v>1</v>
      </c>
      <c r="AD401" s="155"/>
      <c r="AE401" s="155"/>
      <c r="AF401" s="155"/>
      <c r="AG401" s="155"/>
      <c r="AH401" s="143"/>
      <c r="AI401" s="158"/>
    </row>
    <row r="402" spans="1:35">
      <c r="A402" s="140"/>
      <c r="B402" s="143"/>
      <c r="C402" s="143" t="s">
        <v>1103</v>
      </c>
      <c r="D402" s="143" t="s">
        <v>501</v>
      </c>
      <c r="E402" s="143" t="s">
        <v>80</v>
      </c>
      <c r="F402" s="143" t="s">
        <v>1131</v>
      </c>
      <c r="G402" s="143"/>
      <c r="H402" s="143"/>
      <c r="I402" s="199">
        <v>32590</v>
      </c>
      <c r="J402" s="155">
        <v>1</v>
      </c>
      <c r="K402" s="155"/>
      <c r="L402" s="155"/>
      <c r="M402" s="155"/>
      <c r="N402" s="155"/>
      <c r="O402" s="155"/>
      <c r="P402" s="155"/>
      <c r="Q402" s="155">
        <v>1</v>
      </c>
      <c r="R402" s="155" t="s">
        <v>1132</v>
      </c>
      <c r="S402" s="155"/>
      <c r="T402" s="155"/>
      <c r="U402" s="143" t="s">
        <v>504</v>
      </c>
      <c r="V402" s="143" t="s">
        <v>503</v>
      </c>
      <c r="W402" s="143" t="s">
        <v>298</v>
      </c>
      <c r="X402" s="143" t="s">
        <v>227</v>
      </c>
      <c r="Y402" s="143">
        <v>9089479633</v>
      </c>
      <c r="Z402" s="143"/>
      <c r="AA402" s="143" t="s">
        <v>524</v>
      </c>
      <c r="AB402" s="143" t="s">
        <v>528</v>
      </c>
      <c r="AC402" s="155">
        <v>1</v>
      </c>
      <c r="AD402" s="155"/>
      <c r="AE402" s="155"/>
      <c r="AF402" s="155"/>
      <c r="AG402" s="155"/>
      <c r="AH402" s="143"/>
      <c r="AI402" s="158"/>
    </row>
    <row r="403" spans="1:35">
      <c r="A403" s="140"/>
      <c r="B403" s="143"/>
      <c r="C403" s="143" t="s">
        <v>1103</v>
      </c>
      <c r="D403" s="143" t="s">
        <v>501</v>
      </c>
      <c r="E403" s="143" t="s">
        <v>80</v>
      </c>
      <c r="F403" s="143" t="s">
        <v>565</v>
      </c>
      <c r="G403" s="143" t="s">
        <v>566</v>
      </c>
      <c r="H403" s="143" t="s">
        <v>133</v>
      </c>
      <c r="I403" s="199" t="s">
        <v>1253</v>
      </c>
      <c r="J403" s="155">
        <v>1</v>
      </c>
      <c r="K403" s="155"/>
      <c r="L403" s="155">
        <v>1</v>
      </c>
      <c r="M403" s="155">
        <v>1</v>
      </c>
      <c r="N403" s="155"/>
      <c r="O403" s="155"/>
      <c r="P403" s="155"/>
      <c r="Q403" s="155"/>
      <c r="R403" s="155"/>
      <c r="S403" s="155"/>
      <c r="T403" s="155"/>
      <c r="U403" s="143" t="s">
        <v>509</v>
      </c>
      <c r="V403" s="143" t="s">
        <v>503</v>
      </c>
      <c r="W403" s="143" t="s">
        <v>298</v>
      </c>
      <c r="X403" s="143" t="s">
        <v>227</v>
      </c>
      <c r="Y403" s="143">
        <v>9104238005</v>
      </c>
      <c r="Z403" s="143"/>
      <c r="AA403" s="143" t="s">
        <v>524</v>
      </c>
      <c r="AB403" s="143" t="s">
        <v>528</v>
      </c>
      <c r="AC403" s="155">
        <v>2</v>
      </c>
      <c r="AD403" s="155"/>
      <c r="AE403" s="155"/>
      <c r="AF403" s="155"/>
      <c r="AG403" s="155"/>
      <c r="AH403" s="143"/>
      <c r="AI403" s="158"/>
    </row>
    <row r="404" spans="1:35">
      <c r="A404" s="140"/>
      <c r="B404" s="143"/>
      <c r="C404" s="143" t="s">
        <v>1103</v>
      </c>
      <c r="D404" s="143" t="s">
        <v>501</v>
      </c>
      <c r="E404" s="143" t="s">
        <v>80</v>
      </c>
      <c r="F404" s="143" t="s">
        <v>336</v>
      </c>
      <c r="G404" s="143" t="s">
        <v>1201</v>
      </c>
      <c r="H404" s="143" t="s">
        <v>115</v>
      </c>
      <c r="I404" s="199">
        <v>28073</v>
      </c>
      <c r="J404" s="155"/>
      <c r="K404" s="155">
        <v>1</v>
      </c>
      <c r="L404" s="155"/>
      <c r="M404" s="155"/>
      <c r="N404" s="155"/>
      <c r="O404" s="155"/>
      <c r="P404" s="155"/>
      <c r="Q404" s="155">
        <v>1</v>
      </c>
      <c r="R404" s="155" t="s">
        <v>957</v>
      </c>
      <c r="S404" s="155"/>
      <c r="T404" s="155"/>
      <c r="U404" s="143" t="s">
        <v>509</v>
      </c>
      <c r="V404" s="143" t="s">
        <v>503</v>
      </c>
      <c r="W404" s="143" t="s">
        <v>298</v>
      </c>
      <c r="X404" s="143" t="s">
        <v>227</v>
      </c>
      <c r="Y404" s="143">
        <v>9707066446</v>
      </c>
      <c r="Z404" s="143"/>
      <c r="AA404" s="143" t="s">
        <v>1202</v>
      </c>
      <c r="AB404" s="143" t="s">
        <v>528</v>
      </c>
      <c r="AC404" s="155">
        <v>1</v>
      </c>
      <c r="AD404" s="155"/>
      <c r="AE404" s="155"/>
      <c r="AF404" s="155"/>
      <c r="AG404" s="155"/>
      <c r="AH404" s="143"/>
      <c r="AI404" s="158"/>
    </row>
    <row r="405" spans="1:35">
      <c r="A405" s="140"/>
      <c r="B405" s="143"/>
      <c r="C405" s="143" t="s">
        <v>1103</v>
      </c>
      <c r="D405" s="143" t="s">
        <v>501</v>
      </c>
      <c r="E405" s="143" t="s">
        <v>80</v>
      </c>
      <c r="F405" s="143" t="s">
        <v>635</v>
      </c>
      <c r="G405" s="143" t="s">
        <v>636</v>
      </c>
      <c r="H405" s="143" t="s">
        <v>133</v>
      </c>
      <c r="I405" s="199" t="s">
        <v>1252</v>
      </c>
      <c r="J405" s="155">
        <v>1</v>
      </c>
      <c r="K405" s="155"/>
      <c r="L405" s="155">
        <v>1</v>
      </c>
      <c r="M405" s="155"/>
      <c r="N405" s="155"/>
      <c r="O405" s="155"/>
      <c r="P405" s="155"/>
      <c r="Q405" s="155"/>
      <c r="R405" s="155"/>
      <c r="S405" s="155"/>
      <c r="T405" s="155"/>
      <c r="U405" s="143" t="s">
        <v>502</v>
      </c>
      <c r="V405" s="143" t="s">
        <v>503</v>
      </c>
      <c r="W405" s="143" t="s">
        <v>298</v>
      </c>
      <c r="X405" s="143" t="s">
        <v>227</v>
      </c>
      <c r="Y405" s="143">
        <v>9387732077</v>
      </c>
      <c r="Z405" s="143"/>
      <c r="AA405" s="163" t="s">
        <v>525</v>
      </c>
      <c r="AB405" s="143" t="s">
        <v>528</v>
      </c>
      <c r="AC405" s="155">
        <v>2</v>
      </c>
      <c r="AD405" s="155"/>
      <c r="AE405" s="155"/>
      <c r="AF405" s="155"/>
      <c r="AG405" s="155"/>
      <c r="AH405" s="143"/>
      <c r="AI405" s="158"/>
    </row>
    <row r="406" spans="1:35">
      <c r="A406" s="140"/>
      <c r="B406" s="143"/>
      <c r="C406" s="143" t="s">
        <v>1103</v>
      </c>
      <c r="D406" s="143" t="s">
        <v>501</v>
      </c>
      <c r="E406" s="143" t="s">
        <v>80</v>
      </c>
      <c r="F406" s="143" t="s">
        <v>401</v>
      </c>
      <c r="G406" s="143" t="s">
        <v>1212</v>
      </c>
      <c r="H406" s="143"/>
      <c r="I406" s="199" t="s">
        <v>1251</v>
      </c>
      <c r="J406" s="155">
        <v>1</v>
      </c>
      <c r="K406" s="155"/>
      <c r="L406" s="155"/>
      <c r="M406" s="155"/>
      <c r="N406" s="155"/>
      <c r="O406" s="155"/>
      <c r="P406" s="155"/>
      <c r="Q406" s="155">
        <v>1</v>
      </c>
      <c r="R406" s="155" t="s">
        <v>1045</v>
      </c>
      <c r="S406" s="155"/>
      <c r="T406" s="155"/>
      <c r="U406" s="143" t="s">
        <v>507</v>
      </c>
      <c r="V406" s="143" t="s">
        <v>503</v>
      </c>
      <c r="W406" s="143" t="s">
        <v>298</v>
      </c>
      <c r="X406" s="143" t="s">
        <v>227</v>
      </c>
      <c r="Y406" s="143">
        <v>9553462101</v>
      </c>
      <c r="Z406" s="143"/>
      <c r="AA406" s="143" t="s">
        <v>524</v>
      </c>
      <c r="AB406" s="143" t="s">
        <v>528</v>
      </c>
      <c r="AC406" s="155">
        <v>1</v>
      </c>
      <c r="AD406" s="155"/>
      <c r="AE406" s="155"/>
      <c r="AF406" s="155"/>
      <c r="AG406" s="155"/>
      <c r="AH406" s="143"/>
      <c r="AI406" s="158"/>
    </row>
    <row r="407" spans="1:35">
      <c r="A407" s="140"/>
      <c r="B407" s="143"/>
      <c r="C407" s="143" t="s">
        <v>1103</v>
      </c>
      <c r="D407" s="143" t="s">
        <v>501</v>
      </c>
      <c r="E407" s="143" t="s">
        <v>80</v>
      </c>
      <c r="F407" s="143" t="s">
        <v>1213</v>
      </c>
      <c r="G407" s="143" t="s">
        <v>1214</v>
      </c>
      <c r="H407" s="143"/>
      <c r="I407" s="199" t="s">
        <v>1250</v>
      </c>
      <c r="J407" s="155">
        <v>1</v>
      </c>
      <c r="K407" s="155"/>
      <c r="L407" s="155"/>
      <c r="M407" s="155"/>
      <c r="N407" s="155"/>
      <c r="O407" s="155"/>
      <c r="P407" s="155"/>
      <c r="Q407" s="155">
        <v>1</v>
      </c>
      <c r="R407" s="155" t="s">
        <v>962</v>
      </c>
      <c r="S407" s="155"/>
      <c r="T407" s="155"/>
      <c r="U407" s="143" t="s">
        <v>502</v>
      </c>
      <c r="V407" s="143" t="s">
        <v>503</v>
      </c>
      <c r="W407" s="143" t="s">
        <v>298</v>
      </c>
      <c r="X407" s="143" t="s">
        <v>227</v>
      </c>
      <c r="Y407" s="143">
        <v>9318856686</v>
      </c>
      <c r="Z407" s="143"/>
      <c r="AA407" s="143" t="s">
        <v>524</v>
      </c>
      <c r="AB407" s="143" t="s">
        <v>528</v>
      </c>
      <c r="AC407" s="155">
        <v>1</v>
      </c>
      <c r="AD407" s="155"/>
      <c r="AE407" s="155"/>
      <c r="AF407" s="155"/>
      <c r="AG407" s="155"/>
      <c r="AH407" s="143"/>
      <c r="AI407" s="158"/>
    </row>
    <row r="408" spans="1:35">
      <c r="A408" s="140"/>
      <c r="B408" s="143"/>
      <c r="C408" s="143" t="s">
        <v>1103</v>
      </c>
      <c r="D408" s="143" t="s">
        <v>501</v>
      </c>
      <c r="E408" s="143" t="s">
        <v>80</v>
      </c>
      <c r="F408" s="143" t="s">
        <v>1215</v>
      </c>
      <c r="G408" s="143" t="s">
        <v>1216</v>
      </c>
      <c r="H408" s="143"/>
      <c r="I408" s="199" t="s">
        <v>1249</v>
      </c>
      <c r="J408" s="155">
        <v>1</v>
      </c>
      <c r="K408" s="155"/>
      <c r="L408" s="155"/>
      <c r="M408" s="155"/>
      <c r="N408" s="155"/>
      <c r="O408" s="155"/>
      <c r="P408" s="155"/>
      <c r="Q408" s="155">
        <v>1</v>
      </c>
      <c r="R408" s="155" t="s">
        <v>1256</v>
      </c>
      <c r="S408" s="155"/>
      <c r="T408" s="155"/>
      <c r="U408" s="143" t="s">
        <v>508</v>
      </c>
      <c r="V408" s="143" t="s">
        <v>503</v>
      </c>
      <c r="W408" s="143" t="s">
        <v>298</v>
      </c>
      <c r="X408" s="143" t="s">
        <v>227</v>
      </c>
      <c r="Y408" s="143">
        <v>9759180007</v>
      </c>
      <c r="Z408" s="143"/>
      <c r="AA408" s="143" t="s">
        <v>524</v>
      </c>
      <c r="AB408" s="143" t="s">
        <v>528</v>
      </c>
      <c r="AC408" s="155">
        <v>1</v>
      </c>
      <c r="AD408" s="155"/>
      <c r="AE408" s="155"/>
      <c r="AF408" s="155"/>
      <c r="AG408" s="155"/>
      <c r="AH408" s="143"/>
      <c r="AI408" s="158"/>
    </row>
    <row r="409" spans="1:35">
      <c r="A409" s="140"/>
      <c r="B409" s="143"/>
      <c r="C409" s="143" t="s">
        <v>1103</v>
      </c>
      <c r="D409" s="143" t="s">
        <v>501</v>
      </c>
      <c r="E409" s="143" t="s">
        <v>80</v>
      </c>
      <c r="F409" s="143" t="s">
        <v>1217</v>
      </c>
      <c r="G409" s="143" t="s">
        <v>1218</v>
      </c>
      <c r="H409" s="143" t="s">
        <v>144</v>
      </c>
      <c r="I409" s="199">
        <v>26208</v>
      </c>
      <c r="J409" s="155"/>
      <c r="K409" s="155">
        <v>1</v>
      </c>
      <c r="L409" s="155"/>
      <c r="M409" s="155"/>
      <c r="N409" s="155"/>
      <c r="O409" s="155"/>
      <c r="P409" s="155"/>
      <c r="Q409" s="155">
        <v>1</v>
      </c>
      <c r="R409" s="155" t="s">
        <v>1045</v>
      </c>
      <c r="S409" s="155"/>
      <c r="T409" s="155"/>
      <c r="U409" s="143"/>
      <c r="V409" s="143" t="s">
        <v>1257</v>
      </c>
      <c r="W409" s="143"/>
      <c r="X409" s="143"/>
      <c r="Y409" s="143">
        <v>9270177569</v>
      </c>
      <c r="Z409" s="143"/>
      <c r="AA409" s="143" t="s">
        <v>524</v>
      </c>
      <c r="AB409" s="143" t="s">
        <v>528</v>
      </c>
      <c r="AC409" s="155">
        <v>1</v>
      </c>
      <c r="AD409" s="155"/>
      <c r="AE409" s="155"/>
      <c r="AF409" s="155"/>
      <c r="AG409" s="155"/>
      <c r="AH409" s="143"/>
      <c r="AI409" s="158"/>
    </row>
    <row r="410" spans="1:35">
      <c r="A410" s="140"/>
      <c r="B410" s="143"/>
      <c r="C410" s="143" t="s">
        <v>1103</v>
      </c>
      <c r="D410" s="143" t="s">
        <v>501</v>
      </c>
      <c r="E410" s="143" t="s">
        <v>80</v>
      </c>
      <c r="F410" s="143" t="s">
        <v>1219</v>
      </c>
      <c r="G410" s="143" t="s">
        <v>470</v>
      </c>
      <c r="H410" s="143"/>
      <c r="I410" s="199">
        <v>23865</v>
      </c>
      <c r="J410" s="155">
        <v>1</v>
      </c>
      <c r="K410" s="155"/>
      <c r="L410" s="155"/>
      <c r="M410" s="155"/>
      <c r="N410" s="155"/>
      <c r="O410" s="155"/>
      <c r="P410" s="155"/>
      <c r="Q410" s="155">
        <v>1</v>
      </c>
      <c r="R410" s="155" t="s">
        <v>1045</v>
      </c>
      <c r="S410" s="155"/>
      <c r="T410" s="155"/>
      <c r="U410" s="143"/>
      <c r="V410" s="143" t="s">
        <v>1127</v>
      </c>
      <c r="W410" s="143"/>
      <c r="X410" s="143"/>
      <c r="Y410" s="143">
        <v>9088933125</v>
      </c>
      <c r="Z410" s="143"/>
      <c r="AA410" s="143" t="s">
        <v>524</v>
      </c>
      <c r="AB410" s="143" t="s">
        <v>528</v>
      </c>
      <c r="AC410" s="155">
        <v>1</v>
      </c>
      <c r="AD410" s="155"/>
      <c r="AE410" s="155"/>
      <c r="AF410" s="155"/>
      <c r="AG410" s="155"/>
      <c r="AH410" s="143"/>
      <c r="AI410" s="158"/>
    </row>
    <row r="411" spans="1:35">
      <c r="A411" s="140"/>
      <c r="B411" s="143"/>
      <c r="C411" s="143" t="s">
        <v>1103</v>
      </c>
      <c r="D411" s="143" t="s">
        <v>501</v>
      </c>
      <c r="E411" s="143" t="s">
        <v>80</v>
      </c>
      <c r="F411" s="143" t="s">
        <v>1262</v>
      </c>
      <c r="G411" s="143" t="s">
        <v>745</v>
      </c>
      <c r="H411" s="143" t="s">
        <v>283</v>
      </c>
      <c r="I411" s="199">
        <v>25360</v>
      </c>
      <c r="J411" s="155">
        <v>1</v>
      </c>
      <c r="K411" s="155"/>
      <c r="L411" s="155"/>
      <c r="M411" s="155"/>
      <c r="N411" s="155"/>
      <c r="O411" s="155"/>
      <c r="P411" s="155"/>
      <c r="Q411" s="155">
        <v>1</v>
      </c>
      <c r="R411" s="155" t="s">
        <v>1258</v>
      </c>
      <c r="S411" s="155"/>
      <c r="T411" s="155"/>
      <c r="U411" s="143"/>
      <c r="V411" s="143" t="s">
        <v>949</v>
      </c>
      <c r="W411" s="143" t="s">
        <v>280</v>
      </c>
      <c r="X411" s="143" t="s">
        <v>227</v>
      </c>
      <c r="Y411" s="143">
        <v>9063573813</v>
      </c>
      <c r="Z411" s="143"/>
      <c r="AA411" s="143" t="s">
        <v>524</v>
      </c>
      <c r="AB411" s="143" t="s">
        <v>528</v>
      </c>
      <c r="AC411" s="155">
        <v>1</v>
      </c>
      <c r="AD411" s="155"/>
      <c r="AE411" s="155"/>
      <c r="AF411" s="155"/>
      <c r="AG411" s="155"/>
      <c r="AH411" s="143"/>
      <c r="AI411" s="158"/>
    </row>
    <row r="412" spans="1:35">
      <c r="A412" s="140"/>
      <c r="B412" s="143"/>
      <c r="C412" s="143" t="s">
        <v>1103</v>
      </c>
      <c r="D412" s="143" t="s">
        <v>501</v>
      </c>
      <c r="E412" s="143" t="s">
        <v>80</v>
      </c>
      <c r="F412" s="143" t="s">
        <v>1263</v>
      </c>
      <c r="G412" s="143" t="s">
        <v>1220</v>
      </c>
      <c r="H412" s="143"/>
      <c r="I412" s="199" t="s">
        <v>1248</v>
      </c>
      <c r="J412" s="155">
        <v>1</v>
      </c>
      <c r="K412" s="155"/>
      <c r="L412" s="155"/>
      <c r="M412" s="155"/>
      <c r="N412" s="155"/>
      <c r="O412" s="155"/>
      <c r="P412" s="155"/>
      <c r="Q412" s="155">
        <v>1</v>
      </c>
      <c r="R412" s="155" t="s">
        <v>1258</v>
      </c>
      <c r="S412" s="155"/>
      <c r="T412" s="155"/>
      <c r="U412" s="143"/>
      <c r="V412" s="143" t="s">
        <v>1259</v>
      </c>
      <c r="W412" s="143" t="s">
        <v>280</v>
      </c>
      <c r="X412" s="143" t="s">
        <v>227</v>
      </c>
      <c r="Y412" s="143">
        <v>9165955300</v>
      </c>
      <c r="Z412" s="143"/>
      <c r="AA412" s="143" t="s">
        <v>524</v>
      </c>
      <c r="AB412" s="143" t="s">
        <v>528</v>
      </c>
      <c r="AC412" s="155">
        <v>1</v>
      </c>
      <c r="AD412" s="155"/>
      <c r="AE412" s="155"/>
      <c r="AF412" s="155"/>
      <c r="AG412" s="155"/>
      <c r="AH412" s="143"/>
      <c r="AI412" s="158"/>
    </row>
    <row r="413" spans="1:35">
      <c r="A413" s="140"/>
      <c r="B413" s="143"/>
      <c r="C413" s="143" t="s">
        <v>1103</v>
      </c>
      <c r="D413" s="143" t="s">
        <v>501</v>
      </c>
      <c r="E413" s="143" t="s">
        <v>80</v>
      </c>
      <c r="F413" s="143" t="s">
        <v>139</v>
      </c>
      <c r="G413" s="143" t="s">
        <v>1158</v>
      </c>
      <c r="H413" s="143"/>
      <c r="I413" s="199"/>
      <c r="J413" s="155">
        <v>1</v>
      </c>
      <c r="K413" s="155"/>
      <c r="L413" s="155"/>
      <c r="M413" s="155"/>
      <c r="N413" s="155"/>
      <c r="O413" s="155"/>
      <c r="P413" s="155"/>
      <c r="Q413" s="155">
        <v>1</v>
      </c>
      <c r="R413" s="155" t="s">
        <v>1258</v>
      </c>
      <c r="S413" s="155"/>
      <c r="T413" s="155"/>
      <c r="U413" s="143"/>
      <c r="V413" s="143" t="s">
        <v>1257</v>
      </c>
      <c r="W413" s="143"/>
      <c r="X413" s="143"/>
      <c r="Y413" s="143">
        <v>9178851204</v>
      </c>
      <c r="Z413" s="143"/>
      <c r="AA413" s="143" t="s">
        <v>524</v>
      </c>
      <c r="AB413" s="143" t="s">
        <v>528</v>
      </c>
      <c r="AC413" s="155">
        <v>1</v>
      </c>
      <c r="AD413" s="155"/>
      <c r="AE413" s="155"/>
      <c r="AF413" s="155"/>
      <c r="AG413" s="155"/>
      <c r="AH413" s="143"/>
      <c r="AI413" s="158"/>
    </row>
    <row r="414" spans="1:35">
      <c r="A414" s="140"/>
      <c r="B414" s="143"/>
      <c r="C414" s="143" t="s">
        <v>1103</v>
      </c>
      <c r="D414" s="143" t="s">
        <v>501</v>
      </c>
      <c r="E414" s="143" t="s">
        <v>80</v>
      </c>
      <c r="F414" s="143" t="s">
        <v>1221</v>
      </c>
      <c r="G414" s="143" t="s">
        <v>1222</v>
      </c>
      <c r="H414" s="143"/>
      <c r="I414" s="199">
        <v>31542</v>
      </c>
      <c r="J414" s="155">
        <v>1</v>
      </c>
      <c r="K414" s="155"/>
      <c r="L414" s="155"/>
      <c r="M414" s="155"/>
      <c r="N414" s="155"/>
      <c r="O414" s="155"/>
      <c r="P414" s="155"/>
      <c r="Q414" s="155">
        <v>1</v>
      </c>
      <c r="R414" s="155" t="s">
        <v>1258</v>
      </c>
      <c r="S414" s="155"/>
      <c r="T414" s="155"/>
      <c r="U414" s="143"/>
      <c r="V414" s="143" t="s">
        <v>1260</v>
      </c>
      <c r="W414" s="143" t="s">
        <v>279</v>
      </c>
      <c r="X414" s="143" t="s">
        <v>227</v>
      </c>
      <c r="Y414" s="143">
        <v>9335114817</v>
      </c>
      <c r="Z414" s="143"/>
      <c r="AA414" s="143" t="s">
        <v>524</v>
      </c>
      <c r="AB414" s="143" t="s">
        <v>528</v>
      </c>
      <c r="AC414" s="155">
        <v>1</v>
      </c>
      <c r="AD414" s="155"/>
      <c r="AE414" s="155"/>
      <c r="AF414" s="155"/>
      <c r="AG414" s="155"/>
      <c r="AH414" s="143"/>
      <c r="AI414" s="158"/>
    </row>
    <row r="415" spans="1:35">
      <c r="A415" s="140"/>
      <c r="B415" s="143"/>
      <c r="C415" s="143" t="s">
        <v>1103</v>
      </c>
      <c r="D415" s="143" t="s">
        <v>501</v>
      </c>
      <c r="E415" s="143" t="s">
        <v>80</v>
      </c>
      <c r="F415" s="143" t="s">
        <v>557</v>
      </c>
      <c r="G415" s="143" t="s">
        <v>1223</v>
      </c>
      <c r="H415" s="143" t="s">
        <v>117</v>
      </c>
      <c r="I415" s="199" t="s">
        <v>1247</v>
      </c>
      <c r="J415" s="155">
        <v>1</v>
      </c>
      <c r="K415" s="155"/>
      <c r="L415" s="155"/>
      <c r="M415" s="155"/>
      <c r="N415" s="155"/>
      <c r="O415" s="155"/>
      <c r="P415" s="155"/>
      <c r="Q415" s="155">
        <v>1</v>
      </c>
      <c r="R415" s="155" t="s">
        <v>1045</v>
      </c>
      <c r="S415" s="155"/>
      <c r="T415" s="155"/>
      <c r="U415" s="143" t="s">
        <v>870</v>
      </c>
      <c r="V415" s="143" t="s">
        <v>503</v>
      </c>
      <c r="W415" s="143" t="s">
        <v>298</v>
      </c>
      <c r="X415" s="143" t="s">
        <v>227</v>
      </c>
      <c r="Y415" s="143">
        <v>9090637053</v>
      </c>
      <c r="Z415" s="143"/>
      <c r="AA415" s="143" t="s">
        <v>524</v>
      </c>
      <c r="AB415" s="143" t="s">
        <v>528</v>
      </c>
      <c r="AC415" s="155">
        <v>1</v>
      </c>
      <c r="AD415" s="155"/>
      <c r="AE415" s="155"/>
      <c r="AF415" s="155"/>
      <c r="AG415" s="155"/>
      <c r="AH415" s="143"/>
      <c r="AI415" s="158"/>
    </row>
    <row r="416" spans="1:35">
      <c r="A416" s="140"/>
      <c r="B416" s="143"/>
      <c r="C416" s="143" t="s">
        <v>1103</v>
      </c>
      <c r="D416" s="143" t="s">
        <v>501</v>
      </c>
      <c r="E416" s="143" t="s">
        <v>80</v>
      </c>
      <c r="F416" s="143" t="s">
        <v>1224</v>
      </c>
      <c r="G416" s="143" t="s">
        <v>625</v>
      </c>
      <c r="H416" s="143"/>
      <c r="I416" s="199"/>
      <c r="J416" s="155"/>
      <c r="K416" s="155">
        <v>1</v>
      </c>
      <c r="L416" s="155"/>
      <c r="M416" s="155"/>
      <c r="N416" s="155"/>
      <c r="O416" s="155"/>
      <c r="P416" s="155"/>
      <c r="Q416" s="155">
        <v>1</v>
      </c>
      <c r="R416" s="155" t="s">
        <v>1045</v>
      </c>
      <c r="S416" s="155"/>
      <c r="T416" s="155"/>
      <c r="U416" s="143" t="s">
        <v>870</v>
      </c>
      <c r="V416" s="143" t="s">
        <v>503</v>
      </c>
      <c r="W416" s="143" t="s">
        <v>298</v>
      </c>
      <c r="X416" s="143" t="s">
        <v>227</v>
      </c>
      <c r="Y416" s="143">
        <v>9705022010</v>
      </c>
      <c r="Z416" s="143"/>
      <c r="AA416" s="143" t="s">
        <v>524</v>
      </c>
      <c r="AB416" s="143" t="s">
        <v>528</v>
      </c>
      <c r="AC416" s="155">
        <v>1</v>
      </c>
      <c r="AD416" s="155"/>
      <c r="AE416" s="155"/>
      <c r="AF416" s="155"/>
      <c r="AG416" s="155"/>
      <c r="AH416" s="143"/>
      <c r="AI416" s="158"/>
    </row>
    <row r="417" spans="1:35">
      <c r="A417" s="140"/>
      <c r="B417" s="143"/>
      <c r="C417" s="143" t="s">
        <v>1103</v>
      </c>
      <c r="D417" s="143" t="s">
        <v>501</v>
      </c>
      <c r="E417" s="143" t="s">
        <v>80</v>
      </c>
      <c r="F417" s="143" t="s">
        <v>1225</v>
      </c>
      <c r="G417" s="143" t="s">
        <v>1226</v>
      </c>
      <c r="H417" s="143"/>
      <c r="I417" s="199"/>
      <c r="J417" s="155"/>
      <c r="K417" s="155">
        <v>1</v>
      </c>
      <c r="L417" s="155"/>
      <c r="M417" s="155"/>
      <c r="N417" s="155"/>
      <c r="O417" s="155"/>
      <c r="P417" s="155"/>
      <c r="Q417" s="155">
        <v>1</v>
      </c>
      <c r="R417" s="155" t="s">
        <v>1045</v>
      </c>
      <c r="S417" s="155"/>
      <c r="T417" s="155"/>
      <c r="U417" s="143" t="s">
        <v>870</v>
      </c>
      <c r="V417" s="143" t="s">
        <v>503</v>
      </c>
      <c r="W417" s="143" t="s">
        <v>298</v>
      </c>
      <c r="X417" s="143" t="s">
        <v>227</v>
      </c>
      <c r="Y417" s="143">
        <v>9199964100</v>
      </c>
      <c r="Z417" s="143"/>
      <c r="AA417" s="143" t="s">
        <v>524</v>
      </c>
      <c r="AB417" s="143" t="s">
        <v>528</v>
      </c>
      <c r="AC417" s="155">
        <v>1</v>
      </c>
      <c r="AD417" s="155"/>
      <c r="AE417" s="155"/>
      <c r="AF417" s="155"/>
      <c r="AG417" s="155"/>
      <c r="AH417" s="143"/>
      <c r="AI417" s="158"/>
    </row>
    <row r="418" spans="1:35">
      <c r="A418" s="140"/>
      <c r="B418" s="143"/>
      <c r="C418" s="143" t="s">
        <v>1103</v>
      </c>
      <c r="D418" s="143" t="s">
        <v>501</v>
      </c>
      <c r="E418" s="143" t="s">
        <v>80</v>
      </c>
      <c r="F418" s="143" t="s">
        <v>1227</v>
      </c>
      <c r="G418" s="143" t="s">
        <v>1242</v>
      </c>
      <c r="H418" s="143"/>
      <c r="I418" s="199" t="s">
        <v>1246</v>
      </c>
      <c r="J418" s="155">
        <v>1</v>
      </c>
      <c r="K418" s="155"/>
      <c r="L418" s="155"/>
      <c r="M418" s="155">
        <v>1</v>
      </c>
      <c r="N418" s="155"/>
      <c r="O418" s="155"/>
      <c r="P418" s="155"/>
      <c r="Q418" s="155">
        <v>1</v>
      </c>
      <c r="R418" s="155" t="s">
        <v>1045</v>
      </c>
      <c r="S418" s="155"/>
      <c r="T418" s="155"/>
      <c r="U418" s="143" t="s">
        <v>502</v>
      </c>
      <c r="V418" s="143" t="s">
        <v>503</v>
      </c>
      <c r="W418" s="143" t="s">
        <v>298</v>
      </c>
      <c r="X418" s="143" t="s">
        <v>227</v>
      </c>
      <c r="Y418" s="143">
        <v>9515522766</v>
      </c>
      <c r="Z418" s="143"/>
      <c r="AA418" s="143" t="s">
        <v>524</v>
      </c>
      <c r="AB418" s="143" t="s">
        <v>528</v>
      </c>
      <c r="AC418" s="155">
        <v>1</v>
      </c>
      <c r="AD418" s="155"/>
      <c r="AE418" s="155"/>
      <c r="AF418" s="155"/>
      <c r="AG418" s="155"/>
      <c r="AH418" s="143"/>
      <c r="AI418" s="158"/>
    </row>
    <row r="419" spans="1:35">
      <c r="A419" s="140"/>
      <c r="B419" s="143"/>
      <c r="C419" s="143" t="s">
        <v>1103</v>
      </c>
      <c r="D419" s="143" t="s">
        <v>501</v>
      </c>
      <c r="E419" s="143" t="s">
        <v>80</v>
      </c>
      <c r="F419" s="143" t="s">
        <v>1228</v>
      </c>
      <c r="G419" s="143" t="s">
        <v>1229</v>
      </c>
      <c r="H419" s="143"/>
      <c r="I419" s="199" t="s">
        <v>1245</v>
      </c>
      <c r="J419" s="155">
        <v>1</v>
      </c>
      <c r="K419" s="155"/>
      <c r="L419" s="155"/>
      <c r="M419" s="155"/>
      <c r="N419" s="155"/>
      <c r="O419" s="155"/>
      <c r="P419" s="155"/>
      <c r="Q419" s="155">
        <v>1</v>
      </c>
      <c r="R419" s="155" t="s">
        <v>1045</v>
      </c>
      <c r="S419" s="155"/>
      <c r="T419" s="155"/>
      <c r="U419" s="143"/>
      <c r="V419" s="143" t="s">
        <v>503</v>
      </c>
      <c r="W419" s="143" t="s">
        <v>298</v>
      </c>
      <c r="X419" s="143" t="s">
        <v>227</v>
      </c>
      <c r="Y419" s="143">
        <v>9958508151</v>
      </c>
      <c r="Z419" s="143"/>
      <c r="AA419" s="143" t="s">
        <v>524</v>
      </c>
      <c r="AB419" s="143" t="s">
        <v>528</v>
      </c>
      <c r="AC419" s="155">
        <v>1</v>
      </c>
      <c r="AD419" s="155"/>
      <c r="AE419" s="155"/>
      <c r="AF419" s="155"/>
      <c r="AG419" s="155"/>
      <c r="AH419" s="143"/>
      <c r="AI419" s="158"/>
    </row>
    <row r="420" spans="1:35">
      <c r="A420" s="140"/>
      <c r="B420" s="143"/>
      <c r="C420" s="143" t="s">
        <v>1103</v>
      </c>
      <c r="D420" s="143" t="s">
        <v>501</v>
      </c>
      <c r="E420" s="143" t="s">
        <v>80</v>
      </c>
      <c r="F420" s="143" t="s">
        <v>1230</v>
      </c>
      <c r="G420" s="143" t="s">
        <v>1231</v>
      </c>
      <c r="H420" s="143" t="s">
        <v>742</v>
      </c>
      <c r="I420" s="199" t="s">
        <v>1244</v>
      </c>
      <c r="J420" s="155">
        <v>1</v>
      </c>
      <c r="K420" s="155"/>
      <c r="L420" s="155"/>
      <c r="M420" s="155"/>
      <c r="N420" s="155"/>
      <c r="O420" s="155"/>
      <c r="P420" s="155"/>
      <c r="Q420" s="155">
        <v>1</v>
      </c>
      <c r="R420" s="155" t="s">
        <v>1045</v>
      </c>
      <c r="S420" s="155"/>
      <c r="T420" s="155"/>
      <c r="U420" s="143"/>
      <c r="V420" s="143" t="s">
        <v>503</v>
      </c>
      <c r="W420" s="143" t="s">
        <v>298</v>
      </c>
      <c r="X420" s="143" t="s">
        <v>227</v>
      </c>
      <c r="Y420" s="143">
        <v>9215661781</v>
      </c>
      <c r="Z420" s="143"/>
      <c r="AA420" s="143" t="s">
        <v>524</v>
      </c>
      <c r="AB420" s="143" t="s">
        <v>528</v>
      </c>
      <c r="AC420" s="155">
        <v>1</v>
      </c>
      <c r="AD420" s="155"/>
      <c r="AE420" s="155"/>
      <c r="AF420" s="155"/>
      <c r="AG420" s="155"/>
      <c r="AH420" s="143"/>
      <c r="AI420" s="158"/>
    </row>
    <row r="421" spans="1:35">
      <c r="A421" s="140"/>
      <c r="B421" s="143"/>
      <c r="C421" s="143" t="s">
        <v>1103</v>
      </c>
      <c r="D421" s="143" t="s">
        <v>501</v>
      </c>
      <c r="E421" s="143" t="s">
        <v>80</v>
      </c>
      <c r="F421" s="143" t="s">
        <v>1232</v>
      </c>
      <c r="G421" s="143" t="s">
        <v>1233</v>
      </c>
      <c r="H421" s="143" t="s">
        <v>160</v>
      </c>
      <c r="I421" s="199">
        <v>27120</v>
      </c>
      <c r="J421" s="155"/>
      <c r="K421" s="155">
        <v>1</v>
      </c>
      <c r="L421" s="155"/>
      <c r="M421" s="155"/>
      <c r="N421" s="155"/>
      <c r="O421" s="155"/>
      <c r="P421" s="155"/>
      <c r="Q421" s="155">
        <v>1</v>
      </c>
      <c r="R421" s="155" t="s">
        <v>1009</v>
      </c>
      <c r="S421" s="155"/>
      <c r="T421" s="155"/>
      <c r="U421" s="143"/>
      <c r="V421" s="143" t="s">
        <v>872</v>
      </c>
      <c r="W421" s="143" t="s">
        <v>280</v>
      </c>
      <c r="X421" s="143" t="s">
        <v>227</v>
      </c>
      <c r="Y421" s="143">
        <v>9099712150</v>
      </c>
      <c r="Z421" s="143"/>
      <c r="AA421" s="143" t="s">
        <v>524</v>
      </c>
      <c r="AB421" s="143" t="s">
        <v>528</v>
      </c>
      <c r="AC421" s="155">
        <v>1</v>
      </c>
      <c r="AD421" s="155"/>
      <c r="AE421" s="155"/>
      <c r="AF421" s="155"/>
      <c r="AG421" s="155"/>
      <c r="AH421" s="143"/>
      <c r="AI421" s="158"/>
    </row>
    <row r="422" spans="1:35">
      <c r="A422" s="140"/>
      <c r="B422" s="143"/>
      <c r="C422" s="143" t="s">
        <v>1103</v>
      </c>
      <c r="D422" s="143" t="s">
        <v>501</v>
      </c>
      <c r="E422" s="143" t="s">
        <v>80</v>
      </c>
      <c r="F422" s="143" t="s">
        <v>639</v>
      </c>
      <c r="G422" s="143" t="s">
        <v>1234</v>
      </c>
      <c r="H422" s="143"/>
      <c r="I422" s="199"/>
      <c r="J422" s="155"/>
      <c r="K422" s="155">
        <v>1</v>
      </c>
      <c r="L422" s="155"/>
      <c r="M422" s="155"/>
      <c r="N422" s="155"/>
      <c r="O422" s="155"/>
      <c r="P422" s="155"/>
      <c r="Q422" s="155">
        <v>1</v>
      </c>
      <c r="R422" s="155" t="s">
        <v>1261</v>
      </c>
      <c r="S422" s="155"/>
      <c r="T422" s="155"/>
      <c r="U422" s="143" t="s">
        <v>508</v>
      </c>
      <c r="V422" s="143" t="s">
        <v>503</v>
      </c>
      <c r="W422" s="143" t="s">
        <v>298</v>
      </c>
      <c r="X422" s="143" t="s">
        <v>227</v>
      </c>
      <c r="Y422" s="143">
        <v>9357076583</v>
      </c>
      <c r="Z422" s="143"/>
      <c r="AA422" s="143" t="s">
        <v>524</v>
      </c>
      <c r="AB422" s="143" t="s">
        <v>528</v>
      </c>
      <c r="AC422" s="155">
        <v>1</v>
      </c>
      <c r="AD422" s="155"/>
      <c r="AE422" s="155"/>
      <c r="AF422" s="155"/>
      <c r="AG422" s="155"/>
      <c r="AH422" s="143"/>
      <c r="AI422" s="158"/>
    </row>
    <row r="423" spans="1:35">
      <c r="A423" s="140"/>
      <c r="B423" s="143"/>
      <c r="C423" s="143" t="s">
        <v>1103</v>
      </c>
      <c r="D423" s="143" t="s">
        <v>501</v>
      </c>
      <c r="E423" s="143" t="s">
        <v>80</v>
      </c>
      <c r="F423" s="143" t="s">
        <v>1235</v>
      </c>
      <c r="G423" s="143" t="s">
        <v>192</v>
      </c>
      <c r="H423" s="143"/>
      <c r="I423" s="199" t="s">
        <v>1243</v>
      </c>
      <c r="J423" s="155">
        <v>1</v>
      </c>
      <c r="K423" s="155"/>
      <c r="L423" s="155"/>
      <c r="M423" s="155"/>
      <c r="N423" s="155"/>
      <c r="O423" s="155"/>
      <c r="P423" s="155"/>
      <c r="Q423" s="155">
        <v>1</v>
      </c>
      <c r="R423" s="155" t="s">
        <v>1045</v>
      </c>
      <c r="S423" s="155"/>
      <c r="T423" s="155"/>
      <c r="U423" s="143" t="s">
        <v>507</v>
      </c>
      <c r="V423" s="143" t="s">
        <v>503</v>
      </c>
      <c r="W423" s="143" t="s">
        <v>298</v>
      </c>
      <c r="X423" s="143" t="s">
        <v>227</v>
      </c>
      <c r="Y423" s="143">
        <v>9335574039</v>
      </c>
      <c r="Z423" s="143"/>
      <c r="AA423" s="143" t="s">
        <v>524</v>
      </c>
      <c r="AB423" s="143" t="s">
        <v>528</v>
      </c>
      <c r="AC423" s="155">
        <v>1</v>
      </c>
      <c r="AD423" s="155"/>
      <c r="AE423" s="155"/>
      <c r="AF423" s="155"/>
      <c r="AG423" s="155"/>
      <c r="AH423" s="143"/>
      <c r="AI423" s="158"/>
    </row>
    <row r="424" spans="1:35">
      <c r="A424" s="140"/>
      <c r="B424" s="143"/>
      <c r="C424" s="143" t="s">
        <v>1103</v>
      </c>
      <c r="D424" s="143" t="s">
        <v>501</v>
      </c>
      <c r="E424" s="143" t="s">
        <v>80</v>
      </c>
      <c r="F424" s="143" t="s">
        <v>1236</v>
      </c>
      <c r="G424" s="143" t="s">
        <v>1237</v>
      </c>
      <c r="H424" s="143"/>
      <c r="I424" s="199">
        <v>32114</v>
      </c>
      <c r="J424" s="155">
        <v>1</v>
      </c>
      <c r="K424" s="155"/>
      <c r="L424" s="155"/>
      <c r="M424" s="155"/>
      <c r="N424" s="155"/>
      <c r="O424" s="155"/>
      <c r="P424" s="155"/>
      <c r="Q424" s="155">
        <v>1</v>
      </c>
      <c r="R424" s="155" t="s">
        <v>1045</v>
      </c>
      <c r="S424" s="155"/>
      <c r="T424" s="155"/>
      <c r="U424" s="143" t="s">
        <v>510</v>
      </c>
      <c r="V424" s="143" t="s">
        <v>503</v>
      </c>
      <c r="W424" s="143" t="s">
        <v>298</v>
      </c>
      <c r="X424" s="143" t="s">
        <v>227</v>
      </c>
      <c r="Y424" s="143">
        <v>9298254614</v>
      </c>
      <c r="Z424" s="143"/>
      <c r="AA424" s="143" t="s">
        <v>524</v>
      </c>
      <c r="AB424" s="143" t="s">
        <v>528</v>
      </c>
      <c r="AC424" s="155">
        <v>1</v>
      </c>
      <c r="AD424" s="155"/>
      <c r="AE424" s="155"/>
      <c r="AF424" s="155"/>
      <c r="AG424" s="155"/>
      <c r="AH424" s="143"/>
      <c r="AI424" s="158"/>
    </row>
    <row r="425" spans="1:35">
      <c r="A425" s="140"/>
      <c r="B425" s="143"/>
      <c r="C425" s="143" t="s">
        <v>1103</v>
      </c>
      <c r="D425" s="143" t="s">
        <v>501</v>
      </c>
      <c r="E425" s="143" t="s">
        <v>80</v>
      </c>
      <c r="F425" s="143" t="s">
        <v>1077</v>
      </c>
      <c r="G425" s="143" t="s">
        <v>1078</v>
      </c>
      <c r="H425" s="143" t="s">
        <v>830</v>
      </c>
      <c r="I425" s="199">
        <v>27524</v>
      </c>
      <c r="J425" s="155"/>
      <c r="K425" s="155">
        <v>1</v>
      </c>
      <c r="L425" s="155"/>
      <c r="M425" s="155"/>
      <c r="N425" s="155"/>
      <c r="O425" s="155"/>
      <c r="P425" s="155"/>
      <c r="Q425" s="155">
        <v>1</v>
      </c>
      <c r="R425" s="155" t="s">
        <v>1045</v>
      </c>
      <c r="S425" s="155"/>
      <c r="T425" s="155"/>
      <c r="U425" s="143" t="s">
        <v>295</v>
      </c>
      <c r="V425" s="143" t="s">
        <v>503</v>
      </c>
      <c r="W425" s="143" t="s">
        <v>298</v>
      </c>
      <c r="X425" s="143" t="s">
        <v>227</v>
      </c>
      <c r="Y425" s="143">
        <v>9102099515</v>
      </c>
      <c r="Z425" s="143"/>
      <c r="AA425" s="143" t="s">
        <v>524</v>
      </c>
      <c r="AB425" s="143" t="s">
        <v>528</v>
      </c>
      <c r="AC425" s="155">
        <v>2</v>
      </c>
      <c r="AD425" s="155"/>
      <c r="AE425" s="155"/>
      <c r="AF425" s="155"/>
      <c r="AG425" s="155"/>
      <c r="AH425" s="143"/>
      <c r="AI425" s="158"/>
    </row>
    <row r="426" spans="1:35">
      <c r="A426" s="140"/>
      <c r="B426" s="143"/>
      <c r="C426" s="143" t="s">
        <v>1103</v>
      </c>
      <c r="D426" s="143" t="s">
        <v>501</v>
      </c>
      <c r="E426" s="143" t="s">
        <v>80</v>
      </c>
      <c r="F426" s="143" t="s">
        <v>1238</v>
      </c>
      <c r="G426" s="143" t="s">
        <v>1239</v>
      </c>
      <c r="H426" s="143" t="s">
        <v>133</v>
      </c>
      <c r="I426" s="199">
        <v>25303</v>
      </c>
      <c r="J426" s="155">
        <v>1</v>
      </c>
      <c r="K426" s="155"/>
      <c r="L426" s="155"/>
      <c r="M426" s="155"/>
      <c r="N426" s="155"/>
      <c r="O426" s="155"/>
      <c r="P426" s="155"/>
      <c r="Q426" s="155">
        <v>1</v>
      </c>
      <c r="R426" s="155" t="s">
        <v>1348</v>
      </c>
      <c r="S426" s="155"/>
      <c r="T426" s="155"/>
      <c r="U426" s="143" t="s">
        <v>504</v>
      </c>
      <c r="V426" s="143" t="s">
        <v>503</v>
      </c>
      <c r="W426" s="143" t="s">
        <v>298</v>
      </c>
      <c r="X426" s="143" t="s">
        <v>227</v>
      </c>
      <c r="Y426" s="143">
        <v>9179130921</v>
      </c>
      <c r="Z426" s="143"/>
      <c r="AA426" s="163" t="s">
        <v>525</v>
      </c>
      <c r="AB426" s="143" t="s">
        <v>528</v>
      </c>
      <c r="AC426" s="155">
        <v>1</v>
      </c>
      <c r="AD426" s="155"/>
      <c r="AE426" s="155"/>
      <c r="AF426" s="155"/>
      <c r="AG426" s="155"/>
      <c r="AH426" s="143"/>
      <c r="AI426" s="158"/>
    </row>
    <row r="427" spans="1:35">
      <c r="A427" s="140"/>
      <c r="B427" s="143"/>
      <c r="C427" s="143" t="s">
        <v>1103</v>
      </c>
      <c r="D427" s="143" t="s">
        <v>501</v>
      </c>
      <c r="E427" s="143" t="s">
        <v>80</v>
      </c>
      <c r="F427" s="143" t="s">
        <v>1518</v>
      </c>
      <c r="G427" s="143" t="s">
        <v>1240</v>
      </c>
      <c r="H427" s="143"/>
      <c r="I427" s="199">
        <v>33638</v>
      </c>
      <c r="J427" s="155"/>
      <c r="K427" s="155">
        <v>1</v>
      </c>
      <c r="L427" s="155">
        <v>1</v>
      </c>
      <c r="M427" s="155"/>
      <c r="N427" s="155"/>
      <c r="O427" s="155"/>
      <c r="P427" s="155"/>
      <c r="Q427" s="155">
        <v>1</v>
      </c>
      <c r="R427" s="155" t="s">
        <v>1009</v>
      </c>
      <c r="S427" s="155"/>
      <c r="T427" s="155"/>
      <c r="U427" s="187"/>
      <c r="V427" s="143" t="s">
        <v>513</v>
      </c>
      <c r="W427" s="143" t="s">
        <v>279</v>
      </c>
      <c r="X427" s="143" t="s">
        <v>227</v>
      </c>
      <c r="Y427" s="143">
        <v>9959215286</v>
      </c>
      <c r="Z427" s="143"/>
      <c r="AA427" s="163" t="s">
        <v>525</v>
      </c>
      <c r="AB427" s="143" t="s">
        <v>528</v>
      </c>
      <c r="AC427" s="155">
        <v>1</v>
      </c>
      <c r="AD427" s="155"/>
      <c r="AE427" s="155"/>
      <c r="AF427" s="155"/>
      <c r="AG427" s="155"/>
      <c r="AH427" s="143"/>
      <c r="AI427" s="158"/>
    </row>
    <row r="428" spans="1:35">
      <c r="A428" s="140"/>
      <c r="B428" s="143"/>
      <c r="C428" s="143" t="s">
        <v>1103</v>
      </c>
      <c r="D428" s="143" t="s">
        <v>501</v>
      </c>
      <c r="E428" s="143" t="s">
        <v>80</v>
      </c>
      <c r="F428" s="143" t="s">
        <v>1075</v>
      </c>
      <c r="G428" s="143" t="s">
        <v>1179</v>
      </c>
      <c r="H428" s="143" t="s">
        <v>126</v>
      </c>
      <c r="I428" s="199">
        <v>28408</v>
      </c>
      <c r="J428" s="155">
        <v>1</v>
      </c>
      <c r="K428" s="155"/>
      <c r="L428" s="155"/>
      <c r="M428" s="155"/>
      <c r="N428" s="155"/>
      <c r="O428" s="155"/>
      <c r="P428" s="155"/>
      <c r="Q428" s="155">
        <v>1</v>
      </c>
      <c r="R428" s="155" t="s">
        <v>962</v>
      </c>
      <c r="S428" s="155"/>
      <c r="T428" s="155"/>
      <c r="U428" s="143" t="s">
        <v>1176</v>
      </c>
      <c r="V428" s="143" t="s">
        <v>355</v>
      </c>
      <c r="W428" s="143" t="s">
        <v>280</v>
      </c>
      <c r="X428" s="143" t="s">
        <v>227</v>
      </c>
      <c r="Y428" s="187">
        <v>9774153285</v>
      </c>
      <c r="Z428" s="143"/>
      <c r="AA428" s="184" t="s">
        <v>1319</v>
      </c>
      <c r="AB428" s="143" t="s">
        <v>528</v>
      </c>
      <c r="AC428" s="155">
        <v>2</v>
      </c>
      <c r="AD428" s="155"/>
      <c r="AE428" s="155"/>
      <c r="AF428" s="155"/>
      <c r="AG428" s="155"/>
      <c r="AH428" s="143"/>
      <c r="AI428" s="158"/>
    </row>
    <row r="429" spans="1:35">
      <c r="A429" s="140"/>
      <c r="B429" s="143"/>
      <c r="C429" s="143" t="s">
        <v>1103</v>
      </c>
      <c r="D429" s="143" t="s">
        <v>501</v>
      </c>
      <c r="E429" s="143" t="s">
        <v>80</v>
      </c>
      <c r="F429" s="143" t="s">
        <v>702</v>
      </c>
      <c r="G429" s="143" t="s">
        <v>138</v>
      </c>
      <c r="H429" s="143"/>
      <c r="I429" s="199">
        <v>33545</v>
      </c>
      <c r="J429" s="155">
        <v>1</v>
      </c>
      <c r="K429" s="155"/>
      <c r="L429" s="155"/>
      <c r="M429" s="155"/>
      <c r="N429" s="155"/>
      <c r="O429" s="155"/>
      <c r="P429" s="155"/>
      <c r="Q429" s="155">
        <v>1</v>
      </c>
      <c r="R429" s="155" t="s">
        <v>1045</v>
      </c>
      <c r="S429" s="155"/>
      <c r="T429" s="155"/>
      <c r="U429" s="143" t="s">
        <v>517</v>
      </c>
      <c r="V429" s="143" t="s">
        <v>503</v>
      </c>
      <c r="W429" s="143" t="s">
        <v>298</v>
      </c>
      <c r="X429" s="143" t="s">
        <v>227</v>
      </c>
      <c r="Y429" s="143">
        <v>9501018082</v>
      </c>
      <c r="Z429" s="143"/>
      <c r="AA429" s="143" t="s">
        <v>524</v>
      </c>
      <c r="AB429" s="143" t="s">
        <v>528</v>
      </c>
      <c r="AC429" s="155">
        <v>1</v>
      </c>
      <c r="AD429" s="155"/>
      <c r="AE429" s="155"/>
      <c r="AF429" s="155"/>
      <c r="AG429" s="155"/>
      <c r="AH429" s="143"/>
      <c r="AI429" s="158"/>
    </row>
    <row r="430" spans="1:35">
      <c r="A430" s="140"/>
      <c r="B430" s="143"/>
      <c r="C430" s="143" t="s">
        <v>1103</v>
      </c>
      <c r="D430" s="143" t="s">
        <v>501</v>
      </c>
      <c r="E430" s="143" t="s">
        <v>80</v>
      </c>
      <c r="F430" s="143" t="s">
        <v>1241</v>
      </c>
      <c r="G430" s="143" t="s">
        <v>1022</v>
      </c>
      <c r="H430" s="143" t="s">
        <v>113</v>
      </c>
      <c r="I430" s="199" t="s">
        <v>1254</v>
      </c>
      <c r="J430" s="155"/>
      <c r="K430" s="155">
        <v>1</v>
      </c>
      <c r="L430" s="155"/>
      <c r="M430" s="155"/>
      <c r="N430" s="155"/>
      <c r="O430" s="155"/>
      <c r="P430" s="155"/>
      <c r="Q430" s="155">
        <v>1</v>
      </c>
      <c r="R430" s="155" t="s">
        <v>1264</v>
      </c>
      <c r="S430" s="155"/>
      <c r="T430" s="155"/>
      <c r="U430" s="143" t="s">
        <v>1023</v>
      </c>
      <c r="V430" s="143" t="s">
        <v>872</v>
      </c>
      <c r="W430" s="143" t="s">
        <v>280</v>
      </c>
      <c r="X430" s="143" t="s">
        <v>227</v>
      </c>
      <c r="Y430" s="143">
        <v>9217795235</v>
      </c>
      <c r="Z430" s="143"/>
      <c r="AA430" s="143" t="s">
        <v>524</v>
      </c>
      <c r="AB430" s="143" t="s">
        <v>528</v>
      </c>
      <c r="AC430" s="155">
        <v>1</v>
      </c>
      <c r="AD430" s="155"/>
      <c r="AE430" s="155"/>
      <c r="AF430" s="155"/>
      <c r="AG430" s="155"/>
      <c r="AH430" s="143"/>
      <c r="AI430" s="158"/>
    </row>
    <row r="431" spans="1:35">
      <c r="A431" s="140"/>
      <c r="B431" s="143"/>
      <c r="C431" s="143" t="s">
        <v>1103</v>
      </c>
      <c r="D431" s="143" t="s">
        <v>501</v>
      </c>
      <c r="E431" s="143" t="s">
        <v>80</v>
      </c>
      <c r="F431" s="143" t="s">
        <v>150</v>
      </c>
      <c r="G431" s="143" t="s">
        <v>730</v>
      </c>
      <c r="H431" s="143"/>
      <c r="I431" s="199" t="s">
        <v>1255</v>
      </c>
      <c r="J431" s="155"/>
      <c r="K431" s="155">
        <v>1</v>
      </c>
      <c r="L431" s="155"/>
      <c r="M431" s="155"/>
      <c r="N431" s="155"/>
      <c r="O431" s="155"/>
      <c r="P431" s="155"/>
      <c r="Q431" s="155">
        <v>1</v>
      </c>
      <c r="R431" s="155" t="s">
        <v>957</v>
      </c>
      <c r="S431" s="155"/>
      <c r="T431" s="155"/>
      <c r="U431" s="143" t="s">
        <v>504</v>
      </c>
      <c r="V431" s="143" t="s">
        <v>503</v>
      </c>
      <c r="W431" s="143" t="s">
        <v>298</v>
      </c>
      <c r="X431" s="143" t="s">
        <v>227</v>
      </c>
      <c r="Y431" s="143">
        <v>9958751115</v>
      </c>
      <c r="Z431" s="143"/>
      <c r="AA431" s="143" t="s">
        <v>524</v>
      </c>
      <c r="AB431" s="143" t="s">
        <v>528</v>
      </c>
      <c r="AC431" s="155">
        <v>1</v>
      </c>
      <c r="AD431" s="155"/>
      <c r="AE431" s="155"/>
      <c r="AF431" s="155"/>
      <c r="AG431" s="155"/>
      <c r="AH431" s="143"/>
      <c r="AI431" s="158"/>
    </row>
    <row r="432" spans="1:35">
      <c r="A432" s="140"/>
      <c r="B432" s="143"/>
      <c r="C432" s="143" t="s">
        <v>1172</v>
      </c>
      <c r="D432" s="143" t="s">
        <v>501</v>
      </c>
      <c r="E432" s="143" t="s">
        <v>80</v>
      </c>
      <c r="F432" s="143" t="s">
        <v>755</v>
      </c>
      <c r="G432" s="143" t="s">
        <v>389</v>
      </c>
      <c r="H432" s="143" t="s">
        <v>453</v>
      </c>
      <c r="I432" s="199">
        <v>25879</v>
      </c>
      <c r="J432" s="165">
        <v>1</v>
      </c>
      <c r="K432" s="182"/>
      <c r="L432" s="155"/>
      <c r="M432" s="155"/>
      <c r="N432" s="155"/>
      <c r="O432" s="155"/>
      <c r="P432" s="155"/>
      <c r="Q432" s="155">
        <v>1</v>
      </c>
      <c r="R432" s="155" t="s">
        <v>1348</v>
      </c>
      <c r="S432" s="155"/>
      <c r="T432" s="155"/>
      <c r="U432" s="183" t="s">
        <v>502</v>
      </c>
      <c r="V432" s="153" t="s">
        <v>503</v>
      </c>
      <c r="W432" s="143" t="s">
        <v>298</v>
      </c>
      <c r="X432" s="157" t="s">
        <v>227</v>
      </c>
      <c r="Y432" s="184">
        <v>9051935837</v>
      </c>
      <c r="Z432" s="143"/>
      <c r="AA432" s="163" t="s">
        <v>525</v>
      </c>
      <c r="AB432" s="143" t="s">
        <v>528</v>
      </c>
      <c r="AC432" s="155">
        <v>3</v>
      </c>
      <c r="AD432" s="155"/>
      <c r="AE432" s="155"/>
      <c r="AF432" s="155"/>
      <c r="AG432" s="155"/>
      <c r="AH432" s="143"/>
      <c r="AI432" s="158"/>
    </row>
    <row r="433" spans="1:35">
      <c r="A433" s="140"/>
      <c r="B433" s="143"/>
      <c r="C433" s="143" t="s">
        <v>1172</v>
      </c>
      <c r="D433" s="143" t="s">
        <v>501</v>
      </c>
      <c r="E433" s="143" t="s">
        <v>80</v>
      </c>
      <c r="F433" s="143" t="s">
        <v>1203</v>
      </c>
      <c r="G433" s="143" t="s">
        <v>1204</v>
      </c>
      <c r="H433" s="143" t="s">
        <v>588</v>
      </c>
      <c r="I433" s="199">
        <v>24025</v>
      </c>
      <c r="J433" s="155">
        <v>1</v>
      </c>
      <c r="K433" s="155"/>
      <c r="L433" s="155"/>
      <c r="M433" s="155"/>
      <c r="N433" s="155"/>
      <c r="O433" s="155"/>
      <c r="P433" s="155"/>
      <c r="Q433" s="155">
        <v>1</v>
      </c>
      <c r="R433" s="155" t="s">
        <v>962</v>
      </c>
      <c r="S433" s="155"/>
      <c r="T433" s="155"/>
      <c r="U433" s="143" t="s">
        <v>504</v>
      </c>
      <c r="V433" s="143" t="s">
        <v>503</v>
      </c>
      <c r="W433" s="143" t="s">
        <v>298</v>
      </c>
      <c r="X433" s="143" t="s">
        <v>227</v>
      </c>
      <c r="Y433" s="143">
        <v>9633379570</v>
      </c>
      <c r="Z433" s="143"/>
      <c r="AA433" s="143" t="s">
        <v>524</v>
      </c>
      <c r="AB433" s="143" t="s">
        <v>528</v>
      </c>
      <c r="AC433" s="155">
        <v>1</v>
      </c>
      <c r="AD433" s="155"/>
      <c r="AE433" s="155"/>
      <c r="AF433" s="155"/>
      <c r="AG433" s="155"/>
      <c r="AH433" s="143"/>
      <c r="AI433" s="158"/>
    </row>
    <row r="434" spans="1:35">
      <c r="A434" s="140"/>
      <c r="B434" s="143"/>
      <c r="C434" s="143" t="s">
        <v>1172</v>
      </c>
      <c r="D434" s="143" t="s">
        <v>501</v>
      </c>
      <c r="E434" s="143" t="s">
        <v>80</v>
      </c>
      <c r="F434" s="143" t="s">
        <v>106</v>
      </c>
      <c r="G434" s="143" t="s">
        <v>169</v>
      </c>
      <c r="H434" s="143" t="s">
        <v>120</v>
      </c>
      <c r="I434" s="199">
        <v>32619</v>
      </c>
      <c r="J434" s="155">
        <v>1</v>
      </c>
      <c r="K434" s="155"/>
      <c r="L434" s="155">
        <v>1</v>
      </c>
      <c r="M434" s="155"/>
      <c r="N434" s="155"/>
      <c r="O434" s="155"/>
      <c r="P434" s="155"/>
      <c r="Q434" s="155"/>
      <c r="R434" s="155"/>
      <c r="S434" s="155"/>
      <c r="T434" s="155"/>
      <c r="U434" s="143"/>
      <c r="V434" s="143" t="s">
        <v>872</v>
      </c>
      <c r="W434" s="143" t="s">
        <v>298</v>
      </c>
      <c r="X434" s="143" t="s">
        <v>227</v>
      </c>
      <c r="Y434" s="143">
        <v>9553552222</v>
      </c>
      <c r="Z434" s="143"/>
      <c r="AA434" s="143" t="s">
        <v>1202</v>
      </c>
      <c r="AB434" s="143" t="s">
        <v>528</v>
      </c>
      <c r="AC434" s="155">
        <v>1</v>
      </c>
      <c r="AD434" s="155"/>
      <c r="AE434" s="155"/>
      <c r="AF434" s="155"/>
      <c r="AG434" s="155"/>
      <c r="AH434" s="143"/>
      <c r="AI434" s="158"/>
    </row>
    <row r="435" spans="1:35">
      <c r="A435" s="140"/>
      <c r="B435" s="143"/>
      <c r="C435" s="143" t="s">
        <v>1172</v>
      </c>
      <c r="D435" s="143" t="s">
        <v>501</v>
      </c>
      <c r="E435" s="143" t="s">
        <v>80</v>
      </c>
      <c r="F435" s="143" t="s">
        <v>1205</v>
      </c>
      <c r="G435" s="143" t="s">
        <v>1206</v>
      </c>
      <c r="H435" s="143"/>
      <c r="I435" s="199">
        <v>15325</v>
      </c>
      <c r="J435" s="155">
        <v>1</v>
      </c>
      <c r="K435" s="155"/>
      <c r="L435" s="155">
        <v>1</v>
      </c>
      <c r="M435" s="155">
        <v>1</v>
      </c>
      <c r="N435" s="155"/>
      <c r="O435" s="155"/>
      <c r="P435" s="155"/>
      <c r="Q435" s="155"/>
      <c r="R435" s="155"/>
      <c r="S435" s="155"/>
      <c r="T435" s="155"/>
      <c r="U435" s="143"/>
      <c r="V435" s="143" t="s">
        <v>872</v>
      </c>
      <c r="W435" s="143" t="s">
        <v>298</v>
      </c>
      <c r="X435" s="143" t="s">
        <v>227</v>
      </c>
      <c r="Y435" s="143">
        <v>9553552222</v>
      </c>
      <c r="Z435" s="143"/>
      <c r="AA435" s="143" t="s">
        <v>1202</v>
      </c>
      <c r="AB435" s="143" t="s">
        <v>528</v>
      </c>
      <c r="AC435" s="155">
        <v>1</v>
      </c>
      <c r="AD435" s="155"/>
      <c r="AE435" s="155"/>
      <c r="AF435" s="155"/>
      <c r="AG435" s="155"/>
      <c r="AH435" s="143"/>
      <c r="AI435" s="158"/>
    </row>
    <row r="436" spans="1:35">
      <c r="A436" s="140"/>
      <c r="B436" s="143"/>
      <c r="C436" s="143" t="s">
        <v>1172</v>
      </c>
      <c r="D436" s="143" t="s">
        <v>501</v>
      </c>
      <c r="E436" s="143" t="s">
        <v>80</v>
      </c>
      <c r="F436" s="143" t="s">
        <v>1207</v>
      </c>
      <c r="G436" s="143" t="s">
        <v>1208</v>
      </c>
      <c r="H436" s="143"/>
      <c r="I436" s="199">
        <v>34416</v>
      </c>
      <c r="J436" s="155">
        <v>1</v>
      </c>
      <c r="K436" s="155"/>
      <c r="L436" s="155">
        <v>1</v>
      </c>
      <c r="M436" s="155"/>
      <c r="N436" s="155"/>
      <c r="O436" s="155"/>
      <c r="P436" s="155"/>
      <c r="Q436" s="155"/>
      <c r="R436" s="155"/>
      <c r="S436" s="155"/>
      <c r="T436" s="155"/>
      <c r="U436" s="143" t="s">
        <v>502</v>
      </c>
      <c r="V436" s="143" t="s">
        <v>503</v>
      </c>
      <c r="W436" s="143" t="s">
        <v>298</v>
      </c>
      <c r="X436" s="143" t="s">
        <v>227</v>
      </c>
      <c r="Y436" s="143">
        <v>9703634894</v>
      </c>
      <c r="Z436" s="143"/>
      <c r="AA436" s="163" t="s">
        <v>525</v>
      </c>
      <c r="AB436" s="143" t="s">
        <v>528</v>
      </c>
      <c r="AC436" s="155">
        <v>1</v>
      </c>
      <c r="AD436" s="155"/>
      <c r="AE436" s="155"/>
      <c r="AF436" s="155"/>
      <c r="AG436" s="155"/>
      <c r="AH436" s="143"/>
      <c r="AI436" s="158"/>
    </row>
    <row r="437" spans="1:35">
      <c r="A437" s="140"/>
      <c r="B437" s="143"/>
      <c r="C437" s="143" t="s">
        <v>1172</v>
      </c>
      <c r="D437" s="143" t="s">
        <v>501</v>
      </c>
      <c r="E437" s="143" t="s">
        <v>80</v>
      </c>
      <c r="F437" s="143" t="s">
        <v>1209</v>
      </c>
      <c r="G437" s="143" t="s">
        <v>1210</v>
      </c>
      <c r="H437" s="143" t="s">
        <v>120</v>
      </c>
      <c r="I437" s="199">
        <v>23873</v>
      </c>
      <c r="J437" s="155">
        <v>1</v>
      </c>
      <c r="K437" s="155"/>
      <c r="L437" s="155">
        <v>1</v>
      </c>
      <c r="M437" s="155"/>
      <c r="N437" s="155"/>
      <c r="O437" s="155"/>
      <c r="P437" s="155"/>
      <c r="Q437" s="155"/>
      <c r="R437" s="155"/>
      <c r="S437" s="155"/>
      <c r="T437" s="155"/>
      <c r="U437" s="143" t="s">
        <v>502</v>
      </c>
      <c r="V437" s="143" t="s">
        <v>503</v>
      </c>
      <c r="W437" s="143" t="s">
        <v>298</v>
      </c>
      <c r="X437" s="143" t="s">
        <v>227</v>
      </c>
      <c r="Y437" s="143">
        <v>9701200705</v>
      </c>
      <c r="Z437" s="143"/>
      <c r="AA437" s="163" t="s">
        <v>525</v>
      </c>
      <c r="AB437" s="143" t="s">
        <v>528</v>
      </c>
      <c r="AC437" s="155">
        <v>1</v>
      </c>
      <c r="AD437" s="155"/>
      <c r="AE437" s="155"/>
      <c r="AF437" s="155"/>
      <c r="AG437" s="155"/>
      <c r="AH437" s="143"/>
      <c r="AI437" s="158"/>
    </row>
    <row r="438" spans="1:35">
      <c r="A438" s="140"/>
      <c r="B438" s="143"/>
      <c r="C438" s="143" t="s">
        <v>1172</v>
      </c>
      <c r="D438" s="143" t="s">
        <v>501</v>
      </c>
      <c r="E438" s="143" t="s">
        <v>80</v>
      </c>
      <c r="F438" s="143" t="s">
        <v>1209</v>
      </c>
      <c r="G438" s="143" t="s">
        <v>1211</v>
      </c>
      <c r="H438" s="143" t="s">
        <v>588</v>
      </c>
      <c r="I438" s="199">
        <v>35457</v>
      </c>
      <c r="J438" s="155">
        <v>1</v>
      </c>
      <c r="K438" s="155"/>
      <c r="L438" s="155">
        <v>1</v>
      </c>
      <c r="M438" s="155"/>
      <c r="N438" s="155"/>
      <c r="O438" s="155"/>
      <c r="P438" s="155"/>
      <c r="Q438" s="155"/>
      <c r="R438" s="155"/>
      <c r="S438" s="155"/>
      <c r="T438" s="155"/>
      <c r="U438" s="143" t="s">
        <v>502</v>
      </c>
      <c r="V438" s="143" t="s">
        <v>503</v>
      </c>
      <c r="W438" s="143" t="s">
        <v>298</v>
      </c>
      <c r="X438" s="143" t="s">
        <v>227</v>
      </c>
      <c r="Y438" s="143">
        <v>9701200705</v>
      </c>
      <c r="Z438" s="143"/>
      <c r="AA438" s="163" t="s">
        <v>525</v>
      </c>
      <c r="AB438" s="143" t="s">
        <v>528</v>
      </c>
      <c r="AC438" s="155">
        <v>1</v>
      </c>
      <c r="AD438" s="155"/>
      <c r="AE438" s="155"/>
      <c r="AF438" s="155"/>
      <c r="AG438" s="155"/>
      <c r="AH438" s="143"/>
      <c r="AI438" s="158"/>
    </row>
    <row r="439" spans="1:35">
      <c r="A439" s="140"/>
      <c r="B439" s="143"/>
      <c r="C439" s="143" t="s">
        <v>1172</v>
      </c>
      <c r="D439" s="143" t="s">
        <v>501</v>
      </c>
      <c r="E439" s="143" t="s">
        <v>80</v>
      </c>
      <c r="F439" s="143" t="s">
        <v>168</v>
      </c>
      <c r="G439" s="143" t="s">
        <v>1265</v>
      </c>
      <c r="H439" s="143"/>
      <c r="I439" s="199"/>
      <c r="J439" s="155"/>
      <c r="K439" s="155">
        <v>1</v>
      </c>
      <c r="L439" s="155"/>
      <c r="M439" s="155"/>
      <c r="N439" s="155"/>
      <c r="O439" s="155"/>
      <c r="P439" s="155"/>
      <c r="Q439" s="155">
        <v>1</v>
      </c>
      <c r="R439" s="155" t="s">
        <v>1266</v>
      </c>
      <c r="S439" s="155"/>
      <c r="T439" s="155"/>
      <c r="U439" s="143" t="s">
        <v>506</v>
      </c>
      <c r="V439" s="143" t="s">
        <v>503</v>
      </c>
      <c r="W439" s="143" t="s">
        <v>298</v>
      </c>
      <c r="X439" s="143" t="s">
        <v>227</v>
      </c>
      <c r="Y439" s="143">
        <v>9195902069</v>
      </c>
      <c r="Z439" s="143"/>
      <c r="AA439" s="143" t="s">
        <v>524</v>
      </c>
      <c r="AB439" s="143" t="s">
        <v>528</v>
      </c>
      <c r="AC439" s="155">
        <v>1</v>
      </c>
      <c r="AD439" s="155"/>
      <c r="AE439" s="155"/>
      <c r="AF439" s="155"/>
      <c r="AG439" s="155"/>
      <c r="AH439" s="143"/>
      <c r="AI439" s="158"/>
    </row>
    <row r="440" spans="1:35">
      <c r="A440" s="140"/>
      <c r="B440" s="143"/>
      <c r="C440" s="143" t="s">
        <v>1172</v>
      </c>
      <c r="D440" s="143" t="s">
        <v>501</v>
      </c>
      <c r="E440" s="143" t="s">
        <v>80</v>
      </c>
      <c r="F440" s="143" t="s">
        <v>782</v>
      </c>
      <c r="G440" s="143" t="s">
        <v>1267</v>
      </c>
      <c r="H440" s="143" t="s">
        <v>286</v>
      </c>
      <c r="I440" s="199">
        <v>27518</v>
      </c>
      <c r="J440" s="155">
        <v>1</v>
      </c>
      <c r="K440" s="155"/>
      <c r="L440" s="155"/>
      <c r="M440" s="155"/>
      <c r="N440" s="155"/>
      <c r="O440" s="155"/>
      <c r="P440" s="155"/>
      <c r="Q440" s="155">
        <v>1</v>
      </c>
      <c r="R440" s="155" t="s">
        <v>1045</v>
      </c>
      <c r="S440" s="155"/>
      <c r="T440" s="155"/>
      <c r="U440" s="143" t="s">
        <v>1271</v>
      </c>
      <c r="V440" s="143" t="s">
        <v>503</v>
      </c>
      <c r="W440" s="143" t="s">
        <v>298</v>
      </c>
      <c r="X440" s="143" t="s">
        <v>227</v>
      </c>
      <c r="Y440" s="143">
        <v>9754857870</v>
      </c>
      <c r="Z440" s="143"/>
      <c r="AA440" s="143" t="s">
        <v>524</v>
      </c>
      <c r="AB440" s="143" t="s">
        <v>528</v>
      </c>
      <c r="AC440" s="155">
        <v>1</v>
      </c>
      <c r="AD440" s="155"/>
      <c r="AE440" s="155"/>
      <c r="AF440" s="155"/>
      <c r="AG440" s="155"/>
      <c r="AH440" s="143"/>
      <c r="AI440" s="158"/>
    </row>
    <row r="441" spans="1:35">
      <c r="A441" s="140"/>
      <c r="B441" s="143"/>
      <c r="C441" s="143" t="s">
        <v>1172</v>
      </c>
      <c r="D441" s="143" t="s">
        <v>501</v>
      </c>
      <c r="E441" s="143" t="s">
        <v>80</v>
      </c>
      <c r="F441" s="143" t="s">
        <v>1268</v>
      </c>
      <c r="G441" s="143" t="s">
        <v>1269</v>
      </c>
      <c r="H441" s="143" t="s">
        <v>421</v>
      </c>
      <c r="I441" s="199">
        <v>29041</v>
      </c>
      <c r="J441" s="155">
        <v>1</v>
      </c>
      <c r="K441" s="155"/>
      <c r="L441" s="155">
        <v>1</v>
      </c>
      <c r="M441" s="155"/>
      <c r="N441" s="155"/>
      <c r="O441" s="155"/>
      <c r="P441" s="155"/>
      <c r="Q441" s="155"/>
      <c r="R441" s="155"/>
      <c r="S441" s="155"/>
      <c r="T441" s="155"/>
      <c r="U441" s="143" t="s">
        <v>505</v>
      </c>
      <c r="V441" s="143" t="s">
        <v>503</v>
      </c>
      <c r="W441" s="143" t="s">
        <v>298</v>
      </c>
      <c r="X441" s="143" t="s">
        <v>227</v>
      </c>
      <c r="Y441" s="143">
        <v>9092858069</v>
      </c>
      <c r="Z441" s="143"/>
      <c r="AA441" s="143" t="s">
        <v>524</v>
      </c>
      <c r="AB441" s="143" t="s">
        <v>528</v>
      </c>
      <c r="AC441" s="155">
        <v>1</v>
      </c>
      <c r="AD441" s="155"/>
      <c r="AE441" s="155"/>
      <c r="AF441" s="155"/>
      <c r="AG441" s="155"/>
      <c r="AH441" s="143"/>
      <c r="AI441" s="158"/>
    </row>
    <row r="442" spans="1:35">
      <c r="A442" s="140"/>
      <c r="B442" s="143"/>
      <c r="C442" s="143" t="s">
        <v>1172</v>
      </c>
      <c r="D442" s="143" t="s">
        <v>501</v>
      </c>
      <c r="E442" s="143" t="s">
        <v>80</v>
      </c>
      <c r="F442" s="143" t="s">
        <v>1043</v>
      </c>
      <c r="G442" s="143" t="s">
        <v>1044</v>
      </c>
      <c r="H442" s="143" t="s">
        <v>120</v>
      </c>
      <c r="I442" s="199" t="s">
        <v>1270</v>
      </c>
      <c r="J442" s="155"/>
      <c r="K442" s="155">
        <v>1</v>
      </c>
      <c r="L442" s="155"/>
      <c r="M442" s="155"/>
      <c r="N442" s="155"/>
      <c r="O442" s="155"/>
      <c r="P442" s="155"/>
      <c r="Q442" s="155">
        <v>1</v>
      </c>
      <c r="R442" s="155" t="s">
        <v>1348</v>
      </c>
      <c r="S442" s="155"/>
      <c r="T442" s="155"/>
      <c r="U442" s="143" t="s">
        <v>504</v>
      </c>
      <c r="V442" s="143" t="s">
        <v>503</v>
      </c>
      <c r="W442" s="143" t="s">
        <v>298</v>
      </c>
      <c r="X442" s="143" t="s">
        <v>227</v>
      </c>
      <c r="Y442" s="143"/>
      <c r="Z442" s="143"/>
      <c r="AA442" s="143" t="s">
        <v>524</v>
      </c>
      <c r="AB442" s="143" t="s">
        <v>528</v>
      </c>
      <c r="AC442" s="155">
        <v>2</v>
      </c>
      <c r="AD442" s="155"/>
      <c r="AE442" s="155"/>
      <c r="AF442" s="155"/>
      <c r="AG442" s="155"/>
      <c r="AH442" s="143"/>
      <c r="AI442" s="158"/>
    </row>
    <row r="443" spans="1:35">
      <c r="A443" s="140"/>
      <c r="B443" s="143"/>
      <c r="C443" s="143" t="s">
        <v>1172</v>
      </c>
      <c r="D443" s="143" t="s">
        <v>501</v>
      </c>
      <c r="E443" s="143" t="s">
        <v>80</v>
      </c>
      <c r="F443" s="143" t="s">
        <v>1277</v>
      </c>
      <c r="G443" s="143" t="s">
        <v>1278</v>
      </c>
      <c r="H443" s="143" t="s">
        <v>126</v>
      </c>
      <c r="I443" s="199" t="s">
        <v>1279</v>
      </c>
      <c r="J443" s="155">
        <v>1</v>
      </c>
      <c r="K443" s="155"/>
      <c r="L443" s="155"/>
      <c r="M443" s="155"/>
      <c r="N443" s="155"/>
      <c r="O443" s="155"/>
      <c r="P443" s="155"/>
      <c r="Q443" s="155">
        <v>1</v>
      </c>
      <c r="R443" s="155" t="s">
        <v>1132</v>
      </c>
      <c r="S443" s="155"/>
      <c r="T443" s="155"/>
      <c r="U443" s="143" t="s">
        <v>222</v>
      </c>
      <c r="V443" s="143" t="s">
        <v>1280</v>
      </c>
      <c r="W443" s="143" t="s">
        <v>280</v>
      </c>
      <c r="X443" s="143" t="s">
        <v>227</v>
      </c>
      <c r="Y443" s="143">
        <v>9682170186</v>
      </c>
      <c r="Z443" s="143"/>
      <c r="AA443" s="143" t="s">
        <v>876</v>
      </c>
      <c r="AB443" s="143" t="s">
        <v>528</v>
      </c>
      <c r="AC443" s="155">
        <v>1</v>
      </c>
      <c r="AD443" s="155"/>
      <c r="AE443" s="155"/>
      <c r="AF443" s="155"/>
      <c r="AG443" s="155"/>
      <c r="AH443" s="143"/>
      <c r="AI443" s="158"/>
    </row>
    <row r="444" spans="1:35">
      <c r="A444" s="140"/>
      <c r="B444" s="143"/>
      <c r="C444" s="143" t="s">
        <v>1172</v>
      </c>
      <c r="D444" s="143" t="s">
        <v>501</v>
      </c>
      <c r="E444" s="143" t="s">
        <v>80</v>
      </c>
      <c r="F444" s="143" t="s">
        <v>1275</v>
      </c>
      <c r="G444" s="143" t="s">
        <v>1281</v>
      </c>
      <c r="H444" s="143" t="s">
        <v>283</v>
      </c>
      <c r="I444" s="199" t="s">
        <v>1276</v>
      </c>
      <c r="J444" s="155">
        <v>1</v>
      </c>
      <c r="K444" s="155"/>
      <c r="L444" s="155"/>
      <c r="M444" s="155"/>
      <c r="N444" s="155"/>
      <c r="O444" s="155"/>
      <c r="P444" s="155"/>
      <c r="Q444" s="155">
        <v>1</v>
      </c>
      <c r="R444" s="155" t="s">
        <v>962</v>
      </c>
      <c r="S444" s="155"/>
      <c r="T444" s="155"/>
      <c r="U444" s="143" t="s">
        <v>853</v>
      </c>
      <c r="V444" s="143" t="s">
        <v>503</v>
      </c>
      <c r="W444" s="143" t="s">
        <v>298</v>
      </c>
      <c r="X444" s="143" t="s">
        <v>227</v>
      </c>
      <c r="Y444" s="143">
        <v>9693804277</v>
      </c>
      <c r="Z444" s="143"/>
      <c r="AA444" s="163" t="s">
        <v>525</v>
      </c>
      <c r="AB444" s="143" t="s">
        <v>528</v>
      </c>
      <c r="AC444" s="155">
        <v>1</v>
      </c>
      <c r="AD444" s="155"/>
      <c r="AE444" s="155"/>
      <c r="AF444" s="155"/>
      <c r="AG444" s="155"/>
      <c r="AH444" s="143"/>
      <c r="AI444" s="158"/>
    </row>
    <row r="445" spans="1:35">
      <c r="A445" s="140"/>
      <c r="B445" s="143"/>
      <c r="C445" s="143" t="s">
        <v>1172</v>
      </c>
      <c r="D445" s="143" t="s">
        <v>501</v>
      </c>
      <c r="E445" s="143" t="s">
        <v>80</v>
      </c>
      <c r="F445" s="159" t="s">
        <v>445</v>
      </c>
      <c r="G445" s="159" t="s">
        <v>446</v>
      </c>
      <c r="H445" s="159"/>
      <c r="I445" s="238">
        <v>33127</v>
      </c>
      <c r="J445" s="170"/>
      <c r="K445" s="155">
        <v>1</v>
      </c>
      <c r="L445" s="155"/>
      <c r="M445" s="155"/>
      <c r="N445" s="155"/>
      <c r="O445" s="155"/>
      <c r="P445" s="155"/>
      <c r="Q445" s="155">
        <v>1</v>
      </c>
      <c r="R445" s="155" t="s">
        <v>1348</v>
      </c>
      <c r="S445" s="155"/>
      <c r="T445" s="155"/>
      <c r="U445" s="169" t="s">
        <v>295</v>
      </c>
      <c r="V445" s="159" t="s">
        <v>503</v>
      </c>
      <c r="W445" s="143" t="s">
        <v>298</v>
      </c>
      <c r="X445" s="157" t="s">
        <v>227</v>
      </c>
      <c r="Y445" s="159">
        <v>9759439905</v>
      </c>
      <c r="Z445" s="143"/>
      <c r="AA445" s="163" t="s">
        <v>525</v>
      </c>
      <c r="AB445" s="143" t="s">
        <v>528</v>
      </c>
      <c r="AC445" s="155">
        <v>1</v>
      </c>
      <c r="AD445" s="155"/>
      <c r="AE445" s="155"/>
      <c r="AF445" s="155"/>
      <c r="AG445" s="155"/>
      <c r="AH445" s="143"/>
      <c r="AI445" s="158"/>
    </row>
    <row r="446" spans="1:35">
      <c r="A446" s="140"/>
      <c r="B446" s="143"/>
      <c r="C446" s="143" t="s">
        <v>1172</v>
      </c>
      <c r="D446" s="143" t="s">
        <v>501</v>
      </c>
      <c r="E446" s="143" t="s">
        <v>80</v>
      </c>
      <c r="F446" s="153" t="s">
        <v>312</v>
      </c>
      <c r="G446" s="153" t="s">
        <v>840</v>
      </c>
      <c r="H446" s="153" t="s">
        <v>144</v>
      </c>
      <c r="I446" s="227">
        <v>30173</v>
      </c>
      <c r="J446" s="166"/>
      <c r="K446" s="165">
        <v>1</v>
      </c>
      <c r="L446" s="155"/>
      <c r="M446" s="155"/>
      <c r="N446" s="155"/>
      <c r="O446" s="155"/>
      <c r="P446" s="155"/>
      <c r="Q446" s="155">
        <v>1</v>
      </c>
      <c r="R446" s="155" t="s">
        <v>1348</v>
      </c>
      <c r="S446" s="155"/>
      <c r="T446" s="155"/>
      <c r="U446" s="167" t="s">
        <v>859</v>
      </c>
      <c r="V446" s="153" t="s">
        <v>503</v>
      </c>
      <c r="W446" s="143" t="s">
        <v>298</v>
      </c>
      <c r="X446" s="157" t="s">
        <v>227</v>
      </c>
      <c r="Y446" s="153">
        <v>9265351990</v>
      </c>
      <c r="Z446" s="143"/>
      <c r="AA446" s="162" t="s">
        <v>1074</v>
      </c>
      <c r="AB446" s="143" t="s">
        <v>528</v>
      </c>
      <c r="AC446" s="155">
        <v>2</v>
      </c>
      <c r="AD446" s="155"/>
      <c r="AE446" s="155"/>
      <c r="AF446" s="155"/>
      <c r="AG446" s="155"/>
      <c r="AH446" s="143"/>
      <c r="AI446" s="158"/>
    </row>
    <row r="447" spans="1:35">
      <c r="A447" s="140"/>
      <c r="B447" s="143"/>
      <c r="C447" s="143" t="s">
        <v>1172</v>
      </c>
      <c r="D447" s="143" t="s">
        <v>501</v>
      </c>
      <c r="E447" s="143" t="s">
        <v>80</v>
      </c>
      <c r="F447" s="143" t="s">
        <v>1282</v>
      </c>
      <c r="G447" s="143" t="s">
        <v>309</v>
      </c>
      <c r="H447" s="143" t="s">
        <v>133</v>
      </c>
      <c r="I447" s="199"/>
      <c r="J447" s="155">
        <v>1</v>
      </c>
      <c r="K447" s="155"/>
      <c r="L447" s="155"/>
      <c r="M447" s="155"/>
      <c r="N447" s="155"/>
      <c r="O447" s="155"/>
      <c r="P447" s="155"/>
      <c r="Q447" s="155">
        <v>1</v>
      </c>
      <c r="R447" s="155" t="s">
        <v>1283</v>
      </c>
      <c r="S447" s="155"/>
      <c r="T447" s="155"/>
      <c r="U447" s="143" t="s">
        <v>516</v>
      </c>
      <c r="V447" s="143" t="s">
        <v>503</v>
      </c>
      <c r="W447" s="143" t="s">
        <v>298</v>
      </c>
      <c r="X447" s="143" t="s">
        <v>227</v>
      </c>
      <c r="Y447" s="143">
        <v>9266758032</v>
      </c>
      <c r="Z447" s="143"/>
      <c r="AA447" s="162" t="s">
        <v>524</v>
      </c>
      <c r="AB447" s="143" t="s">
        <v>528</v>
      </c>
      <c r="AC447" s="155">
        <v>1</v>
      </c>
      <c r="AD447" s="155"/>
      <c r="AE447" s="155"/>
      <c r="AF447" s="155"/>
      <c r="AG447" s="155"/>
      <c r="AH447" s="143"/>
      <c r="AI447" s="158"/>
    </row>
    <row r="448" spans="1:35">
      <c r="A448" s="140"/>
      <c r="B448" s="143"/>
      <c r="C448" s="143" t="s">
        <v>1172</v>
      </c>
      <c r="D448" s="143" t="s">
        <v>501</v>
      </c>
      <c r="E448" s="143" t="s">
        <v>80</v>
      </c>
      <c r="F448" s="143" t="s">
        <v>1284</v>
      </c>
      <c r="G448" s="143" t="s">
        <v>1285</v>
      </c>
      <c r="H448" s="143"/>
      <c r="I448" s="199"/>
      <c r="J448" s="155">
        <v>1</v>
      </c>
      <c r="K448" s="155"/>
      <c r="L448" s="155"/>
      <c r="M448" s="155"/>
      <c r="N448" s="155"/>
      <c r="O448" s="155"/>
      <c r="P448" s="155"/>
      <c r="Q448" s="155">
        <v>1</v>
      </c>
      <c r="R448" s="155" t="s">
        <v>962</v>
      </c>
      <c r="S448" s="155"/>
      <c r="T448" s="155"/>
      <c r="U448" s="143" t="s">
        <v>516</v>
      </c>
      <c r="V448" s="143" t="s">
        <v>503</v>
      </c>
      <c r="W448" s="143" t="s">
        <v>298</v>
      </c>
      <c r="X448" s="143" t="s">
        <v>227</v>
      </c>
      <c r="Y448" s="143">
        <v>9380479484</v>
      </c>
      <c r="Z448" s="143"/>
      <c r="AA448" s="162" t="s">
        <v>524</v>
      </c>
      <c r="AB448" s="143" t="s">
        <v>528</v>
      </c>
      <c r="AC448" s="155">
        <v>1</v>
      </c>
      <c r="AD448" s="155"/>
      <c r="AE448" s="155"/>
      <c r="AF448" s="155"/>
      <c r="AG448" s="155"/>
      <c r="AH448" s="143"/>
      <c r="AI448" s="158"/>
    </row>
    <row r="449" spans="1:35">
      <c r="A449" s="140"/>
      <c r="B449" s="143"/>
      <c r="C449" s="143" t="s">
        <v>1172</v>
      </c>
      <c r="D449" s="143" t="s">
        <v>501</v>
      </c>
      <c r="E449" s="143" t="s">
        <v>80</v>
      </c>
      <c r="F449" s="143" t="s">
        <v>1286</v>
      </c>
      <c r="G449" s="143" t="s">
        <v>1287</v>
      </c>
      <c r="H449" s="143"/>
      <c r="I449" s="199"/>
      <c r="J449" s="155">
        <v>1</v>
      </c>
      <c r="K449" s="155"/>
      <c r="L449" s="155"/>
      <c r="M449" s="155"/>
      <c r="N449" s="155"/>
      <c r="O449" s="155"/>
      <c r="P449" s="155"/>
      <c r="Q449" s="155">
        <v>1</v>
      </c>
      <c r="R449" s="155" t="s">
        <v>1045</v>
      </c>
      <c r="S449" s="155"/>
      <c r="T449" s="155"/>
      <c r="U449" s="143"/>
      <c r="V449" s="143" t="s">
        <v>503</v>
      </c>
      <c r="W449" s="143" t="s">
        <v>298</v>
      </c>
      <c r="X449" s="143" t="s">
        <v>227</v>
      </c>
      <c r="Y449" s="143">
        <v>9501031087</v>
      </c>
      <c r="Z449" s="143"/>
      <c r="AA449" s="162" t="s">
        <v>524</v>
      </c>
      <c r="AB449" s="143" t="s">
        <v>528</v>
      </c>
      <c r="AC449" s="155">
        <v>1</v>
      </c>
      <c r="AD449" s="155"/>
      <c r="AE449" s="155"/>
      <c r="AF449" s="155"/>
      <c r="AG449" s="155"/>
      <c r="AH449" s="143"/>
      <c r="AI449" s="158"/>
    </row>
    <row r="450" spans="1:35">
      <c r="A450" s="140"/>
      <c r="B450" s="143"/>
      <c r="C450" s="143" t="s">
        <v>1172</v>
      </c>
      <c r="D450" s="143" t="s">
        <v>501</v>
      </c>
      <c r="E450" s="143" t="s">
        <v>80</v>
      </c>
      <c r="F450" s="143" t="s">
        <v>1108</v>
      </c>
      <c r="G450" s="143" t="s">
        <v>1288</v>
      </c>
      <c r="H450" s="143" t="s">
        <v>115</v>
      </c>
      <c r="I450" s="199" t="s">
        <v>1289</v>
      </c>
      <c r="J450" s="155"/>
      <c r="K450" s="155">
        <v>1</v>
      </c>
      <c r="L450" s="155"/>
      <c r="M450" s="155"/>
      <c r="N450" s="155"/>
      <c r="O450" s="155"/>
      <c r="P450" s="155"/>
      <c r="Q450" s="155">
        <v>1</v>
      </c>
      <c r="R450" s="155" t="s">
        <v>1348</v>
      </c>
      <c r="S450" s="155"/>
      <c r="T450" s="155"/>
      <c r="U450" s="143" t="s">
        <v>859</v>
      </c>
      <c r="V450" s="143" t="s">
        <v>503</v>
      </c>
      <c r="W450" s="143" t="s">
        <v>298</v>
      </c>
      <c r="X450" s="143" t="s">
        <v>227</v>
      </c>
      <c r="Y450" s="143">
        <v>9368500335</v>
      </c>
      <c r="Z450" s="143"/>
      <c r="AA450" s="163" t="s">
        <v>525</v>
      </c>
      <c r="AB450" s="143" t="s">
        <v>528</v>
      </c>
      <c r="AC450" s="155">
        <v>1</v>
      </c>
      <c r="AD450" s="155"/>
      <c r="AE450" s="155"/>
      <c r="AF450" s="155"/>
      <c r="AG450" s="155"/>
      <c r="AH450" s="143"/>
      <c r="AI450" s="158"/>
    </row>
    <row r="451" spans="1:35">
      <c r="A451" s="140"/>
      <c r="B451" s="143"/>
      <c r="C451" s="143" t="s">
        <v>1172</v>
      </c>
      <c r="D451" s="143" t="s">
        <v>501</v>
      </c>
      <c r="E451" s="143" t="s">
        <v>80</v>
      </c>
      <c r="F451" s="143" t="s">
        <v>940</v>
      </c>
      <c r="G451" s="143" t="s">
        <v>1313</v>
      </c>
      <c r="H451" s="143"/>
      <c r="I451" s="199" t="s">
        <v>1290</v>
      </c>
      <c r="J451" s="155"/>
      <c r="K451" s="155">
        <v>1</v>
      </c>
      <c r="L451" s="155"/>
      <c r="M451" s="155"/>
      <c r="N451" s="155"/>
      <c r="O451" s="155"/>
      <c r="P451" s="155"/>
      <c r="Q451" s="155">
        <v>1</v>
      </c>
      <c r="R451" s="155" t="s">
        <v>1348</v>
      </c>
      <c r="S451" s="155"/>
      <c r="T451" s="155"/>
      <c r="U451" s="143"/>
      <c r="V451" s="143" t="s">
        <v>949</v>
      </c>
      <c r="W451" s="143" t="s">
        <v>280</v>
      </c>
      <c r="X451" s="143" t="s">
        <v>227</v>
      </c>
      <c r="Y451" s="143">
        <v>9678213070</v>
      </c>
      <c r="Z451" s="143"/>
      <c r="AA451" s="163" t="s">
        <v>525</v>
      </c>
      <c r="AB451" s="143" t="s">
        <v>528</v>
      </c>
      <c r="AC451" s="155">
        <v>1</v>
      </c>
      <c r="AD451" s="155"/>
      <c r="AE451" s="155"/>
      <c r="AF451" s="155"/>
      <c r="AG451" s="155"/>
      <c r="AH451" s="143"/>
      <c r="AI451" s="158"/>
    </row>
    <row r="452" spans="1:35">
      <c r="A452" s="140"/>
      <c r="B452" s="143"/>
      <c r="C452" s="143" t="s">
        <v>1172</v>
      </c>
      <c r="D452" s="143" t="s">
        <v>501</v>
      </c>
      <c r="E452" s="143" t="s">
        <v>80</v>
      </c>
      <c r="F452" s="143" t="s">
        <v>1291</v>
      </c>
      <c r="G452" s="143" t="s">
        <v>1292</v>
      </c>
      <c r="H452" s="143"/>
      <c r="I452" s="199" t="s">
        <v>1293</v>
      </c>
      <c r="J452" s="155">
        <v>1</v>
      </c>
      <c r="K452" s="155"/>
      <c r="L452" s="155"/>
      <c r="M452" s="155"/>
      <c r="N452" s="155"/>
      <c r="O452" s="155"/>
      <c r="P452" s="155"/>
      <c r="Q452" s="155">
        <v>1</v>
      </c>
      <c r="R452" s="155" t="s">
        <v>1294</v>
      </c>
      <c r="S452" s="155"/>
      <c r="T452" s="155"/>
      <c r="U452" s="143" t="s">
        <v>502</v>
      </c>
      <c r="V452" s="143" t="s">
        <v>503</v>
      </c>
      <c r="W452" s="143" t="s">
        <v>298</v>
      </c>
      <c r="X452" s="143" t="s">
        <v>227</v>
      </c>
      <c r="Y452" s="143">
        <v>9064687619</v>
      </c>
      <c r="Z452" s="143"/>
      <c r="AA452" s="162" t="s">
        <v>524</v>
      </c>
      <c r="AB452" s="143" t="s">
        <v>528</v>
      </c>
      <c r="AC452" s="155">
        <v>1</v>
      </c>
      <c r="AD452" s="155"/>
      <c r="AE452" s="155"/>
      <c r="AF452" s="155"/>
      <c r="AG452" s="155"/>
      <c r="AH452" s="143"/>
      <c r="AI452" s="158"/>
    </row>
    <row r="453" spans="1:35">
      <c r="A453" s="140"/>
      <c r="B453" s="143"/>
      <c r="C453" s="143" t="s">
        <v>1172</v>
      </c>
      <c r="D453" s="143" t="s">
        <v>501</v>
      </c>
      <c r="E453" s="143" t="s">
        <v>80</v>
      </c>
      <c r="F453" s="143" t="s">
        <v>490</v>
      </c>
      <c r="G453" s="143" t="s">
        <v>1101</v>
      </c>
      <c r="H453" s="143"/>
      <c r="I453" s="199" t="s">
        <v>1295</v>
      </c>
      <c r="J453" s="155"/>
      <c r="K453" s="155">
        <v>1</v>
      </c>
      <c r="L453" s="155"/>
      <c r="M453" s="155"/>
      <c r="N453" s="155"/>
      <c r="O453" s="155"/>
      <c r="P453" s="155"/>
      <c r="Q453" s="155">
        <v>1</v>
      </c>
      <c r="R453" s="155" t="s">
        <v>1348</v>
      </c>
      <c r="S453" s="155"/>
      <c r="T453" s="155"/>
      <c r="U453" s="143" t="s">
        <v>859</v>
      </c>
      <c r="V453" s="143" t="s">
        <v>503</v>
      </c>
      <c r="W453" s="143" t="s">
        <v>298</v>
      </c>
      <c r="X453" s="143" t="s">
        <v>227</v>
      </c>
      <c r="Y453" s="143">
        <v>9972018554</v>
      </c>
      <c r="Z453" s="143"/>
      <c r="AA453" s="163" t="s">
        <v>525</v>
      </c>
      <c r="AB453" s="143" t="s">
        <v>528</v>
      </c>
      <c r="AC453" s="155">
        <v>1</v>
      </c>
      <c r="AD453" s="155"/>
      <c r="AE453" s="155"/>
      <c r="AF453" s="155"/>
      <c r="AG453" s="155"/>
      <c r="AH453" s="143"/>
      <c r="AI453" s="158"/>
    </row>
    <row r="454" spans="1:35">
      <c r="A454" s="140"/>
      <c r="B454" s="143"/>
      <c r="C454" s="143" t="s">
        <v>1172</v>
      </c>
      <c r="D454" s="143" t="s">
        <v>501</v>
      </c>
      <c r="E454" s="143" t="s">
        <v>80</v>
      </c>
      <c r="F454" s="143" t="s">
        <v>147</v>
      </c>
      <c r="G454" s="143" t="s">
        <v>1296</v>
      </c>
      <c r="H454" s="143" t="s">
        <v>286</v>
      </c>
      <c r="I454" s="199" t="s">
        <v>1297</v>
      </c>
      <c r="J454" s="155"/>
      <c r="K454" s="155">
        <v>1</v>
      </c>
      <c r="L454" s="155">
        <v>1</v>
      </c>
      <c r="M454" s="155"/>
      <c r="N454" s="155"/>
      <c r="O454" s="155"/>
      <c r="P454" s="155"/>
      <c r="Q454" s="155"/>
      <c r="R454" s="155"/>
      <c r="S454" s="155"/>
      <c r="T454" s="155"/>
      <c r="U454" s="143" t="s">
        <v>222</v>
      </c>
      <c r="V454" s="143" t="s">
        <v>350</v>
      </c>
      <c r="W454" s="143" t="s">
        <v>279</v>
      </c>
      <c r="X454" s="143" t="s">
        <v>227</v>
      </c>
      <c r="Y454" s="143">
        <v>9517671875</v>
      </c>
      <c r="Z454" s="143"/>
      <c r="AA454" s="162" t="s">
        <v>524</v>
      </c>
      <c r="AB454" s="143" t="s">
        <v>528</v>
      </c>
      <c r="AC454" s="155">
        <v>1</v>
      </c>
      <c r="AD454" s="155"/>
      <c r="AE454" s="155"/>
      <c r="AF454" s="155"/>
      <c r="AG454" s="155"/>
      <c r="AH454" s="143"/>
      <c r="AI454" s="158"/>
    </row>
    <row r="455" spans="1:35">
      <c r="A455" s="140"/>
      <c r="B455" s="143"/>
      <c r="C455" s="143" t="s">
        <v>1172</v>
      </c>
      <c r="D455" s="143" t="s">
        <v>501</v>
      </c>
      <c r="E455" s="143" t="s">
        <v>80</v>
      </c>
      <c r="F455" s="143" t="s">
        <v>1298</v>
      </c>
      <c r="G455" s="143" t="s">
        <v>1299</v>
      </c>
      <c r="H455" s="143" t="s">
        <v>115</v>
      </c>
      <c r="I455" s="199" t="s">
        <v>1300</v>
      </c>
      <c r="J455" s="155"/>
      <c r="K455" s="155">
        <v>1</v>
      </c>
      <c r="L455" s="155">
        <v>1</v>
      </c>
      <c r="M455" s="155"/>
      <c r="N455" s="155"/>
      <c r="O455" s="155"/>
      <c r="P455" s="155"/>
      <c r="Q455" s="155"/>
      <c r="R455" s="155"/>
      <c r="S455" s="155"/>
      <c r="T455" s="155"/>
      <c r="U455" s="143" t="s">
        <v>222</v>
      </c>
      <c r="V455" s="143" t="s">
        <v>350</v>
      </c>
      <c r="W455" s="143" t="s">
        <v>279</v>
      </c>
      <c r="X455" s="143" t="s">
        <v>227</v>
      </c>
      <c r="Y455" s="143">
        <v>9517671875</v>
      </c>
      <c r="Z455" s="143"/>
      <c r="AA455" s="162" t="s">
        <v>524</v>
      </c>
      <c r="AB455" s="143" t="s">
        <v>528</v>
      </c>
      <c r="AC455" s="155">
        <v>1</v>
      </c>
      <c r="AD455" s="155"/>
      <c r="AE455" s="155"/>
      <c r="AF455" s="155"/>
      <c r="AG455" s="155"/>
      <c r="AH455" s="143"/>
      <c r="AI455" s="158"/>
    </row>
    <row r="456" spans="1:35">
      <c r="A456" s="140"/>
      <c r="B456" s="143"/>
      <c r="C456" s="143" t="s">
        <v>1172</v>
      </c>
      <c r="D456" s="143" t="s">
        <v>501</v>
      </c>
      <c r="E456" s="143" t="s">
        <v>80</v>
      </c>
      <c r="F456" s="143" t="s">
        <v>752</v>
      </c>
      <c r="G456" s="143" t="s">
        <v>1301</v>
      </c>
      <c r="H456" s="143" t="s">
        <v>286</v>
      </c>
      <c r="I456" s="199">
        <v>34344</v>
      </c>
      <c r="J456" s="155"/>
      <c r="K456" s="155">
        <v>1</v>
      </c>
      <c r="L456" s="155">
        <v>1</v>
      </c>
      <c r="M456" s="155"/>
      <c r="N456" s="155"/>
      <c r="O456" s="155"/>
      <c r="P456" s="155"/>
      <c r="Q456" s="155"/>
      <c r="R456" s="155"/>
      <c r="S456" s="155"/>
      <c r="T456" s="155"/>
      <c r="U456" s="143" t="s">
        <v>1302</v>
      </c>
      <c r="V456" s="143" t="s">
        <v>503</v>
      </c>
      <c r="W456" s="143" t="s">
        <v>298</v>
      </c>
      <c r="X456" s="143" t="s">
        <v>227</v>
      </c>
      <c r="Y456" s="143">
        <v>9098714201</v>
      </c>
      <c r="Z456" s="143"/>
      <c r="AA456" s="162" t="s">
        <v>524</v>
      </c>
      <c r="AB456" s="143" t="s">
        <v>528</v>
      </c>
      <c r="AC456" s="155">
        <v>1</v>
      </c>
      <c r="AD456" s="155"/>
      <c r="AE456" s="155"/>
      <c r="AF456" s="155"/>
      <c r="AG456" s="155"/>
      <c r="AH456" s="143"/>
      <c r="AI456" s="158"/>
    </row>
    <row r="457" spans="1:35">
      <c r="A457" s="140"/>
      <c r="B457" s="143"/>
      <c r="C457" s="143" t="s">
        <v>1172</v>
      </c>
      <c r="D457" s="143" t="s">
        <v>501</v>
      </c>
      <c r="E457" s="143" t="s">
        <v>80</v>
      </c>
      <c r="F457" s="143" t="s">
        <v>1303</v>
      </c>
      <c r="G457" s="143" t="s">
        <v>1304</v>
      </c>
      <c r="H457" s="143" t="s">
        <v>421</v>
      </c>
      <c r="I457" s="199"/>
      <c r="J457" s="155">
        <v>1</v>
      </c>
      <c r="K457" s="155"/>
      <c r="L457" s="155"/>
      <c r="M457" s="155"/>
      <c r="N457" s="155"/>
      <c r="O457" s="155"/>
      <c r="P457" s="155"/>
      <c r="Q457" s="155">
        <v>1</v>
      </c>
      <c r="R457" s="155" t="s">
        <v>962</v>
      </c>
      <c r="S457" s="155"/>
      <c r="T457" s="155"/>
      <c r="U457" s="143"/>
      <c r="V457" s="143" t="s">
        <v>1280</v>
      </c>
      <c r="W457" s="143" t="s">
        <v>280</v>
      </c>
      <c r="X457" s="143" t="s">
        <v>227</v>
      </c>
      <c r="Y457" s="143"/>
      <c r="Z457" s="143"/>
      <c r="AA457" s="188" t="s">
        <v>1202</v>
      </c>
      <c r="AB457" s="143" t="s">
        <v>528</v>
      </c>
      <c r="AC457" s="155">
        <v>1</v>
      </c>
      <c r="AD457" s="155"/>
      <c r="AE457" s="155"/>
      <c r="AF457" s="155"/>
      <c r="AG457" s="155"/>
      <c r="AH457" s="143"/>
      <c r="AI457" s="158"/>
    </row>
    <row r="458" spans="1:35">
      <c r="A458" s="140"/>
      <c r="B458" s="143"/>
      <c r="C458" s="143" t="s">
        <v>1172</v>
      </c>
      <c r="D458" s="143" t="s">
        <v>501</v>
      </c>
      <c r="E458" s="143" t="s">
        <v>80</v>
      </c>
      <c r="F458" s="143" t="s">
        <v>1305</v>
      </c>
      <c r="G458" s="143" t="s">
        <v>894</v>
      </c>
      <c r="H458" s="143" t="s">
        <v>120</v>
      </c>
      <c r="I458" s="199" t="s">
        <v>1306</v>
      </c>
      <c r="J458" s="155"/>
      <c r="K458" s="155">
        <v>1</v>
      </c>
      <c r="L458" s="155"/>
      <c r="M458" s="155"/>
      <c r="N458" s="155"/>
      <c r="O458" s="155"/>
      <c r="P458" s="155"/>
      <c r="Q458" s="155">
        <v>1</v>
      </c>
      <c r="R458" s="155" t="s">
        <v>1348</v>
      </c>
      <c r="S458" s="155"/>
      <c r="T458" s="155"/>
      <c r="U458" s="143" t="s">
        <v>853</v>
      </c>
      <c r="V458" s="143" t="s">
        <v>503</v>
      </c>
      <c r="W458" s="143" t="s">
        <v>298</v>
      </c>
      <c r="X458" s="143" t="s">
        <v>227</v>
      </c>
      <c r="Y458" s="143">
        <v>9207643202</v>
      </c>
      <c r="Z458" s="143"/>
      <c r="AA458" s="162" t="s">
        <v>524</v>
      </c>
      <c r="AB458" s="143" t="s">
        <v>528</v>
      </c>
      <c r="AC458" s="155">
        <v>1</v>
      </c>
      <c r="AD458" s="155"/>
      <c r="AE458" s="155"/>
      <c r="AF458" s="155"/>
      <c r="AG458" s="155"/>
      <c r="AH458" s="143"/>
      <c r="AI458" s="158"/>
    </row>
    <row r="459" spans="1:35">
      <c r="A459" s="140"/>
      <c r="B459" s="143"/>
      <c r="C459" s="143" t="s">
        <v>1172</v>
      </c>
      <c r="D459" s="143" t="s">
        <v>501</v>
      </c>
      <c r="E459" s="143" t="s">
        <v>80</v>
      </c>
      <c r="F459" s="143" t="s">
        <v>1307</v>
      </c>
      <c r="G459" s="143" t="s">
        <v>1308</v>
      </c>
      <c r="H459" s="143"/>
      <c r="I459" s="199">
        <v>28864</v>
      </c>
      <c r="J459" s="155">
        <v>1</v>
      </c>
      <c r="K459" s="155"/>
      <c r="L459" s="155"/>
      <c r="M459" s="155"/>
      <c r="N459" s="155"/>
      <c r="O459" s="155"/>
      <c r="P459" s="155"/>
      <c r="Q459" s="155">
        <v>1</v>
      </c>
      <c r="R459" s="155" t="s">
        <v>1348</v>
      </c>
      <c r="S459" s="155"/>
      <c r="T459" s="155"/>
      <c r="U459" s="143" t="s">
        <v>292</v>
      </c>
      <c r="V459" s="143" t="s">
        <v>503</v>
      </c>
      <c r="W459" s="143" t="s">
        <v>298</v>
      </c>
      <c r="X459" s="143" t="s">
        <v>227</v>
      </c>
      <c r="Y459" s="143">
        <v>9772037509</v>
      </c>
      <c r="Z459" s="143"/>
      <c r="AA459" s="162" t="s">
        <v>524</v>
      </c>
      <c r="AB459" s="143" t="s">
        <v>528</v>
      </c>
      <c r="AC459" s="155">
        <v>1</v>
      </c>
      <c r="AD459" s="155"/>
      <c r="AE459" s="155"/>
      <c r="AF459" s="155"/>
      <c r="AG459" s="155"/>
      <c r="AH459" s="143"/>
      <c r="AI459" s="158"/>
    </row>
    <row r="460" spans="1:35">
      <c r="A460" s="140"/>
      <c r="B460" s="143"/>
      <c r="C460" s="143" t="s">
        <v>1172</v>
      </c>
      <c r="D460" s="143" t="s">
        <v>501</v>
      </c>
      <c r="E460" s="143" t="s">
        <v>80</v>
      </c>
      <c r="F460" s="143" t="s">
        <v>1309</v>
      </c>
      <c r="G460" s="143" t="s">
        <v>1310</v>
      </c>
      <c r="H460" s="143"/>
      <c r="I460" s="199"/>
      <c r="J460" s="155"/>
      <c r="K460" s="155">
        <v>1</v>
      </c>
      <c r="L460" s="155"/>
      <c r="M460" s="155"/>
      <c r="N460" s="155"/>
      <c r="O460" s="155"/>
      <c r="P460" s="155"/>
      <c r="Q460" s="155">
        <v>1</v>
      </c>
      <c r="R460" s="155" t="s">
        <v>1009</v>
      </c>
      <c r="S460" s="155"/>
      <c r="T460" s="155"/>
      <c r="U460" s="143" t="s">
        <v>951</v>
      </c>
      <c r="V460" s="143" t="s">
        <v>503</v>
      </c>
      <c r="W460" s="143" t="s">
        <v>298</v>
      </c>
      <c r="X460" s="143" t="s">
        <v>227</v>
      </c>
      <c r="Y460" s="143">
        <v>9268448362</v>
      </c>
      <c r="Z460" s="143"/>
      <c r="AA460" s="162" t="s">
        <v>524</v>
      </c>
      <c r="AB460" s="143" t="s">
        <v>528</v>
      </c>
      <c r="AC460" s="155">
        <v>1</v>
      </c>
      <c r="AD460" s="155"/>
      <c r="AE460" s="155"/>
      <c r="AF460" s="155"/>
      <c r="AG460" s="155"/>
      <c r="AH460" s="143"/>
      <c r="AI460" s="158"/>
    </row>
    <row r="461" spans="1:35">
      <c r="A461" s="140"/>
      <c r="B461" s="143"/>
      <c r="C461" s="143" t="s">
        <v>1172</v>
      </c>
      <c r="D461" s="143" t="s">
        <v>501</v>
      </c>
      <c r="E461" s="143" t="s">
        <v>80</v>
      </c>
      <c r="F461" s="143" t="s">
        <v>150</v>
      </c>
      <c r="G461" s="143" t="s">
        <v>1311</v>
      </c>
      <c r="H461" s="143" t="s">
        <v>115</v>
      </c>
      <c r="I461" s="199"/>
      <c r="J461" s="155">
        <v>1</v>
      </c>
      <c r="K461" s="155"/>
      <c r="L461" s="155"/>
      <c r="M461" s="155"/>
      <c r="N461" s="155"/>
      <c r="O461" s="155"/>
      <c r="P461" s="155"/>
      <c r="Q461" s="155">
        <v>1</v>
      </c>
      <c r="R461" s="155" t="s">
        <v>1348</v>
      </c>
      <c r="S461" s="155"/>
      <c r="T461" s="155"/>
      <c r="U461" s="143" t="s">
        <v>504</v>
      </c>
      <c r="V461" s="143" t="s">
        <v>503</v>
      </c>
      <c r="W461" s="143" t="s">
        <v>298</v>
      </c>
      <c r="X461" s="143" t="s">
        <v>227</v>
      </c>
      <c r="Y461" s="143">
        <v>9151537576</v>
      </c>
      <c r="Z461" s="143"/>
      <c r="AA461" s="162" t="s">
        <v>524</v>
      </c>
      <c r="AB461" s="143" t="s">
        <v>528</v>
      </c>
      <c r="AC461" s="155">
        <v>1</v>
      </c>
      <c r="AD461" s="155"/>
      <c r="AE461" s="155"/>
      <c r="AF461" s="155"/>
      <c r="AG461" s="155"/>
      <c r="AH461" s="143"/>
      <c r="AI461" s="158"/>
    </row>
    <row r="462" spans="1:35">
      <c r="A462" s="140"/>
      <c r="B462" s="143"/>
      <c r="C462" s="143" t="s">
        <v>1172</v>
      </c>
      <c r="D462" s="143" t="s">
        <v>501</v>
      </c>
      <c r="E462" s="143" t="s">
        <v>80</v>
      </c>
      <c r="F462" s="143" t="s">
        <v>1312</v>
      </c>
      <c r="G462" s="143" t="s">
        <v>638</v>
      </c>
      <c r="H462" s="143"/>
      <c r="I462" s="199"/>
      <c r="J462" s="155">
        <v>1</v>
      </c>
      <c r="K462" s="155"/>
      <c r="L462" s="155"/>
      <c r="M462" s="155"/>
      <c r="N462" s="155"/>
      <c r="O462" s="155"/>
      <c r="P462" s="155"/>
      <c r="Q462" s="155">
        <v>1</v>
      </c>
      <c r="R462" s="155" t="s">
        <v>1045</v>
      </c>
      <c r="S462" s="155"/>
      <c r="T462" s="155"/>
      <c r="U462" s="143"/>
      <c r="V462" s="143" t="s">
        <v>503</v>
      </c>
      <c r="W462" s="143" t="s">
        <v>298</v>
      </c>
      <c r="X462" s="143" t="s">
        <v>227</v>
      </c>
      <c r="Y462" s="143">
        <v>9057454239</v>
      </c>
      <c r="Z462" s="143"/>
      <c r="AA462" s="162" t="s">
        <v>524</v>
      </c>
      <c r="AB462" s="143" t="s">
        <v>528</v>
      </c>
      <c r="AC462" s="155">
        <v>1</v>
      </c>
      <c r="AD462" s="155"/>
      <c r="AE462" s="155"/>
      <c r="AF462" s="155"/>
      <c r="AG462" s="155"/>
      <c r="AH462" s="143"/>
      <c r="AI462" s="158"/>
    </row>
    <row r="463" spans="1:35">
      <c r="A463" s="140"/>
      <c r="B463" s="143"/>
      <c r="C463" s="143" t="s">
        <v>1172</v>
      </c>
      <c r="D463" s="143" t="s">
        <v>501</v>
      </c>
      <c r="E463" s="143" t="s">
        <v>80</v>
      </c>
      <c r="F463" s="143" t="s">
        <v>2125</v>
      </c>
      <c r="G463" s="143" t="s">
        <v>1314</v>
      </c>
      <c r="H463" s="143" t="s">
        <v>113</v>
      </c>
      <c r="I463" s="199">
        <v>23877</v>
      </c>
      <c r="J463" s="155"/>
      <c r="K463" s="155">
        <v>1</v>
      </c>
      <c r="L463" s="155"/>
      <c r="M463" s="155"/>
      <c r="N463" s="155"/>
      <c r="O463" s="155"/>
      <c r="P463" s="155"/>
      <c r="Q463" s="155">
        <v>1</v>
      </c>
      <c r="R463" s="155" t="s">
        <v>957</v>
      </c>
      <c r="S463" s="155"/>
      <c r="T463" s="155"/>
      <c r="U463" s="143" t="s">
        <v>1187</v>
      </c>
      <c r="V463" s="143" t="s">
        <v>872</v>
      </c>
      <c r="W463" s="143" t="s">
        <v>280</v>
      </c>
      <c r="X463" s="143" t="s">
        <v>227</v>
      </c>
      <c r="Y463" s="143">
        <v>9186992440</v>
      </c>
      <c r="Z463" s="143"/>
      <c r="AA463" s="162" t="s">
        <v>1316</v>
      </c>
      <c r="AB463" s="143" t="s">
        <v>528</v>
      </c>
      <c r="AC463" s="155">
        <v>1</v>
      </c>
      <c r="AD463" s="155"/>
      <c r="AE463" s="155"/>
      <c r="AF463" s="155"/>
      <c r="AG463" s="155"/>
      <c r="AH463" s="143"/>
      <c r="AI463" s="158"/>
    </row>
    <row r="464" spans="1:35">
      <c r="A464" s="140"/>
      <c r="B464" s="143"/>
      <c r="C464" s="143" t="s">
        <v>1172</v>
      </c>
      <c r="D464" s="143" t="s">
        <v>501</v>
      </c>
      <c r="E464" s="143" t="s">
        <v>80</v>
      </c>
      <c r="F464" s="143" t="s">
        <v>1188</v>
      </c>
      <c r="G464" s="143" t="s">
        <v>1315</v>
      </c>
      <c r="H464" s="143" t="s">
        <v>113</v>
      </c>
      <c r="I464" s="199">
        <v>31561</v>
      </c>
      <c r="J464" s="155"/>
      <c r="K464" s="155">
        <v>1</v>
      </c>
      <c r="L464" s="155"/>
      <c r="M464" s="155"/>
      <c r="N464" s="155"/>
      <c r="O464" s="155"/>
      <c r="P464" s="155"/>
      <c r="Q464" s="155">
        <v>1</v>
      </c>
      <c r="R464" s="155" t="s">
        <v>957</v>
      </c>
      <c r="S464" s="155"/>
      <c r="T464" s="155"/>
      <c r="U464" s="143" t="s">
        <v>1187</v>
      </c>
      <c r="V464" s="143" t="s">
        <v>872</v>
      </c>
      <c r="W464" s="143" t="s">
        <v>280</v>
      </c>
      <c r="X464" s="143" t="s">
        <v>227</v>
      </c>
      <c r="Y464" s="143">
        <v>9500299687</v>
      </c>
      <c r="Z464" s="143"/>
      <c r="AA464" s="162" t="s">
        <v>1316</v>
      </c>
      <c r="AB464" s="143" t="s">
        <v>528</v>
      </c>
      <c r="AC464" s="155">
        <v>1</v>
      </c>
      <c r="AD464" s="155"/>
      <c r="AE464" s="155"/>
      <c r="AF464" s="155"/>
      <c r="AG464" s="155"/>
      <c r="AH464" s="143"/>
      <c r="AI464" s="158"/>
    </row>
    <row r="465" spans="1:35">
      <c r="A465" s="140"/>
      <c r="B465" s="143"/>
      <c r="C465" s="143" t="s">
        <v>1172</v>
      </c>
      <c r="D465" s="143" t="s">
        <v>501</v>
      </c>
      <c r="E465" s="143" t="s">
        <v>80</v>
      </c>
      <c r="F465" s="143" t="s">
        <v>1191</v>
      </c>
      <c r="G465" s="143" t="s">
        <v>817</v>
      </c>
      <c r="H465" s="143" t="s">
        <v>126</v>
      </c>
      <c r="I465" s="199">
        <v>27998</v>
      </c>
      <c r="J465" s="155"/>
      <c r="K465" s="155">
        <v>1</v>
      </c>
      <c r="L465" s="155"/>
      <c r="M465" s="155"/>
      <c r="N465" s="155"/>
      <c r="O465" s="155"/>
      <c r="P465" s="155"/>
      <c r="Q465" s="155">
        <v>1</v>
      </c>
      <c r="R465" s="155" t="s">
        <v>957</v>
      </c>
      <c r="S465" s="155"/>
      <c r="T465" s="155"/>
      <c r="U465" s="143" t="s">
        <v>1187</v>
      </c>
      <c r="V465" s="143" t="s">
        <v>872</v>
      </c>
      <c r="W465" s="143" t="s">
        <v>280</v>
      </c>
      <c r="X465" s="143" t="s">
        <v>227</v>
      </c>
      <c r="Y465" s="143">
        <v>9886788127</v>
      </c>
      <c r="Z465" s="143"/>
      <c r="AA465" s="162" t="s">
        <v>1316</v>
      </c>
      <c r="AB465" s="143" t="s">
        <v>528</v>
      </c>
      <c r="AC465" s="155">
        <v>1</v>
      </c>
      <c r="AD465" s="155"/>
      <c r="AE465" s="155"/>
      <c r="AF465" s="155"/>
      <c r="AG465" s="155"/>
      <c r="AH465" s="143"/>
      <c r="AI465" s="158"/>
    </row>
    <row r="466" spans="1:35">
      <c r="A466" s="140"/>
      <c r="B466" s="143"/>
      <c r="C466" s="143" t="s">
        <v>1172</v>
      </c>
      <c r="D466" s="143" t="s">
        <v>501</v>
      </c>
      <c r="E466" s="143" t="s">
        <v>80</v>
      </c>
      <c r="F466" s="143" t="s">
        <v>1193</v>
      </c>
      <c r="G466" s="143" t="s">
        <v>1194</v>
      </c>
      <c r="H466" s="143" t="s">
        <v>113</v>
      </c>
      <c r="I466" s="199">
        <v>27312</v>
      </c>
      <c r="J466" s="155"/>
      <c r="K466" s="155">
        <v>1</v>
      </c>
      <c r="L466" s="155"/>
      <c r="M466" s="155"/>
      <c r="N466" s="155"/>
      <c r="O466" s="155"/>
      <c r="P466" s="155"/>
      <c r="Q466" s="155">
        <v>1</v>
      </c>
      <c r="R466" s="155" t="s">
        <v>957</v>
      </c>
      <c r="S466" s="155"/>
      <c r="T466" s="155"/>
      <c r="U466" s="143" t="s">
        <v>1190</v>
      </c>
      <c r="V466" s="143" t="s">
        <v>872</v>
      </c>
      <c r="W466" s="143" t="s">
        <v>280</v>
      </c>
      <c r="X466" s="143" t="s">
        <v>227</v>
      </c>
      <c r="Y466" s="143">
        <v>9199513382</v>
      </c>
      <c r="Z466" s="143"/>
      <c r="AA466" s="162" t="s">
        <v>1316</v>
      </c>
      <c r="AB466" s="143" t="s">
        <v>528</v>
      </c>
      <c r="AC466" s="155">
        <v>1</v>
      </c>
      <c r="AD466" s="155"/>
      <c r="AE466" s="155"/>
      <c r="AF466" s="155"/>
      <c r="AG466" s="155"/>
      <c r="AH466" s="143"/>
      <c r="AI466" s="158"/>
    </row>
    <row r="467" spans="1:35">
      <c r="A467" s="140"/>
      <c r="B467" s="143"/>
      <c r="C467" s="143" t="s">
        <v>1172</v>
      </c>
      <c r="D467" s="143" t="s">
        <v>501</v>
      </c>
      <c r="E467" s="143" t="s">
        <v>80</v>
      </c>
      <c r="F467" s="143" t="s">
        <v>1195</v>
      </c>
      <c r="G467" s="143" t="s">
        <v>1194</v>
      </c>
      <c r="H467" s="143" t="s">
        <v>115</v>
      </c>
      <c r="I467" s="199">
        <v>27312</v>
      </c>
      <c r="J467" s="155"/>
      <c r="K467" s="155">
        <v>1</v>
      </c>
      <c r="L467" s="155"/>
      <c r="M467" s="155"/>
      <c r="N467" s="155"/>
      <c r="O467" s="155"/>
      <c r="P467" s="155"/>
      <c r="Q467" s="155">
        <v>1</v>
      </c>
      <c r="R467" s="155" t="s">
        <v>957</v>
      </c>
      <c r="S467" s="155"/>
      <c r="T467" s="155"/>
      <c r="U467" s="143" t="s">
        <v>1190</v>
      </c>
      <c r="V467" s="143" t="s">
        <v>872</v>
      </c>
      <c r="W467" s="143" t="s">
        <v>280</v>
      </c>
      <c r="X467" s="143" t="s">
        <v>227</v>
      </c>
      <c r="Y467" s="143">
        <v>9199513382</v>
      </c>
      <c r="Z467" s="143"/>
      <c r="AA467" s="162" t="s">
        <v>1316</v>
      </c>
      <c r="AB467" s="143" t="s">
        <v>528</v>
      </c>
      <c r="AC467" s="155">
        <v>1</v>
      </c>
      <c r="AD467" s="155"/>
      <c r="AE467" s="155"/>
      <c r="AF467" s="155"/>
      <c r="AG467" s="155"/>
      <c r="AH467" s="143"/>
      <c r="AI467" s="158"/>
    </row>
    <row r="468" spans="1:35">
      <c r="A468" s="140"/>
      <c r="B468" s="143"/>
      <c r="C468" s="143" t="s">
        <v>1172</v>
      </c>
      <c r="D468" s="143" t="s">
        <v>501</v>
      </c>
      <c r="E468" s="143" t="s">
        <v>80</v>
      </c>
      <c r="F468" s="143" t="s">
        <v>1196</v>
      </c>
      <c r="G468" s="143" t="s">
        <v>1197</v>
      </c>
      <c r="H468" s="143" t="s">
        <v>283</v>
      </c>
      <c r="I468" s="199">
        <v>25726</v>
      </c>
      <c r="J468" s="155"/>
      <c r="K468" s="155">
        <v>1</v>
      </c>
      <c r="L468" s="155"/>
      <c r="M468" s="155"/>
      <c r="N468" s="155"/>
      <c r="O468" s="155"/>
      <c r="P468" s="155"/>
      <c r="Q468" s="155">
        <v>1</v>
      </c>
      <c r="R468" s="155" t="s">
        <v>957</v>
      </c>
      <c r="S468" s="155"/>
      <c r="T468" s="155"/>
      <c r="U468" s="143" t="s">
        <v>1187</v>
      </c>
      <c r="V468" s="143" t="s">
        <v>872</v>
      </c>
      <c r="W468" s="143" t="s">
        <v>280</v>
      </c>
      <c r="X468" s="143" t="s">
        <v>227</v>
      </c>
      <c r="Y468" s="143">
        <v>9127667748</v>
      </c>
      <c r="Z468" s="143"/>
      <c r="AA468" s="162" t="s">
        <v>1316</v>
      </c>
      <c r="AB468" s="143" t="s">
        <v>528</v>
      </c>
      <c r="AC468" s="155">
        <v>1</v>
      </c>
      <c r="AD468" s="155"/>
      <c r="AE468" s="155"/>
      <c r="AF468" s="155"/>
      <c r="AG468" s="155"/>
      <c r="AH468" s="143"/>
      <c r="AI468" s="158"/>
    </row>
    <row r="469" spans="1:35">
      <c r="A469" s="140"/>
      <c r="B469" s="143"/>
      <c r="C469" s="143" t="s">
        <v>1172</v>
      </c>
      <c r="D469" s="143" t="s">
        <v>501</v>
      </c>
      <c r="E469" s="143" t="s">
        <v>80</v>
      </c>
      <c r="F469" s="143" t="s">
        <v>1198</v>
      </c>
      <c r="G469" s="143" t="s">
        <v>1199</v>
      </c>
      <c r="H469" s="143" t="s">
        <v>409</v>
      </c>
      <c r="I469" s="199">
        <v>26581</v>
      </c>
      <c r="J469" s="155"/>
      <c r="K469" s="155">
        <v>1</v>
      </c>
      <c r="L469" s="155"/>
      <c r="M469" s="155"/>
      <c r="N469" s="155"/>
      <c r="O469" s="155"/>
      <c r="P469" s="155"/>
      <c r="Q469" s="155">
        <v>1</v>
      </c>
      <c r="R469" s="155" t="s">
        <v>957</v>
      </c>
      <c r="S469" s="155"/>
      <c r="T469" s="155"/>
      <c r="U469" s="143" t="s">
        <v>1187</v>
      </c>
      <c r="V469" s="143" t="s">
        <v>872</v>
      </c>
      <c r="W469" s="143" t="s">
        <v>280</v>
      </c>
      <c r="X469" s="143" t="s">
        <v>227</v>
      </c>
      <c r="Y469" s="143">
        <v>9701202077</v>
      </c>
      <c r="Z469" s="143"/>
      <c r="AA469" s="162" t="s">
        <v>1316</v>
      </c>
      <c r="AB469" s="143" t="s">
        <v>528</v>
      </c>
      <c r="AC469" s="155">
        <v>1</v>
      </c>
      <c r="AD469" s="155"/>
      <c r="AE469" s="155"/>
      <c r="AF469" s="155"/>
      <c r="AG469" s="155"/>
      <c r="AH469" s="143"/>
      <c r="AI469" s="158"/>
    </row>
    <row r="470" spans="1:35">
      <c r="A470" s="140"/>
      <c r="B470" s="143"/>
      <c r="C470" s="143" t="s">
        <v>1172</v>
      </c>
      <c r="D470" s="143" t="s">
        <v>501</v>
      </c>
      <c r="E470" s="143" t="s">
        <v>80</v>
      </c>
      <c r="F470" s="143" t="s">
        <v>1173</v>
      </c>
      <c r="G470" s="143" t="s">
        <v>1174</v>
      </c>
      <c r="H470" s="143" t="s">
        <v>409</v>
      </c>
      <c r="I470" s="199">
        <v>24378</v>
      </c>
      <c r="J470" s="155">
        <v>1</v>
      </c>
      <c r="K470" s="155"/>
      <c r="L470" s="155"/>
      <c r="M470" s="155"/>
      <c r="N470" s="155"/>
      <c r="O470" s="155"/>
      <c r="P470" s="155"/>
      <c r="Q470" s="155">
        <v>1</v>
      </c>
      <c r="R470" s="155" t="s">
        <v>962</v>
      </c>
      <c r="S470" s="155"/>
      <c r="T470" s="155"/>
      <c r="U470" s="143" t="s">
        <v>1176</v>
      </c>
      <c r="V470" s="143" t="s">
        <v>355</v>
      </c>
      <c r="W470" s="143" t="s">
        <v>280</v>
      </c>
      <c r="X470" s="143" t="s">
        <v>227</v>
      </c>
      <c r="Y470" s="143">
        <v>9051407153</v>
      </c>
      <c r="Z470" s="143"/>
      <c r="AA470" s="162" t="s">
        <v>1316</v>
      </c>
      <c r="AB470" s="143" t="s">
        <v>528</v>
      </c>
      <c r="AC470" s="155">
        <v>1</v>
      </c>
      <c r="AD470" s="155"/>
      <c r="AE470" s="155"/>
      <c r="AF470" s="155"/>
      <c r="AG470" s="155"/>
      <c r="AH470" s="143"/>
      <c r="AI470" s="158"/>
    </row>
    <row r="471" spans="1:35">
      <c r="A471" s="140"/>
      <c r="B471" s="143"/>
      <c r="C471" s="143" t="s">
        <v>1172</v>
      </c>
      <c r="D471" s="143" t="s">
        <v>501</v>
      </c>
      <c r="E471" s="143" t="s">
        <v>80</v>
      </c>
      <c r="F471" s="143" t="s">
        <v>1178</v>
      </c>
      <c r="G471" s="143" t="s">
        <v>989</v>
      </c>
      <c r="H471" s="143" t="s">
        <v>136</v>
      </c>
      <c r="I471" s="199" t="s">
        <v>1317</v>
      </c>
      <c r="J471" s="155">
        <v>1</v>
      </c>
      <c r="K471" s="155"/>
      <c r="L471" s="155"/>
      <c r="M471" s="155">
        <v>1</v>
      </c>
      <c r="N471" s="155"/>
      <c r="O471" s="155"/>
      <c r="P471" s="155"/>
      <c r="Q471" s="155">
        <v>1</v>
      </c>
      <c r="R471" s="155" t="s">
        <v>962</v>
      </c>
      <c r="S471" s="155"/>
      <c r="T471" s="155"/>
      <c r="U471" s="143" t="s">
        <v>1136</v>
      </c>
      <c r="V471" s="143" t="s">
        <v>355</v>
      </c>
      <c r="W471" s="143" t="s">
        <v>280</v>
      </c>
      <c r="X471" s="143" t="s">
        <v>227</v>
      </c>
      <c r="Y471" s="143">
        <v>9533314660</v>
      </c>
      <c r="Z471" s="143"/>
      <c r="AA471" s="162" t="s">
        <v>1316</v>
      </c>
      <c r="AB471" s="143" t="s">
        <v>528</v>
      </c>
      <c r="AC471" s="155">
        <v>1</v>
      </c>
      <c r="AD471" s="155"/>
      <c r="AE471" s="155"/>
      <c r="AF471" s="155"/>
      <c r="AG471" s="155"/>
      <c r="AH471" s="143"/>
      <c r="AI471" s="158"/>
    </row>
    <row r="472" spans="1:35">
      <c r="A472" s="140"/>
      <c r="B472" s="143"/>
      <c r="C472" s="143" t="s">
        <v>1172</v>
      </c>
      <c r="D472" s="143" t="s">
        <v>501</v>
      </c>
      <c r="E472" s="143" t="s">
        <v>80</v>
      </c>
      <c r="F472" s="143" t="s">
        <v>1181</v>
      </c>
      <c r="G472" s="143" t="s">
        <v>1182</v>
      </c>
      <c r="H472" s="143" t="s">
        <v>1183</v>
      </c>
      <c r="I472" s="199">
        <v>26057</v>
      </c>
      <c r="J472" s="155">
        <v>1</v>
      </c>
      <c r="K472" s="155"/>
      <c r="L472" s="155"/>
      <c r="M472" s="155"/>
      <c r="N472" s="155"/>
      <c r="O472" s="155"/>
      <c r="P472" s="155"/>
      <c r="Q472" s="155">
        <v>1</v>
      </c>
      <c r="R472" s="155" t="s">
        <v>962</v>
      </c>
      <c r="S472" s="155"/>
      <c r="T472" s="155"/>
      <c r="U472" s="143" t="s">
        <v>1176</v>
      </c>
      <c r="V472" s="143" t="s">
        <v>355</v>
      </c>
      <c r="W472" s="143" t="s">
        <v>280</v>
      </c>
      <c r="X472" s="143" t="s">
        <v>227</v>
      </c>
      <c r="Y472" s="143">
        <v>9506056255</v>
      </c>
      <c r="Z472" s="143"/>
      <c r="AA472" s="162" t="s">
        <v>1316</v>
      </c>
      <c r="AB472" s="143" t="s">
        <v>528</v>
      </c>
      <c r="AC472" s="155">
        <v>1</v>
      </c>
      <c r="AD472" s="155"/>
      <c r="AE472" s="155"/>
      <c r="AF472" s="155"/>
      <c r="AG472" s="155"/>
      <c r="AH472" s="143"/>
      <c r="AI472" s="158"/>
    </row>
    <row r="473" spans="1:35">
      <c r="A473" s="140"/>
      <c r="B473" s="143"/>
      <c r="C473" s="178" t="s">
        <v>1172</v>
      </c>
      <c r="D473" s="178" t="s">
        <v>501</v>
      </c>
      <c r="E473" s="178" t="s">
        <v>80</v>
      </c>
      <c r="F473" s="178" t="s">
        <v>1075</v>
      </c>
      <c r="G473" s="178" t="s">
        <v>1184</v>
      </c>
      <c r="H473" s="178"/>
      <c r="I473" s="239" t="s">
        <v>1318</v>
      </c>
      <c r="J473" s="171">
        <v>1</v>
      </c>
      <c r="K473" s="171"/>
      <c r="L473" s="171"/>
      <c r="M473" s="171"/>
      <c r="N473" s="171"/>
      <c r="O473" s="171"/>
      <c r="P473" s="171"/>
      <c r="Q473" s="171">
        <v>1</v>
      </c>
      <c r="R473" s="171" t="s">
        <v>962</v>
      </c>
      <c r="S473" s="171"/>
      <c r="T473" s="171"/>
      <c r="U473" s="178" t="s">
        <v>1176</v>
      </c>
      <c r="V473" s="178" t="s">
        <v>355</v>
      </c>
      <c r="W473" s="178" t="s">
        <v>280</v>
      </c>
      <c r="X473" s="178" t="s">
        <v>227</v>
      </c>
      <c r="Y473" s="178">
        <v>9268054541</v>
      </c>
      <c r="Z473" s="178"/>
      <c r="AA473" s="162" t="s">
        <v>1316</v>
      </c>
      <c r="AB473" s="178" t="s">
        <v>528</v>
      </c>
      <c r="AC473" s="171">
        <v>1</v>
      </c>
      <c r="AD473" s="155"/>
      <c r="AE473" s="155"/>
      <c r="AF473" s="155"/>
      <c r="AG473" s="155"/>
      <c r="AH473" s="143"/>
      <c r="AI473" s="158"/>
    </row>
    <row r="474" spans="1:35" s="94" customFormat="1">
      <c r="A474" s="189"/>
      <c r="B474" s="164"/>
      <c r="C474" s="178" t="s">
        <v>1320</v>
      </c>
      <c r="D474" s="178" t="s">
        <v>501</v>
      </c>
      <c r="E474" s="178" t="s">
        <v>80</v>
      </c>
      <c r="F474" s="178" t="s">
        <v>155</v>
      </c>
      <c r="G474" s="178" t="s">
        <v>156</v>
      </c>
      <c r="H474" s="178" t="s">
        <v>286</v>
      </c>
      <c r="I474" s="239">
        <v>25830</v>
      </c>
      <c r="J474" s="171">
        <v>1</v>
      </c>
      <c r="K474" s="171"/>
      <c r="L474" s="171">
        <v>1</v>
      </c>
      <c r="M474" s="171"/>
      <c r="N474" s="171">
        <v>1</v>
      </c>
      <c r="O474" s="171" t="s">
        <v>1135</v>
      </c>
      <c r="P474" s="171"/>
      <c r="Q474" s="171"/>
      <c r="R474" s="171"/>
      <c r="S474" s="171"/>
      <c r="T474" s="171"/>
      <c r="U474" s="178" t="s">
        <v>221</v>
      </c>
      <c r="V474" s="178" t="s">
        <v>218</v>
      </c>
      <c r="W474" s="178" t="s">
        <v>279</v>
      </c>
      <c r="X474" s="178" t="s">
        <v>227</v>
      </c>
      <c r="Y474" s="178">
        <v>9977015196</v>
      </c>
      <c r="Z474" s="178"/>
      <c r="AA474" s="162" t="s">
        <v>1321</v>
      </c>
      <c r="AB474" s="178" t="s">
        <v>528</v>
      </c>
      <c r="AC474" s="171">
        <v>1</v>
      </c>
      <c r="AD474" s="190"/>
      <c r="AE474" s="190"/>
      <c r="AF474" s="190"/>
      <c r="AG474" s="190"/>
      <c r="AH474" s="164"/>
      <c r="AI474" s="191"/>
    </row>
    <row r="475" spans="1:35">
      <c r="A475" s="140"/>
      <c r="B475" s="143"/>
      <c r="C475" s="143" t="s">
        <v>1320</v>
      </c>
      <c r="D475" s="143" t="s">
        <v>501</v>
      </c>
      <c r="E475" s="143" t="s">
        <v>80</v>
      </c>
      <c r="F475" s="143" t="s">
        <v>155</v>
      </c>
      <c r="G475" s="143" t="s">
        <v>1322</v>
      </c>
      <c r="H475" s="143" t="s">
        <v>120</v>
      </c>
      <c r="I475" s="199">
        <v>36515</v>
      </c>
      <c r="J475" s="155">
        <v>1</v>
      </c>
      <c r="K475" s="155"/>
      <c r="L475" s="155">
        <v>1</v>
      </c>
      <c r="M475" s="155"/>
      <c r="N475" s="155"/>
      <c r="O475" s="155"/>
      <c r="P475" s="155"/>
      <c r="Q475" s="155"/>
      <c r="R475" s="155"/>
      <c r="S475" s="155"/>
      <c r="T475" s="155"/>
      <c r="U475" s="143" t="s">
        <v>221</v>
      </c>
      <c r="V475" s="143" t="s">
        <v>218</v>
      </c>
      <c r="W475" s="143" t="s">
        <v>279</v>
      </c>
      <c r="X475" s="143" t="s">
        <v>227</v>
      </c>
      <c r="Y475" s="143">
        <v>9353126014</v>
      </c>
      <c r="Z475" s="143"/>
      <c r="AA475" s="162" t="s">
        <v>1321</v>
      </c>
      <c r="AB475" s="143" t="s">
        <v>528</v>
      </c>
      <c r="AC475" s="155">
        <v>1</v>
      </c>
      <c r="AD475" s="155"/>
      <c r="AE475" s="155"/>
      <c r="AF475" s="155"/>
      <c r="AG475" s="155"/>
      <c r="AH475" s="143"/>
      <c r="AI475" s="158"/>
    </row>
    <row r="476" spans="1:35">
      <c r="A476" s="140"/>
      <c r="B476" s="143"/>
      <c r="C476" s="143" t="s">
        <v>1320</v>
      </c>
      <c r="D476" s="143" t="s">
        <v>501</v>
      </c>
      <c r="E476" s="143" t="s">
        <v>80</v>
      </c>
      <c r="F476" s="143" t="s">
        <v>161</v>
      </c>
      <c r="G476" s="143" t="s">
        <v>1323</v>
      </c>
      <c r="H476" s="143" t="s">
        <v>1040</v>
      </c>
      <c r="I476" s="199">
        <v>25212</v>
      </c>
      <c r="J476" s="155">
        <v>1</v>
      </c>
      <c r="K476" s="155"/>
      <c r="L476" s="155">
        <v>1</v>
      </c>
      <c r="M476" s="155"/>
      <c r="N476" s="155">
        <v>1</v>
      </c>
      <c r="O476" s="155" t="s">
        <v>1135</v>
      </c>
      <c r="P476" s="155"/>
      <c r="Q476" s="155"/>
      <c r="R476" s="155"/>
      <c r="S476" s="155"/>
      <c r="T476" s="155"/>
      <c r="U476" s="143" t="s">
        <v>221</v>
      </c>
      <c r="V476" s="143" t="s">
        <v>218</v>
      </c>
      <c r="W476" s="143" t="s">
        <v>279</v>
      </c>
      <c r="X476" s="143" t="s">
        <v>227</v>
      </c>
      <c r="Y476" s="143"/>
      <c r="Z476" s="143"/>
      <c r="AA476" s="162" t="s">
        <v>1321</v>
      </c>
      <c r="AB476" s="143" t="s">
        <v>528</v>
      </c>
      <c r="AC476" s="155">
        <v>1</v>
      </c>
      <c r="AD476" s="155"/>
      <c r="AE476" s="155"/>
      <c r="AF476" s="155"/>
      <c r="AG476" s="155"/>
      <c r="AH476" s="143"/>
      <c r="AI476" s="158"/>
    </row>
    <row r="477" spans="1:35">
      <c r="A477" s="140"/>
      <c r="B477" s="143"/>
      <c r="C477" s="143" t="s">
        <v>1320</v>
      </c>
      <c r="D477" s="143" t="s">
        <v>501</v>
      </c>
      <c r="E477" s="143" t="s">
        <v>80</v>
      </c>
      <c r="F477" s="143" t="s">
        <v>161</v>
      </c>
      <c r="G477" s="143" t="s">
        <v>150</v>
      </c>
      <c r="H477" s="143" t="s">
        <v>742</v>
      </c>
      <c r="I477" s="199">
        <v>22465</v>
      </c>
      <c r="J477" s="155">
        <v>1</v>
      </c>
      <c r="K477" s="155"/>
      <c r="L477" s="155">
        <v>1</v>
      </c>
      <c r="M477" s="155"/>
      <c r="N477" s="155">
        <v>1</v>
      </c>
      <c r="O477" s="155" t="s">
        <v>1135</v>
      </c>
      <c r="P477" s="155"/>
      <c r="Q477" s="155"/>
      <c r="R477" s="155"/>
      <c r="S477" s="155"/>
      <c r="T477" s="155"/>
      <c r="U477" s="143" t="s">
        <v>221</v>
      </c>
      <c r="V477" s="143" t="s">
        <v>218</v>
      </c>
      <c r="W477" s="143" t="s">
        <v>279</v>
      </c>
      <c r="X477" s="143" t="s">
        <v>227</v>
      </c>
      <c r="Y477" s="143"/>
      <c r="Z477" s="143"/>
      <c r="AA477" s="162" t="s">
        <v>1321</v>
      </c>
      <c r="AB477" s="143" t="s">
        <v>528</v>
      </c>
      <c r="AC477" s="155">
        <v>1</v>
      </c>
      <c r="AD477" s="155"/>
      <c r="AE477" s="155"/>
      <c r="AF477" s="155"/>
      <c r="AG477" s="155"/>
      <c r="AH477" s="143"/>
      <c r="AI477" s="158"/>
    </row>
    <row r="478" spans="1:35">
      <c r="A478" s="140"/>
      <c r="B478" s="143"/>
      <c r="C478" s="143" t="s">
        <v>1320</v>
      </c>
      <c r="D478" s="143" t="s">
        <v>501</v>
      </c>
      <c r="E478" s="143" t="s">
        <v>80</v>
      </c>
      <c r="F478" s="143" t="s">
        <v>171</v>
      </c>
      <c r="G478" s="143" t="s">
        <v>638</v>
      </c>
      <c r="H478" s="143" t="s">
        <v>409</v>
      </c>
      <c r="I478" s="199">
        <v>35149</v>
      </c>
      <c r="J478" s="155">
        <v>1</v>
      </c>
      <c r="K478" s="155"/>
      <c r="L478" s="155">
        <v>1</v>
      </c>
      <c r="M478" s="155"/>
      <c r="N478" s="155"/>
      <c r="O478" s="155"/>
      <c r="P478" s="155"/>
      <c r="Q478" s="155"/>
      <c r="R478" s="155"/>
      <c r="S478" s="155"/>
      <c r="T478" s="155"/>
      <c r="U478" s="143" t="s">
        <v>221</v>
      </c>
      <c r="V478" s="143" t="s">
        <v>218</v>
      </c>
      <c r="W478" s="143" t="s">
        <v>279</v>
      </c>
      <c r="X478" s="143" t="s">
        <v>227</v>
      </c>
      <c r="Y478" s="143">
        <v>9977119445</v>
      </c>
      <c r="Z478" s="143"/>
      <c r="AA478" s="162" t="s">
        <v>1321</v>
      </c>
      <c r="AB478" s="143" t="s">
        <v>528</v>
      </c>
      <c r="AC478" s="155">
        <v>1</v>
      </c>
      <c r="AD478" s="155"/>
      <c r="AE478" s="155"/>
      <c r="AF478" s="155"/>
      <c r="AG478" s="155"/>
      <c r="AH478" s="143"/>
      <c r="AI478" s="158"/>
    </row>
    <row r="479" spans="1:35">
      <c r="A479" s="140"/>
      <c r="B479" s="143"/>
      <c r="C479" s="143" t="s">
        <v>1320</v>
      </c>
      <c r="D479" s="143" t="s">
        <v>501</v>
      </c>
      <c r="E479" s="143" t="s">
        <v>80</v>
      </c>
      <c r="F479" s="143" t="s">
        <v>161</v>
      </c>
      <c r="G479" s="143" t="s">
        <v>1324</v>
      </c>
      <c r="H479" s="143" t="s">
        <v>742</v>
      </c>
      <c r="I479" s="199">
        <v>24947</v>
      </c>
      <c r="J479" s="155">
        <v>1</v>
      </c>
      <c r="K479" s="155"/>
      <c r="L479" s="155">
        <v>1</v>
      </c>
      <c r="M479" s="155"/>
      <c r="N479" s="155">
        <v>1</v>
      </c>
      <c r="O479" s="155" t="s">
        <v>1135</v>
      </c>
      <c r="P479" s="155"/>
      <c r="Q479" s="155"/>
      <c r="R479" s="155"/>
      <c r="S479" s="155"/>
      <c r="T479" s="155"/>
      <c r="U479" s="143" t="s">
        <v>221</v>
      </c>
      <c r="V479" s="143" t="s">
        <v>218</v>
      </c>
      <c r="W479" s="143" t="s">
        <v>279</v>
      </c>
      <c r="X479" s="143" t="s">
        <v>227</v>
      </c>
      <c r="Y479" s="143">
        <v>9271304638</v>
      </c>
      <c r="Z479" s="143"/>
      <c r="AA479" s="162" t="s">
        <v>1321</v>
      </c>
      <c r="AB479" s="143" t="s">
        <v>528</v>
      </c>
      <c r="AC479" s="155">
        <v>1</v>
      </c>
      <c r="AD479" s="155"/>
      <c r="AE479" s="155"/>
      <c r="AF479" s="155"/>
      <c r="AG479" s="155"/>
      <c r="AH479" s="143"/>
      <c r="AI479" s="158"/>
    </row>
    <row r="480" spans="1:35">
      <c r="A480" s="140"/>
      <c r="B480" s="143"/>
      <c r="C480" s="143" t="s">
        <v>1320</v>
      </c>
      <c r="D480" s="143" t="s">
        <v>501</v>
      </c>
      <c r="E480" s="143" t="s">
        <v>80</v>
      </c>
      <c r="F480" s="143" t="s">
        <v>158</v>
      </c>
      <c r="G480" s="143" t="s">
        <v>159</v>
      </c>
      <c r="H480" s="143" t="s">
        <v>160</v>
      </c>
      <c r="I480" s="199">
        <v>22197</v>
      </c>
      <c r="J480" s="155">
        <v>1</v>
      </c>
      <c r="K480" s="155"/>
      <c r="L480" s="155">
        <v>1</v>
      </c>
      <c r="M480" s="155">
        <v>1</v>
      </c>
      <c r="N480" s="155"/>
      <c r="O480" s="155"/>
      <c r="P480" s="155"/>
      <c r="Q480" s="155"/>
      <c r="R480" s="155"/>
      <c r="S480" s="155"/>
      <c r="T480" s="155"/>
      <c r="U480" s="143" t="s">
        <v>221</v>
      </c>
      <c r="V480" s="143" t="s">
        <v>218</v>
      </c>
      <c r="W480" s="143" t="s">
        <v>279</v>
      </c>
      <c r="X480" s="143" t="s">
        <v>227</v>
      </c>
      <c r="Y480" s="143"/>
      <c r="Z480" s="143"/>
      <c r="AA480" s="162" t="s">
        <v>1321</v>
      </c>
      <c r="AB480" s="143" t="s">
        <v>528</v>
      </c>
      <c r="AC480" s="155">
        <v>1</v>
      </c>
      <c r="AD480" s="155"/>
      <c r="AE480" s="155"/>
      <c r="AF480" s="155"/>
      <c r="AG480" s="155"/>
      <c r="AH480" s="143"/>
      <c r="AI480" s="158"/>
    </row>
    <row r="481" spans="1:35">
      <c r="A481" s="140"/>
      <c r="B481" s="143"/>
      <c r="C481" s="143" t="s">
        <v>1320</v>
      </c>
      <c r="D481" s="143" t="s">
        <v>501</v>
      </c>
      <c r="E481" s="143" t="s">
        <v>80</v>
      </c>
      <c r="F481" s="143" t="s">
        <v>174</v>
      </c>
      <c r="G481" s="143" t="s">
        <v>1325</v>
      </c>
      <c r="H481" s="143" t="s">
        <v>144</v>
      </c>
      <c r="I481" s="199">
        <v>18071</v>
      </c>
      <c r="J481" s="155">
        <v>1</v>
      </c>
      <c r="K481" s="155"/>
      <c r="L481" s="155">
        <v>1</v>
      </c>
      <c r="M481" s="155">
        <v>1</v>
      </c>
      <c r="N481" s="155">
        <v>1</v>
      </c>
      <c r="O481" s="155" t="s">
        <v>1135</v>
      </c>
      <c r="P481" s="155"/>
      <c r="Q481" s="155"/>
      <c r="R481" s="155"/>
      <c r="S481" s="155"/>
      <c r="T481" s="155"/>
      <c r="U481" s="143" t="s">
        <v>221</v>
      </c>
      <c r="V481" s="143" t="s">
        <v>218</v>
      </c>
      <c r="W481" s="143" t="s">
        <v>279</v>
      </c>
      <c r="X481" s="143" t="s">
        <v>227</v>
      </c>
      <c r="Y481" s="143"/>
      <c r="Z481" s="143"/>
      <c r="AA481" s="162" t="s">
        <v>1321</v>
      </c>
      <c r="AB481" s="143" t="s">
        <v>528</v>
      </c>
      <c r="AC481" s="155">
        <v>1</v>
      </c>
      <c r="AD481" s="155"/>
      <c r="AE481" s="155"/>
      <c r="AF481" s="155"/>
      <c r="AG481" s="155"/>
      <c r="AH481" s="143"/>
      <c r="AI481" s="158"/>
    </row>
    <row r="482" spans="1:35">
      <c r="A482" s="140"/>
      <c r="B482" s="143"/>
      <c r="C482" s="143" t="s">
        <v>1320</v>
      </c>
      <c r="D482" s="143" t="s">
        <v>501</v>
      </c>
      <c r="E482" s="143" t="s">
        <v>80</v>
      </c>
      <c r="F482" s="143" t="s">
        <v>161</v>
      </c>
      <c r="G482" s="143" t="s">
        <v>162</v>
      </c>
      <c r="H482" s="143" t="s">
        <v>742</v>
      </c>
      <c r="I482" s="199">
        <v>25905</v>
      </c>
      <c r="J482" s="155">
        <v>1</v>
      </c>
      <c r="K482" s="155"/>
      <c r="L482" s="155">
        <v>1</v>
      </c>
      <c r="M482" s="155"/>
      <c r="N482" s="155">
        <v>1</v>
      </c>
      <c r="O482" s="155" t="s">
        <v>1135</v>
      </c>
      <c r="P482" s="155"/>
      <c r="Q482" s="155"/>
      <c r="R482" s="155"/>
      <c r="S482" s="155"/>
      <c r="T482" s="155"/>
      <c r="U482" s="143" t="s">
        <v>221</v>
      </c>
      <c r="V482" s="143" t="s">
        <v>218</v>
      </c>
      <c r="W482" s="143" t="s">
        <v>279</v>
      </c>
      <c r="X482" s="143" t="s">
        <v>227</v>
      </c>
      <c r="Y482" s="143">
        <v>9354535761</v>
      </c>
      <c r="Z482" s="143"/>
      <c r="AA482" s="162" t="s">
        <v>1321</v>
      </c>
      <c r="AB482" s="143" t="s">
        <v>528</v>
      </c>
      <c r="AC482" s="155">
        <v>1</v>
      </c>
      <c r="AD482" s="155"/>
      <c r="AE482" s="155"/>
      <c r="AF482" s="155"/>
      <c r="AG482" s="155"/>
      <c r="AH482" s="143"/>
      <c r="AI482" s="158"/>
    </row>
    <row r="483" spans="1:35">
      <c r="A483" s="140"/>
      <c r="B483" s="143"/>
      <c r="C483" s="143" t="s">
        <v>1320</v>
      </c>
      <c r="D483" s="143" t="s">
        <v>501</v>
      </c>
      <c r="E483" s="143" t="s">
        <v>80</v>
      </c>
      <c r="F483" s="143" t="s">
        <v>174</v>
      </c>
      <c r="G483" s="143" t="s">
        <v>745</v>
      </c>
      <c r="H483" s="143" t="s">
        <v>604</v>
      </c>
      <c r="I483" s="199">
        <v>27614</v>
      </c>
      <c r="J483" s="155">
        <v>1</v>
      </c>
      <c r="K483" s="155"/>
      <c r="L483" s="155">
        <v>1</v>
      </c>
      <c r="M483" s="155"/>
      <c r="N483" s="155">
        <v>1</v>
      </c>
      <c r="O483" s="155" t="s">
        <v>1135</v>
      </c>
      <c r="P483" s="155"/>
      <c r="Q483" s="155"/>
      <c r="R483" s="155"/>
      <c r="S483" s="155"/>
      <c r="T483" s="155"/>
      <c r="U483" s="143" t="s">
        <v>221</v>
      </c>
      <c r="V483" s="143" t="s">
        <v>218</v>
      </c>
      <c r="W483" s="143" t="s">
        <v>279</v>
      </c>
      <c r="X483" s="143" t="s">
        <v>227</v>
      </c>
      <c r="Y483" s="143"/>
      <c r="Z483" s="143"/>
      <c r="AA483" s="162" t="s">
        <v>1321</v>
      </c>
      <c r="AB483" s="143" t="s">
        <v>528</v>
      </c>
      <c r="AC483" s="155">
        <v>1</v>
      </c>
      <c r="AD483" s="155"/>
      <c r="AE483" s="155"/>
      <c r="AF483" s="155"/>
      <c r="AG483" s="155"/>
      <c r="AH483" s="143"/>
      <c r="AI483" s="158"/>
    </row>
    <row r="484" spans="1:35">
      <c r="A484" s="140"/>
      <c r="B484" s="143"/>
      <c r="C484" s="143" t="s">
        <v>1320</v>
      </c>
      <c r="D484" s="143" t="s">
        <v>501</v>
      </c>
      <c r="E484" s="143" t="s">
        <v>80</v>
      </c>
      <c r="F484" s="143" t="s">
        <v>161</v>
      </c>
      <c r="G484" s="143" t="s">
        <v>1231</v>
      </c>
      <c r="H484" s="143" t="s">
        <v>113</v>
      </c>
      <c r="I484" s="199">
        <v>35851</v>
      </c>
      <c r="J484" s="155">
        <v>1</v>
      </c>
      <c r="K484" s="155"/>
      <c r="L484" s="155">
        <v>1</v>
      </c>
      <c r="M484" s="155"/>
      <c r="N484" s="155">
        <v>1</v>
      </c>
      <c r="O484" s="155" t="s">
        <v>1135</v>
      </c>
      <c r="P484" s="155"/>
      <c r="Q484" s="155"/>
      <c r="R484" s="155"/>
      <c r="S484" s="155"/>
      <c r="T484" s="155"/>
      <c r="U484" s="143" t="s">
        <v>221</v>
      </c>
      <c r="V484" s="143" t="s">
        <v>218</v>
      </c>
      <c r="W484" s="143" t="s">
        <v>279</v>
      </c>
      <c r="X484" s="143" t="s">
        <v>227</v>
      </c>
      <c r="Y484" s="143"/>
      <c r="Z484" s="143"/>
      <c r="AA484" s="162" t="s">
        <v>1321</v>
      </c>
      <c r="AB484" s="143" t="s">
        <v>528</v>
      </c>
      <c r="AC484" s="155">
        <v>1</v>
      </c>
      <c r="AD484" s="155"/>
      <c r="AE484" s="155"/>
      <c r="AF484" s="155"/>
      <c r="AG484" s="155"/>
      <c r="AH484" s="143"/>
      <c r="AI484" s="158"/>
    </row>
    <row r="485" spans="1:35">
      <c r="A485" s="140"/>
      <c r="B485" s="143"/>
      <c r="C485" s="143" t="s">
        <v>1320</v>
      </c>
      <c r="D485" s="143" t="s">
        <v>501</v>
      </c>
      <c r="E485" s="143" t="s">
        <v>80</v>
      </c>
      <c r="F485" s="143" t="s">
        <v>1228</v>
      </c>
      <c r="G485" s="143" t="s">
        <v>800</v>
      </c>
      <c r="H485" s="143" t="s">
        <v>113</v>
      </c>
      <c r="I485" s="199">
        <v>26798</v>
      </c>
      <c r="J485" s="155">
        <v>1</v>
      </c>
      <c r="K485" s="155"/>
      <c r="L485" s="155">
        <v>1</v>
      </c>
      <c r="M485" s="155"/>
      <c r="N485" s="155">
        <v>1</v>
      </c>
      <c r="O485" s="155" t="s">
        <v>1135</v>
      </c>
      <c r="P485" s="155"/>
      <c r="Q485" s="155"/>
      <c r="R485" s="155"/>
      <c r="S485" s="155"/>
      <c r="T485" s="155"/>
      <c r="U485" s="143" t="s">
        <v>221</v>
      </c>
      <c r="V485" s="143" t="s">
        <v>218</v>
      </c>
      <c r="W485" s="143" t="s">
        <v>279</v>
      </c>
      <c r="X485" s="143" t="s">
        <v>227</v>
      </c>
      <c r="Y485" s="143">
        <v>9174752069</v>
      </c>
      <c r="Z485" s="143"/>
      <c r="AA485" s="162" t="s">
        <v>1321</v>
      </c>
      <c r="AB485" s="143" t="s">
        <v>528</v>
      </c>
      <c r="AC485" s="155">
        <v>1</v>
      </c>
      <c r="AD485" s="155"/>
      <c r="AE485" s="155"/>
      <c r="AF485" s="155"/>
      <c r="AG485" s="155"/>
      <c r="AH485" s="143"/>
      <c r="AI485" s="158"/>
    </row>
    <row r="486" spans="1:35">
      <c r="A486" s="140"/>
      <c r="B486" s="143"/>
      <c r="C486" s="143" t="s">
        <v>1320</v>
      </c>
      <c r="D486" s="143" t="s">
        <v>501</v>
      </c>
      <c r="E486" s="143" t="s">
        <v>80</v>
      </c>
      <c r="F486" s="143" t="s">
        <v>1326</v>
      </c>
      <c r="G486" s="143" t="s">
        <v>1327</v>
      </c>
      <c r="H486" s="143" t="s">
        <v>117</v>
      </c>
      <c r="I486" s="199">
        <v>25882</v>
      </c>
      <c r="J486" s="155">
        <v>1</v>
      </c>
      <c r="K486" s="155"/>
      <c r="L486" s="155">
        <v>1</v>
      </c>
      <c r="M486" s="155"/>
      <c r="N486" s="155"/>
      <c r="O486" s="155"/>
      <c r="P486" s="155"/>
      <c r="Q486" s="155"/>
      <c r="R486" s="155"/>
      <c r="S486" s="155"/>
      <c r="T486" s="155"/>
      <c r="U486" s="143" t="s">
        <v>221</v>
      </c>
      <c r="V486" s="143" t="s">
        <v>218</v>
      </c>
      <c r="W486" s="143" t="s">
        <v>279</v>
      </c>
      <c r="X486" s="143" t="s">
        <v>227</v>
      </c>
      <c r="Y486" s="143"/>
      <c r="Z486" s="143"/>
      <c r="AA486" s="162" t="s">
        <v>1321</v>
      </c>
      <c r="AB486" s="143" t="s">
        <v>528</v>
      </c>
      <c r="AC486" s="155">
        <v>1</v>
      </c>
      <c r="AD486" s="155"/>
      <c r="AE486" s="155"/>
      <c r="AF486" s="155"/>
      <c r="AG486" s="155"/>
      <c r="AH486" s="143"/>
      <c r="AI486" s="158"/>
    </row>
    <row r="487" spans="1:35">
      <c r="A487" s="140"/>
      <c r="B487" s="143"/>
      <c r="C487" s="143" t="s">
        <v>1320</v>
      </c>
      <c r="D487" s="143" t="s">
        <v>501</v>
      </c>
      <c r="E487" s="143" t="s">
        <v>80</v>
      </c>
      <c r="F487" s="143" t="s">
        <v>1328</v>
      </c>
      <c r="G487" s="143" t="s">
        <v>1329</v>
      </c>
      <c r="H487" s="143"/>
      <c r="I487" s="199">
        <v>33850</v>
      </c>
      <c r="J487" s="155"/>
      <c r="K487" s="155">
        <v>1</v>
      </c>
      <c r="L487" s="155">
        <v>1</v>
      </c>
      <c r="M487" s="155"/>
      <c r="N487" s="155"/>
      <c r="O487" s="155"/>
      <c r="P487" s="155"/>
      <c r="Q487" s="155"/>
      <c r="R487" s="155"/>
      <c r="S487" s="155"/>
      <c r="T487" s="155"/>
      <c r="U487" s="143" t="s">
        <v>221</v>
      </c>
      <c r="V487" s="143" t="s">
        <v>218</v>
      </c>
      <c r="W487" s="143" t="s">
        <v>279</v>
      </c>
      <c r="X487" s="143" t="s">
        <v>227</v>
      </c>
      <c r="Y487" s="143">
        <v>9754533615</v>
      </c>
      <c r="Z487" s="143"/>
      <c r="AA487" s="162" t="s">
        <v>1321</v>
      </c>
      <c r="AB487" s="143" t="s">
        <v>528</v>
      </c>
      <c r="AC487" s="155">
        <v>1</v>
      </c>
      <c r="AD487" s="155"/>
      <c r="AE487" s="155"/>
      <c r="AF487" s="155"/>
      <c r="AG487" s="155"/>
      <c r="AH487" s="143"/>
      <c r="AI487" s="158"/>
    </row>
    <row r="488" spans="1:35">
      <c r="A488" s="140"/>
      <c r="B488" s="143"/>
      <c r="C488" s="143" t="s">
        <v>1320</v>
      </c>
      <c r="D488" s="143" t="s">
        <v>501</v>
      </c>
      <c r="E488" s="143" t="s">
        <v>80</v>
      </c>
      <c r="F488" s="143" t="s">
        <v>147</v>
      </c>
      <c r="G488" s="143" t="s">
        <v>438</v>
      </c>
      <c r="H488" s="143" t="s">
        <v>113</v>
      </c>
      <c r="I488" s="199">
        <v>25295</v>
      </c>
      <c r="J488" s="155"/>
      <c r="K488" s="155">
        <v>1</v>
      </c>
      <c r="L488" s="155">
        <v>1</v>
      </c>
      <c r="M488" s="155"/>
      <c r="N488" s="155"/>
      <c r="O488" s="155"/>
      <c r="P488" s="155"/>
      <c r="Q488" s="155"/>
      <c r="R488" s="155"/>
      <c r="S488" s="155"/>
      <c r="T488" s="155"/>
      <c r="U488" s="143" t="s">
        <v>221</v>
      </c>
      <c r="V488" s="143" t="s">
        <v>218</v>
      </c>
      <c r="W488" s="143" t="s">
        <v>279</v>
      </c>
      <c r="X488" s="143" t="s">
        <v>227</v>
      </c>
      <c r="Y488" s="143">
        <v>9265067453</v>
      </c>
      <c r="Z488" s="143"/>
      <c r="AA488" s="162" t="s">
        <v>1321</v>
      </c>
      <c r="AB488" s="143" t="s">
        <v>528</v>
      </c>
      <c r="AC488" s="155">
        <v>1</v>
      </c>
      <c r="AD488" s="155"/>
      <c r="AE488" s="155"/>
      <c r="AF488" s="155"/>
      <c r="AG488" s="155"/>
      <c r="AH488" s="143"/>
      <c r="AI488" s="158"/>
    </row>
    <row r="489" spans="1:35">
      <c r="A489" s="140"/>
      <c r="B489" s="143"/>
      <c r="C489" s="143" t="s">
        <v>1320</v>
      </c>
      <c r="D489" s="143" t="s">
        <v>501</v>
      </c>
      <c r="E489" s="143" t="s">
        <v>80</v>
      </c>
      <c r="F489" s="143" t="s">
        <v>161</v>
      </c>
      <c r="G489" s="143" t="s">
        <v>1330</v>
      </c>
      <c r="H489" s="143" t="s">
        <v>742</v>
      </c>
      <c r="I489" s="199">
        <v>29785</v>
      </c>
      <c r="J489" s="155">
        <v>1</v>
      </c>
      <c r="K489" s="155"/>
      <c r="L489" s="155">
        <v>1</v>
      </c>
      <c r="M489" s="155"/>
      <c r="N489" s="155">
        <v>1</v>
      </c>
      <c r="O489" s="155" t="s">
        <v>1135</v>
      </c>
      <c r="P489" s="155"/>
      <c r="Q489" s="155"/>
      <c r="R489" s="155"/>
      <c r="S489" s="155"/>
      <c r="T489" s="155"/>
      <c r="U489" s="143" t="s">
        <v>221</v>
      </c>
      <c r="V489" s="143" t="s">
        <v>218</v>
      </c>
      <c r="W489" s="143" t="s">
        <v>279</v>
      </c>
      <c r="X489" s="143" t="s">
        <v>227</v>
      </c>
      <c r="Y489" s="143">
        <v>9367971320</v>
      </c>
      <c r="Z489" s="143"/>
      <c r="AA489" s="162" t="s">
        <v>1321</v>
      </c>
      <c r="AB489" s="143" t="s">
        <v>528</v>
      </c>
      <c r="AC489" s="155">
        <v>1</v>
      </c>
      <c r="AD489" s="155"/>
      <c r="AE489" s="155"/>
      <c r="AF489" s="155"/>
      <c r="AG489" s="155"/>
      <c r="AH489" s="143"/>
      <c r="AI489" s="158"/>
    </row>
    <row r="490" spans="1:35">
      <c r="A490" s="140"/>
      <c r="B490" s="143"/>
      <c r="C490" s="143" t="s">
        <v>1320</v>
      </c>
      <c r="D490" s="143" t="s">
        <v>501</v>
      </c>
      <c r="E490" s="143" t="s">
        <v>80</v>
      </c>
      <c r="F490" s="143" t="s">
        <v>174</v>
      </c>
      <c r="G490" s="143" t="s">
        <v>998</v>
      </c>
      <c r="H490" s="143"/>
      <c r="I490" s="199">
        <v>27853</v>
      </c>
      <c r="J490" s="155">
        <v>1</v>
      </c>
      <c r="K490" s="155"/>
      <c r="L490" s="155">
        <v>1</v>
      </c>
      <c r="M490" s="155"/>
      <c r="N490" s="155">
        <v>1</v>
      </c>
      <c r="O490" s="155" t="s">
        <v>1135</v>
      </c>
      <c r="P490" s="155"/>
      <c r="Q490" s="155"/>
      <c r="R490" s="155"/>
      <c r="S490" s="155"/>
      <c r="T490" s="155"/>
      <c r="U490" s="143" t="s">
        <v>221</v>
      </c>
      <c r="V490" s="143" t="s">
        <v>218</v>
      </c>
      <c r="W490" s="143" t="s">
        <v>279</v>
      </c>
      <c r="X490" s="143" t="s">
        <v>227</v>
      </c>
      <c r="Y490" s="143">
        <v>9359304059</v>
      </c>
      <c r="Z490" s="143"/>
      <c r="AA490" s="162" t="s">
        <v>1321</v>
      </c>
      <c r="AB490" s="143" t="s">
        <v>528</v>
      </c>
      <c r="AC490" s="155">
        <v>1</v>
      </c>
      <c r="AD490" s="155"/>
      <c r="AE490" s="155"/>
      <c r="AF490" s="155"/>
      <c r="AG490" s="155"/>
      <c r="AH490" s="143"/>
      <c r="AI490" s="158"/>
    </row>
    <row r="491" spans="1:35">
      <c r="A491" s="140"/>
      <c r="B491" s="143"/>
      <c r="C491" s="143" t="s">
        <v>1320</v>
      </c>
      <c r="D491" s="143" t="s">
        <v>501</v>
      </c>
      <c r="E491" s="143" t="s">
        <v>80</v>
      </c>
      <c r="F491" s="143" t="s">
        <v>1331</v>
      </c>
      <c r="G491" s="143" t="s">
        <v>1332</v>
      </c>
      <c r="H491" s="143" t="s">
        <v>144</v>
      </c>
      <c r="I491" s="199">
        <v>31983</v>
      </c>
      <c r="J491" s="155">
        <v>1</v>
      </c>
      <c r="K491" s="155"/>
      <c r="L491" s="155">
        <v>1</v>
      </c>
      <c r="M491" s="155"/>
      <c r="N491" s="155">
        <v>1</v>
      </c>
      <c r="O491" s="155" t="s">
        <v>1135</v>
      </c>
      <c r="P491" s="155"/>
      <c r="Q491" s="155"/>
      <c r="R491" s="155"/>
      <c r="S491" s="155"/>
      <c r="T491" s="155"/>
      <c r="U491" s="143" t="s">
        <v>221</v>
      </c>
      <c r="V491" s="143" t="s">
        <v>218</v>
      </c>
      <c r="W491" s="143" t="s">
        <v>279</v>
      </c>
      <c r="X491" s="143" t="s">
        <v>227</v>
      </c>
      <c r="Y491" s="143">
        <v>9753208589</v>
      </c>
      <c r="Z491" s="143"/>
      <c r="AA491" s="162" t="s">
        <v>1321</v>
      </c>
      <c r="AB491" s="143" t="s">
        <v>528</v>
      </c>
      <c r="AC491" s="155">
        <v>1</v>
      </c>
      <c r="AD491" s="155"/>
      <c r="AE491" s="155"/>
      <c r="AF491" s="155"/>
      <c r="AG491" s="155"/>
      <c r="AH491" s="143"/>
      <c r="AI491" s="158"/>
    </row>
    <row r="492" spans="1:35">
      <c r="A492" s="140"/>
      <c r="B492" s="143"/>
      <c r="C492" s="143" t="s">
        <v>1320</v>
      </c>
      <c r="D492" s="143" t="s">
        <v>501</v>
      </c>
      <c r="E492" s="143" t="s">
        <v>80</v>
      </c>
      <c r="F492" s="143" t="s">
        <v>1326</v>
      </c>
      <c r="G492" s="143" t="s">
        <v>1333</v>
      </c>
      <c r="H492" s="143" t="s">
        <v>174</v>
      </c>
      <c r="I492" s="199">
        <v>26655</v>
      </c>
      <c r="J492" s="155"/>
      <c r="K492" s="155">
        <v>1</v>
      </c>
      <c r="L492" s="155">
        <v>1</v>
      </c>
      <c r="M492" s="155"/>
      <c r="N492" s="155">
        <v>1</v>
      </c>
      <c r="O492" s="155" t="s">
        <v>1135</v>
      </c>
      <c r="P492" s="155"/>
      <c r="Q492" s="155"/>
      <c r="R492" s="155"/>
      <c r="S492" s="155"/>
      <c r="T492" s="155"/>
      <c r="U492" s="143" t="s">
        <v>221</v>
      </c>
      <c r="V492" s="143" t="s">
        <v>218</v>
      </c>
      <c r="W492" s="143" t="s">
        <v>279</v>
      </c>
      <c r="X492" s="143" t="s">
        <v>227</v>
      </c>
      <c r="Y492" s="143">
        <v>9659150724</v>
      </c>
      <c r="Z492" s="143"/>
      <c r="AA492" s="162" t="s">
        <v>1321</v>
      </c>
      <c r="AB492" s="143" t="s">
        <v>528</v>
      </c>
      <c r="AC492" s="155">
        <v>1</v>
      </c>
      <c r="AD492" s="155"/>
      <c r="AE492" s="155"/>
      <c r="AF492" s="155"/>
      <c r="AG492" s="155"/>
      <c r="AH492" s="143"/>
      <c r="AI492" s="158"/>
    </row>
    <row r="493" spans="1:35">
      <c r="A493" s="140"/>
      <c r="B493" s="143"/>
      <c r="C493" s="143" t="s">
        <v>1320</v>
      </c>
      <c r="D493" s="143" t="s">
        <v>501</v>
      </c>
      <c r="E493" s="143" t="s">
        <v>80</v>
      </c>
      <c r="F493" s="143" t="s">
        <v>179</v>
      </c>
      <c r="G493" s="143" t="s">
        <v>150</v>
      </c>
      <c r="H493" s="143" t="s">
        <v>113</v>
      </c>
      <c r="I493" s="199">
        <v>20956</v>
      </c>
      <c r="J493" s="155">
        <v>1</v>
      </c>
      <c r="K493" s="155"/>
      <c r="L493" s="155">
        <v>1</v>
      </c>
      <c r="M493" s="155">
        <v>1</v>
      </c>
      <c r="N493" s="155">
        <v>1</v>
      </c>
      <c r="O493" s="155" t="s">
        <v>1135</v>
      </c>
      <c r="P493" s="155"/>
      <c r="Q493" s="155"/>
      <c r="R493" s="155"/>
      <c r="S493" s="155"/>
      <c r="T493" s="155"/>
      <c r="U493" s="143" t="s">
        <v>221</v>
      </c>
      <c r="V493" s="143" t="s">
        <v>218</v>
      </c>
      <c r="W493" s="143" t="s">
        <v>279</v>
      </c>
      <c r="X493" s="143" t="s">
        <v>227</v>
      </c>
      <c r="Y493" s="143"/>
      <c r="Z493" s="143"/>
      <c r="AA493" s="162" t="s">
        <v>1321</v>
      </c>
      <c r="AB493" s="143" t="s">
        <v>528</v>
      </c>
      <c r="AC493" s="155">
        <v>1</v>
      </c>
      <c r="AD493" s="155"/>
      <c r="AE493" s="155"/>
      <c r="AF493" s="155"/>
      <c r="AG493" s="155"/>
      <c r="AH493" s="143"/>
      <c r="AI493" s="158"/>
    </row>
    <row r="494" spans="1:35">
      <c r="A494" s="140"/>
      <c r="B494" s="143"/>
      <c r="C494" s="143" t="s">
        <v>1320</v>
      </c>
      <c r="D494" s="143" t="s">
        <v>501</v>
      </c>
      <c r="E494" s="143" t="s">
        <v>80</v>
      </c>
      <c r="F494" s="143" t="s">
        <v>995</v>
      </c>
      <c r="G494" s="143" t="s">
        <v>1334</v>
      </c>
      <c r="H494" s="143" t="s">
        <v>136</v>
      </c>
      <c r="I494" s="199">
        <v>21181</v>
      </c>
      <c r="J494" s="155">
        <v>1</v>
      </c>
      <c r="K494" s="155"/>
      <c r="L494" s="155">
        <v>1</v>
      </c>
      <c r="M494" s="155">
        <v>1</v>
      </c>
      <c r="N494" s="155"/>
      <c r="O494" s="155"/>
      <c r="P494" s="155"/>
      <c r="Q494" s="155"/>
      <c r="R494" s="155"/>
      <c r="S494" s="155"/>
      <c r="T494" s="155"/>
      <c r="U494" s="143" t="s">
        <v>221</v>
      </c>
      <c r="V494" s="143" t="s">
        <v>218</v>
      </c>
      <c r="W494" s="143" t="s">
        <v>279</v>
      </c>
      <c r="X494" s="143" t="s">
        <v>227</v>
      </c>
      <c r="Y494" s="143"/>
      <c r="Z494" s="143"/>
      <c r="AA494" s="162" t="s">
        <v>1321</v>
      </c>
      <c r="AB494" s="143" t="s">
        <v>528</v>
      </c>
      <c r="AC494" s="155">
        <v>1</v>
      </c>
      <c r="AD494" s="155"/>
      <c r="AE494" s="155"/>
      <c r="AF494" s="155"/>
      <c r="AG494" s="155"/>
      <c r="AH494" s="143"/>
      <c r="AI494" s="158"/>
    </row>
    <row r="495" spans="1:35">
      <c r="A495" s="140"/>
      <c r="B495" s="143"/>
      <c r="C495" s="143" t="s">
        <v>1320</v>
      </c>
      <c r="D495" s="143" t="s">
        <v>501</v>
      </c>
      <c r="E495" s="143" t="s">
        <v>80</v>
      </c>
      <c r="F495" s="143" t="s">
        <v>147</v>
      </c>
      <c r="G495" s="143" t="s">
        <v>1335</v>
      </c>
      <c r="H495" s="143"/>
      <c r="I495" s="199">
        <v>23768</v>
      </c>
      <c r="J495" s="155">
        <v>1</v>
      </c>
      <c r="K495" s="155"/>
      <c r="L495" s="155">
        <v>1</v>
      </c>
      <c r="M495" s="155"/>
      <c r="N495" s="155">
        <v>1</v>
      </c>
      <c r="O495" s="155" t="s">
        <v>1135</v>
      </c>
      <c r="P495" s="155"/>
      <c r="Q495" s="155"/>
      <c r="R495" s="155"/>
      <c r="S495" s="155"/>
      <c r="T495" s="155"/>
      <c r="U495" s="143" t="s">
        <v>221</v>
      </c>
      <c r="V495" s="143" t="s">
        <v>218</v>
      </c>
      <c r="W495" s="143" t="s">
        <v>279</v>
      </c>
      <c r="X495" s="143" t="s">
        <v>227</v>
      </c>
      <c r="Y495" s="143"/>
      <c r="Z495" s="143"/>
      <c r="AA495" s="162" t="s">
        <v>1321</v>
      </c>
      <c r="AB495" s="143" t="s">
        <v>528</v>
      </c>
      <c r="AC495" s="155">
        <v>1</v>
      </c>
      <c r="AD495" s="155"/>
      <c r="AE495" s="155"/>
      <c r="AF495" s="155"/>
      <c r="AG495" s="155"/>
      <c r="AH495" s="143"/>
      <c r="AI495" s="158"/>
    </row>
    <row r="496" spans="1:35">
      <c r="A496" s="140"/>
      <c r="B496" s="143"/>
      <c r="C496" s="143" t="s">
        <v>1320</v>
      </c>
      <c r="D496" s="143" t="s">
        <v>501</v>
      </c>
      <c r="E496" s="143" t="s">
        <v>80</v>
      </c>
      <c r="F496" s="143" t="s">
        <v>1336</v>
      </c>
      <c r="G496" s="143" t="s">
        <v>756</v>
      </c>
      <c r="H496" s="143" t="s">
        <v>283</v>
      </c>
      <c r="I496" s="199">
        <v>25938</v>
      </c>
      <c r="J496" s="155">
        <v>1</v>
      </c>
      <c r="K496" s="155"/>
      <c r="L496" s="155">
        <v>1</v>
      </c>
      <c r="M496" s="155"/>
      <c r="N496" s="155"/>
      <c r="O496" s="155"/>
      <c r="P496" s="155"/>
      <c r="Q496" s="155"/>
      <c r="R496" s="155"/>
      <c r="S496" s="155"/>
      <c r="T496" s="155"/>
      <c r="U496" s="143" t="s">
        <v>221</v>
      </c>
      <c r="V496" s="143" t="s">
        <v>218</v>
      </c>
      <c r="W496" s="143" t="s">
        <v>279</v>
      </c>
      <c r="X496" s="143" t="s">
        <v>227</v>
      </c>
      <c r="Y496" s="143">
        <v>9666374479</v>
      </c>
      <c r="Z496" s="143"/>
      <c r="AA496" s="162" t="s">
        <v>1321</v>
      </c>
      <c r="AB496" s="143" t="s">
        <v>528</v>
      </c>
      <c r="AC496" s="155">
        <v>1</v>
      </c>
      <c r="AD496" s="155"/>
      <c r="AE496" s="155"/>
      <c r="AF496" s="155"/>
      <c r="AG496" s="155"/>
      <c r="AH496" s="143"/>
      <c r="AI496" s="158"/>
    </row>
    <row r="497" spans="1:35">
      <c r="A497" s="140"/>
      <c r="B497" s="143"/>
      <c r="C497" s="143" t="s">
        <v>1320</v>
      </c>
      <c r="D497" s="143" t="s">
        <v>501</v>
      </c>
      <c r="E497" s="143" t="s">
        <v>80</v>
      </c>
      <c r="F497" s="143" t="s">
        <v>1228</v>
      </c>
      <c r="G497" s="143" t="s">
        <v>771</v>
      </c>
      <c r="H497" s="143" t="s">
        <v>283</v>
      </c>
      <c r="I497" s="199">
        <v>35917</v>
      </c>
      <c r="J497" s="155"/>
      <c r="K497" s="155">
        <v>1</v>
      </c>
      <c r="L497" s="155">
        <v>1</v>
      </c>
      <c r="M497" s="155"/>
      <c r="N497" s="155"/>
      <c r="O497" s="155"/>
      <c r="P497" s="155"/>
      <c r="Q497" s="155"/>
      <c r="R497" s="155"/>
      <c r="S497" s="155"/>
      <c r="T497" s="155"/>
      <c r="U497" s="143" t="s">
        <v>221</v>
      </c>
      <c r="V497" s="143" t="s">
        <v>218</v>
      </c>
      <c r="W497" s="143" t="s">
        <v>279</v>
      </c>
      <c r="X497" s="143" t="s">
        <v>227</v>
      </c>
      <c r="Y497" s="143"/>
      <c r="Z497" s="143"/>
      <c r="AA497" s="162" t="s">
        <v>1321</v>
      </c>
      <c r="AB497" s="143" t="s">
        <v>528</v>
      </c>
      <c r="AC497" s="155">
        <v>1</v>
      </c>
      <c r="AD497" s="155"/>
      <c r="AE497" s="155"/>
      <c r="AF497" s="155"/>
      <c r="AG497" s="155"/>
      <c r="AH497" s="143"/>
      <c r="AI497" s="158"/>
    </row>
    <row r="498" spans="1:35">
      <c r="A498" s="140"/>
      <c r="B498" s="143"/>
      <c r="C498" s="143" t="s">
        <v>1320</v>
      </c>
      <c r="D498" s="143" t="s">
        <v>501</v>
      </c>
      <c r="E498" s="143" t="s">
        <v>80</v>
      </c>
      <c r="F498" s="143" t="s">
        <v>174</v>
      </c>
      <c r="G498" s="143" t="s">
        <v>1337</v>
      </c>
      <c r="H498" s="143" t="s">
        <v>409</v>
      </c>
      <c r="I498" s="199">
        <v>31210</v>
      </c>
      <c r="J498" s="155"/>
      <c r="K498" s="155">
        <v>1</v>
      </c>
      <c r="L498" s="155">
        <v>1</v>
      </c>
      <c r="M498" s="155"/>
      <c r="N498" s="155"/>
      <c r="O498" s="155"/>
      <c r="P498" s="155"/>
      <c r="Q498" s="155"/>
      <c r="R498" s="155"/>
      <c r="S498" s="155"/>
      <c r="T498" s="155"/>
      <c r="U498" s="143" t="s">
        <v>221</v>
      </c>
      <c r="V498" s="143" t="s">
        <v>218</v>
      </c>
      <c r="W498" s="143" t="s">
        <v>279</v>
      </c>
      <c r="X498" s="143" t="s">
        <v>227</v>
      </c>
      <c r="Y498" s="143"/>
      <c r="Z498" s="143"/>
      <c r="AA498" s="162" t="s">
        <v>1321</v>
      </c>
      <c r="AB498" s="143" t="s">
        <v>528</v>
      </c>
      <c r="AC498" s="155">
        <v>1</v>
      </c>
      <c r="AD498" s="155"/>
      <c r="AE498" s="155"/>
      <c r="AF498" s="155"/>
      <c r="AG498" s="155"/>
      <c r="AH498" s="143"/>
      <c r="AI498" s="158"/>
    </row>
    <row r="499" spans="1:35">
      <c r="A499" s="140"/>
      <c r="B499" s="143"/>
      <c r="C499" s="143" t="s">
        <v>1320</v>
      </c>
      <c r="D499" s="143" t="s">
        <v>501</v>
      </c>
      <c r="E499" s="143" t="s">
        <v>80</v>
      </c>
      <c r="F499" s="143" t="s">
        <v>106</v>
      </c>
      <c r="G499" s="143" t="s">
        <v>1338</v>
      </c>
      <c r="H499" s="143" t="s">
        <v>117</v>
      </c>
      <c r="I499" s="199">
        <v>30373</v>
      </c>
      <c r="J499" s="155">
        <v>1</v>
      </c>
      <c r="K499" s="155"/>
      <c r="L499" s="155">
        <v>1</v>
      </c>
      <c r="M499" s="155"/>
      <c r="N499" s="155">
        <v>1</v>
      </c>
      <c r="O499" s="155" t="s">
        <v>1135</v>
      </c>
      <c r="P499" s="155"/>
      <c r="Q499" s="155"/>
      <c r="R499" s="155"/>
      <c r="S499" s="155"/>
      <c r="T499" s="155"/>
      <c r="U499" s="143" t="s">
        <v>221</v>
      </c>
      <c r="V499" s="143" t="s">
        <v>218</v>
      </c>
      <c r="W499" s="143" t="s">
        <v>279</v>
      </c>
      <c r="X499" s="143" t="s">
        <v>227</v>
      </c>
      <c r="Y499" s="143"/>
      <c r="Z499" s="143"/>
      <c r="AA499" s="162" t="s">
        <v>1321</v>
      </c>
      <c r="AB499" s="143" t="s">
        <v>528</v>
      </c>
      <c r="AC499" s="155">
        <v>1</v>
      </c>
      <c r="AD499" s="155"/>
      <c r="AE499" s="155"/>
      <c r="AF499" s="155"/>
      <c r="AG499" s="155"/>
      <c r="AH499" s="143"/>
      <c r="AI499" s="158"/>
    </row>
    <row r="500" spans="1:35">
      <c r="A500" s="140"/>
      <c r="B500" s="143"/>
      <c r="C500" s="143" t="s">
        <v>1320</v>
      </c>
      <c r="D500" s="143" t="s">
        <v>501</v>
      </c>
      <c r="E500" s="143" t="s">
        <v>80</v>
      </c>
      <c r="F500" s="143" t="s">
        <v>777</v>
      </c>
      <c r="G500" s="143" t="s">
        <v>1339</v>
      </c>
      <c r="H500" s="143" t="s">
        <v>1040</v>
      </c>
      <c r="I500" s="199">
        <v>28451</v>
      </c>
      <c r="J500" s="155"/>
      <c r="K500" s="155">
        <v>1</v>
      </c>
      <c r="L500" s="155">
        <v>1</v>
      </c>
      <c r="M500" s="155"/>
      <c r="N500" s="155">
        <v>1</v>
      </c>
      <c r="O500" s="155" t="s">
        <v>1135</v>
      </c>
      <c r="P500" s="155"/>
      <c r="Q500" s="155"/>
      <c r="R500" s="155"/>
      <c r="S500" s="155"/>
      <c r="T500" s="155"/>
      <c r="U500" s="143" t="s">
        <v>221</v>
      </c>
      <c r="V500" s="143" t="s">
        <v>218</v>
      </c>
      <c r="W500" s="143" t="s">
        <v>279</v>
      </c>
      <c r="X500" s="143" t="s">
        <v>227</v>
      </c>
      <c r="Y500" s="143">
        <v>9554927900</v>
      </c>
      <c r="Z500" s="143"/>
      <c r="AA500" s="162" t="s">
        <v>1321</v>
      </c>
      <c r="AB500" s="143" t="s">
        <v>528</v>
      </c>
      <c r="AC500" s="155">
        <v>1</v>
      </c>
      <c r="AD500" s="155"/>
      <c r="AE500" s="155"/>
      <c r="AF500" s="155"/>
      <c r="AG500" s="155"/>
      <c r="AH500" s="143"/>
      <c r="AI500" s="158"/>
    </row>
    <row r="501" spans="1:35">
      <c r="A501" s="140"/>
      <c r="B501" s="143"/>
      <c r="C501" s="143" t="s">
        <v>1320</v>
      </c>
      <c r="D501" s="143" t="s">
        <v>501</v>
      </c>
      <c r="E501" s="143" t="s">
        <v>80</v>
      </c>
      <c r="F501" s="143" t="s">
        <v>1340</v>
      </c>
      <c r="G501" s="143" t="s">
        <v>1341</v>
      </c>
      <c r="H501" s="143" t="s">
        <v>283</v>
      </c>
      <c r="I501" s="199">
        <v>22924</v>
      </c>
      <c r="J501" s="155"/>
      <c r="K501" s="155">
        <v>1</v>
      </c>
      <c r="L501" s="155">
        <v>1</v>
      </c>
      <c r="M501" s="155"/>
      <c r="N501" s="155"/>
      <c r="O501" s="155"/>
      <c r="P501" s="155"/>
      <c r="Q501" s="155"/>
      <c r="R501" s="155"/>
      <c r="S501" s="155"/>
      <c r="T501" s="155"/>
      <c r="U501" s="143" t="s">
        <v>221</v>
      </c>
      <c r="V501" s="143" t="s">
        <v>218</v>
      </c>
      <c r="W501" s="143" t="s">
        <v>279</v>
      </c>
      <c r="X501" s="143" t="s">
        <v>227</v>
      </c>
      <c r="Y501" s="143"/>
      <c r="Z501" s="143"/>
      <c r="AA501" s="162" t="s">
        <v>1321</v>
      </c>
      <c r="AB501" s="143" t="s">
        <v>528</v>
      </c>
      <c r="AC501" s="155">
        <v>1</v>
      </c>
      <c r="AD501" s="155"/>
      <c r="AE501" s="155"/>
      <c r="AF501" s="155"/>
      <c r="AG501" s="155"/>
      <c r="AH501" s="143"/>
      <c r="AI501" s="158"/>
    </row>
    <row r="502" spans="1:35">
      <c r="A502" s="140"/>
      <c r="B502" s="143"/>
      <c r="C502" s="143" t="s">
        <v>1320</v>
      </c>
      <c r="D502" s="143" t="s">
        <v>501</v>
      </c>
      <c r="E502" s="143" t="s">
        <v>80</v>
      </c>
      <c r="F502" s="143" t="s">
        <v>1342</v>
      </c>
      <c r="G502" s="143" t="s">
        <v>1343</v>
      </c>
      <c r="H502" s="143" t="s">
        <v>409</v>
      </c>
      <c r="I502" s="199">
        <v>24995</v>
      </c>
      <c r="J502" s="155"/>
      <c r="K502" s="155">
        <v>1</v>
      </c>
      <c r="L502" s="155">
        <v>1</v>
      </c>
      <c r="M502" s="155"/>
      <c r="N502" s="155">
        <v>1</v>
      </c>
      <c r="O502" s="155" t="s">
        <v>1135</v>
      </c>
      <c r="P502" s="155"/>
      <c r="Q502" s="155"/>
      <c r="R502" s="155"/>
      <c r="S502" s="155"/>
      <c r="T502" s="155"/>
      <c r="U502" s="143" t="s">
        <v>221</v>
      </c>
      <c r="V502" s="143" t="s">
        <v>218</v>
      </c>
      <c r="W502" s="143" t="s">
        <v>279</v>
      </c>
      <c r="X502" s="143" t="s">
        <v>227</v>
      </c>
      <c r="Y502" s="143">
        <v>9366868219</v>
      </c>
      <c r="Z502" s="143"/>
      <c r="AA502" s="162" t="s">
        <v>1321</v>
      </c>
      <c r="AB502" s="143" t="s">
        <v>528</v>
      </c>
      <c r="AC502" s="155">
        <v>1</v>
      </c>
      <c r="AD502" s="155"/>
      <c r="AE502" s="155"/>
      <c r="AF502" s="155"/>
      <c r="AG502" s="155"/>
      <c r="AH502" s="143"/>
      <c r="AI502" s="158"/>
    </row>
    <row r="503" spans="1:35">
      <c r="A503" s="140"/>
      <c r="B503" s="143"/>
      <c r="C503" s="143" t="s">
        <v>1320</v>
      </c>
      <c r="D503" s="143" t="s">
        <v>501</v>
      </c>
      <c r="E503" s="143" t="s">
        <v>80</v>
      </c>
      <c r="F503" s="143" t="s">
        <v>1228</v>
      </c>
      <c r="G503" s="143" t="s">
        <v>1344</v>
      </c>
      <c r="H503" s="143" t="s">
        <v>120</v>
      </c>
      <c r="I503" s="199">
        <v>21720</v>
      </c>
      <c r="J503" s="155">
        <v>1</v>
      </c>
      <c r="K503" s="155"/>
      <c r="L503" s="155">
        <v>1</v>
      </c>
      <c r="M503" s="155">
        <v>1</v>
      </c>
      <c r="N503" s="155">
        <v>1</v>
      </c>
      <c r="O503" s="155" t="s">
        <v>1135</v>
      </c>
      <c r="P503" s="155"/>
      <c r="Q503" s="155"/>
      <c r="R503" s="155"/>
      <c r="S503" s="155"/>
      <c r="T503" s="155"/>
      <c r="U503" s="143" t="s">
        <v>221</v>
      </c>
      <c r="V503" s="143" t="s">
        <v>218</v>
      </c>
      <c r="W503" s="143" t="s">
        <v>279</v>
      </c>
      <c r="X503" s="143" t="s">
        <v>227</v>
      </c>
      <c r="Y503" s="143"/>
      <c r="Z503" s="143"/>
      <c r="AA503" s="162" t="s">
        <v>1321</v>
      </c>
      <c r="AB503" s="143" t="s">
        <v>528</v>
      </c>
      <c r="AC503" s="155">
        <v>1</v>
      </c>
      <c r="AD503" s="155"/>
      <c r="AE503" s="155"/>
      <c r="AF503" s="155"/>
      <c r="AG503" s="155"/>
      <c r="AH503" s="143"/>
      <c r="AI503" s="158"/>
    </row>
    <row r="504" spans="1:35">
      <c r="A504" s="140"/>
      <c r="B504" s="143"/>
      <c r="C504" s="143" t="s">
        <v>1320</v>
      </c>
      <c r="D504" s="143" t="s">
        <v>501</v>
      </c>
      <c r="E504" s="143" t="s">
        <v>80</v>
      </c>
      <c r="F504" s="143" t="s">
        <v>171</v>
      </c>
      <c r="G504" s="143" t="s">
        <v>1345</v>
      </c>
      <c r="H504" s="143"/>
      <c r="I504" s="199">
        <v>27499</v>
      </c>
      <c r="J504" s="155">
        <v>1</v>
      </c>
      <c r="K504" s="155"/>
      <c r="L504" s="155">
        <v>1</v>
      </c>
      <c r="M504" s="155"/>
      <c r="N504" s="155">
        <v>1</v>
      </c>
      <c r="O504" s="155" t="s">
        <v>1135</v>
      </c>
      <c r="P504" s="155"/>
      <c r="Q504" s="155"/>
      <c r="R504" s="155"/>
      <c r="S504" s="155"/>
      <c r="T504" s="155"/>
      <c r="U504" s="143" t="s">
        <v>221</v>
      </c>
      <c r="V504" s="143" t="s">
        <v>218</v>
      </c>
      <c r="W504" s="143" t="s">
        <v>279</v>
      </c>
      <c r="X504" s="143" t="s">
        <v>227</v>
      </c>
      <c r="Y504" s="143"/>
      <c r="Z504" s="143"/>
      <c r="AA504" s="162" t="s">
        <v>1321</v>
      </c>
      <c r="AB504" s="143" t="s">
        <v>528</v>
      </c>
      <c r="AC504" s="155">
        <v>1</v>
      </c>
      <c r="AD504" s="155"/>
      <c r="AE504" s="155"/>
      <c r="AF504" s="155"/>
      <c r="AG504" s="155"/>
      <c r="AH504" s="143"/>
      <c r="AI504" s="158"/>
    </row>
    <row r="505" spans="1:35">
      <c r="A505" s="140"/>
      <c r="B505" s="143"/>
      <c r="C505" s="143" t="s">
        <v>1320</v>
      </c>
      <c r="D505" s="143" t="s">
        <v>501</v>
      </c>
      <c r="E505" s="143" t="s">
        <v>80</v>
      </c>
      <c r="F505" s="143" t="s">
        <v>161</v>
      </c>
      <c r="G505" s="143" t="s">
        <v>177</v>
      </c>
      <c r="H505" s="143"/>
      <c r="I505" s="199">
        <v>25455</v>
      </c>
      <c r="J505" s="155">
        <v>1</v>
      </c>
      <c r="K505" s="155"/>
      <c r="L505" s="155">
        <v>1</v>
      </c>
      <c r="M505" s="155"/>
      <c r="N505" s="155">
        <v>1</v>
      </c>
      <c r="O505" s="155" t="s">
        <v>1135</v>
      </c>
      <c r="P505" s="155"/>
      <c r="Q505" s="155"/>
      <c r="R505" s="155"/>
      <c r="S505" s="155"/>
      <c r="T505" s="155"/>
      <c r="U505" s="143" t="s">
        <v>221</v>
      </c>
      <c r="V505" s="143" t="s">
        <v>218</v>
      </c>
      <c r="W505" s="143" t="s">
        <v>279</v>
      </c>
      <c r="X505" s="143" t="s">
        <v>227</v>
      </c>
      <c r="Y505" s="143"/>
      <c r="Z505" s="143"/>
      <c r="AA505" s="162" t="s">
        <v>1321</v>
      </c>
      <c r="AB505" s="143" t="s">
        <v>528</v>
      </c>
      <c r="AC505" s="155">
        <v>1</v>
      </c>
      <c r="AD505" s="155"/>
      <c r="AE505" s="155"/>
      <c r="AF505" s="155"/>
      <c r="AG505" s="155"/>
      <c r="AH505" s="143"/>
      <c r="AI505" s="158"/>
    </row>
    <row r="506" spans="1:35">
      <c r="A506" s="140"/>
      <c r="B506" s="143"/>
      <c r="C506" s="143" t="s">
        <v>1320</v>
      </c>
      <c r="D506" s="143" t="s">
        <v>501</v>
      </c>
      <c r="E506" s="143" t="s">
        <v>80</v>
      </c>
      <c r="F506" s="143" t="s">
        <v>995</v>
      </c>
      <c r="G506" s="143" t="s">
        <v>1346</v>
      </c>
      <c r="H506" s="143"/>
      <c r="I506" s="199">
        <v>33325</v>
      </c>
      <c r="J506" s="155">
        <v>1</v>
      </c>
      <c r="K506" s="155"/>
      <c r="L506" s="155">
        <v>1</v>
      </c>
      <c r="M506" s="155"/>
      <c r="N506" s="155">
        <v>1</v>
      </c>
      <c r="O506" s="155" t="s">
        <v>1135</v>
      </c>
      <c r="P506" s="155"/>
      <c r="Q506" s="155"/>
      <c r="R506" s="155"/>
      <c r="S506" s="155"/>
      <c r="T506" s="155"/>
      <c r="U506" s="143" t="s">
        <v>221</v>
      </c>
      <c r="V506" s="143" t="s">
        <v>218</v>
      </c>
      <c r="W506" s="143" t="s">
        <v>279</v>
      </c>
      <c r="X506" s="143" t="s">
        <v>227</v>
      </c>
      <c r="Y506" s="143"/>
      <c r="Z506" s="143"/>
      <c r="AA506" s="162" t="s">
        <v>1321</v>
      </c>
      <c r="AB506" s="143" t="s">
        <v>528</v>
      </c>
      <c r="AC506" s="155">
        <v>1</v>
      </c>
      <c r="AD506" s="155"/>
      <c r="AE506" s="155"/>
      <c r="AF506" s="155"/>
      <c r="AG506" s="155"/>
      <c r="AH506" s="143"/>
      <c r="AI506" s="158"/>
    </row>
    <row r="507" spans="1:35">
      <c r="A507" s="140"/>
      <c r="B507" s="143"/>
      <c r="C507" s="143" t="s">
        <v>1320</v>
      </c>
      <c r="D507" s="143" t="s">
        <v>501</v>
      </c>
      <c r="E507" s="143" t="s">
        <v>80</v>
      </c>
      <c r="F507" s="143" t="s">
        <v>1203</v>
      </c>
      <c r="G507" s="143" t="s">
        <v>389</v>
      </c>
      <c r="H507" s="143" t="s">
        <v>136</v>
      </c>
      <c r="I507" s="199"/>
      <c r="J507" s="155">
        <v>1</v>
      </c>
      <c r="K507" s="155"/>
      <c r="L507" s="155">
        <v>1</v>
      </c>
      <c r="M507" s="155"/>
      <c r="N507" s="155">
        <v>1</v>
      </c>
      <c r="O507" s="155" t="s">
        <v>1135</v>
      </c>
      <c r="P507" s="155"/>
      <c r="Q507" s="155"/>
      <c r="R507" s="155"/>
      <c r="S507" s="155"/>
      <c r="T507" s="155"/>
      <c r="U507" s="143" t="s">
        <v>221</v>
      </c>
      <c r="V507" s="143" t="s">
        <v>218</v>
      </c>
      <c r="W507" s="143" t="s">
        <v>279</v>
      </c>
      <c r="X507" s="143" t="s">
        <v>227</v>
      </c>
      <c r="Y507" s="143"/>
      <c r="Z507" s="143"/>
      <c r="AA507" s="162" t="s">
        <v>1321</v>
      </c>
      <c r="AB507" s="143" t="s">
        <v>528</v>
      </c>
      <c r="AC507" s="155">
        <v>1</v>
      </c>
      <c r="AD507" s="155"/>
      <c r="AE507" s="155"/>
      <c r="AF507" s="155"/>
      <c r="AG507" s="155"/>
      <c r="AH507" s="143"/>
      <c r="AI507" s="158"/>
    </row>
    <row r="508" spans="1:35">
      <c r="A508" s="140"/>
      <c r="B508" s="143"/>
      <c r="C508" s="143" t="s">
        <v>1320</v>
      </c>
      <c r="D508" s="143" t="s">
        <v>501</v>
      </c>
      <c r="E508" s="143" t="s">
        <v>80</v>
      </c>
      <c r="F508" s="143" t="s">
        <v>1328</v>
      </c>
      <c r="G508" s="143" t="s">
        <v>1347</v>
      </c>
      <c r="H508" s="143" t="s">
        <v>120</v>
      </c>
      <c r="I508" s="199"/>
      <c r="J508" s="155">
        <v>1</v>
      </c>
      <c r="K508" s="155"/>
      <c r="L508" s="155">
        <v>1</v>
      </c>
      <c r="M508" s="155"/>
      <c r="N508" s="155"/>
      <c r="O508" s="155"/>
      <c r="P508" s="155"/>
      <c r="Q508" s="155"/>
      <c r="R508" s="155"/>
      <c r="S508" s="155"/>
      <c r="T508" s="155"/>
      <c r="U508" s="143" t="s">
        <v>221</v>
      </c>
      <c r="V508" s="143" t="s">
        <v>218</v>
      </c>
      <c r="W508" s="143" t="s">
        <v>279</v>
      </c>
      <c r="X508" s="143" t="s">
        <v>227</v>
      </c>
      <c r="Y508" s="143"/>
      <c r="Z508" s="143"/>
      <c r="AA508" s="162" t="s">
        <v>1321</v>
      </c>
      <c r="AB508" s="143" t="s">
        <v>528</v>
      </c>
      <c r="AC508" s="155">
        <v>1</v>
      </c>
      <c r="AD508" s="155"/>
      <c r="AE508" s="155"/>
      <c r="AF508" s="155"/>
      <c r="AG508" s="155"/>
      <c r="AH508" s="143"/>
      <c r="AI508" s="158"/>
    </row>
    <row r="509" spans="1:35">
      <c r="A509" s="140"/>
      <c r="B509" s="143"/>
      <c r="C509" s="143" t="s">
        <v>1320</v>
      </c>
      <c r="D509" s="143" t="s">
        <v>501</v>
      </c>
      <c r="E509" s="143" t="s">
        <v>80</v>
      </c>
      <c r="F509" s="143" t="s">
        <v>1227</v>
      </c>
      <c r="G509" s="143" t="s">
        <v>1352</v>
      </c>
      <c r="H509" s="143"/>
      <c r="I509" s="199">
        <v>34681</v>
      </c>
      <c r="J509" s="155">
        <v>1</v>
      </c>
      <c r="K509" s="155"/>
      <c r="L509" s="155"/>
      <c r="M509" s="155"/>
      <c r="N509" s="155"/>
      <c r="O509" s="155"/>
      <c r="P509" s="155"/>
      <c r="Q509" s="155">
        <v>1</v>
      </c>
      <c r="R509" s="155" t="s">
        <v>1348</v>
      </c>
      <c r="S509" s="155"/>
      <c r="T509" s="155"/>
      <c r="U509" s="143"/>
      <c r="V509" s="143" t="s">
        <v>872</v>
      </c>
      <c r="W509" s="143" t="s">
        <v>280</v>
      </c>
      <c r="X509" s="143" t="s">
        <v>227</v>
      </c>
      <c r="Y509" s="143">
        <v>9162976722</v>
      </c>
      <c r="Z509" s="143"/>
      <c r="AA509" s="163" t="s">
        <v>525</v>
      </c>
      <c r="AB509" s="143" t="s">
        <v>528</v>
      </c>
      <c r="AC509" s="155">
        <v>1</v>
      </c>
      <c r="AD509" s="155"/>
      <c r="AE509" s="155"/>
      <c r="AF509" s="155"/>
      <c r="AG509" s="155"/>
      <c r="AH509" s="143"/>
      <c r="AI509" s="158"/>
    </row>
    <row r="510" spans="1:35">
      <c r="A510" s="140"/>
      <c r="B510" s="143"/>
      <c r="C510" s="143" t="s">
        <v>1320</v>
      </c>
      <c r="D510" s="143" t="s">
        <v>501</v>
      </c>
      <c r="E510" s="143" t="s">
        <v>80</v>
      </c>
      <c r="F510" s="143" t="s">
        <v>342</v>
      </c>
      <c r="G510" s="143" t="s">
        <v>1353</v>
      </c>
      <c r="H510" s="143"/>
      <c r="I510" s="199">
        <v>35221</v>
      </c>
      <c r="J510" s="155">
        <v>1</v>
      </c>
      <c r="K510" s="155"/>
      <c r="L510" s="155"/>
      <c r="M510" s="155"/>
      <c r="N510" s="155"/>
      <c r="O510" s="155"/>
      <c r="P510" s="155"/>
      <c r="Q510" s="155">
        <v>1</v>
      </c>
      <c r="R510" s="155" t="s">
        <v>1348</v>
      </c>
      <c r="S510" s="155"/>
      <c r="T510" s="155"/>
      <c r="U510" s="143" t="s">
        <v>1354</v>
      </c>
      <c r="V510" s="143" t="s">
        <v>503</v>
      </c>
      <c r="W510" s="143" t="s">
        <v>298</v>
      </c>
      <c r="X510" s="143" t="s">
        <v>227</v>
      </c>
      <c r="Y510" s="143">
        <v>9359142404</v>
      </c>
      <c r="Z510" s="143"/>
      <c r="AA510" s="162" t="s">
        <v>524</v>
      </c>
      <c r="AB510" s="143" t="s">
        <v>528</v>
      </c>
      <c r="AC510" s="155">
        <v>1</v>
      </c>
      <c r="AD510" s="155"/>
      <c r="AE510" s="155"/>
      <c r="AF510" s="155"/>
      <c r="AG510" s="155"/>
      <c r="AH510" s="143"/>
      <c r="AI510" s="158"/>
    </row>
    <row r="511" spans="1:35">
      <c r="A511" s="140"/>
      <c r="B511" s="143"/>
      <c r="C511" s="143" t="s">
        <v>1320</v>
      </c>
      <c r="D511" s="143" t="s">
        <v>501</v>
      </c>
      <c r="E511" s="143" t="s">
        <v>80</v>
      </c>
      <c r="F511" s="143" t="s">
        <v>964</v>
      </c>
      <c r="G511" s="143" t="s">
        <v>1355</v>
      </c>
      <c r="H511" s="143" t="s">
        <v>113</v>
      </c>
      <c r="I511" s="199">
        <v>35329</v>
      </c>
      <c r="J511" s="155">
        <v>1</v>
      </c>
      <c r="K511" s="155"/>
      <c r="L511" s="155"/>
      <c r="M511" s="155"/>
      <c r="N511" s="155"/>
      <c r="O511" s="155"/>
      <c r="P511" s="155"/>
      <c r="Q511" s="155">
        <v>1</v>
      </c>
      <c r="R511" s="155" t="s">
        <v>1356</v>
      </c>
      <c r="S511" s="155"/>
      <c r="T511" s="155"/>
      <c r="U511" s="143"/>
      <c r="V511" s="143" t="s">
        <v>873</v>
      </c>
      <c r="W511" s="143" t="s">
        <v>279</v>
      </c>
      <c r="X511" s="143" t="s">
        <v>227</v>
      </c>
      <c r="Y511" s="143">
        <v>9058365402</v>
      </c>
      <c r="Z511" s="143"/>
      <c r="AA511" s="162" t="s">
        <v>524</v>
      </c>
      <c r="AB511" s="143" t="s">
        <v>528</v>
      </c>
      <c r="AC511" s="155">
        <v>1</v>
      </c>
      <c r="AD511" s="155"/>
      <c r="AE511" s="155"/>
      <c r="AF511" s="155"/>
      <c r="AG511" s="155"/>
      <c r="AH511" s="143"/>
      <c r="AI511" s="158"/>
    </row>
    <row r="512" spans="1:35">
      <c r="A512" s="140"/>
      <c r="B512" s="143"/>
      <c r="C512" s="143" t="s">
        <v>1320</v>
      </c>
      <c r="D512" s="143" t="s">
        <v>501</v>
      </c>
      <c r="E512" s="143" t="s">
        <v>80</v>
      </c>
      <c r="F512" s="143" t="s">
        <v>964</v>
      </c>
      <c r="G512" s="143" t="s">
        <v>389</v>
      </c>
      <c r="H512" s="143"/>
      <c r="I512" s="199">
        <v>22109</v>
      </c>
      <c r="J512" s="155">
        <v>1</v>
      </c>
      <c r="K512" s="155"/>
      <c r="L512" s="155"/>
      <c r="M512" s="155">
        <v>1</v>
      </c>
      <c r="N512" s="155"/>
      <c r="O512" s="155"/>
      <c r="P512" s="155"/>
      <c r="Q512" s="155">
        <v>1</v>
      </c>
      <c r="R512" s="155" t="s">
        <v>1356</v>
      </c>
      <c r="S512" s="155"/>
      <c r="T512" s="155"/>
      <c r="U512" s="143"/>
      <c r="V512" s="143" t="s">
        <v>873</v>
      </c>
      <c r="W512" s="143" t="s">
        <v>279</v>
      </c>
      <c r="X512" s="143" t="s">
        <v>227</v>
      </c>
      <c r="Y512" s="143">
        <v>9058365402</v>
      </c>
      <c r="Z512" s="143"/>
      <c r="AA512" s="162" t="s">
        <v>524</v>
      </c>
      <c r="AB512" s="143" t="s">
        <v>528</v>
      </c>
      <c r="AC512" s="155">
        <v>1</v>
      </c>
      <c r="AD512" s="155"/>
      <c r="AE512" s="155"/>
      <c r="AF512" s="155"/>
      <c r="AG512" s="155"/>
      <c r="AH512" s="143"/>
      <c r="AI512" s="158"/>
    </row>
    <row r="513" spans="1:35">
      <c r="A513" s="140"/>
      <c r="B513" s="143"/>
      <c r="C513" s="143" t="s">
        <v>1320</v>
      </c>
      <c r="D513" s="143" t="s">
        <v>501</v>
      </c>
      <c r="E513" s="143" t="s">
        <v>80</v>
      </c>
      <c r="F513" s="143" t="s">
        <v>1357</v>
      </c>
      <c r="G513" s="143" t="s">
        <v>1358</v>
      </c>
      <c r="H513" s="143"/>
      <c r="I513" s="199"/>
      <c r="J513" s="155">
        <v>1</v>
      </c>
      <c r="K513" s="155"/>
      <c r="L513" s="155"/>
      <c r="M513" s="155"/>
      <c r="N513" s="155"/>
      <c r="O513" s="155"/>
      <c r="P513" s="155"/>
      <c r="Q513" s="155">
        <v>1</v>
      </c>
      <c r="R513" s="155" t="s">
        <v>1356</v>
      </c>
      <c r="S513" s="155"/>
      <c r="T513" s="155"/>
      <c r="U513" s="143"/>
      <c r="V513" s="143" t="s">
        <v>873</v>
      </c>
      <c r="W513" s="143" t="s">
        <v>279</v>
      </c>
      <c r="X513" s="143" t="s">
        <v>227</v>
      </c>
      <c r="Y513" s="143">
        <v>9058365402</v>
      </c>
      <c r="Z513" s="143"/>
      <c r="AA513" s="162" t="s">
        <v>524</v>
      </c>
      <c r="AB513" s="143" t="s">
        <v>528</v>
      </c>
      <c r="AC513" s="155">
        <v>1</v>
      </c>
      <c r="AD513" s="155"/>
      <c r="AE513" s="155"/>
      <c r="AF513" s="155"/>
      <c r="AG513" s="155"/>
      <c r="AH513" s="143"/>
      <c r="AI513" s="158"/>
    </row>
    <row r="514" spans="1:35">
      <c r="A514" s="140"/>
      <c r="B514" s="143"/>
      <c r="C514" s="143" t="s">
        <v>1320</v>
      </c>
      <c r="D514" s="143" t="s">
        <v>501</v>
      </c>
      <c r="E514" s="143" t="s">
        <v>80</v>
      </c>
      <c r="F514" s="143" t="s">
        <v>1359</v>
      </c>
      <c r="G514" s="143" t="s">
        <v>1360</v>
      </c>
      <c r="H514" s="143" t="s">
        <v>1361</v>
      </c>
      <c r="I514" s="199">
        <v>24888</v>
      </c>
      <c r="J514" s="155">
        <v>1</v>
      </c>
      <c r="K514" s="155"/>
      <c r="L514" s="155"/>
      <c r="M514" s="155"/>
      <c r="N514" s="155"/>
      <c r="O514" s="155"/>
      <c r="P514" s="155"/>
      <c r="Q514" s="155">
        <v>1</v>
      </c>
      <c r="R514" s="155" t="s">
        <v>1045</v>
      </c>
      <c r="S514" s="155"/>
      <c r="T514" s="155"/>
      <c r="U514" s="143"/>
      <c r="V514" s="143" t="s">
        <v>875</v>
      </c>
      <c r="W514" s="143" t="s">
        <v>279</v>
      </c>
      <c r="X514" s="143" t="s">
        <v>227</v>
      </c>
      <c r="Y514" s="143">
        <v>9675438148</v>
      </c>
      <c r="Z514" s="143"/>
      <c r="AA514" s="162" t="s">
        <v>524</v>
      </c>
      <c r="AB514" s="143" t="s">
        <v>528</v>
      </c>
      <c r="AC514" s="155">
        <v>1</v>
      </c>
      <c r="AD514" s="155"/>
      <c r="AE514" s="155"/>
      <c r="AF514" s="155"/>
      <c r="AG514" s="155"/>
      <c r="AH514" s="143"/>
      <c r="AI514" s="158"/>
    </row>
    <row r="515" spans="1:35">
      <c r="A515" s="140"/>
      <c r="B515" s="143"/>
      <c r="C515" s="143" t="s">
        <v>1320</v>
      </c>
      <c r="D515" s="143" t="s">
        <v>501</v>
      </c>
      <c r="E515" s="143" t="s">
        <v>80</v>
      </c>
      <c r="F515" s="143" t="s">
        <v>1362</v>
      </c>
      <c r="G515" s="143" t="s">
        <v>1363</v>
      </c>
      <c r="H515" s="143"/>
      <c r="I515" s="199">
        <v>33186</v>
      </c>
      <c r="J515" s="155">
        <v>1</v>
      </c>
      <c r="K515" s="155"/>
      <c r="L515" s="155"/>
      <c r="M515" s="155"/>
      <c r="N515" s="155"/>
      <c r="O515" s="155"/>
      <c r="P515" s="155"/>
      <c r="Q515" s="155">
        <v>1</v>
      </c>
      <c r="R515" s="155" t="s">
        <v>962</v>
      </c>
      <c r="S515" s="155"/>
      <c r="T515" s="155"/>
      <c r="U515" s="188" t="s">
        <v>517</v>
      </c>
      <c r="V515" s="143" t="s">
        <v>503</v>
      </c>
      <c r="W515" s="143" t="s">
        <v>298</v>
      </c>
      <c r="X515" s="143" t="s">
        <v>227</v>
      </c>
      <c r="Y515" s="143">
        <v>9171490204</v>
      </c>
      <c r="Z515" s="143"/>
      <c r="AA515" s="162" t="s">
        <v>524</v>
      </c>
      <c r="AB515" s="143" t="s">
        <v>528</v>
      </c>
      <c r="AC515" s="155">
        <v>1</v>
      </c>
      <c r="AD515" s="155"/>
      <c r="AE515" s="155"/>
      <c r="AF515" s="155"/>
      <c r="AG515" s="155"/>
      <c r="AH515" s="143"/>
      <c r="AI515" s="158"/>
    </row>
    <row r="516" spans="1:35">
      <c r="A516" s="140"/>
      <c r="B516" s="143"/>
      <c r="C516" s="143" t="s">
        <v>1320</v>
      </c>
      <c r="D516" s="143" t="s">
        <v>501</v>
      </c>
      <c r="E516" s="143" t="s">
        <v>80</v>
      </c>
      <c r="F516" s="143" t="s">
        <v>1108</v>
      </c>
      <c r="G516" s="143" t="s">
        <v>1288</v>
      </c>
      <c r="H516" s="143" t="s">
        <v>115</v>
      </c>
      <c r="I516" s="199">
        <v>26897</v>
      </c>
      <c r="J516" s="155"/>
      <c r="K516" s="155">
        <v>1</v>
      </c>
      <c r="L516" s="155"/>
      <c r="M516" s="155"/>
      <c r="N516" s="155"/>
      <c r="O516" s="155"/>
      <c r="P516" s="155"/>
      <c r="Q516" s="155">
        <v>1</v>
      </c>
      <c r="R516" s="155" t="s">
        <v>1348</v>
      </c>
      <c r="S516" s="155"/>
      <c r="T516" s="155"/>
      <c r="U516" s="188" t="s">
        <v>859</v>
      </c>
      <c r="V516" s="143" t="s">
        <v>503</v>
      </c>
      <c r="W516" s="143" t="s">
        <v>298</v>
      </c>
      <c r="X516" s="143" t="s">
        <v>227</v>
      </c>
      <c r="Y516" s="143">
        <v>9368500335</v>
      </c>
      <c r="Z516" s="143"/>
      <c r="AA516" s="163" t="s">
        <v>525</v>
      </c>
      <c r="AB516" s="143" t="s">
        <v>528</v>
      </c>
      <c r="AC516" s="155">
        <v>1</v>
      </c>
      <c r="AD516" s="155"/>
      <c r="AE516" s="155"/>
      <c r="AF516" s="155"/>
      <c r="AG516" s="155"/>
      <c r="AH516" s="143"/>
      <c r="AI516" s="158"/>
    </row>
    <row r="517" spans="1:35">
      <c r="A517" s="140"/>
      <c r="B517" s="143"/>
      <c r="C517" s="143" t="s">
        <v>1320</v>
      </c>
      <c r="D517" s="143" t="s">
        <v>501</v>
      </c>
      <c r="E517" s="143" t="s">
        <v>80</v>
      </c>
      <c r="F517" s="143" t="s">
        <v>1364</v>
      </c>
      <c r="G517" s="143" t="s">
        <v>1365</v>
      </c>
      <c r="H517" s="143" t="s">
        <v>126</v>
      </c>
      <c r="I517" s="199">
        <v>30279</v>
      </c>
      <c r="J517" s="155">
        <v>1</v>
      </c>
      <c r="K517" s="155"/>
      <c r="L517" s="155"/>
      <c r="M517" s="155"/>
      <c r="N517" s="155"/>
      <c r="O517" s="155"/>
      <c r="P517" s="155"/>
      <c r="Q517" s="155">
        <v>1</v>
      </c>
      <c r="R517" s="155" t="s">
        <v>1348</v>
      </c>
      <c r="S517" s="155"/>
      <c r="T517" s="155"/>
      <c r="U517" s="188" t="s">
        <v>515</v>
      </c>
      <c r="V517" s="143" t="s">
        <v>503</v>
      </c>
      <c r="W517" s="143" t="s">
        <v>298</v>
      </c>
      <c r="X517" s="143" t="s">
        <v>227</v>
      </c>
      <c r="Y517" s="143">
        <v>9530335550</v>
      </c>
      <c r="Z517" s="143"/>
      <c r="AA517" s="163" t="s">
        <v>525</v>
      </c>
      <c r="AB517" s="143" t="s">
        <v>528</v>
      </c>
      <c r="AC517" s="155">
        <v>1</v>
      </c>
      <c r="AD517" s="155"/>
      <c r="AE517" s="155"/>
      <c r="AF517" s="155"/>
      <c r="AG517" s="155"/>
      <c r="AH517" s="143"/>
      <c r="AI517" s="158"/>
    </row>
    <row r="518" spans="1:35">
      <c r="A518" s="140"/>
      <c r="B518" s="143"/>
      <c r="C518" s="143" t="s">
        <v>1320</v>
      </c>
      <c r="D518" s="143" t="s">
        <v>501</v>
      </c>
      <c r="E518" s="143" t="s">
        <v>80</v>
      </c>
      <c r="F518" s="143" t="s">
        <v>131</v>
      </c>
      <c r="G518" s="143" t="s">
        <v>1366</v>
      </c>
      <c r="H518" s="143"/>
      <c r="I518" s="199">
        <v>35550</v>
      </c>
      <c r="J518" s="155"/>
      <c r="K518" s="155">
        <v>1</v>
      </c>
      <c r="L518" s="155"/>
      <c r="M518" s="155"/>
      <c r="N518" s="155"/>
      <c r="O518" s="155"/>
      <c r="P518" s="155"/>
      <c r="Q518" s="155">
        <v>1</v>
      </c>
      <c r="R518" s="155" t="s">
        <v>1348</v>
      </c>
      <c r="S518" s="155"/>
      <c r="T518" s="155"/>
      <c r="U518" s="188" t="s">
        <v>859</v>
      </c>
      <c r="V518" s="143" t="s">
        <v>503</v>
      </c>
      <c r="W518" s="143" t="s">
        <v>298</v>
      </c>
      <c r="X518" s="143" t="s">
        <v>227</v>
      </c>
      <c r="Y518" s="143">
        <v>9366832767</v>
      </c>
      <c r="Z518" s="143"/>
      <c r="AA518" s="163" t="s">
        <v>525</v>
      </c>
      <c r="AB518" s="143" t="s">
        <v>528</v>
      </c>
      <c r="AC518" s="155">
        <v>1</v>
      </c>
      <c r="AD518" s="155"/>
      <c r="AE518" s="155"/>
      <c r="AF518" s="155"/>
      <c r="AG518" s="155"/>
      <c r="AH518" s="143"/>
      <c r="AI518" s="158"/>
    </row>
    <row r="519" spans="1:35">
      <c r="A519" s="140"/>
      <c r="B519" s="143"/>
      <c r="C519" s="143" t="s">
        <v>1320</v>
      </c>
      <c r="D519" s="143" t="s">
        <v>501</v>
      </c>
      <c r="E519" s="143" t="s">
        <v>80</v>
      </c>
      <c r="F519" s="143" t="s">
        <v>1367</v>
      </c>
      <c r="G519" s="143" t="s">
        <v>1368</v>
      </c>
      <c r="H519" s="143"/>
      <c r="I519" s="199">
        <v>26577</v>
      </c>
      <c r="J519" s="155"/>
      <c r="K519" s="155">
        <v>1</v>
      </c>
      <c r="L519" s="155"/>
      <c r="M519" s="155"/>
      <c r="N519" s="155"/>
      <c r="O519" s="155"/>
      <c r="P519" s="155"/>
      <c r="Q519" s="155">
        <v>1</v>
      </c>
      <c r="R519" s="155" t="s">
        <v>1045</v>
      </c>
      <c r="S519" s="155"/>
      <c r="T519" s="155"/>
      <c r="U519" s="188" t="s">
        <v>1369</v>
      </c>
      <c r="V519" s="143" t="s">
        <v>949</v>
      </c>
      <c r="W519" s="143" t="s">
        <v>280</v>
      </c>
      <c r="X519" s="143" t="s">
        <v>227</v>
      </c>
      <c r="Y519" s="143">
        <v>9175604483</v>
      </c>
      <c r="Z519" s="143"/>
      <c r="AA519" s="162" t="s">
        <v>524</v>
      </c>
      <c r="AB519" s="143" t="s">
        <v>528</v>
      </c>
      <c r="AC519" s="155">
        <v>1</v>
      </c>
      <c r="AD519" s="155"/>
      <c r="AE519" s="155"/>
      <c r="AF519" s="155"/>
      <c r="AG519" s="155"/>
      <c r="AH519" s="143"/>
      <c r="AI519" s="158"/>
    </row>
    <row r="520" spans="1:35">
      <c r="A520" s="140"/>
      <c r="B520" s="143"/>
      <c r="C520" s="143" t="s">
        <v>1320</v>
      </c>
      <c r="D520" s="143" t="s">
        <v>501</v>
      </c>
      <c r="E520" s="143" t="s">
        <v>80</v>
      </c>
      <c r="F520" s="143" t="s">
        <v>1370</v>
      </c>
      <c r="G520" s="143" t="s">
        <v>799</v>
      </c>
      <c r="H520" s="143"/>
      <c r="I520" s="199">
        <v>30844</v>
      </c>
      <c r="J520" s="155"/>
      <c r="K520" s="155">
        <v>1</v>
      </c>
      <c r="L520" s="155"/>
      <c r="M520" s="155"/>
      <c r="N520" s="155"/>
      <c r="O520" s="155"/>
      <c r="P520" s="155"/>
      <c r="Q520" s="155">
        <v>1</v>
      </c>
      <c r="R520" s="155" t="s">
        <v>1045</v>
      </c>
      <c r="S520" s="155"/>
      <c r="T520" s="155"/>
      <c r="U520" s="188" t="s">
        <v>859</v>
      </c>
      <c r="V520" s="143" t="s">
        <v>503</v>
      </c>
      <c r="W520" s="143" t="s">
        <v>298</v>
      </c>
      <c r="X520" s="143" t="s">
        <v>227</v>
      </c>
      <c r="Y520" s="143">
        <v>9066370843</v>
      </c>
      <c r="Z520" s="143"/>
      <c r="AA520" s="162" t="s">
        <v>524</v>
      </c>
      <c r="AB520" s="143" t="s">
        <v>528</v>
      </c>
      <c r="AC520" s="155">
        <v>1</v>
      </c>
      <c r="AD520" s="155"/>
      <c r="AE520" s="155"/>
      <c r="AF520" s="155"/>
      <c r="AG520" s="155"/>
      <c r="AH520" s="143"/>
      <c r="AI520" s="158"/>
    </row>
    <row r="521" spans="1:35">
      <c r="A521" s="140"/>
      <c r="B521" s="143"/>
      <c r="C521" s="143" t="s">
        <v>1320</v>
      </c>
      <c r="D521" s="143" t="s">
        <v>501</v>
      </c>
      <c r="E521" s="143" t="s">
        <v>80</v>
      </c>
      <c r="F521" s="143" t="s">
        <v>1371</v>
      </c>
      <c r="G521" s="143" t="s">
        <v>1372</v>
      </c>
      <c r="H521" s="143"/>
      <c r="I521" s="199"/>
      <c r="J521" s="155"/>
      <c r="K521" s="155">
        <v>1</v>
      </c>
      <c r="L521" s="155"/>
      <c r="M521" s="155"/>
      <c r="N521" s="155"/>
      <c r="O521" s="155"/>
      <c r="P521" s="155"/>
      <c r="Q521" s="155">
        <v>1</v>
      </c>
      <c r="R521" s="155" t="s">
        <v>1045</v>
      </c>
      <c r="S521" s="155"/>
      <c r="T521" s="155"/>
      <c r="U521" s="188" t="s">
        <v>859</v>
      </c>
      <c r="V521" s="143" t="s">
        <v>503</v>
      </c>
      <c r="W521" s="143" t="s">
        <v>298</v>
      </c>
      <c r="X521" s="143" t="s">
        <v>227</v>
      </c>
      <c r="Y521" s="143"/>
      <c r="Z521" s="143"/>
      <c r="AA521" s="162" t="s">
        <v>524</v>
      </c>
      <c r="AB521" s="143" t="s">
        <v>528</v>
      </c>
      <c r="AC521" s="155">
        <v>1</v>
      </c>
      <c r="AD521" s="155"/>
      <c r="AE521" s="155"/>
      <c r="AF521" s="155"/>
      <c r="AG521" s="155"/>
      <c r="AH521" s="143"/>
      <c r="AI521" s="158"/>
    </row>
    <row r="522" spans="1:35">
      <c r="A522" s="140"/>
      <c r="B522" s="143"/>
      <c r="C522" s="143" t="s">
        <v>1320</v>
      </c>
      <c r="D522" s="143" t="s">
        <v>501</v>
      </c>
      <c r="E522" s="143" t="s">
        <v>80</v>
      </c>
      <c r="F522" s="143" t="s">
        <v>755</v>
      </c>
      <c r="G522" s="143" t="s">
        <v>389</v>
      </c>
      <c r="H522" s="143" t="s">
        <v>453</v>
      </c>
      <c r="I522" s="199">
        <v>25879</v>
      </c>
      <c r="J522" s="155">
        <v>1</v>
      </c>
      <c r="K522" s="155"/>
      <c r="L522" s="155"/>
      <c r="M522" s="155"/>
      <c r="N522" s="155"/>
      <c r="O522" s="155"/>
      <c r="P522" s="155"/>
      <c r="Q522" s="155">
        <v>1</v>
      </c>
      <c r="R522" s="155" t="s">
        <v>1348</v>
      </c>
      <c r="S522" s="155"/>
      <c r="T522" s="155"/>
      <c r="U522" s="188" t="s">
        <v>502</v>
      </c>
      <c r="V522" s="143" t="s">
        <v>503</v>
      </c>
      <c r="W522" s="143" t="s">
        <v>298</v>
      </c>
      <c r="X522" s="143" t="s">
        <v>227</v>
      </c>
      <c r="Y522" s="143">
        <v>9051935837</v>
      </c>
      <c r="Z522" s="143"/>
      <c r="AA522" s="163" t="s">
        <v>525</v>
      </c>
      <c r="AB522" s="143" t="s">
        <v>528</v>
      </c>
      <c r="AC522" s="155">
        <v>1</v>
      </c>
      <c r="AD522" s="155"/>
      <c r="AE522" s="155"/>
      <c r="AF522" s="155"/>
      <c r="AG522" s="155"/>
      <c r="AH522" s="143"/>
      <c r="AI522" s="158"/>
    </row>
    <row r="523" spans="1:35">
      <c r="A523" s="140"/>
      <c r="B523" s="143"/>
      <c r="C523" s="143" t="s">
        <v>1320</v>
      </c>
      <c r="D523" s="143" t="s">
        <v>501</v>
      </c>
      <c r="E523" s="143" t="s">
        <v>80</v>
      </c>
      <c r="F523" s="143" t="s">
        <v>916</v>
      </c>
      <c r="G523" s="143" t="s">
        <v>917</v>
      </c>
      <c r="H523" s="143" t="s">
        <v>133</v>
      </c>
      <c r="I523" s="227">
        <v>28336</v>
      </c>
      <c r="J523" s="166"/>
      <c r="K523" s="165">
        <v>1</v>
      </c>
      <c r="L523" s="155"/>
      <c r="M523" s="155"/>
      <c r="N523" s="155"/>
      <c r="O523" s="155"/>
      <c r="P523" s="155"/>
      <c r="Q523" s="155">
        <v>1</v>
      </c>
      <c r="R523" s="155" t="s">
        <v>957</v>
      </c>
      <c r="S523" s="155"/>
      <c r="T523" s="155"/>
      <c r="U523" s="167" t="s">
        <v>502</v>
      </c>
      <c r="V523" s="153" t="s">
        <v>503</v>
      </c>
      <c r="W523" s="143" t="s">
        <v>298</v>
      </c>
      <c r="X523" s="157" t="s">
        <v>227</v>
      </c>
      <c r="Y523" s="153">
        <v>9359131970</v>
      </c>
      <c r="Z523" s="143"/>
      <c r="AA523" s="162" t="s">
        <v>524</v>
      </c>
      <c r="AB523" s="143" t="s">
        <v>528</v>
      </c>
      <c r="AC523" s="155">
        <v>1</v>
      </c>
      <c r="AD523" s="155"/>
      <c r="AE523" s="155"/>
      <c r="AF523" s="155"/>
      <c r="AG523" s="155"/>
      <c r="AH523" s="143"/>
      <c r="AI523" s="158"/>
    </row>
    <row r="524" spans="1:35">
      <c r="A524" s="140"/>
      <c r="B524" s="143"/>
      <c r="C524" s="143" t="s">
        <v>1320</v>
      </c>
      <c r="D524" s="143" t="s">
        <v>501</v>
      </c>
      <c r="E524" s="143" t="s">
        <v>80</v>
      </c>
      <c r="F524" s="143" t="s">
        <v>312</v>
      </c>
      <c r="G524" s="143" t="s">
        <v>840</v>
      </c>
      <c r="H524" s="153" t="s">
        <v>144</v>
      </c>
      <c r="I524" s="227">
        <v>30173</v>
      </c>
      <c r="J524" s="166"/>
      <c r="K524" s="165">
        <v>1</v>
      </c>
      <c r="L524" s="155"/>
      <c r="M524" s="155"/>
      <c r="N524" s="155"/>
      <c r="O524" s="155"/>
      <c r="P524" s="155"/>
      <c r="Q524" s="155">
        <v>1</v>
      </c>
      <c r="R524" s="155" t="s">
        <v>1348</v>
      </c>
      <c r="S524" s="155"/>
      <c r="T524" s="155"/>
      <c r="U524" s="167" t="s">
        <v>859</v>
      </c>
      <c r="V524" s="153" t="s">
        <v>503</v>
      </c>
      <c r="W524" s="143" t="s">
        <v>298</v>
      </c>
      <c r="X524" s="157" t="s">
        <v>227</v>
      </c>
      <c r="Y524" s="153">
        <v>9265351990</v>
      </c>
      <c r="Z524" s="143"/>
      <c r="AA524" s="163" t="s">
        <v>525</v>
      </c>
      <c r="AB524" s="143" t="s">
        <v>528</v>
      </c>
      <c r="AC524" s="155">
        <v>2</v>
      </c>
      <c r="AD524" s="155"/>
      <c r="AE524" s="155"/>
      <c r="AF524" s="155"/>
      <c r="AG524" s="155"/>
      <c r="AH524" s="143"/>
      <c r="AI524" s="158"/>
    </row>
    <row r="525" spans="1:35">
      <c r="A525" s="140"/>
      <c r="B525" s="143"/>
      <c r="C525" s="143" t="s">
        <v>1320</v>
      </c>
      <c r="D525" s="143" t="s">
        <v>501</v>
      </c>
      <c r="E525" s="143" t="s">
        <v>80</v>
      </c>
      <c r="F525" s="143" t="s">
        <v>1373</v>
      </c>
      <c r="G525" s="143" t="s">
        <v>1374</v>
      </c>
      <c r="H525" s="143"/>
      <c r="I525" s="199">
        <v>31964</v>
      </c>
      <c r="J525" s="155"/>
      <c r="K525" s="155">
        <v>1</v>
      </c>
      <c r="L525" s="155"/>
      <c r="M525" s="155"/>
      <c r="N525" s="155"/>
      <c r="O525" s="155"/>
      <c r="P525" s="155"/>
      <c r="Q525" s="155">
        <v>1</v>
      </c>
      <c r="R525" s="155" t="s">
        <v>1348</v>
      </c>
      <c r="S525" s="155"/>
      <c r="T525" s="155"/>
      <c r="U525" s="143" t="s">
        <v>509</v>
      </c>
      <c r="V525" s="143" t="s">
        <v>503</v>
      </c>
      <c r="W525" s="143" t="s">
        <v>298</v>
      </c>
      <c r="X525" s="143" t="s">
        <v>227</v>
      </c>
      <c r="Y525" s="143">
        <v>9706517795</v>
      </c>
      <c r="Z525" s="143"/>
      <c r="AA525" s="163" t="s">
        <v>525</v>
      </c>
      <c r="AB525" s="143" t="s">
        <v>528</v>
      </c>
      <c r="AC525" s="155">
        <v>1</v>
      </c>
      <c r="AD525" s="155"/>
      <c r="AE525" s="155"/>
      <c r="AF525" s="155"/>
      <c r="AG525" s="155"/>
      <c r="AH525" s="143"/>
      <c r="AI525" s="158"/>
    </row>
    <row r="526" spans="1:35">
      <c r="A526" s="140"/>
      <c r="B526" s="143"/>
      <c r="C526" s="143" t="s">
        <v>1320</v>
      </c>
      <c r="D526" s="143" t="s">
        <v>501</v>
      </c>
      <c r="E526" s="143" t="s">
        <v>80</v>
      </c>
      <c r="F526" s="143" t="s">
        <v>413</v>
      </c>
      <c r="G526" s="143" t="s">
        <v>414</v>
      </c>
      <c r="H526" s="143" t="s">
        <v>150</v>
      </c>
      <c r="I526" s="227">
        <v>23925</v>
      </c>
      <c r="J526" s="166"/>
      <c r="K526" s="165">
        <v>1</v>
      </c>
      <c r="L526" s="155"/>
      <c r="M526" s="155"/>
      <c r="N526" s="155"/>
      <c r="O526" s="155"/>
      <c r="P526" s="155"/>
      <c r="Q526" s="155">
        <v>1</v>
      </c>
      <c r="R526" s="155" t="s">
        <v>1348</v>
      </c>
      <c r="S526" s="155"/>
      <c r="T526" s="155"/>
      <c r="U526" s="167" t="s">
        <v>295</v>
      </c>
      <c r="V526" s="153" t="s">
        <v>503</v>
      </c>
      <c r="W526" s="143" t="s">
        <v>298</v>
      </c>
      <c r="X526" s="157" t="s">
        <v>227</v>
      </c>
      <c r="Y526" s="153">
        <v>9357514235</v>
      </c>
      <c r="Z526" s="143"/>
      <c r="AA526" s="163" t="s">
        <v>525</v>
      </c>
      <c r="AB526" s="143" t="s">
        <v>528</v>
      </c>
      <c r="AC526" s="155">
        <v>5</v>
      </c>
      <c r="AD526" s="155"/>
      <c r="AE526" s="155"/>
      <c r="AF526" s="155"/>
      <c r="AG526" s="155"/>
      <c r="AH526" s="143"/>
      <c r="AI526" s="158"/>
    </row>
    <row r="527" spans="1:35">
      <c r="A527" s="140"/>
      <c r="B527" s="143"/>
      <c r="C527" s="143" t="s">
        <v>1320</v>
      </c>
      <c r="D527" s="143" t="s">
        <v>501</v>
      </c>
      <c r="E527" s="143" t="s">
        <v>80</v>
      </c>
      <c r="F527" s="143" t="s">
        <v>1375</v>
      </c>
      <c r="G527" s="143" t="s">
        <v>1376</v>
      </c>
      <c r="H527" s="143" t="s">
        <v>115</v>
      </c>
      <c r="I527" s="199">
        <v>23632</v>
      </c>
      <c r="J527" s="155">
        <v>1</v>
      </c>
      <c r="K527" s="155"/>
      <c r="L527" s="155"/>
      <c r="M527" s="155"/>
      <c r="N527" s="155"/>
      <c r="O527" s="155"/>
      <c r="P527" s="155"/>
      <c r="Q527" s="155">
        <v>1</v>
      </c>
      <c r="R527" s="155" t="s">
        <v>1045</v>
      </c>
      <c r="S527" s="155"/>
      <c r="T527" s="155"/>
      <c r="U527" s="143" t="s">
        <v>508</v>
      </c>
      <c r="V527" s="143" t="s">
        <v>503</v>
      </c>
      <c r="W527" s="143" t="s">
        <v>298</v>
      </c>
      <c r="X527" s="143" t="s">
        <v>227</v>
      </c>
      <c r="Y527" s="143">
        <v>9653553548</v>
      </c>
      <c r="Z527" s="143"/>
      <c r="AA527" s="162" t="s">
        <v>524</v>
      </c>
      <c r="AB527" s="143" t="s">
        <v>528</v>
      </c>
      <c r="AC527" s="155">
        <v>1</v>
      </c>
      <c r="AD527" s="155"/>
      <c r="AE527" s="155"/>
      <c r="AF527" s="155"/>
      <c r="AG527" s="155"/>
      <c r="AH527" s="143"/>
      <c r="AI527" s="158"/>
    </row>
    <row r="528" spans="1:35">
      <c r="A528" s="140"/>
      <c r="B528" s="143"/>
      <c r="C528" s="143" t="s">
        <v>1320</v>
      </c>
      <c r="D528" s="143" t="s">
        <v>501</v>
      </c>
      <c r="E528" s="143" t="s">
        <v>80</v>
      </c>
      <c r="F528" s="143" t="s">
        <v>1377</v>
      </c>
      <c r="G528" s="143" t="s">
        <v>1378</v>
      </c>
      <c r="H528" s="143"/>
      <c r="I528" s="199"/>
      <c r="J528" s="155">
        <v>1</v>
      </c>
      <c r="K528" s="155"/>
      <c r="L528" s="155"/>
      <c r="M528" s="155"/>
      <c r="N528" s="155"/>
      <c r="O528" s="155"/>
      <c r="P528" s="155"/>
      <c r="Q528" s="155">
        <v>1</v>
      </c>
      <c r="R528" s="155" t="s">
        <v>1132</v>
      </c>
      <c r="S528" s="155"/>
      <c r="T528" s="155"/>
      <c r="U528" s="143" t="s">
        <v>853</v>
      </c>
      <c r="V528" s="143" t="s">
        <v>503</v>
      </c>
      <c r="W528" s="143" t="s">
        <v>298</v>
      </c>
      <c r="X528" s="143" t="s">
        <v>227</v>
      </c>
      <c r="Y528" s="143">
        <v>9199808415</v>
      </c>
      <c r="Z528" s="143"/>
      <c r="AA528" s="162" t="s">
        <v>876</v>
      </c>
      <c r="AB528" s="143" t="s">
        <v>528</v>
      </c>
      <c r="AC528" s="155">
        <v>1</v>
      </c>
      <c r="AD528" s="155"/>
      <c r="AE528" s="155"/>
      <c r="AF528" s="155"/>
      <c r="AG528" s="155"/>
      <c r="AH528" s="143"/>
      <c r="AI528" s="158"/>
    </row>
    <row r="529" spans="1:35">
      <c r="A529" s="140"/>
      <c r="B529" s="143"/>
      <c r="C529" s="143" t="s">
        <v>1320</v>
      </c>
      <c r="D529" s="143" t="s">
        <v>501</v>
      </c>
      <c r="E529" s="143" t="s">
        <v>80</v>
      </c>
      <c r="F529" s="143" t="s">
        <v>1043</v>
      </c>
      <c r="G529" s="143" t="s">
        <v>1044</v>
      </c>
      <c r="H529" s="143" t="s">
        <v>120</v>
      </c>
      <c r="I529" s="199">
        <v>33983</v>
      </c>
      <c r="J529" s="155"/>
      <c r="K529" s="155">
        <v>1</v>
      </c>
      <c r="L529" s="155"/>
      <c r="M529" s="155"/>
      <c r="N529" s="155"/>
      <c r="O529" s="155"/>
      <c r="P529" s="155"/>
      <c r="Q529" s="155">
        <v>1</v>
      </c>
      <c r="R529" s="155" t="s">
        <v>1348</v>
      </c>
      <c r="S529" s="155"/>
      <c r="T529" s="155"/>
      <c r="U529" s="143" t="s">
        <v>853</v>
      </c>
      <c r="V529" s="143" t="s">
        <v>503</v>
      </c>
      <c r="W529" s="143" t="s">
        <v>298</v>
      </c>
      <c r="X529" s="143" t="s">
        <v>227</v>
      </c>
      <c r="Y529" s="143">
        <v>9305444613</v>
      </c>
      <c r="Z529" s="143"/>
      <c r="AA529" s="162" t="s">
        <v>524</v>
      </c>
      <c r="AB529" s="143" t="s">
        <v>528</v>
      </c>
      <c r="AC529" s="155">
        <v>1</v>
      </c>
      <c r="AD529" s="155"/>
      <c r="AE529" s="155"/>
      <c r="AF529" s="155"/>
      <c r="AG529" s="155"/>
      <c r="AH529" s="143"/>
      <c r="AI529" s="158"/>
    </row>
    <row r="530" spans="1:35">
      <c r="A530" s="140"/>
      <c r="B530" s="143"/>
      <c r="C530" s="143" t="s">
        <v>1320</v>
      </c>
      <c r="D530" s="143" t="s">
        <v>501</v>
      </c>
      <c r="E530" s="143" t="s">
        <v>80</v>
      </c>
      <c r="F530" s="143" t="s">
        <v>1379</v>
      </c>
      <c r="G530" s="143" t="s">
        <v>1182</v>
      </c>
      <c r="H530" s="143"/>
      <c r="I530" s="199"/>
      <c r="J530" s="155">
        <v>1</v>
      </c>
      <c r="K530" s="155"/>
      <c r="L530" s="155"/>
      <c r="M530" s="155"/>
      <c r="N530" s="155"/>
      <c r="O530" s="155"/>
      <c r="P530" s="155"/>
      <c r="Q530" s="155">
        <v>1</v>
      </c>
      <c r="R530" s="155" t="s">
        <v>1045</v>
      </c>
      <c r="S530" s="155"/>
      <c r="T530" s="155"/>
      <c r="U530" s="143" t="s">
        <v>502</v>
      </c>
      <c r="V530" s="143" t="s">
        <v>503</v>
      </c>
      <c r="W530" s="143" t="s">
        <v>298</v>
      </c>
      <c r="X530" s="143" t="s">
        <v>227</v>
      </c>
      <c r="Y530" s="143">
        <v>9959327865</v>
      </c>
      <c r="Z530" s="143"/>
      <c r="AA530" s="162" t="s">
        <v>524</v>
      </c>
      <c r="AB530" s="143" t="s">
        <v>528</v>
      </c>
      <c r="AC530" s="155">
        <v>1</v>
      </c>
      <c r="AD530" s="155"/>
      <c r="AE530" s="155"/>
      <c r="AF530" s="155"/>
      <c r="AG530" s="155"/>
      <c r="AH530" s="143"/>
      <c r="AI530" s="158"/>
    </row>
    <row r="531" spans="1:35">
      <c r="A531" s="140"/>
      <c r="B531" s="143"/>
      <c r="C531" s="143" t="s">
        <v>1320</v>
      </c>
      <c r="D531" s="143" t="s">
        <v>501</v>
      </c>
      <c r="E531" s="143" t="s">
        <v>80</v>
      </c>
      <c r="F531" s="143" t="s">
        <v>1380</v>
      </c>
      <c r="G531" s="143" t="s">
        <v>1381</v>
      </c>
      <c r="H531" s="143"/>
      <c r="I531" s="199"/>
      <c r="J531" s="155">
        <v>1</v>
      </c>
      <c r="K531" s="155"/>
      <c r="L531" s="155"/>
      <c r="M531" s="155"/>
      <c r="N531" s="155"/>
      <c r="O531" s="155"/>
      <c r="P531" s="155"/>
      <c r="Q531" s="155">
        <v>1</v>
      </c>
      <c r="R531" s="155" t="s">
        <v>1045</v>
      </c>
      <c r="S531" s="155"/>
      <c r="T531" s="155"/>
      <c r="U531" s="143" t="s">
        <v>502</v>
      </c>
      <c r="V531" s="143" t="s">
        <v>503</v>
      </c>
      <c r="W531" s="143" t="s">
        <v>298</v>
      </c>
      <c r="X531" s="143" t="s">
        <v>227</v>
      </c>
      <c r="Y531" s="143"/>
      <c r="Z531" s="143"/>
      <c r="AA531" s="162" t="s">
        <v>524</v>
      </c>
      <c r="AB531" s="143" t="s">
        <v>528</v>
      </c>
      <c r="AC531" s="155">
        <v>1</v>
      </c>
      <c r="AD531" s="155"/>
      <c r="AE531" s="155"/>
      <c r="AF531" s="155"/>
      <c r="AG531" s="155"/>
      <c r="AH531" s="143"/>
      <c r="AI531" s="158"/>
    </row>
    <row r="532" spans="1:35">
      <c r="A532" s="140"/>
      <c r="B532" s="143"/>
      <c r="C532" s="143" t="s">
        <v>1320</v>
      </c>
      <c r="D532" s="143" t="s">
        <v>501</v>
      </c>
      <c r="E532" s="143" t="s">
        <v>80</v>
      </c>
      <c r="F532" s="143" t="s">
        <v>1382</v>
      </c>
      <c r="G532" s="143" t="s">
        <v>1383</v>
      </c>
      <c r="H532" s="143"/>
      <c r="I532" s="199"/>
      <c r="J532" s="155">
        <v>1</v>
      </c>
      <c r="K532" s="155"/>
      <c r="L532" s="155"/>
      <c r="M532" s="155"/>
      <c r="N532" s="155"/>
      <c r="O532" s="155"/>
      <c r="P532" s="155"/>
      <c r="Q532" s="155">
        <v>1</v>
      </c>
      <c r="R532" s="155" t="s">
        <v>1045</v>
      </c>
      <c r="S532" s="155"/>
      <c r="T532" s="155"/>
      <c r="U532" s="143" t="s">
        <v>502</v>
      </c>
      <c r="V532" s="143" t="s">
        <v>503</v>
      </c>
      <c r="W532" s="143" t="s">
        <v>298</v>
      </c>
      <c r="X532" s="143" t="s">
        <v>227</v>
      </c>
      <c r="Y532" s="143"/>
      <c r="Z532" s="143"/>
      <c r="AA532" s="162" t="s">
        <v>524</v>
      </c>
      <c r="AB532" s="143" t="s">
        <v>528</v>
      </c>
      <c r="AC532" s="155">
        <v>1</v>
      </c>
      <c r="AD532" s="155"/>
      <c r="AE532" s="155"/>
      <c r="AF532" s="155"/>
      <c r="AG532" s="155"/>
      <c r="AH532" s="143"/>
      <c r="AI532" s="158"/>
    </row>
    <row r="533" spans="1:35">
      <c r="A533" s="140"/>
      <c r="B533" s="143"/>
      <c r="C533" s="143" t="s">
        <v>1320</v>
      </c>
      <c r="D533" s="143" t="s">
        <v>501</v>
      </c>
      <c r="E533" s="143" t="s">
        <v>80</v>
      </c>
      <c r="F533" s="143" t="s">
        <v>1384</v>
      </c>
      <c r="G533" s="143" t="s">
        <v>1355</v>
      </c>
      <c r="H533" s="143"/>
      <c r="I533" s="199"/>
      <c r="J533" s="155">
        <v>1</v>
      </c>
      <c r="K533" s="155"/>
      <c r="L533" s="155"/>
      <c r="M533" s="155"/>
      <c r="N533" s="155"/>
      <c r="O533" s="155"/>
      <c r="P533" s="155"/>
      <c r="Q533" s="155">
        <v>1</v>
      </c>
      <c r="R533" s="155" t="s">
        <v>1045</v>
      </c>
      <c r="S533" s="155"/>
      <c r="T533" s="155"/>
      <c r="U533" s="143" t="s">
        <v>502</v>
      </c>
      <c r="V533" s="143" t="s">
        <v>503</v>
      </c>
      <c r="W533" s="143" t="s">
        <v>298</v>
      </c>
      <c r="X533" s="143" t="s">
        <v>227</v>
      </c>
      <c r="Y533" s="143"/>
      <c r="Z533" s="143"/>
      <c r="AA533" s="162" t="s">
        <v>524</v>
      </c>
      <c r="AB533" s="143" t="s">
        <v>528</v>
      </c>
      <c r="AC533" s="155">
        <v>1</v>
      </c>
      <c r="AD533" s="155"/>
      <c r="AE533" s="155"/>
      <c r="AF533" s="155"/>
      <c r="AG533" s="155"/>
      <c r="AH533" s="143"/>
      <c r="AI533" s="158"/>
    </row>
    <row r="534" spans="1:35">
      <c r="A534" s="140"/>
      <c r="B534" s="143"/>
      <c r="C534" s="143" t="s">
        <v>1320</v>
      </c>
      <c r="D534" s="143" t="s">
        <v>501</v>
      </c>
      <c r="E534" s="143" t="s">
        <v>80</v>
      </c>
      <c r="F534" s="143" t="s">
        <v>1385</v>
      </c>
      <c r="G534" s="143" t="s">
        <v>387</v>
      </c>
      <c r="H534" s="143"/>
      <c r="I534" s="199"/>
      <c r="J534" s="155"/>
      <c r="K534" s="155">
        <v>1</v>
      </c>
      <c r="L534" s="155"/>
      <c r="M534" s="155"/>
      <c r="N534" s="155"/>
      <c r="O534" s="155"/>
      <c r="P534" s="155"/>
      <c r="Q534" s="155">
        <v>1</v>
      </c>
      <c r="R534" s="155" t="s">
        <v>1045</v>
      </c>
      <c r="S534" s="155"/>
      <c r="T534" s="155"/>
      <c r="U534" s="143" t="s">
        <v>502</v>
      </c>
      <c r="V534" s="143" t="s">
        <v>503</v>
      </c>
      <c r="W534" s="143" t="s">
        <v>298</v>
      </c>
      <c r="X534" s="143" t="s">
        <v>227</v>
      </c>
      <c r="Y534" s="143">
        <v>9655318392</v>
      </c>
      <c r="Z534" s="143"/>
      <c r="AA534" s="162" t="s">
        <v>524</v>
      </c>
      <c r="AB534" s="143" t="s">
        <v>528</v>
      </c>
      <c r="AC534" s="155">
        <v>1</v>
      </c>
      <c r="AD534" s="155"/>
      <c r="AE534" s="155"/>
      <c r="AF534" s="155"/>
      <c r="AG534" s="155"/>
      <c r="AH534" s="143"/>
      <c r="AI534" s="158"/>
    </row>
    <row r="535" spans="1:35">
      <c r="A535" s="140"/>
      <c r="B535" s="143"/>
      <c r="C535" s="143" t="s">
        <v>1320</v>
      </c>
      <c r="D535" s="143" t="s">
        <v>501</v>
      </c>
      <c r="E535" s="143" t="s">
        <v>80</v>
      </c>
      <c r="F535" s="143" t="s">
        <v>490</v>
      </c>
      <c r="G535" s="143" t="s">
        <v>1101</v>
      </c>
      <c r="H535" s="143"/>
      <c r="I535" s="199" t="s">
        <v>1295</v>
      </c>
      <c r="J535" s="155"/>
      <c r="K535" s="155">
        <v>1</v>
      </c>
      <c r="L535" s="155"/>
      <c r="M535" s="155"/>
      <c r="N535" s="155"/>
      <c r="O535" s="155"/>
      <c r="P535" s="155"/>
      <c r="Q535" s="155">
        <v>1</v>
      </c>
      <c r="R535" s="155" t="s">
        <v>1348</v>
      </c>
      <c r="S535" s="155"/>
      <c r="T535" s="155"/>
      <c r="U535" s="143" t="s">
        <v>859</v>
      </c>
      <c r="V535" s="143" t="s">
        <v>503</v>
      </c>
      <c r="W535" s="143" t="s">
        <v>298</v>
      </c>
      <c r="X535" s="143" t="s">
        <v>227</v>
      </c>
      <c r="Y535" s="143">
        <v>9972018554</v>
      </c>
      <c r="Z535" s="143"/>
      <c r="AA535" s="163" t="s">
        <v>525</v>
      </c>
      <c r="AB535" s="143" t="s">
        <v>528</v>
      </c>
      <c r="AC535" s="155">
        <v>1</v>
      </c>
      <c r="AD535" s="155"/>
      <c r="AE535" s="155"/>
      <c r="AF535" s="155"/>
      <c r="AG535" s="155"/>
      <c r="AH535" s="143"/>
      <c r="AI535" s="158"/>
    </row>
    <row r="536" spans="1:35">
      <c r="A536" s="140"/>
      <c r="B536" s="143"/>
      <c r="C536" s="143" t="s">
        <v>1320</v>
      </c>
      <c r="D536" s="143" t="s">
        <v>501</v>
      </c>
      <c r="E536" s="143" t="s">
        <v>80</v>
      </c>
      <c r="F536" s="143" t="s">
        <v>1386</v>
      </c>
      <c r="G536" s="143" t="s">
        <v>1387</v>
      </c>
      <c r="H536" s="143" t="s">
        <v>588</v>
      </c>
      <c r="I536" s="199">
        <v>21477</v>
      </c>
      <c r="J536" s="155"/>
      <c r="K536" s="155">
        <v>1</v>
      </c>
      <c r="L536" s="155"/>
      <c r="M536" s="155">
        <v>1</v>
      </c>
      <c r="N536" s="155"/>
      <c r="O536" s="155"/>
      <c r="P536" s="155"/>
      <c r="Q536" s="155">
        <v>1</v>
      </c>
      <c r="R536" s="155" t="s">
        <v>1045</v>
      </c>
      <c r="S536" s="155"/>
      <c r="T536" s="155"/>
      <c r="U536" s="143"/>
      <c r="V536" s="143"/>
      <c r="W536" s="143"/>
      <c r="X536" s="143" t="s">
        <v>227</v>
      </c>
      <c r="Y536" s="143"/>
      <c r="Z536" s="143"/>
      <c r="AA536" s="162" t="s">
        <v>524</v>
      </c>
      <c r="AB536" s="143" t="s">
        <v>528</v>
      </c>
      <c r="AC536" s="155">
        <v>1</v>
      </c>
      <c r="AD536" s="155"/>
      <c r="AE536" s="155"/>
      <c r="AF536" s="155"/>
      <c r="AG536" s="155"/>
      <c r="AH536" s="143"/>
      <c r="AI536" s="158"/>
    </row>
    <row r="537" spans="1:35">
      <c r="A537" s="140"/>
      <c r="B537" s="143"/>
      <c r="C537" s="143" t="s">
        <v>1320</v>
      </c>
      <c r="D537" s="143" t="s">
        <v>501</v>
      </c>
      <c r="E537" s="143" t="s">
        <v>80</v>
      </c>
      <c r="F537" s="143" t="s">
        <v>1388</v>
      </c>
      <c r="G537" s="143" t="s">
        <v>1389</v>
      </c>
      <c r="H537" s="143" t="s">
        <v>113</v>
      </c>
      <c r="I537" s="199">
        <v>29385</v>
      </c>
      <c r="J537" s="155">
        <v>1</v>
      </c>
      <c r="K537" s="155"/>
      <c r="L537" s="155"/>
      <c r="M537" s="155"/>
      <c r="N537" s="155"/>
      <c r="O537" s="155"/>
      <c r="P537" s="155"/>
      <c r="Q537" s="155">
        <v>1</v>
      </c>
      <c r="R537" s="155" t="s">
        <v>1045</v>
      </c>
      <c r="S537" s="155"/>
      <c r="T537" s="155"/>
      <c r="U537" s="143" t="s">
        <v>507</v>
      </c>
      <c r="V537" s="143" t="s">
        <v>503</v>
      </c>
      <c r="W537" s="143" t="s">
        <v>298</v>
      </c>
      <c r="X537" s="143" t="s">
        <v>227</v>
      </c>
      <c r="Y537" s="143">
        <v>9754868690</v>
      </c>
      <c r="Z537" s="143"/>
      <c r="AA537" s="162" t="s">
        <v>524</v>
      </c>
      <c r="AB537" s="143" t="s">
        <v>528</v>
      </c>
      <c r="AC537" s="155">
        <v>1</v>
      </c>
      <c r="AD537" s="155"/>
      <c r="AE537" s="155"/>
      <c r="AF537" s="155"/>
      <c r="AG537" s="155"/>
      <c r="AH537" s="143"/>
      <c r="AI537" s="158"/>
    </row>
    <row r="538" spans="1:35">
      <c r="A538" s="140"/>
      <c r="B538" s="143"/>
      <c r="C538" s="143" t="s">
        <v>1320</v>
      </c>
      <c r="D538" s="143" t="s">
        <v>501</v>
      </c>
      <c r="E538" s="143" t="s">
        <v>80</v>
      </c>
      <c r="F538" s="143" t="s">
        <v>1388</v>
      </c>
      <c r="G538" s="143" t="s">
        <v>1390</v>
      </c>
      <c r="H538" s="143" t="s">
        <v>113</v>
      </c>
      <c r="I538" s="199">
        <v>29744</v>
      </c>
      <c r="J538" s="155"/>
      <c r="K538" s="155">
        <v>1</v>
      </c>
      <c r="L538" s="155"/>
      <c r="M538" s="155"/>
      <c r="N538" s="155"/>
      <c r="O538" s="155"/>
      <c r="P538" s="155"/>
      <c r="Q538" s="155">
        <v>1</v>
      </c>
      <c r="R538" s="155" t="s">
        <v>1045</v>
      </c>
      <c r="S538" s="155"/>
      <c r="T538" s="155"/>
      <c r="U538" s="143" t="s">
        <v>507</v>
      </c>
      <c r="V538" s="143" t="s">
        <v>503</v>
      </c>
      <c r="W538" s="143" t="s">
        <v>298</v>
      </c>
      <c r="X538" s="143" t="s">
        <v>227</v>
      </c>
      <c r="Y538" s="143">
        <v>9754868690</v>
      </c>
      <c r="Z538" s="143"/>
      <c r="AA538" s="162" t="s">
        <v>524</v>
      </c>
      <c r="AB538" s="143" t="s">
        <v>528</v>
      </c>
      <c r="AC538" s="155">
        <v>1</v>
      </c>
      <c r="AD538" s="155"/>
      <c r="AE538" s="155"/>
      <c r="AF538" s="155"/>
      <c r="AG538" s="155"/>
      <c r="AH538" s="143"/>
      <c r="AI538" s="158"/>
    </row>
    <row r="539" spans="1:35">
      <c r="A539" s="140"/>
      <c r="B539" s="143"/>
      <c r="C539" s="143" t="s">
        <v>1320</v>
      </c>
      <c r="D539" s="143" t="s">
        <v>501</v>
      </c>
      <c r="E539" s="143" t="s">
        <v>80</v>
      </c>
      <c r="F539" s="143" t="s">
        <v>1391</v>
      </c>
      <c r="G539" s="143" t="s">
        <v>1392</v>
      </c>
      <c r="H539" s="143"/>
      <c r="I539" s="199"/>
      <c r="J539" s="155"/>
      <c r="K539" s="155">
        <v>1</v>
      </c>
      <c r="L539" s="155"/>
      <c r="M539" s="155"/>
      <c r="N539" s="155"/>
      <c r="O539" s="155"/>
      <c r="P539" s="155"/>
      <c r="Q539" s="155">
        <v>1</v>
      </c>
      <c r="R539" s="155" t="s">
        <v>1045</v>
      </c>
      <c r="S539" s="155"/>
      <c r="T539" s="155"/>
      <c r="U539" s="143" t="s">
        <v>515</v>
      </c>
      <c r="V539" s="143" t="s">
        <v>503</v>
      </c>
      <c r="W539" s="143" t="s">
        <v>298</v>
      </c>
      <c r="X539" s="143" t="s">
        <v>227</v>
      </c>
      <c r="Y539" s="143">
        <v>9092630149</v>
      </c>
      <c r="Z539" s="143"/>
      <c r="AA539" s="162" t="s">
        <v>524</v>
      </c>
      <c r="AB539" s="143" t="s">
        <v>528</v>
      </c>
      <c r="AC539" s="155">
        <v>1</v>
      </c>
      <c r="AD539" s="155"/>
      <c r="AE539" s="155"/>
      <c r="AF539" s="155"/>
      <c r="AG539" s="155"/>
      <c r="AH539" s="143"/>
      <c r="AI539" s="158"/>
    </row>
    <row r="540" spans="1:35">
      <c r="A540" s="140"/>
      <c r="B540" s="143"/>
      <c r="C540" s="143" t="s">
        <v>1320</v>
      </c>
      <c r="D540" s="143" t="s">
        <v>501</v>
      </c>
      <c r="E540" s="143" t="s">
        <v>80</v>
      </c>
      <c r="F540" s="143" t="s">
        <v>1350</v>
      </c>
      <c r="G540" s="143" t="s">
        <v>1299</v>
      </c>
      <c r="H540" s="143"/>
      <c r="I540" s="199"/>
      <c r="J540" s="155"/>
      <c r="K540" s="155">
        <v>1</v>
      </c>
      <c r="L540" s="155"/>
      <c r="M540" s="155"/>
      <c r="N540" s="155"/>
      <c r="O540" s="155"/>
      <c r="P540" s="155"/>
      <c r="Q540" s="155">
        <v>1</v>
      </c>
      <c r="R540" s="155" t="s">
        <v>957</v>
      </c>
      <c r="S540" s="155"/>
      <c r="T540" s="155"/>
      <c r="U540" s="143" t="s">
        <v>295</v>
      </c>
      <c r="V540" s="143" t="s">
        <v>503</v>
      </c>
      <c r="W540" s="143" t="s">
        <v>298</v>
      </c>
      <c r="X540" s="143" t="s">
        <v>227</v>
      </c>
      <c r="Y540" s="143">
        <v>9050919009</v>
      </c>
      <c r="Z540" s="143"/>
      <c r="AA540" s="163" t="s">
        <v>525</v>
      </c>
      <c r="AB540" s="143" t="s">
        <v>528</v>
      </c>
      <c r="AC540" s="155">
        <v>1</v>
      </c>
      <c r="AD540" s="155"/>
      <c r="AE540" s="155"/>
      <c r="AF540" s="155"/>
      <c r="AG540" s="155"/>
      <c r="AH540" s="143"/>
      <c r="AI540" s="158"/>
    </row>
    <row r="541" spans="1:35">
      <c r="A541" s="140"/>
      <c r="B541" s="143"/>
      <c r="C541" s="143" t="s">
        <v>1320</v>
      </c>
      <c r="D541" s="143" t="s">
        <v>501</v>
      </c>
      <c r="E541" s="143" t="s">
        <v>80</v>
      </c>
      <c r="F541" s="143" t="s">
        <v>1393</v>
      </c>
      <c r="G541" s="143" t="s">
        <v>379</v>
      </c>
      <c r="H541" s="143"/>
      <c r="I541" s="199">
        <v>33707</v>
      </c>
      <c r="J541" s="155">
        <v>1</v>
      </c>
      <c r="K541" s="155"/>
      <c r="L541" s="155"/>
      <c r="M541" s="155"/>
      <c r="N541" s="155"/>
      <c r="O541" s="155"/>
      <c r="P541" s="155"/>
      <c r="Q541" s="155">
        <v>1</v>
      </c>
      <c r="R541" s="155" t="s">
        <v>1045</v>
      </c>
      <c r="S541" s="155"/>
      <c r="T541" s="155"/>
      <c r="U541" s="143" t="s">
        <v>504</v>
      </c>
      <c r="V541" s="143" t="s">
        <v>503</v>
      </c>
      <c r="W541" s="143" t="s">
        <v>298</v>
      </c>
      <c r="X541" s="143" t="s">
        <v>227</v>
      </c>
      <c r="Y541" s="143">
        <v>9958609000</v>
      </c>
      <c r="Z541" s="143"/>
      <c r="AA541" s="162" t="s">
        <v>524</v>
      </c>
      <c r="AB541" s="143" t="s">
        <v>528</v>
      </c>
      <c r="AC541" s="155">
        <v>1</v>
      </c>
      <c r="AD541" s="155"/>
      <c r="AE541" s="155"/>
      <c r="AF541" s="155"/>
      <c r="AG541" s="155"/>
      <c r="AH541" s="143"/>
      <c r="AI541" s="158"/>
    </row>
    <row r="542" spans="1:35">
      <c r="A542" s="140"/>
      <c r="B542" s="143"/>
      <c r="C542" s="143" t="s">
        <v>1320</v>
      </c>
      <c r="D542" s="143" t="s">
        <v>501</v>
      </c>
      <c r="E542" s="143" t="s">
        <v>80</v>
      </c>
      <c r="F542" s="143" t="s">
        <v>1394</v>
      </c>
      <c r="G542" s="143" t="s">
        <v>1395</v>
      </c>
      <c r="H542" s="143"/>
      <c r="I542" s="199">
        <v>33293</v>
      </c>
      <c r="J542" s="155">
        <v>1</v>
      </c>
      <c r="K542" s="155"/>
      <c r="L542" s="155"/>
      <c r="M542" s="155"/>
      <c r="N542" s="155"/>
      <c r="O542" s="155"/>
      <c r="P542" s="155"/>
      <c r="Q542" s="155">
        <v>1</v>
      </c>
      <c r="R542" s="155" t="s">
        <v>1045</v>
      </c>
      <c r="S542" s="155"/>
      <c r="T542" s="155"/>
      <c r="U542" s="143" t="s">
        <v>945</v>
      </c>
      <c r="V542" s="143" t="s">
        <v>218</v>
      </c>
      <c r="W542" s="143" t="s">
        <v>279</v>
      </c>
      <c r="X542" s="143" t="s">
        <v>227</v>
      </c>
      <c r="Y542" s="143">
        <v>9463606399</v>
      </c>
      <c r="Z542" s="143"/>
      <c r="AA542" s="162" t="s">
        <v>524</v>
      </c>
      <c r="AB542" s="143" t="s">
        <v>528</v>
      </c>
      <c r="AC542" s="155">
        <v>1</v>
      </c>
      <c r="AD542" s="155"/>
      <c r="AE542" s="155"/>
      <c r="AF542" s="155"/>
      <c r="AG542" s="155"/>
      <c r="AH542" s="143"/>
      <c r="AI542" s="158"/>
    </row>
    <row r="543" spans="1:35">
      <c r="A543" s="140"/>
      <c r="B543" s="143"/>
      <c r="C543" s="143" t="s">
        <v>1351</v>
      </c>
      <c r="D543" s="143" t="s">
        <v>501</v>
      </c>
      <c r="E543" s="143" t="s">
        <v>80</v>
      </c>
      <c r="F543" s="143" t="s">
        <v>1396</v>
      </c>
      <c r="G543" s="143" t="s">
        <v>1397</v>
      </c>
      <c r="H543" s="143"/>
      <c r="I543" s="199">
        <v>36174</v>
      </c>
      <c r="J543" s="155"/>
      <c r="K543" s="155">
        <v>1</v>
      </c>
      <c r="L543" s="155"/>
      <c r="M543" s="155"/>
      <c r="N543" s="155"/>
      <c r="O543" s="155"/>
      <c r="P543" s="155"/>
      <c r="Q543" s="155">
        <v>1</v>
      </c>
      <c r="R543" s="155" t="s">
        <v>1398</v>
      </c>
      <c r="S543" s="155"/>
      <c r="T543" s="155"/>
      <c r="U543" s="143" t="s">
        <v>506</v>
      </c>
      <c r="V543" s="143" t="s">
        <v>503</v>
      </c>
      <c r="W543" s="143" t="s">
        <v>298</v>
      </c>
      <c r="X543" s="143" t="s">
        <v>227</v>
      </c>
      <c r="Y543" s="143">
        <v>9380732674</v>
      </c>
      <c r="Z543" s="143"/>
      <c r="AA543" s="162" t="s">
        <v>524</v>
      </c>
      <c r="AB543" s="143" t="s">
        <v>528</v>
      </c>
      <c r="AC543" s="155">
        <v>1</v>
      </c>
      <c r="AD543" s="155"/>
      <c r="AE543" s="155"/>
      <c r="AF543" s="155"/>
      <c r="AG543" s="155"/>
      <c r="AH543" s="143"/>
      <c r="AI543" s="158"/>
    </row>
    <row r="544" spans="1:35">
      <c r="A544" s="140"/>
      <c r="B544" s="143"/>
      <c r="C544" s="143" t="s">
        <v>1351</v>
      </c>
      <c r="D544" s="143" t="s">
        <v>501</v>
      </c>
      <c r="E544" s="143" t="s">
        <v>80</v>
      </c>
      <c r="F544" s="143" t="s">
        <v>961</v>
      </c>
      <c r="G544" s="143" t="s">
        <v>704</v>
      </c>
      <c r="H544" s="143" t="s">
        <v>588</v>
      </c>
      <c r="I544" s="199">
        <v>25465</v>
      </c>
      <c r="J544" s="155">
        <v>1</v>
      </c>
      <c r="K544" s="155"/>
      <c r="L544" s="155"/>
      <c r="M544" s="155"/>
      <c r="N544" s="155"/>
      <c r="O544" s="155"/>
      <c r="P544" s="155"/>
      <c r="Q544" s="155">
        <v>1</v>
      </c>
      <c r="R544" s="155" t="s">
        <v>962</v>
      </c>
      <c r="S544" s="155"/>
      <c r="T544" s="155"/>
      <c r="U544" s="192"/>
      <c r="V544" s="143" t="s">
        <v>949</v>
      </c>
      <c r="W544" s="143" t="s">
        <v>280</v>
      </c>
      <c r="X544" s="143" t="s">
        <v>227</v>
      </c>
      <c r="Y544" s="153">
        <v>9361095630</v>
      </c>
      <c r="Z544" s="143"/>
      <c r="AA544" s="163" t="s">
        <v>525</v>
      </c>
      <c r="AB544" s="143" t="s">
        <v>528</v>
      </c>
      <c r="AC544" s="155">
        <v>1</v>
      </c>
      <c r="AD544" s="155"/>
      <c r="AE544" s="155"/>
      <c r="AF544" s="155"/>
      <c r="AG544" s="155"/>
      <c r="AH544" s="143"/>
      <c r="AI544" s="158"/>
    </row>
    <row r="545" spans="1:35">
      <c r="A545" s="140"/>
      <c r="B545" s="143"/>
      <c r="C545" s="143" t="s">
        <v>1351</v>
      </c>
      <c r="D545" s="143" t="s">
        <v>501</v>
      </c>
      <c r="E545" s="143" t="s">
        <v>80</v>
      </c>
      <c r="F545" s="143" t="s">
        <v>468</v>
      </c>
      <c r="G545" s="143" t="s">
        <v>470</v>
      </c>
      <c r="H545" s="143"/>
      <c r="I545" s="227">
        <v>28892</v>
      </c>
      <c r="J545" s="155">
        <v>1</v>
      </c>
      <c r="K545" s="155"/>
      <c r="L545" s="155"/>
      <c r="M545" s="155"/>
      <c r="N545" s="155"/>
      <c r="O545" s="155"/>
      <c r="P545" s="155"/>
      <c r="Q545" s="155">
        <v>1</v>
      </c>
      <c r="R545" s="155" t="s">
        <v>962</v>
      </c>
      <c r="S545" s="155"/>
      <c r="T545" s="155"/>
      <c r="U545" s="143" t="s">
        <v>870</v>
      </c>
      <c r="V545" s="143" t="s">
        <v>503</v>
      </c>
      <c r="W545" s="143" t="s">
        <v>298</v>
      </c>
      <c r="X545" s="143" t="s">
        <v>227</v>
      </c>
      <c r="Y545" s="143">
        <v>9104034500</v>
      </c>
      <c r="Z545" s="143"/>
      <c r="AA545" s="163" t="s">
        <v>525</v>
      </c>
      <c r="AB545" s="143" t="s">
        <v>528</v>
      </c>
      <c r="AC545" s="155">
        <v>2</v>
      </c>
      <c r="AD545" s="155"/>
      <c r="AE545" s="155"/>
      <c r="AF545" s="155"/>
      <c r="AG545" s="155"/>
      <c r="AH545" s="143"/>
      <c r="AI545" s="158"/>
    </row>
    <row r="546" spans="1:35">
      <c r="A546" s="140"/>
      <c r="B546" s="143"/>
      <c r="C546" s="143" t="s">
        <v>1351</v>
      </c>
      <c r="D546" s="143" t="s">
        <v>501</v>
      </c>
      <c r="E546" s="143" t="s">
        <v>80</v>
      </c>
      <c r="F546" s="143" t="s">
        <v>1272</v>
      </c>
      <c r="G546" s="143" t="s">
        <v>1004</v>
      </c>
      <c r="H546" s="143"/>
      <c r="I546" s="198" t="s">
        <v>1273</v>
      </c>
      <c r="J546" s="155">
        <v>1</v>
      </c>
      <c r="K546" s="155"/>
      <c r="L546" s="155"/>
      <c r="M546" s="155"/>
      <c r="N546" s="155"/>
      <c r="O546" s="155"/>
      <c r="P546" s="155"/>
      <c r="Q546" s="155">
        <v>1</v>
      </c>
      <c r="R546" s="155" t="s">
        <v>962</v>
      </c>
      <c r="S546" s="155"/>
      <c r="T546" s="155"/>
      <c r="U546" s="188" t="s">
        <v>226</v>
      </c>
      <c r="V546" s="143" t="s">
        <v>223</v>
      </c>
      <c r="W546" s="143" t="s">
        <v>279</v>
      </c>
      <c r="X546" s="143" t="s">
        <v>227</v>
      </c>
      <c r="Y546" s="143">
        <v>9196004838</v>
      </c>
      <c r="Z546" s="143"/>
      <c r="AA546" s="163" t="s">
        <v>525</v>
      </c>
      <c r="AB546" s="143" t="s">
        <v>528</v>
      </c>
      <c r="AC546" s="155">
        <v>1</v>
      </c>
      <c r="AD546" s="155"/>
      <c r="AE546" s="155"/>
      <c r="AF546" s="155"/>
      <c r="AG546" s="155"/>
      <c r="AH546" s="143"/>
      <c r="AI546" s="158"/>
    </row>
    <row r="547" spans="1:35">
      <c r="A547" s="140"/>
      <c r="B547" s="143"/>
      <c r="C547" s="143" t="s">
        <v>1351</v>
      </c>
      <c r="D547" s="143" t="s">
        <v>501</v>
      </c>
      <c r="E547" s="143" t="s">
        <v>80</v>
      </c>
      <c r="F547" s="143" t="s">
        <v>1399</v>
      </c>
      <c r="G547" s="143" t="s">
        <v>1400</v>
      </c>
      <c r="H547" s="143" t="s">
        <v>742</v>
      </c>
      <c r="I547" s="199"/>
      <c r="J547" s="155">
        <v>1</v>
      </c>
      <c r="K547" s="155"/>
      <c r="L547" s="155"/>
      <c r="M547" s="155"/>
      <c r="N547" s="155"/>
      <c r="O547" s="155"/>
      <c r="P547" s="155"/>
      <c r="Q547" s="155">
        <v>1</v>
      </c>
      <c r="R547" s="155" t="s">
        <v>1045</v>
      </c>
      <c r="S547" s="155"/>
      <c r="T547" s="155"/>
      <c r="U547" s="143" t="s">
        <v>515</v>
      </c>
      <c r="V547" s="143" t="s">
        <v>503</v>
      </c>
      <c r="W547" s="143" t="s">
        <v>298</v>
      </c>
      <c r="X547" s="143" t="s">
        <v>227</v>
      </c>
      <c r="Y547" s="143">
        <v>9197863977</v>
      </c>
      <c r="Z547" s="143"/>
      <c r="AA547" s="162" t="s">
        <v>524</v>
      </c>
      <c r="AB547" s="143" t="s">
        <v>528</v>
      </c>
      <c r="AC547" s="155">
        <v>1</v>
      </c>
      <c r="AD547" s="155"/>
      <c r="AE547" s="155"/>
      <c r="AF547" s="155"/>
      <c r="AG547" s="155"/>
      <c r="AH547" s="143"/>
      <c r="AI547" s="158"/>
    </row>
    <row r="548" spans="1:35">
      <c r="A548" s="140"/>
      <c r="B548" s="143"/>
      <c r="C548" s="143" t="s">
        <v>1351</v>
      </c>
      <c r="D548" s="143" t="s">
        <v>501</v>
      </c>
      <c r="E548" s="143" t="s">
        <v>80</v>
      </c>
      <c r="F548" s="153" t="s">
        <v>918</v>
      </c>
      <c r="G548" s="187" t="s">
        <v>198</v>
      </c>
      <c r="H548" s="153"/>
      <c r="I548" s="227"/>
      <c r="J548" s="165">
        <v>1</v>
      </c>
      <c r="K548" s="165"/>
      <c r="L548" s="155"/>
      <c r="M548" s="155"/>
      <c r="N548" s="155"/>
      <c r="O548" s="155"/>
      <c r="P548" s="155"/>
      <c r="Q548" s="155">
        <v>1</v>
      </c>
      <c r="R548" s="155" t="s">
        <v>1348</v>
      </c>
      <c r="S548" s="155"/>
      <c r="T548" s="155"/>
      <c r="U548" s="188" t="s">
        <v>502</v>
      </c>
      <c r="V548" s="143" t="s">
        <v>503</v>
      </c>
      <c r="W548" s="143" t="s">
        <v>298</v>
      </c>
      <c r="X548" s="143" t="s">
        <v>227</v>
      </c>
      <c r="Y548" s="153">
        <v>9519533276</v>
      </c>
      <c r="Z548" s="143"/>
      <c r="AA548" s="163" t="s">
        <v>525</v>
      </c>
      <c r="AB548" s="143" t="s">
        <v>528</v>
      </c>
      <c r="AC548" s="155">
        <v>1</v>
      </c>
      <c r="AD548" s="155"/>
      <c r="AE548" s="155"/>
      <c r="AF548" s="155"/>
      <c r="AG548" s="155"/>
      <c r="AH548" s="143"/>
      <c r="AI548" s="158"/>
    </row>
    <row r="549" spans="1:35">
      <c r="A549" s="140"/>
      <c r="B549" s="143"/>
      <c r="C549" s="143" t="s">
        <v>1351</v>
      </c>
      <c r="D549" s="143" t="s">
        <v>501</v>
      </c>
      <c r="E549" s="143" t="s">
        <v>80</v>
      </c>
      <c r="F549" s="143" t="s">
        <v>1694</v>
      </c>
      <c r="G549" s="143" t="s">
        <v>1401</v>
      </c>
      <c r="H549" s="143" t="s">
        <v>133</v>
      </c>
      <c r="I549" s="199">
        <v>25832</v>
      </c>
      <c r="J549" s="155">
        <v>1</v>
      </c>
      <c r="K549" s="155"/>
      <c r="L549" s="155"/>
      <c r="M549" s="155"/>
      <c r="N549" s="155"/>
      <c r="O549" s="155"/>
      <c r="P549" s="155"/>
      <c r="Q549" s="155">
        <v>1</v>
      </c>
      <c r="R549" s="155" t="s">
        <v>1045</v>
      </c>
      <c r="S549" s="155"/>
      <c r="T549" s="155"/>
      <c r="U549" s="143"/>
      <c r="V549" s="143" t="s">
        <v>949</v>
      </c>
      <c r="W549" s="143" t="s">
        <v>280</v>
      </c>
      <c r="X549" s="143" t="s">
        <v>227</v>
      </c>
      <c r="Y549" s="143">
        <v>9095607165</v>
      </c>
      <c r="Z549" s="143"/>
      <c r="AA549" s="162" t="s">
        <v>524</v>
      </c>
      <c r="AB549" s="143" t="s">
        <v>528</v>
      </c>
      <c r="AC549" s="155">
        <v>1</v>
      </c>
      <c r="AD549" s="155"/>
      <c r="AE549" s="155"/>
      <c r="AF549" s="155"/>
      <c r="AG549" s="155"/>
      <c r="AH549" s="143"/>
      <c r="AI549" s="158"/>
    </row>
    <row r="550" spans="1:35">
      <c r="A550" s="140"/>
      <c r="B550" s="143"/>
      <c r="C550" s="143" t="s">
        <v>1351</v>
      </c>
      <c r="D550" s="143" t="s">
        <v>501</v>
      </c>
      <c r="E550" s="143" t="s">
        <v>80</v>
      </c>
      <c r="F550" s="143" t="s">
        <v>1402</v>
      </c>
      <c r="G550" s="143" t="s">
        <v>1403</v>
      </c>
      <c r="H550" s="143" t="s">
        <v>202</v>
      </c>
      <c r="I550" s="199">
        <v>34907</v>
      </c>
      <c r="J550" s="155">
        <v>1</v>
      </c>
      <c r="K550" s="155"/>
      <c r="L550" s="155"/>
      <c r="M550" s="155"/>
      <c r="N550" s="155"/>
      <c r="O550" s="155"/>
      <c r="P550" s="155"/>
      <c r="Q550" s="155">
        <v>1</v>
      </c>
      <c r="R550" s="155" t="s">
        <v>1348</v>
      </c>
      <c r="S550" s="155"/>
      <c r="T550" s="155"/>
      <c r="U550" s="143" t="s">
        <v>504</v>
      </c>
      <c r="V550" s="143" t="s">
        <v>503</v>
      </c>
      <c r="W550" s="143" t="s">
        <v>298</v>
      </c>
      <c r="X550" s="143" t="s">
        <v>227</v>
      </c>
      <c r="Y550" s="143">
        <v>9398813585</v>
      </c>
      <c r="Z550" s="143"/>
      <c r="AA550" s="163" t="s">
        <v>525</v>
      </c>
      <c r="AB550" s="143" t="s">
        <v>528</v>
      </c>
      <c r="AC550" s="155">
        <v>1</v>
      </c>
      <c r="AD550" s="155"/>
      <c r="AE550" s="155"/>
      <c r="AF550" s="155"/>
      <c r="AG550" s="155"/>
      <c r="AH550" s="143"/>
      <c r="AI550" s="158"/>
    </row>
    <row r="551" spans="1:35">
      <c r="A551" s="140"/>
      <c r="B551" s="143"/>
      <c r="C551" s="143" t="s">
        <v>1351</v>
      </c>
      <c r="D551" s="143" t="s">
        <v>501</v>
      </c>
      <c r="E551" s="143" t="s">
        <v>80</v>
      </c>
      <c r="F551" s="143" t="s">
        <v>443</v>
      </c>
      <c r="G551" s="143" t="s">
        <v>444</v>
      </c>
      <c r="H551" s="143"/>
      <c r="I551" s="199">
        <v>21512</v>
      </c>
      <c r="J551" s="155">
        <v>1</v>
      </c>
      <c r="K551" s="155"/>
      <c r="L551" s="155"/>
      <c r="M551" s="155">
        <v>1</v>
      </c>
      <c r="N551" s="155"/>
      <c r="O551" s="155"/>
      <c r="P551" s="155"/>
      <c r="Q551" s="155">
        <v>1</v>
      </c>
      <c r="R551" s="155" t="s">
        <v>1348</v>
      </c>
      <c r="S551" s="155"/>
      <c r="T551" s="155"/>
      <c r="U551" s="143" t="s">
        <v>502</v>
      </c>
      <c r="V551" s="143" t="s">
        <v>503</v>
      </c>
      <c r="W551" s="143" t="s">
        <v>298</v>
      </c>
      <c r="X551" s="143" t="s">
        <v>227</v>
      </c>
      <c r="Y551" s="143">
        <v>9050441745</v>
      </c>
      <c r="Z551" s="143"/>
      <c r="AA551" s="163" t="s">
        <v>525</v>
      </c>
      <c r="AB551" s="143" t="s">
        <v>528</v>
      </c>
      <c r="AC551" s="155">
        <v>1</v>
      </c>
      <c r="AD551" s="155"/>
      <c r="AE551" s="155"/>
      <c r="AF551" s="155"/>
      <c r="AG551" s="155"/>
      <c r="AH551" s="143"/>
      <c r="AI551" s="158"/>
    </row>
    <row r="552" spans="1:35">
      <c r="A552" s="140"/>
      <c r="B552" s="143"/>
      <c r="C552" s="143" t="s">
        <v>1351</v>
      </c>
      <c r="D552" s="143" t="s">
        <v>501</v>
      </c>
      <c r="E552" s="143" t="s">
        <v>80</v>
      </c>
      <c r="F552" s="143" t="s">
        <v>1404</v>
      </c>
      <c r="G552" s="143" t="s">
        <v>1405</v>
      </c>
      <c r="H552" s="143"/>
      <c r="I552" s="199"/>
      <c r="J552" s="155"/>
      <c r="K552" s="155">
        <v>1</v>
      </c>
      <c r="L552" s="155"/>
      <c r="M552" s="155"/>
      <c r="N552" s="155"/>
      <c r="O552" s="155"/>
      <c r="P552" s="155"/>
      <c r="Q552" s="155">
        <v>1</v>
      </c>
      <c r="R552" s="155" t="s">
        <v>1045</v>
      </c>
      <c r="S552" s="155"/>
      <c r="T552" s="155"/>
      <c r="U552" s="143"/>
      <c r="V552" s="143" t="s">
        <v>223</v>
      </c>
      <c r="W552" s="143" t="s">
        <v>279</v>
      </c>
      <c r="X552" s="143" t="s">
        <v>227</v>
      </c>
      <c r="Y552" s="143">
        <v>9454186598</v>
      </c>
      <c r="Z552" s="143"/>
      <c r="AA552" s="162" t="s">
        <v>524</v>
      </c>
      <c r="AB552" s="143" t="s">
        <v>528</v>
      </c>
      <c r="AC552" s="155">
        <v>1</v>
      </c>
      <c r="AD552" s="155"/>
      <c r="AE552" s="155"/>
      <c r="AF552" s="155"/>
      <c r="AG552" s="155"/>
      <c r="AH552" s="143"/>
      <c r="AI552" s="158"/>
    </row>
    <row r="553" spans="1:35">
      <c r="A553" s="140"/>
      <c r="B553" s="143"/>
      <c r="C553" s="143" t="s">
        <v>1351</v>
      </c>
      <c r="D553" s="143" t="s">
        <v>501</v>
      </c>
      <c r="E553" s="143" t="s">
        <v>80</v>
      </c>
      <c r="F553" s="153" t="s">
        <v>940</v>
      </c>
      <c r="G553" s="153" t="s">
        <v>839</v>
      </c>
      <c r="H553" s="153"/>
      <c r="I553" s="227">
        <v>26577</v>
      </c>
      <c r="J553" s="165">
        <v>1</v>
      </c>
      <c r="K553" s="166"/>
      <c r="L553" s="155"/>
      <c r="M553" s="155"/>
      <c r="N553" s="155"/>
      <c r="O553" s="155"/>
      <c r="P553" s="155"/>
      <c r="Q553" s="155">
        <v>1</v>
      </c>
      <c r="R553" s="155" t="s">
        <v>962</v>
      </c>
      <c r="S553" s="155"/>
      <c r="T553" s="155"/>
      <c r="U553" s="166"/>
      <c r="V553" s="153" t="s">
        <v>949</v>
      </c>
      <c r="W553" s="143" t="s">
        <v>280</v>
      </c>
      <c r="X553" s="157" t="s">
        <v>227</v>
      </c>
      <c r="Y553" s="153">
        <v>9205517705</v>
      </c>
      <c r="Z553" s="143"/>
      <c r="AA553" s="163" t="s">
        <v>525</v>
      </c>
      <c r="AB553" s="143" t="s">
        <v>528</v>
      </c>
      <c r="AC553" s="155">
        <v>2</v>
      </c>
      <c r="AD553" s="155"/>
      <c r="AE553" s="155"/>
      <c r="AF553" s="155"/>
      <c r="AG553" s="155"/>
      <c r="AH553" s="143"/>
      <c r="AI553" s="158"/>
    </row>
    <row r="554" spans="1:35">
      <c r="A554" s="140"/>
      <c r="B554" s="143"/>
      <c r="C554" s="143" t="s">
        <v>1351</v>
      </c>
      <c r="D554" s="143" t="s">
        <v>501</v>
      </c>
      <c r="E554" s="143" t="s">
        <v>80</v>
      </c>
      <c r="F554" s="153" t="s">
        <v>918</v>
      </c>
      <c r="G554" s="153" t="s">
        <v>919</v>
      </c>
      <c r="H554" s="153"/>
      <c r="I554" s="227">
        <v>24918</v>
      </c>
      <c r="J554" s="166"/>
      <c r="K554" s="155">
        <v>1</v>
      </c>
      <c r="L554" s="155"/>
      <c r="M554" s="155"/>
      <c r="N554" s="155"/>
      <c r="O554" s="155"/>
      <c r="P554" s="155"/>
      <c r="Q554" s="155">
        <v>1</v>
      </c>
      <c r="R554" s="155" t="s">
        <v>957</v>
      </c>
      <c r="S554" s="155"/>
      <c r="T554" s="155"/>
      <c r="U554" s="167" t="s">
        <v>502</v>
      </c>
      <c r="V554" s="153" t="s">
        <v>503</v>
      </c>
      <c r="W554" s="143" t="s">
        <v>298</v>
      </c>
      <c r="X554" s="157" t="s">
        <v>227</v>
      </c>
      <c r="Y554" s="153">
        <v>9109451565</v>
      </c>
      <c r="Z554" s="143"/>
      <c r="AA554" s="163" t="s">
        <v>525</v>
      </c>
      <c r="AB554" s="143" t="s">
        <v>528</v>
      </c>
      <c r="AC554" s="155">
        <v>1</v>
      </c>
      <c r="AD554" s="155"/>
      <c r="AE554" s="155"/>
      <c r="AF554" s="155"/>
      <c r="AG554" s="155"/>
      <c r="AH554" s="143"/>
      <c r="AI554" s="158"/>
    </row>
    <row r="555" spans="1:35">
      <c r="A555" s="140"/>
      <c r="B555" s="143"/>
      <c r="C555" s="143" t="s">
        <v>1351</v>
      </c>
      <c r="D555" s="143" t="s">
        <v>501</v>
      </c>
      <c r="E555" s="143" t="s">
        <v>80</v>
      </c>
      <c r="F555" s="143" t="s">
        <v>330</v>
      </c>
      <c r="G555" s="143" t="s">
        <v>1406</v>
      </c>
      <c r="H555" s="143"/>
      <c r="I555" s="199">
        <v>20821</v>
      </c>
      <c r="J555" s="155"/>
      <c r="K555" s="155">
        <v>1</v>
      </c>
      <c r="L555" s="155"/>
      <c r="M555" s="155">
        <v>1</v>
      </c>
      <c r="N555" s="155"/>
      <c r="O555" s="155"/>
      <c r="P555" s="155"/>
      <c r="Q555" s="155">
        <v>1</v>
      </c>
      <c r="R555" s="155" t="s">
        <v>957</v>
      </c>
      <c r="S555" s="155"/>
      <c r="T555" s="155"/>
      <c r="U555" s="143"/>
      <c r="V555" s="143" t="s">
        <v>355</v>
      </c>
      <c r="W555" s="143" t="s">
        <v>298</v>
      </c>
      <c r="X555" s="143" t="s">
        <v>227</v>
      </c>
      <c r="Y555" s="143">
        <v>9066510836</v>
      </c>
      <c r="Z555" s="143"/>
      <c r="AA555" s="162" t="s">
        <v>524</v>
      </c>
      <c r="AB555" s="143" t="s">
        <v>528</v>
      </c>
      <c r="AC555" s="155">
        <v>1</v>
      </c>
      <c r="AD555" s="155"/>
      <c r="AE555" s="155"/>
      <c r="AF555" s="155"/>
      <c r="AG555" s="155"/>
      <c r="AH555" s="143"/>
      <c r="AI555" s="158"/>
    </row>
    <row r="556" spans="1:35">
      <c r="A556" s="140"/>
      <c r="B556" s="143"/>
      <c r="C556" s="143" t="s">
        <v>1351</v>
      </c>
      <c r="D556" s="143" t="s">
        <v>501</v>
      </c>
      <c r="E556" s="143" t="s">
        <v>80</v>
      </c>
      <c r="F556" s="143" t="s">
        <v>635</v>
      </c>
      <c r="G556" s="143" t="s">
        <v>636</v>
      </c>
      <c r="H556" s="143" t="s">
        <v>133</v>
      </c>
      <c r="I556" s="199">
        <v>30942</v>
      </c>
      <c r="J556" s="155">
        <v>1</v>
      </c>
      <c r="K556" s="155"/>
      <c r="L556" s="155">
        <v>1</v>
      </c>
      <c r="M556" s="155"/>
      <c r="N556" s="155"/>
      <c r="O556" s="155"/>
      <c r="P556" s="155"/>
      <c r="Q556" s="155"/>
      <c r="R556" s="155"/>
      <c r="S556" s="155"/>
      <c r="T556" s="155"/>
      <c r="U556" s="143" t="s">
        <v>502</v>
      </c>
      <c r="V556" s="143" t="s">
        <v>503</v>
      </c>
      <c r="W556" s="143" t="s">
        <v>298</v>
      </c>
      <c r="X556" s="143" t="s">
        <v>227</v>
      </c>
      <c r="Y556" s="143">
        <v>9387732077</v>
      </c>
      <c r="Z556" s="143"/>
      <c r="AA556" s="162" t="s">
        <v>524</v>
      </c>
      <c r="AB556" s="143" t="s">
        <v>528</v>
      </c>
      <c r="AC556" s="155">
        <v>1</v>
      </c>
      <c r="AD556" s="155"/>
      <c r="AE556" s="155"/>
      <c r="AF556" s="155"/>
      <c r="AG556" s="155"/>
      <c r="AH556" s="143"/>
      <c r="AI556" s="158"/>
    </row>
    <row r="557" spans="1:35">
      <c r="A557" s="140"/>
      <c r="B557" s="143"/>
      <c r="C557" s="143" t="s">
        <v>1351</v>
      </c>
      <c r="D557" s="143" t="s">
        <v>501</v>
      </c>
      <c r="E557" s="143" t="s">
        <v>80</v>
      </c>
      <c r="F557" s="143" t="s">
        <v>1077</v>
      </c>
      <c r="G557" s="143" t="s">
        <v>1078</v>
      </c>
      <c r="H557" s="143" t="s">
        <v>830</v>
      </c>
      <c r="I557" s="199">
        <v>27524</v>
      </c>
      <c r="J557" s="182"/>
      <c r="K557" s="182">
        <v>1</v>
      </c>
      <c r="L557" s="155"/>
      <c r="M557" s="155"/>
      <c r="N557" s="155"/>
      <c r="O557" s="155"/>
      <c r="P557" s="155"/>
      <c r="Q557" s="155">
        <v>1</v>
      </c>
      <c r="R557" s="155" t="s">
        <v>1348</v>
      </c>
      <c r="S557" s="155"/>
      <c r="T557" s="155"/>
      <c r="U557" s="183" t="s">
        <v>855</v>
      </c>
      <c r="V557" s="143" t="s">
        <v>503</v>
      </c>
      <c r="W557" s="143" t="s">
        <v>298</v>
      </c>
      <c r="X557" s="143" t="s">
        <v>227</v>
      </c>
      <c r="Y557" s="184">
        <v>9102099575</v>
      </c>
      <c r="Z557" s="143"/>
      <c r="AA557" s="162" t="s">
        <v>524</v>
      </c>
      <c r="AB557" s="143" t="s">
        <v>528</v>
      </c>
      <c r="AC557" s="155">
        <v>1</v>
      </c>
      <c r="AD557" s="155"/>
      <c r="AE557" s="155"/>
      <c r="AF557" s="155"/>
      <c r="AG557" s="155"/>
      <c r="AH557" s="143"/>
      <c r="AI557" s="158"/>
    </row>
    <row r="558" spans="1:35">
      <c r="A558" s="140"/>
      <c r="B558" s="143"/>
      <c r="C558" s="143" t="s">
        <v>1351</v>
      </c>
      <c r="D558" s="143" t="s">
        <v>501</v>
      </c>
      <c r="E558" s="143" t="s">
        <v>80</v>
      </c>
      <c r="F558" s="143" t="s">
        <v>1407</v>
      </c>
      <c r="G558" s="143" t="s">
        <v>1408</v>
      </c>
      <c r="H558" s="143" t="s">
        <v>588</v>
      </c>
      <c r="I558" s="199">
        <v>32412</v>
      </c>
      <c r="J558" s="182">
        <v>1</v>
      </c>
      <c r="K558" s="182"/>
      <c r="L558" s="155"/>
      <c r="M558" s="155"/>
      <c r="N558" s="155"/>
      <c r="O558" s="155"/>
      <c r="P558" s="155"/>
      <c r="Q558" s="155">
        <v>1</v>
      </c>
      <c r="R558" s="155" t="s">
        <v>1009</v>
      </c>
      <c r="S558" s="155"/>
      <c r="T558" s="155"/>
      <c r="U558" s="183" t="s">
        <v>506</v>
      </c>
      <c r="V558" s="143" t="s">
        <v>503</v>
      </c>
      <c r="W558" s="143" t="s">
        <v>298</v>
      </c>
      <c r="X558" s="143" t="s">
        <v>227</v>
      </c>
      <c r="Y558" s="184">
        <v>9471334910</v>
      </c>
      <c r="Z558" s="143"/>
      <c r="AA558" s="162" t="s">
        <v>524</v>
      </c>
      <c r="AB558" s="143" t="s">
        <v>528</v>
      </c>
      <c r="AC558" s="155">
        <v>1</v>
      </c>
      <c r="AD558" s="155"/>
      <c r="AE558" s="155"/>
      <c r="AF558" s="155"/>
      <c r="AG558" s="155"/>
      <c r="AH558" s="143"/>
      <c r="AI558" s="158"/>
    </row>
    <row r="559" spans="1:35">
      <c r="A559" s="140"/>
      <c r="B559" s="143"/>
      <c r="C559" s="143" t="s">
        <v>1351</v>
      </c>
      <c r="D559" s="143" t="s">
        <v>501</v>
      </c>
      <c r="E559" s="143" t="s">
        <v>80</v>
      </c>
      <c r="F559" s="143" t="s">
        <v>490</v>
      </c>
      <c r="G559" s="143" t="s">
        <v>976</v>
      </c>
      <c r="H559" s="143" t="s">
        <v>126</v>
      </c>
      <c r="I559" s="199">
        <v>22532</v>
      </c>
      <c r="J559" s="182">
        <v>1</v>
      </c>
      <c r="K559" s="182"/>
      <c r="L559" s="155"/>
      <c r="M559" s="155"/>
      <c r="N559" s="155"/>
      <c r="O559" s="155"/>
      <c r="P559" s="155"/>
      <c r="Q559" s="155">
        <v>1</v>
      </c>
      <c r="R559" s="155" t="s">
        <v>1348</v>
      </c>
      <c r="S559" s="155"/>
      <c r="T559" s="155"/>
      <c r="U559" s="183" t="s">
        <v>859</v>
      </c>
      <c r="V559" s="143" t="s">
        <v>503</v>
      </c>
      <c r="W559" s="143" t="s">
        <v>298</v>
      </c>
      <c r="X559" s="143" t="s">
        <v>227</v>
      </c>
      <c r="Y559" s="184">
        <v>9755579837</v>
      </c>
      <c r="Z559" s="143"/>
      <c r="AA559" s="163" t="s">
        <v>525</v>
      </c>
      <c r="AB559" s="143" t="s">
        <v>528</v>
      </c>
      <c r="AC559" s="155">
        <v>1</v>
      </c>
      <c r="AD559" s="155"/>
      <c r="AE559" s="155"/>
      <c r="AF559" s="155"/>
      <c r="AG559" s="155"/>
      <c r="AH559" s="143"/>
      <c r="AI559" s="158"/>
    </row>
    <row r="560" spans="1:35">
      <c r="A560" s="140"/>
      <c r="B560" s="143"/>
      <c r="C560" s="143" t="s">
        <v>1351</v>
      </c>
      <c r="D560" s="143" t="s">
        <v>501</v>
      </c>
      <c r="E560" s="143" t="s">
        <v>80</v>
      </c>
      <c r="F560" s="153" t="s">
        <v>411</v>
      </c>
      <c r="G560" s="153" t="s">
        <v>412</v>
      </c>
      <c r="H560" s="153" t="s">
        <v>126</v>
      </c>
      <c r="I560" s="227">
        <v>24809</v>
      </c>
      <c r="J560" s="154"/>
      <c r="K560" s="154">
        <v>1</v>
      </c>
      <c r="L560" s="155"/>
      <c r="M560" s="155"/>
      <c r="N560" s="155"/>
      <c r="O560" s="155"/>
      <c r="P560" s="155"/>
      <c r="Q560" s="155">
        <v>1</v>
      </c>
      <c r="R560" s="155" t="s">
        <v>1348</v>
      </c>
      <c r="S560" s="155"/>
      <c r="T560" s="155"/>
      <c r="U560" s="156" t="s">
        <v>505</v>
      </c>
      <c r="V560" s="153" t="s">
        <v>503</v>
      </c>
      <c r="W560" s="143" t="s">
        <v>298</v>
      </c>
      <c r="X560" s="157" t="s">
        <v>227</v>
      </c>
      <c r="Y560" s="157">
        <v>9162563758</v>
      </c>
      <c r="Z560" s="143"/>
      <c r="AA560" s="157" t="s">
        <v>525</v>
      </c>
      <c r="AB560" s="143" t="s">
        <v>528</v>
      </c>
      <c r="AC560" s="155">
        <v>1</v>
      </c>
      <c r="AD560" s="155"/>
      <c r="AE560" s="155"/>
      <c r="AF560" s="155"/>
      <c r="AG560" s="155"/>
      <c r="AH560" s="143"/>
      <c r="AI560" s="158"/>
    </row>
    <row r="561" spans="1:35">
      <c r="A561" s="140"/>
      <c r="B561" s="143"/>
      <c r="C561" s="143" t="s">
        <v>1351</v>
      </c>
      <c r="D561" s="143" t="s">
        <v>501</v>
      </c>
      <c r="E561" s="143" t="s">
        <v>80</v>
      </c>
      <c r="F561" s="143" t="s">
        <v>131</v>
      </c>
      <c r="G561" s="143" t="s">
        <v>1409</v>
      </c>
      <c r="H561" s="143"/>
      <c r="I561" s="199">
        <v>28245</v>
      </c>
      <c r="J561" s="182"/>
      <c r="K561" s="182">
        <v>1</v>
      </c>
      <c r="L561" s="155"/>
      <c r="M561" s="155"/>
      <c r="N561" s="155"/>
      <c r="O561" s="155"/>
      <c r="P561" s="155"/>
      <c r="Q561" s="155">
        <v>1</v>
      </c>
      <c r="R561" s="155" t="s">
        <v>1045</v>
      </c>
      <c r="S561" s="155"/>
      <c r="T561" s="155"/>
      <c r="U561" s="183" t="s">
        <v>859</v>
      </c>
      <c r="V561" s="143" t="s">
        <v>503</v>
      </c>
      <c r="W561" s="143" t="s">
        <v>298</v>
      </c>
      <c r="X561" s="143" t="s">
        <v>227</v>
      </c>
      <c r="Y561" s="184">
        <v>9366832767</v>
      </c>
      <c r="Z561" s="143"/>
      <c r="AA561" s="162" t="s">
        <v>524</v>
      </c>
      <c r="AB561" s="143" t="s">
        <v>528</v>
      </c>
      <c r="AC561" s="155">
        <v>1</v>
      </c>
      <c r="AD561" s="155"/>
      <c r="AE561" s="155"/>
      <c r="AF561" s="155"/>
      <c r="AG561" s="155"/>
      <c r="AH561" s="143"/>
      <c r="AI561" s="158"/>
    </row>
    <row r="562" spans="1:35">
      <c r="A562" s="140"/>
      <c r="B562" s="143"/>
      <c r="C562" s="143" t="s">
        <v>1351</v>
      </c>
      <c r="D562" s="143" t="s">
        <v>501</v>
      </c>
      <c r="E562" s="143" t="s">
        <v>80</v>
      </c>
      <c r="F562" s="143" t="s">
        <v>1097</v>
      </c>
      <c r="G562" s="143" t="s">
        <v>1410</v>
      </c>
      <c r="H562" s="143"/>
      <c r="I562" s="199"/>
      <c r="J562" s="182"/>
      <c r="K562" s="182">
        <v>1</v>
      </c>
      <c r="L562" s="155"/>
      <c r="M562" s="155"/>
      <c r="N562" s="155"/>
      <c r="O562" s="155"/>
      <c r="P562" s="155"/>
      <c r="Q562" s="155">
        <v>1</v>
      </c>
      <c r="R562" s="155" t="s">
        <v>1348</v>
      </c>
      <c r="S562" s="155"/>
      <c r="T562" s="155"/>
      <c r="U562" s="183" t="s">
        <v>506</v>
      </c>
      <c r="V562" s="143" t="s">
        <v>503</v>
      </c>
      <c r="W562" s="143" t="s">
        <v>298</v>
      </c>
      <c r="X562" s="143" t="s">
        <v>227</v>
      </c>
      <c r="Y562" s="184">
        <v>9261841520</v>
      </c>
      <c r="Z562" s="143"/>
      <c r="AA562" s="157" t="s">
        <v>525</v>
      </c>
      <c r="AB562" s="143" t="s">
        <v>528</v>
      </c>
      <c r="AC562" s="155">
        <v>1</v>
      </c>
      <c r="AD562" s="155"/>
      <c r="AE562" s="155"/>
      <c r="AF562" s="155"/>
      <c r="AG562" s="155"/>
      <c r="AH562" s="143"/>
      <c r="AI562" s="158"/>
    </row>
    <row r="563" spans="1:35">
      <c r="A563" s="140"/>
      <c r="B563" s="143"/>
      <c r="C563" s="143" t="s">
        <v>1351</v>
      </c>
      <c r="D563" s="143" t="s">
        <v>501</v>
      </c>
      <c r="E563" s="143" t="s">
        <v>80</v>
      </c>
      <c r="F563" s="143" t="s">
        <v>1173</v>
      </c>
      <c r="G563" s="143" t="s">
        <v>1174</v>
      </c>
      <c r="H563" s="143" t="s">
        <v>409</v>
      </c>
      <c r="I563" s="199">
        <v>24378</v>
      </c>
      <c r="J563" s="155">
        <v>1</v>
      </c>
      <c r="K563" s="155"/>
      <c r="L563" s="155"/>
      <c r="M563" s="155"/>
      <c r="N563" s="155"/>
      <c r="O563" s="155"/>
      <c r="P563" s="155"/>
      <c r="Q563" s="155">
        <v>1</v>
      </c>
      <c r="R563" s="155" t="s">
        <v>962</v>
      </c>
      <c r="S563" s="155"/>
      <c r="T563" s="155"/>
      <c r="U563" s="143" t="s">
        <v>1176</v>
      </c>
      <c r="V563" s="143" t="s">
        <v>355</v>
      </c>
      <c r="W563" s="143" t="s">
        <v>298</v>
      </c>
      <c r="X563" s="143" t="s">
        <v>227</v>
      </c>
      <c r="Y563" s="143">
        <v>9051407153</v>
      </c>
      <c r="Z563" s="143"/>
      <c r="AA563" s="157" t="s">
        <v>525</v>
      </c>
      <c r="AB563" s="143" t="s">
        <v>528</v>
      </c>
      <c r="AC563" s="155">
        <v>1</v>
      </c>
      <c r="AD563" s="155"/>
      <c r="AE563" s="155"/>
      <c r="AF563" s="155"/>
      <c r="AG563" s="155"/>
      <c r="AH563" s="143"/>
      <c r="AI563" s="158"/>
    </row>
    <row r="564" spans="1:35">
      <c r="A564" s="140"/>
      <c r="B564" s="143"/>
      <c r="C564" s="143" t="s">
        <v>1351</v>
      </c>
      <c r="D564" s="143" t="s">
        <v>501</v>
      </c>
      <c r="E564" s="143" t="s">
        <v>80</v>
      </c>
      <c r="F564" s="143" t="s">
        <v>1411</v>
      </c>
      <c r="G564" s="143" t="s">
        <v>1412</v>
      </c>
      <c r="H564" s="143"/>
      <c r="I564" s="199"/>
      <c r="J564" s="182"/>
      <c r="K564" s="182">
        <v>1</v>
      </c>
      <c r="L564" s="155"/>
      <c r="M564" s="155"/>
      <c r="N564" s="155"/>
      <c r="O564" s="155"/>
      <c r="P564" s="155"/>
      <c r="Q564" s="155">
        <v>1</v>
      </c>
      <c r="R564" s="155" t="s">
        <v>1413</v>
      </c>
      <c r="S564" s="155"/>
      <c r="T564" s="155"/>
      <c r="U564" s="183" t="s">
        <v>502</v>
      </c>
      <c r="V564" s="143" t="s">
        <v>503</v>
      </c>
      <c r="W564" s="143" t="s">
        <v>298</v>
      </c>
      <c r="X564" s="143" t="s">
        <v>227</v>
      </c>
      <c r="Y564" s="184"/>
      <c r="Z564" s="143"/>
      <c r="AA564" s="162" t="s">
        <v>524</v>
      </c>
      <c r="AB564" s="143" t="s">
        <v>528</v>
      </c>
      <c r="AC564" s="155">
        <v>1</v>
      </c>
      <c r="AD564" s="155"/>
      <c r="AE564" s="155"/>
      <c r="AF564" s="155"/>
      <c r="AG564" s="155"/>
      <c r="AH564" s="143"/>
      <c r="AI564" s="158"/>
    </row>
    <row r="565" spans="1:35">
      <c r="A565" s="140"/>
      <c r="B565" s="143"/>
      <c r="C565" s="143" t="s">
        <v>1351</v>
      </c>
      <c r="D565" s="143" t="s">
        <v>501</v>
      </c>
      <c r="E565" s="143" t="s">
        <v>80</v>
      </c>
      <c r="F565" s="143" t="s">
        <v>1414</v>
      </c>
      <c r="G565" s="143" t="s">
        <v>470</v>
      </c>
      <c r="H565" s="143"/>
      <c r="I565" s="199">
        <v>27135</v>
      </c>
      <c r="J565" s="182">
        <v>1</v>
      </c>
      <c r="K565" s="182"/>
      <c r="L565" s="155">
        <v>1</v>
      </c>
      <c r="M565" s="155"/>
      <c r="N565" s="155"/>
      <c r="O565" s="155"/>
      <c r="P565" s="155"/>
      <c r="Q565" s="155"/>
      <c r="R565" s="155"/>
      <c r="S565" s="155"/>
      <c r="T565" s="155"/>
      <c r="U565" s="183" t="s">
        <v>508</v>
      </c>
      <c r="V565" s="143" t="s">
        <v>503</v>
      </c>
      <c r="W565" s="143" t="s">
        <v>298</v>
      </c>
      <c r="X565" s="143" t="s">
        <v>227</v>
      </c>
      <c r="Y565" s="184">
        <v>9306473241</v>
      </c>
      <c r="Z565" s="143"/>
      <c r="AA565" s="157" t="s">
        <v>525</v>
      </c>
      <c r="AB565" s="143" t="s">
        <v>528</v>
      </c>
      <c r="AC565" s="155">
        <v>1</v>
      </c>
      <c r="AD565" s="155"/>
      <c r="AE565" s="155"/>
      <c r="AF565" s="155"/>
      <c r="AG565" s="155"/>
      <c r="AH565" s="143"/>
      <c r="AI565" s="158"/>
    </row>
    <row r="566" spans="1:35">
      <c r="A566" s="140"/>
      <c r="B566" s="143"/>
      <c r="C566" s="143" t="s">
        <v>1351</v>
      </c>
      <c r="D566" s="143" t="s">
        <v>501</v>
      </c>
      <c r="E566" s="143" t="s">
        <v>80</v>
      </c>
      <c r="F566" s="143" t="s">
        <v>1097</v>
      </c>
      <c r="G566" s="143" t="s">
        <v>1415</v>
      </c>
      <c r="H566" s="143"/>
      <c r="I566" s="199">
        <v>36600</v>
      </c>
      <c r="J566" s="182">
        <v>1</v>
      </c>
      <c r="K566" s="182"/>
      <c r="L566" s="155"/>
      <c r="M566" s="155"/>
      <c r="N566" s="155"/>
      <c r="O566" s="155"/>
      <c r="P566" s="155"/>
      <c r="Q566" s="155">
        <v>1</v>
      </c>
      <c r="R566" s="155" t="s">
        <v>1348</v>
      </c>
      <c r="S566" s="155"/>
      <c r="T566" s="155"/>
      <c r="U566" s="183" t="s">
        <v>506</v>
      </c>
      <c r="V566" s="143" t="s">
        <v>503</v>
      </c>
      <c r="W566" s="143" t="s">
        <v>298</v>
      </c>
      <c r="X566" s="143" t="s">
        <v>227</v>
      </c>
      <c r="Y566" s="184">
        <v>9668116195</v>
      </c>
      <c r="Z566" s="143"/>
      <c r="AA566" s="159" t="s">
        <v>524</v>
      </c>
      <c r="AB566" s="184" t="s">
        <v>528</v>
      </c>
      <c r="AC566" s="155">
        <v>1</v>
      </c>
      <c r="AD566" s="155"/>
      <c r="AE566" s="155"/>
      <c r="AF566" s="155"/>
      <c r="AG566" s="155"/>
      <c r="AH566" s="143"/>
      <c r="AI566" s="158"/>
    </row>
    <row r="567" spans="1:35">
      <c r="A567" s="140"/>
      <c r="B567" s="143"/>
      <c r="C567" s="143" t="s">
        <v>1351</v>
      </c>
      <c r="D567" s="143" t="s">
        <v>501</v>
      </c>
      <c r="E567" s="143" t="s">
        <v>80</v>
      </c>
      <c r="F567" s="184" t="s">
        <v>1416</v>
      </c>
      <c r="G567" s="184" t="s">
        <v>1417</v>
      </c>
      <c r="H567" s="143"/>
      <c r="I567" s="199">
        <v>32993</v>
      </c>
      <c r="J567" s="182">
        <v>1</v>
      </c>
      <c r="K567" s="182"/>
      <c r="L567" s="155"/>
      <c r="M567" s="155"/>
      <c r="N567" s="155"/>
      <c r="O567" s="155"/>
      <c r="P567" s="155"/>
      <c r="Q567" s="172">
        <v>1</v>
      </c>
      <c r="R567" s="155" t="s">
        <v>1428</v>
      </c>
      <c r="S567" s="155"/>
      <c r="T567" s="155"/>
      <c r="U567" s="183"/>
      <c r="V567" s="184" t="s">
        <v>1429</v>
      </c>
      <c r="W567" s="184"/>
      <c r="X567" s="184" t="s">
        <v>1430</v>
      </c>
      <c r="Y567" s="184">
        <v>9171267321</v>
      </c>
      <c r="Z567" s="143"/>
      <c r="AA567" s="159" t="s">
        <v>524</v>
      </c>
      <c r="AB567" s="184" t="s">
        <v>528</v>
      </c>
      <c r="AC567" s="172">
        <v>1</v>
      </c>
      <c r="AD567" s="155"/>
      <c r="AE567" s="155"/>
      <c r="AF567" s="155"/>
      <c r="AG567" s="155"/>
      <c r="AH567" s="143"/>
      <c r="AI567" s="158"/>
    </row>
    <row r="568" spans="1:35">
      <c r="A568" s="140"/>
      <c r="B568" s="143"/>
      <c r="C568" s="143" t="s">
        <v>1351</v>
      </c>
      <c r="D568" s="143" t="s">
        <v>501</v>
      </c>
      <c r="E568" s="143" t="s">
        <v>80</v>
      </c>
      <c r="F568" s="184" t="s">
        <v>1418</v>
      </c>
      <c r="G568" s="184" t="s">
        <v>1098</v>
      </c>
      <c r="H568" s="143"/>
      <c r="I568" s="199">
        <v>32797</v>
      </c>
      <c r="J568" s="182"/>
      <c r="K568" s="182">
        <v>1</v>
      </c>
      <c r="L568" s="155"/>
      <c r="M568" s="155"/>
      <c r="N568" s="155"/>
      <c r="O568" s="155"/>
      <c r="P568" s="155"/>
      <c r="Q568" s="172">
        <v>1</v>
      </c>
      <c r="R568" s="155" t="s">
        <v>1428</v>
      </c>
      <c r="S568" s="155"/>
      <c r="T568" s="155"/>
      <c r="U568" s="183"/>
      <c r="V568" s="184" t="s">
        <v>1429</v>
      </c>
      <c r="W568" s="184"/>
      <c r="X568" s="184" t="s">
        <v>1430</v>
      </c>
      <c r="Y568" s="184">
        <v>9458115598</v>
      </c>
      <c r="Z568" s="143"/>
      <c r="AA568" s="159" t="s">
        <v>524</v>
      </c>
      <c r="AB568" s="184" t="s">
        <v>528</v>
      </c>
      <c r="AC568" s="172">
        <v>1</v>
      </c>
      <c r="AD568" s="155"/>
      <c r="AE568" s="155"/>
      <c r="AF568" s="155"/>
      <c r="AG568" s="155"/>
      <c r="AH568" s="143"/>
      <c r="AI568" s="158"/>
    </row>
    <row r="569" spans="1:35">
      <c r="A569" s="140"/>
      <c r="B569" s="143"/>
      <c r="C569" s="143" t="s">
        <v>1351</v>
      </c>
      <c r="D569" s="143" t="s">
        <v>501</v>
      </c>
      <c r="E569" s="143" t="s">
        <v>80</v>
      </c>
      <c r="F569" s="184" t="s">
        <v>1423</v>
      </c>
      <c r="G569" s="184" t="s">
        <v>1419</v>
      </c>
      <c r="H569" s="143"/>
      <c r="I569" s="199">
        <v>32187</v>
      </c>
      <c r="J569" s="182"/>
      <c r="K569" s="182">
        <v>1</v>
      </c>
      <c r="L569" s="155"/>
      <c r="M569" s="155"/>
      <c r="N569" s="155"/>
      <c r="O569" s="155"/>
      <c r="P569" s="155"/>
      <c r="Q569" s="172">
        <v>1</v>
      </c>
      <c r="R569" s="155" t="s">
        <v>1428</v>
      </c>
      <c r="S569" s="155"/>
      <c r="T569" s="155"/>
      <c r="U569" s="183"/>
      <c r="V569" s="184" t="s">
        <v>1429</v>
      </c>
      <c r="W569" s="184"/>
      <c r="X569" s="184" t="s">
        <v>1430</v>
      </c>
      <c r="Y569" s="184">
        <v>9120360044</v>
      </c>
      <c r="Z569" s="143"/>
      <c r="AA569" s="159" t="s">
        <v>524</v>
      </c>
      <c r="AB569" s="184" t="s">
        <v>528</v>
      </c>
      <c r="AC569" s="172">
        <v>1</v>
      </c>
      <c r="AD569" s="155"/>
      <c r="AE569" s="155"/>
      <c r="AF569" s="155"/>
      <c r="AG569" s="155"/>
      <c r="AH569" s="143"/>
      <c r="AI569" s="158"/>
    </row>
    <row r="570" spans="1:35">
      <c r="A570" s="140"/>
      <c r="B570" s="143"/>
      <c r="C570" s="143" t="s">
        <v>1351</v>
      </c>
      <c r="D570" s="143" t="s">
        <v>501</v>
      </c>
      <c r="E570" s="143" t="s">
        <v>80</v>
      </c>
      <c r="F570" s="184" t="s">
        <v>1420</v>
      </c>
      <c r="G570" s="184" t="s">
        <v>1421</v>
      </c>
      <c r="H570" s="143"/>
      <c r="I570" s="199">
        <v>35496</v>
      </c>
      <c r="J570" s="182">
        <v>1</v>
      </c>
      <c r="K570" s="182"/>
      <c r="L570" s="155"/>
      <c r="M570" s="155"/>
      <c r="N570" s="155"/>
      <c r="O570" s="155"/>
      <c r="P570" s="155"/>
      <c r="Q570" s="172">
        <v>1</v>
      </c>
      <c r="R570" s="155" t="s">
        <v>1428</v>
      </c>
      <c r="S570" s="155"/>
      <c r="T570" s="155"/>
      <c r="U570" s="183"/>
      <c r="V570" s="184" t="s">
        <v>1429</v>
      </c>
      <c r="W570" s="184"/>
      <c r="X570" s="184" t="s">
        <v>1430</v>
      </c>
      <c r="Y570" s="184">
        <v>9281857387</v>
      </c>
      <c r="Z570" s="143"/>
      <c r="AA570" s="159" t="s">
        <v>524</v>
      </c>
      <c r="AB570" s="184" t="s">
        <v>528</v>
      </c>
      <c r="AC570" s="172">
        <v>1</v>
      </c>
      <c r="AD570" s="155"/>
      <c r="AE570" s="155"/>
      <c r="AF570" s="155"/>
      <c r="AG570" s="155"/>
      <c r="AH570" s="143"/>
      <c r="AI570" s="158"/>
    </row>
    <row r="571" spans="1:35">
      <c r="A571" s="140"/>
      <c r="B571" s="143"/>
      <c r="C571" s="143" t="s">
        <v>1351</v>
      </c>
      <c r="D571" s="143" t="s">
        <v>501</v>
      </c>
      <c r="E571" s="143" t="s">
        <v>80</v>
      </c>
      <c r="F571" s="184" t="s">
        <v>148</v>
      </c>
      <c r="G571" s="184" t="s">
        <v>1422</v>
      </c>
      <c r="H571" s="143" t="s">
        <v>136</v>
      </c>
      <c r="I571" s="199">
        <v>35737</v>
      </c>
      <c r="J571" s="182">
        <v>1</v>
      </c>
      <c r="K571" s="182"/>
      <c r="L571" s="155"/>
      <c r="M571" s="155"/>
      <c r="N571" s="155"/>
      <c r="O571" s="155"/>
      <c r="P571" s="155"/>
      <c r="Q571" s="172">
        <v>1</v>
      </c>
      <c r="R571" s="155" t="s">
        <v>1428</v>
      </c>
      <c r="S571" s="155"/>
      <c r="T571" s="155"/>
      <c r="U571" s="183"/>
      <c r="V571" s="184" t="s">
        <v>1429</v>
      </c>
      <c r="W571" s="184"/>
      <c r="X571" s="184" t="s">
        <v>1430</v>
      </c>
      <c r="Y571" s="184">
        <v>9556350588</v>
      </c>
      <c r="Z571" s="143"/>
      <c r="AA571" s="159" t="s">
        <v>524</v>
      </c>
      <c r="AB571" s="184" t="s">
        <v>528</v>
      </c>
      <c r="AC571" s="172">
        <v>1</v>
      </c>
      <c r="AD571" s="155"/>
      <c r="AE571" s="155"/>
      <c r="AF571" s="155"/>
      <c r="AG571" s="155"/>
      <c r="AH571" s="143"/>
      <c r="AI571" s="158"/>
    </row>
    <row r="572" spans="1:35">
      <c r="A572" s="140"/>
      <c r="B572" s="143"/>
      <c r="C572" s="143" t="s">
        <v>1351</v>
      </c>
      <c r="D572" s="143" t="s">
        <v>501</v>
      </c>
      <c r="E572" s="143" t="s">
        <v>80</v>
      </c>
      <c r="F572" s="184" t="s">
        <v>1424</v>
      </c>
      <c r="G572" s="184" t="s">
        <v>1425</v>
      </c>
      <c r="H572" s="143"/>
      <c r="I572" s="199">
        <v>35975</v>
      </c>
      <c r="J572" s="182"/>
      <c r="K572" s="182">
        <v>1</v>
      </c>
      <c r="L572" s="155"/>
      <c r="M572" s="155"/>
      <c r="N572" s="155"/>
      <c r="O572" s="155"/>
      <c r="P572" s="155"/>
      <c r="Q572" s="172">
        <v>1</v>
      </c>
      <c r="R572" s="155" t="s">
        <v>1428</v>
      </c>
      <c r="S572" s="155"/>
      <c r="T572" s="155"/>
      <c r="U572" s="183"/>
      <c r="V572" s="184" t="s">
        <v>1429</v>
      </c>
      <c r="W572" s="184"/>
      <c r="X572" s="184" t="s">
        <v>1430</v>
      </c>
      <c r="Y572" s="184">
        <v>9287503362</v>
      </c>
      <c r="Z572" s="143"/>
      <c r="AA572" s="159" t="s">
        <v>524</v>
      </c>
      <c r="AB572" s="184" t="s">
        <v>528</v>
      </c>
      <c r="AC572" s="172">
        <v>1</v>
      </c>
      <c r="AD572" s="155"/>
      <c r="AE572" s="155"/>
      <c r="AF572" s="155"/>
      <c r="AG572" s="155"/>
      <c r="AH572" s="143"/>
      <c r="AI572" s="158"/>
    </row>
    <row r="573" spans="1:35">
      <c r="A573" s="140"/>
      <c r="B573" s="143"/>
      <c r="C573" s="143" t="s">
        <v>1351</v>
      </c>
      <c r="D573" s="143" t="s">
        <v>501</v>
      </c>
      <c r="E573" s="143" t="s">
        <v>80</v>
      </c>
      <c r="F573" s="184" t="s">
        <v>1426</v>
      </c>
      <c r="G573" s="184" t="s">
        <v>1427</v>
      </c>
      <c r="H573" s="143"/>
      <c r="I573" s="199">
        <v>35649</v>
      </c>
      <c r="J573" s="182">
        <v>1</v>
      </c>
      <c r="K573" s="182"/>
      <c r="L573" s="155"/>
      <c r="M573" s="155"/>
      <c r="N573" s="155"/>
      <c r="O573" s="155"/>
      <c r="P573" s="155"/>
      <c r="Q573" s="172">
        <v>1</v>
      </c>
      <c r="R573" s="155" t="s">
        <v>1428</v>
      </c>
      <c r="S573" s="155"/>
      <c r="T573" s="155"/>
      <c r="U573" s="183"/>
      <c r="V573" s="184" t="s">
        <v>1429</v>
      </c>
      <c r="W573" s="184"/>
      <c r="X573" s="184" t="s">
        <v>1430</v>
      </c>
      <c r="Y573" s="184"/>
      <c r="Z573" s="143"/>
      <c r="AA573" s="159" t="s">
        <v>524</v>
      </c>
      <c r="AB573" s="184" t="s">
        <v>528</v>
      </c>
      <c r="AC573" s="172">
        <v>1</v>
      </c>
      <c r="AD573" s="155"/>
      <c r="AE573" s="155"/>
      <c r="AF573" s="155"/>
      <c r="AG573" s="155"/>
      <c r="AH573" s="143"/>
      <c r="AI573" s="158"/>
    </row>
    <row r="574" spans="1:35">
      <c r="A574" s="140"/>
      <c r="B574" s="143"/>
      <c r="C574" s="143" t="s">
        <v>1351</v>
      </c>
      <c r="D574" s="143" t="s">
        <v>501</v>
      </c>
      <c r="E574" s="143" t="s">
        <v>80</v>
      </c>
      <c r="F574" s="143" t="s">
        <v>903</v>
      </c>
      <c r="G574" s="143" t="s">
        <v>465</v>
      </c>
      <c r="H574" s="143"/>
      <c r="I574" s="199">
        <v>31145</v>
      </c>
      <c r="J574" s="182"/>
      <c r="K574" s="182">
        <v>1</v>
      </c>
      <c r="L574" s="155"/>
      <c r="M574" s="155"/>
      <c r="N574" s="155"/>
      <c r="O574" s="155"/>
      <c r="P574" s="155"/>
      <c r="Q574" s="155">
        <v>1</v>
      </c>
      <c r="R574" s="155" t="s">
        <v>1348</v>
      </c>
      <c r="S574" s="155"/>
      <c r="T574" s="155"/>
      <c r="U574" s="183" t="s">
        <v>517</v>
      </c>
      <c r="V574" s="143" t="s">
        <v>503</v>
      </c>
      <c r="W574" s="143" t="s">
        <v>298</v>
      </c>
      <c r="X574" s="143" t="s">
        <v>227</v>
      </c>
      <c r="Y574" s="184">
        <v>9169548305</v>
      </c>
      <c r="Z574" s="143"/>
      <c r="AA574" s="157" t="s">
        <v>525</v>
      </c>
      <c r="AB574" s="143" t="s">
        <v>528</v>
      </c>
      <c r="AC574" s="155">
        <v>1</v>
      </c>
      <c r="AD574" s="155"/>
      <c r="AE574" s="155"/>
      <c r="AF574" s="155"/>
      <c r="AG574" s="155"/>
      <c r="AH574" s="143"/>
      <c r="AI574" s="158"/>
    </row>
    <row r="575" spans="1:35">
      <c r="A575" s="140"/>
      <c r="B575" s="143"/>
      <c r="C575" s="164" t="s">
        <v>1431</v>
      </c>
      <c r="D575" s="164" t="s">
        <v>501</v>
      </c>
      <c r="E575" s="164" t="s">
        <v>80</v>
      </c>
      <c r="F575" s="164" t="s">
        <v>1631</v>
      </c>
      <c r="G575" s="164" t="s">
        <v>1274</v>
      </c>
      <c r="H575" s="164"/>
      <c r="I575" s="240">
        <v>27562</v>
      </c>
      <c r="J575" s="193">
        <v>1</v>
      </c>
      <c r="K575" s="193"/>
      <c r="L575" s="190"/>
      <c r="M575" s="190"/>
      <c r="N575" s="190"/>
      <c r="O575" s="190"/>
      <c r="P575" s="190"/>
      <c r="Q575" s="190">
        <v>1</v>
      </c>
      <c r="R575" s="190" t="s">
        <v>1045</v>
      </c>
      <c r="S575" s="190"/>
      <c r="T575" s="190"/>
      <c r="U575" s="194" t="s">
        <v>509</v>
      </c>
      <c r="V575" s="164" t="s">
        <v>503</v>
      </c>
      <c r="W575" s="164" t="s">
        <v>298</v>
      </c>
      <c r="X575" s="164" t="s">
        <v>227</v>
      </c>
      <c r="Y575" s="195">
        <v>9683804227</v>
      </c>
      <c r="Z575" s="164"/>
      <c r="AA575" s="164" t="s">
        <v>524</v>
      </c>
      <c r="AB575" s="164" t="s">
        <v>528</v>
      </c>
      <c r="AC575" s="190">
        <v>1</v>
      </c>
      <c r="AD575" s="155"/>
      <c r="AE575" s="155"/>
      <c r="AF575" s="155"/>
      <c r="AG575" s="155"/>
      <c r="AH575" s="143"/>
      <c r="AI575" s="158"/>
    </row>
    <row r="576" spans="1:35">
      <c r="A576" s="140"/>
      <c r="B576" s="143"/>
      <c r="C576" s="143" t="s">
        <v>1431</v>
      </c>
      <c r="D576" s="143" t="s">
        <v>501</v>
      </c>
      <c r="E576" s="143" t="s">
        <v>80</v>
      </c>
      <c r="F576" s="143" t="s">
        <v>413</v>
      </c>
      <c r="G576" s="143" t="s">
        <v>414</v>
      </c>
      <c r="H576" s="143" t="s">
        <v>150</v>
      </c>
      <c r="I576" s="227">
        <v>23925</v>
      </c>
      <c r="J576" s="166"/>
      <c r="K576" s="165">
        <v>1</v>
      </c>
      <c r="L576" s="155"/>
      <c r="M576" s="155"/>
      <c r="N576" s="155"/>
      <c r="O576" s="155"/>
      <c r="P576" s="155"/>
      <c r="Q576" s="155">
        <v>1</v>
      </c>
      <c r="R576" s="155" t="s">
        <v>1348</v>
      </c>
      <c r="S576" s="155"/>
      <c r="T576" s="155"/>
      <c r="U576" s="167" t="s">
        <v>295</v>
      </c>
      <c r="V576" s="153" t="s">
        <v>503</v>
      </c>
      <c r="W576" s="143" t="s">
        <v>298</v>
      </c>
      <c r="X576" s="157" t="s">
        <v>227</v>
      </c>
      <c r="Y576" s="153">
        <v>9357514235</v>
      </c>
      <c r="Z576" s="143"/>
      <c r="AA576" s="163" t="s">
        <v>1754</v>
      </c>
      <c r="AB576" s="143" t="s">
        <v>528</v>
      </c>
      <c r="AC576" s="155">
        <v>2</v>
      </c>
      <c r="AD576" s="155"/>
      <c r="AE576" s="155"/>
      <c r="AF576" s="155"/>
      <c r="AG576" s="155"/>
      <c r="AH576" s="143"/>
      <c r="AI576" s="158"/>
    </row>
    <row r="577" spans="1:35">
      <c r="A577" s="140"/>
      <c r="B577" s="143"/>
      <c r="C577" s="143" t="s">
        <v>1431</v>
      </c>
      <c r="D577" s="143" t="s">
        <v>501</v>
      </c>
      <c r="E577" s="143" t="s">
        <v>80</v>
      </c>
      <c r="F577" s="143" t="s">
        <v>312</v>
      </c>
      <c r="G577" s="143" t="s">
        <v>840</v>
      </c>
      <c r="H577" s="153" t="s">
        <v>144</v>
      </c>
      <c r="I577" s="227">
        <v>30173</v>
      </c>
      <c r="J577" s="166"/>
      <c r="K577" s="165">
        <v>1</v>
      </c>
      <c r="L577" s="155"/>
      <c r="M577" s="155"/>
      <c r="N577" s="155"/>
      <c r="O577" s="155"/>
      <c r="P577" s="155"/>
      <c r="Q577" s="155">
        <v>1</v>
      </c>
      <c r="R577" s="155" t="s">
        <v>1348</v>
      </c>
      <c r="S577" s="155"/>
      <c r="T577" s="155"/>
      <c r="U577" s="167" t="s">
        <v>859</v>
      </c>
      <c r="V577" s="153" t="s">
        <v>503</v>
      </c>
      <c r="W577" s="143" t="s">
        <v>298</v>
      </c>
      <c r="X577" s="157" t="s">
        <v>227</v>
      </c>
      <c r="Y577" s="153">
        <v>9265351990</v>
      </c>
      <c r="Z577" s="143"/>
      <c r="AA577" s="163" t="s">
        <v>525</v>
      </c>
      <c r="AB577" s="143" t="s">
        <v>528</v>
      </c>
      <c r="AC577" s="155">
        <v>2</v>
      </c>
      <c r="AD577" s="155"/>
      <c r="AE577" s="155"/>
      <c r="AF577" s="155"/>
      <c r="AG577" s="155"/>
      <c r="AH577" s="143"/>
      <c r="AI577" s="158"/>
    </row>
    <row r="578" spans="1:35">
      <c r="A578" s="140"/>
      <c r="B578" s="143"/>
      <c r="C578" s="143" t="s">
        <v>1431</v>
      </c>
      <c r="D578" s="143" t="s">
        <v>501</v>
      </c>
      <c r="E578" s="143" t="s">
        <v>80</v>
      </c>
      <c r="F578" s="143" t="s">
        <v>1632</v>
      </c>
      <c r="G578" s="143" t="s">
        <v>1633</v>
      </c>
      <c r="H578" s="143"/>
      <c r="I578" s="199"/>
      <c r="J578" s="182">
        <v>1</v>
      </c>
      <c r="K578" s="182"/>
      <c r="L578" s="155"/>
      <c r="M578" s="155"/>
      <c r="N578" s="155"/>
      <c r="O578" s="155"/>
      <c r="P578" s="155"/>
      <c r="Q578" s="155">
        <v>1</v>
      </c>
      <c r="R578" s="155" t="s">
        <v>1045</v>
      </c>
      <c r="S578" s="155"/>
      <c r="T578" s="155"/>
      <c r="U578" s="183"/>
      <c r="V578" s="143" t="s">
        <v>1280</v>
      </c>
      <c r="W578" s="143" t="s">
        <v>280</v>
      </c>
      <c r="X578" s="143" t="s">
        <v>227</v>
      </c>
      <c r="Y578" s="184">
        <v>9073248188</v>
      </c>
      <c r="Z578" s="143"/>
      <c r="AA578" s="159" t="s">
        <v>524</v>
      </c>
      <c r="AB578" s="143" t="s">
        <v>528</v>
      </c>
      <c r="AC578" s="155">
        <v>1</v>
      </c>
      <c r="AD578" s="155"/>
      <c r="AE578" s="155"/>
      <c r="AF578" s="155"/>
      <c r="AG578" s="155"/>
      <c r="AH578" s="143"/>
      <c r="AI578" s="158"/>
    </row>
    <row r="579" spans="1:35">
      <c r="A579" s="140"/>
      <c r="B579" s="143"/>
      <c r="C579" s="143" t="s">
        <v>1431</v>
      </c>
      <c r="D579" s="143" t="s">
        <v>501</v>
      </c>
      <c r="E579" s="143" t="s">
        <v>80</v>
      </c>
      <c r="F579" s="153" t="s">
        <v>411</v>
      </c>
      <c r="G579" s="153" t="s">
        <v>412</v>
      </c>
      <c r="H579" s="153" t="s">
        <v>126</v>
      </c>
      <c r="I579" s="227">
        <v>24809</v>
      </c>
      <c r="J579" s="154"/>
      <c r="K579" s="154">
        <v>1</v>
      </c>
      <c r="L579" s="155"/>
      <c r="M579" s="155"/>
      <c r="N579" s="155"/>
      <c r="O579" s="155"/>
      <c r="P579" s="155"/>
      <c r="Q579" s="155">
        <v>1</v>
      </c>
      <c r="R579" s="155" t="s">
        <v>1348</v>
      </c>
      <c r="S579" s="155"/>
      <c r="T579" s="155"/>
      <c r="U579" s="156" t="s">
        <v>505</v>
      </c>
      <c r="V579" s="153" t="s">
        <v>503</v>
      </c>
      <c r="W579" s="143" t="s">
        <v>298</v>
      </c>
      <c r="X579" s="157" t="s">
        <v>227</v>
      </c>
      <c r="Y579" s="157">
        <v>9162563758</v>
      </c>
      <c r="Z579" s="143"/>
      <c r="AA579" s="157" t="s">
        <v>525</v>
      </c>
      <c r="AB579" s="143" t="s">
        <v>528</v>
      </c>
      <c r="AC579" s="155">
        <v>2</v>
      </c>
      <c r="AD579" s="155"/>
      <c r="AE579" s="155"/>
      <c r="AF579" s="155"/>
      <c r="AG579" s="155"/>
      <c r="AH579" s="143"/>
      <c r="AI579" s="158"/>
    </row>
    <row r="580" spans="1:35">
      <c r="A580" s="140"/>
      <c r="B580" s="143"/>
      <c r="C580" s="143" t="s">
        <v>1431</v>
      </c>
      <c r="D580" s="143" t="s">
        <v>501</v>
      </c>
      <c r="E580" s="143" t="s">
        <v>80</v>
      </c>
      <c r="F580" s="143" t="s">
        <v>1002</v>
      </c>
      <c r="G580" s="143" t="s">
        <v>1464</v>
      </c>
      <c r="H580" s="143"/>
      <c r="I580" s="199"/>
      <c r="J580" s="182">
        <v>1</v>
      </c>
      <c r="K580" s="182"/>
      <c r="L580" s="155"/>
      <c r="M580" s="155"/>
      <c r="N580" s="155"/>
      <c r="O580" s="155"/>
      <c r="P580" s="155"/>
      <c r="Q580" s="155">
        <v>1</v>
      </c>
      <c r="R580" s="155" t="s">
        <v>1045</v>
      </c>
      <c r="S580" s="155"/>
      <c r="T580" s="155"/>
      <c r="U580" s="183"/>
      <c r="V580" s="143" t="s">
        <v>503</v>
      </c>
      <c r="W580" s="143" t="s">
        <v>298</v>
      </c>
      <c r="X580" s="143" t="s">
        <v>227</v>
      </c>
      <c r="Y580" s="184">
        <v>9072329644</v>
      </c>
      <c r="Z580" s="143"/>
      <c r="AA580" s="159" t="s">
        <v>524</v>
      </c>
      <c r="AB580" s="143" t="s">
        <v>528</v>
      </c>
      <c r="AC580" s="155">
        <v>1</v>
      </c>
      <c r="AD580" s="155"/>
      <c r="AE580" s="155"/>
      <c r="AF580" s="155"/>
      <c r="AG580" s="155"/>
      <c r="AH580" s="143"/>
      <c r="AI580" s="158"/>
    </row>
    <row r="581" spans="1:35">
      <c r="A581" s="140"/>
      <c r="B581" s="143"/>
      <c r="C581" s="143" t="s">
        <v>1431</v>
      </c>
      <c r="D581" s="143" t="s">
        <v>501</v>
      </c>
      <c r="E581" s="143" t="s">
        <v>80</v>
      </c>
      <c r="F581" s="143" t="s">
        <v>949</v>
      </c>
      <c r="G581" s="143" t="s">
        <v>1634</v>
      </c>
      <c r="H581" s="143"/>
      <c r="I581" s="199"/>
      <c r="J581" s="182">
        <v>1</v>
      </c>
      <c r="K581" s="182"/>
      <c r="L581" s="155"/>
      <c r="M581" s="155"/>
      <c r="N581" s="155"/>
      <c r="O581" s="155"/>
      <c r="P581" s="155"/>
      <c r="Q581" s="155">
        <v>1</v>
      </c>
      <c r="R581" s="155" t="s">
        <v>1045</v>
      </c>
      <c r="S581" s="155"/>
      <c r="T581" s="155"/>
      <c r="U581" s="183"/>
      <c r="V581" s="143" t="s">
        <v>1127</v>
      </c>
      <c r="W581" s="143"/>
      <c r="X581" s="143" t="s">
        <v>1257</v>
      </c>
      <c r="Y581" s="184">
        <v>9153075888</v>
      </c>
      <c r="Z581" s="143"/>
      <c r="AA581" s="159" t="s">
        <v>524</v>
      </c>
      <c r="AB581" s="143" t="s">
        <v>528</v>
      </c>
      <c r="AC581" s="155">
        <v>1</v>
      </c>
      <c r="AD581" s="155"/>
      <c r="AE581" s="155"/>
      <c r="AF581" s="155"/>
      <c r="AG581" s="155"/>
      <c r="AH581" s="143"/>
      <c r="AI581" s="158"/>
    </row>
    <row r="582" spans="1:35">
      <c r="A582" s="140"/>
      <c r="B582" s="143"/>
      <c r="C582" s="143" t="s">
        <v>1431</v>
      </c>
      <c r="D582" s="143" t="s">
        <v>501</v>
      </c>
      <c r="E582" s="143" t="s">
        <v>80</v>
      </c>
      <c r="F582" s="143" t="s">
        <v>1635</v>
      </c>
      <c r="G582" s="143" t="s">
        <v>1661</v>
      </c>
      <c r="H582" s="143"/>
      <c r="I582" s="199">
        <v>34298</v>
      </c>
      <c r="J582" s="182"/>
      <c r="K582" s="182">
        <v>1</v>
      </c>
      <c r="L582" s="155"/>
      <c r="M582" s="155"/>
      <c r="N582" s="155"/>
      <c r="O582" s="155"/>
      <c r="P582" s="155"/>
      <c r="Q582" s="155">
        <v>1</v>
      </c>
      <c r="R582" s="155" t="s">
        <v>1045</v>
      </c>
      <c r="S582" s="155"/>
      <c r="T582" s="155"/>
      <c r="U582" s="183" t="s">
        <v>870</v>
      </c>
      <c r="V582" s="143" t="s">
        <v>503</v>
      </c>
      <c r="W582" s="143" t="s">
        <v>298</v>
      </c>
      <c r="X582" s="143" t="s">
        <v>227</v>
      </c>
      <c r="Y582" s="184">
        <v>9350854259</v>
      </c>
      <c r="Z582" s="143"/>
      <c r="AA582" s="159" t="s">
        <v>524</v>
      </c>
      <c r="AB582" s="143" t="s">
        <v>528</v>
      </c>
      <c r="AC582" s="155">
        <v>1</v>
      </c>
      <c r="AD582" s="155"/>
      <c r="AE582" s="155"/>
      <c r="AF582" s="155"/>
      <c r="AG582" s="155"/>
      <c r="AH582" s="143"/>
      <c r="AI582" s="158"/>
    </row>
    <row r="583" spans="1:35">
      <c r="A583" s="140"/>
      <c r="B583" s="143"/>
      <c r="C583" s="143" t="s">
        <v>1431</v>
      </c>
      <c r="D583" s="143" t="s">
        <v>501</v>
      </c>
      <c r="E583" s="143" t="s">
        <v>80</v>
      </c>
      <c r="F583" s="143" t="s">
        <v>1636</v>
      </c>
      <c r="G583" s="143" t="s">
        <v>1637</v>
      </c>
      <c r="H583" s="143"/>
      <c r="I583" s="199">
        <v>23475</v>
      </c>
      <c r="J583" s="182"/>
      <c r="K583" s="182">
        <v>1</v>
      </c>
      <c r="L583" s="155"/>
      <c r="M583" s="155"/>
      <c r="N583" s="155"/>
      <c r="O583" s="155"/>
      <c r="P583" s="155"/>
      <c r="Q583" s="155">
        <v>1</v>
      </c>
      <c r="R583" s="155" t="s">
        <v>1348</v>
      </c>
      <c r="S583" s="155"/>
      <c r="T583" s="155"/>
      <c r="U583" s="183"/>
      <c r="V583" s="143" t="s">
        <v>949</v>
      </c>
      <c r="W583" s="143" t="s">
        <v>280</v>
      </c>
      <c r="X583" s="143" t="s">
        <v>227</v>
      </c>
      <c r="Y583" s="184">
        <v>9519591354</v>
      </c>
      <c r="Z583" s="143"/>
      <c r="AA583" s="157" t="s">
        <v>525</v>
      </c>
      <c r="AB583" s="143" t="s">
        <v>528</v>
      </c>
      <c r="AC583" s="155">
        <v>2</v>
      </c>
      <c r="AD583" s="155"/>
      <c r="AE583" s="155"/>
      <c r="AF583" s="155"/>
      <c r="AG583" s="155"/>
      <c r="AH583" s="143"/>
      <c r="AI583" s="158"/>
    </row>
    <row r="584" spans="1:35">
      <c r="A584" s="140"/>
      <c r="B584" s="143"/>
      <c r="C584" s="143" t="s">
        <v>1431</v>
      </c>
      <c r="D584" s="143" t="s">
        <v>501</v>
      </c>
      <c r="E584" s="143" t="s">
        <v>80</v>
      </c>
      <c r="F584" s="143" t="s">
        <v>1662</v>
      </c>
      <c r="G584" s="143" t="s">
        <v>1638</v>
      </c>
      <c r="H584" s="143"/>
      <c r="I584" s="199">
        <v>35342</v>
      </c>
      <c r="J584" s="182"/>
      <c r="K584" s="182">
        <v>1</v>
      </c>
      <c r="L584" s="155"/>
      <c r="M584" s="155"/>
      <c r="N584" s="155"/>
      <c r="O584" s="155"/>
      <c r="P584" s="155"/>
      <c r="Q584" s="155">
        <v>1</v>
      </c>
      <c r="R584" s="155" t="s">
        <v>1045</v>
      </c>
      <c r="S584" s="155"/>
      <c r="T584" s="155"/>
      <c r="U584" s="183" t="s">
        <v>516</v>
      </c>
      <c r="V584" s="143" t="s">
        <v>503</v>
      </c>
      <c r="W584" s="143" t="s">
        <v>298</v>
      </c>
      <c r="X584" s="143" t="s">
        <v>227</v>
      </c>
      <c r="Y584" s="184">
        <v>9155528254</v>
      </c>
      <c r="Z584" s="143"/>
      <c r="AA584" s="159" t="s">
        <v>524</v>
      </c>
      <c r="AB584" s="143" t="s">
        <v>528</v>
      </c>
      <c r="AC584" s="155">
        <v>1</v>
      </c>
      <c r="AD584" s="155"/>
      <c r="AE584" s="155"/>
      <c r="AF584" s="155"/>
      <c r="AG584" s="155"/>
      <c r="AH584" s="143"/>
      <c r="AI584" s="158"/>
    </row>
    <row r="585" spans="1:35">
      <c r="A585" s="140"/>
      <c r="B585" s="143"/>
      <c r="C585" s="143" t="s">
        <v>1431</v>
      </c>
      <c r="D585" s="143" t="s">
        <v>501</v>
      </c>
      <c r="E585" s="143" t="s">
        <v>80</v>
      </c>
      <c r="F585" s="143" t="s">
        <v>1639</v>
      </c>
      <c r="G585" s="143" t="s">
        <v>1640</v>
      </c>
      <c r="H585" s="143"/>
      <c r="I585" s="199">
        <v>36323</v>
      </c>
      <c r="J585" s="182">
        <v>1</v>
      </c>
      <c r="K585" s="182"/>
      <c r="L585" s="155">
        <v>1</v>
      </c>
      <c r="M585" s="155"/>
      <c r="N585" s="155">
        <v>1</v>
      </c>
      <c r="O585" s="155"/>
      <c r="P585" s="155"/>
      <c r="Q585" s="155"/>
      <c r="R585" s="155"/>
      <c r="S585" s="155"/>
      <c r="T585" s="155"/>
      <c r="U585" s="183" t="s">
        <v>221</v>
      </c>
      <c r="V585" s="143" t="s">
        <v>218</v>
      </c>
      <c r="W585" s="143" t="s">
        <v>279</v>
      </c>
      <c r="X585" s="143" t="s">
        <v>227</v>
      </c>
      <c r="Y585" s="184">
        <v>9972031926</v>
      </c>
      <c r="Z585" s="143"/>
      <c r="AA585" s="157" t="s">
        <v>525</v>
      </c>
      <c r="AB585" s="143" t="s">
        <v>528</v>
      </c>
      <c r="AC585" s="155">
        <v>1</v>
      </c>
      <c r="AD585" s="155"/>
      <c r="AE585" s="155"/>
      <c r="AF585" s="155"/>
      <c r="AG585" s="155"/>
      <c r="AH585" s="143"/>
      <c r="AI585" s="158"/>
    </row>
    <row r="586" spans="1:35">
      <c r="A586" s="140"/>
      <c r="B586" s="143"/>
      <c r="C586" s="143" t="s">
        <v>1431</v>
      </c>
      <c r="D586" s="143" t="s">
        <v>501</v>
      </c>
      <c r="E586" s="143" t="s">
        <v>80</v>
      </c>
      <c r="F586" s="143" t="s">
        <v>1641</v>
      </c>
      <c r="G586" s="143" t="s">
        <v>196</v>
      </c>
      <c r="H586" s="143"/>
      <c r="I586" s="199">
        <v>33397</v>
      </c>
      <c r="J586" s="182">
        <v>1</v>
      </c>
      <c r="K586" s="182"/>
      <c r="L586" s="155">
        <v>1</v>
      </c>
      <c r="M586" s="155"/>
      <c r="N586" s="155">
        <v>1</v>
      </c>
      <c r="O586" s="155"/>
      <c r="P586" s="155"/>
      <c r="Q586" s="155"/>
      <c r="R586" s="155"/>
      <c r="S586" s="155"/>
      <c r="T586" s="155"/>
      <c r="U586" s="183" t="s">
        <v>1663</v>
      </c>
      <c r="V586" s="143" t="s">
        <v>218</v>
      </c>
      <c r="W586" s="143" t="s">
        <v>279</v>
      </c>
      <c r="X586" s="143" t="s">
        <v>227</v>
      </c>
      <c r="Y586" s="184">
        <v>9810615796</v>
      </c>
      <c r="Z586" s="143"/>
      <c r="AA586" s="157" t="s">
        <v>525</v>
      </c>
      <c r="AB586" s="143" t="s">
        <v>528</v>
      </c>
      <c r="AC586" s="155">
        <v>1</v>
      </c>
      <c r="AD586" s="155"/>
      <c r="AE586" s="155"/>
      <c r="AF586" s="155"/>
      <c r="AG586" s="155"/>
      <c r="AH586" s="143"/>
      <c r="AI586" s="158"/>
    </row>
    <row r="587" spans="1:35">
      <c r="A587" s="140"/>
      <c r="B587" s="143"/>
      <c r="C587" s="143" t="s">
        <v>1431</v>
      </c>
      <c r="D587" s="143" t="s">
        <v>501</v>
      </c>
      <c r="E587" s="143" t="s">
        <v>80</v>
      </c>
      <c r="F587" s="143" t="s">
        <v>1642</v>
      </c>
      <c r="G587" s="143" t="s">
        <v>1330</v>
      </c>
      <c r="H587" s="143" t="s">
        <v>120</v>
      </c>
      <c r="I587" s="199">
        <v>30146</v>
      </c>
      <c r="J587" s="182">
        <v>1</v>
      </c>
      <c r="K587" s="182"/>
      <c r="L587" s="155"/>
      <c r="M587" s="155"/>
      <c r="N587" s="155"/>
      <c r="O587" s="155"/>
      <c r="P587" s="155"/>
      <c r="Q587" s="155">
        <v>1</v>
      </c>
      <c r="R587" s="155" t="s">
        <v>1283</v>
      </c>
      <c r="S587" s="155"/>
      <c r="T587" s="155"/>
      <c r="U587" s="183" t="s">
        <v>516</v>
      </c>
      <c r="V587" s="143" t="s">
        <v>503</v>
      </c>
      <c r="W587" s="143" t="s">
        <v>298</v>
      </c>
      <c r="X587" s="143" t="s">
        <v>227</v>
      </c>
      <c r="Y587" s="184">
        <v>9957501729</v>
      </c>
      <c r="Z587" s="143"/>
      <c r="AA587" s="159" t="s">
        <v>524</v>
      </c>
      <c r="AB587" s="143" t="s">
        <v>528</v>
      </c>
      <c r="AC587" s="155">
        <v>1</v>
      </c>
      <c r="AD587" s="155"/>
      <c r="AE587" s="155"/>
      <c r="AF587" s="155"/>
      <c r="AG587" s="155"/>
      <c r="AH587" s="143"/>
      <c r="AI587" s="158"/>
    </row>
    <row r="588" spans="1:35">
      <c r="A588" s="140"/>
      <c r="B588" s="143"/>
      <c r="C588" s="143" t="s">
        <v>1431</v>
      </c>
      <c r="D588" s="143" t="s">
        <v>501</v>
      </c>
      <c r="E588" s="143" t="s">
        <v>80</v>
      </c>
      <c r="F588" s="143" t="s">
        <v>1643</v>
      </c>
      <c r="G588" s="143" t="s">
        <v>1076</v>
      </c>
      <c r="H588" s="143" t="s">
        <v>742</v>
      </c>
      <c r="I588" s="199">
        <v>35912</v>
      </c>
      <c r="J588" s="182">
        <v>1</v>
      </c>
      <c r="K588" s="182"/>
      <c r="L588" s="155"/>
      <c r="M588" s="155"/>
      <c r="N588" s="155"/>
      <c r="O588" s="155"/>
      <c r="P588" s="155"/>
      <c r="Q588" s="155">
        <v>1</v>
      </c>
      <c r="R588" s="155" t="s">
        <v>1283</v>
      </c>
      <c r="S588" s="155"/>
      <c r="T588" s="155"/>
      <c r="U588" s="183" t="s">
        <v>516</v>
      </c>
      <c r="V588" s="143" t="s">
        <v>503</v>
      </c>
      <c r="W588" s="143" t="s">
        <v>298</v>
      </c>
      <c r="X588" s="143" t="s">
        <v>227</v>
      </c>
      <c r="Y588" s="184">
        <v>9957501729</v>
      </c>
      <c r="Z588" s="143"/>
      <c r="AA588" s="159" t="s">
        <v>524</v>
      </c>
      <c r="AB588" s="143" t="s">
        <v>528</v>
      </c>
      <c r="AC588" s="155">
        <v>1</v>
      </c>
      <c r="AD588" s="155"/>
      <c r="AE588" s="155"/>
      <c r="AF588" s="155"/>
      <c r="AG588" s="155"/>
      <c r="AH588" s="143"/>
      <c r="AI588" s="158"/>
    </row>
    <row r="589" spans="1:35">
      <c r="A589" s="140"/>
      <c r="B589" s="143"/>
      <c r="C589" s="143" t="s">
        <v>1431</v>
      </c>
      <c r="D589" s="143" t="s">
        <v>501</v>
      </c>
      <c r="E589" s="143" t="s">
        <v>80</v>
      </c>
      <c r="F589" s="143" t="s">
        <v>1468</v>
      </c>
      <c r="G589" s="143" t="s">
        <v>1644</v>
      </c>
      <c r="H589" s="143" t="s">
        <v>202</v>
      </c>
      <c r="I589" s="199">
        <v>30871</v>
      </c>
      <c r="J589" s="182"/>
      <c r="K589" s="182">
        <v>1</v>
      </c>
      <c r="L589" s="155"/>
      <c r="M589" s="155"/>
      <c r="N589" s="155"/>
      <c r="O589" s="155"/>
      <c r="P589" s="155"/>
      <c r="Q589" s="155">
        <v>1</v>
      </c>
      <c r="R589" s="155" t="s">
        <v>1348</v>
      </c>
      <c r="S589" s="155"/>
      <c r="T589" s="155"/>
      <c r="U589" s="183" t="s">
        <v>507</v>
      </c>
      <c r="V589" s="143" t="s">
        <v>503</v>
      </c>
      <c r="W589" s="143" t="s">
        <v>298</v>
      </c>
      <c r="X589" s="143" t="s">
        <v>227</v>
      </c>
      <c r="Y589" s="184">
        <v>9163106496</v>
      </c>
      <c r="Z589" s="143"/>
      <c r="AA589" s="159" t="s">
        <v>524</v>
      </c>
      <c r="AB589" s="143" t="s">
        <v>528</v>
      </c>
      <c r="AC589" s="155">
        <v>2</v>
      </c>
      <c r="AD589" s="155"/>
      <c r="AE589" s="155"/>
      <c r="AF589" s="155"/>
      <c r="AG589" s="155"/>
      <c r="AH589" s="143"/>
      <c r="AI589" s="158"/>
    </row>
    <row r="590" spans="1:35">
      <c r="A590" s="140"/>
      <c r="B590" s="143"/>
      <c r="C590" s="143" t="s">
        <v>1431</v>
      </c>
      <c r="D590" s="143" t="s">
        <v>501</v>
      </c>
      <c r="E590" s="143" t="s">
        <v>80</v>
      </c>
      <c r="F590" s="143" t="s">
        <v>1645</v>
      </c>
      <c r="G590" s="143" t="s">
        <v>398</v>
      </c>
      <c r="H590" s="143" t="s">
        <v>742</v>
      </c>
      <c r="I590" s="199">
        <v>22315</v>
      </c>
      <c r="J590" s="182">
        <v>1</v>
      </c>
      <c r="K590" s="182"/>
      <c r="L590" s="155"/>
      <c r="M590" s="155">
        <v>1</v>
      </c>
      <c r="N590" s="155"/>
      <c r="O590" s="155"/>
      <c r="P590" s="155"/>
      <c r="Q590" s="155">
        <v>1</v>
      </c>
      <c r="R590" s="155" t="s">
        <v>962</v>
      </c>
      <c r="S590" s="155"/>
      <c r="T590" s="155"/>
      <c r="U590" s="183" t="s">
        <v>517</v>
      </c>
      <c r="V590" s="143" t="s">
        <v>503</v>
      </c>
      <c r="W590" s="143" t="s">
        <v>298</v>
      </c>
      <c r="X590" s="143" t="s">
        <v>227</v>
      </c>
      <c r="Y590" s="184">
        <v>9162371805</v>
      </c>
      <c r="Z590" s="143"/>
      <c r="AA590" s="159" t="s">
        <v>524</v>
      </c>
      <c r="AB590" s="143" t="s">
        <v>528</v>
      </c>
      <c r="AC590" s="155">
        <v>1</v>
      </c>
      <c r="AD590" s="155"/>
      <c r="AE590" s="155"/>
      <c r="AF590" s="155"/>
      <c r="AG590" s="155"/>
      <c r="AH590" s="143"/>
      <c r="AI590" s="158"/>
    </row>
    <row r="591" spans="1:35">
      <c r="A591" s="140"/>
      <c r="B591" s="143"/>
      <c r="C591" s="143" t="s">
        <v>1431</v>
      </c>
      <c r="D591" s="143" t="s">
        <v>501</v>
      </c>
      <c r="E591" s="143" t="s">
        <v>80</v>
      </c>
      <c r="F591" s="143" t="s">
        <v>816</v>
      </c>
      <c r="G591" s="143" t="s">
        <v>817</v>
      </c>
      <c r="H591" s="143"/>
      <c r="I591" s="199">
        <v>31245</v>
      </c>
      <c r="J591" s="182">
        <v>1</v>
      </c>
      <c r="K591" s="182"/>
      <c r="L591" s="155"/>
      <c r="M591" s="155"/>
      <c r="N591" s="155"/>
      <c r="O591" s="155"/>
      <c r="P591" s="155"/>
      <c r="Q591" s="155">
        <v>1</v>
      </c>
      <c r="R591" s="155" t="s">
        <v>962</v>
      </c>
      <c r="S591" s="155"/>
      <c r="T591" s="155"/>
      <c r="U591" s="183" t="s">
        <v>517</v>
      </c>
      <c r="V591" s="143" t="s">
        <v>503</v>
      </c>
      <c r="W591" s="143" t="s">
        <v>298</v>
      </c>
      <c r="X591" s="143" t="s">
        <v>227</v>
      </c>
      <c r="Y591" s="184">
        <v>9097797114</v>
      </c>
      <c r="Z591" s="143"/>
      <c r="AA591" s="159" t="s">
        <v>524</v>
      </c>
      <c r="AB591" s="143" t="s">
        <v>528</v>
      </c>
      <c r="AC591" s="155">
        <v>1</v>
      </c>
      <c r="AD591" s="155"/>
      <c r="AE591" s="155"/>
      <c r="AF591" s="155"/>
      <c r="AG591" s="155"/>
      <c r="AH591" s="143"/>
      <c r="AI591" s="158"/>
    </row>
    <row r="592" spans="1:35">
      <c r="A592" s="140"/>
      <c r="B592" s="143"/>
      <c r="C592" s="143" t="s">
        <v>1431</v>
      </c>
      <c r="D592" s="143" t="s">
        <v>501</v>
      </c>
      <c r="E592" s="143" t="s">
        <v>80</v>
      </c>
      <c r="F592" s="143" t="s">
        <v>782</v>
      </c>
      <c r="G592" s="143" t="s">
        <v>1267</v>
      </c>
      <c r="H592" s="143" t="s">
        <v>286</v>
      </c>
      <c r="I592" s="199">
        <v>37380</v>
      </c>
      <c r="J592" s="182">
        <v>1</v>
      </c>
      <c r="K592" s="182"/>
      <c r="L592" s="155"/>
      <c r="M592" s="155"/>
      <c r="N592" s="155"/>
      <c r="O592" s="155"/>
      <c r="P592" s="155"/>
      <c r="Q592" s="155">
        <v>1</v>
      </c>
      <c r="R592" s="155" t="s">
        <v>1348</v>
      </c>
      <c r="S592" s="155"/>
      <c r="T592" s="155"/>
      <c r="U592" s="183" t="s">
        <v>1271</v>
      </c>
      <c r="V592" s="143" t="s">
        <v>503</v>
      </c>
      <c r="W592" s="143" t="s">
        <v>298</v>
      </c>
      <c r="X592" s="143" t="s">
        <v>227</v>
      </c>
      <c r="Y592" s="184">
        <v>9754857328</v>
      </c>
      <c r="Z592" s="143"/>
      <c r="AA592" s="159" t="s">
        <v>524</v>
      </c>
      <c r="AB592" s="143" t="s">
        <v>528</v>
      </c>
      <c r="AC592" s="155">
        <v>1</v>
      </c>
      <c r="AD592" s="155"/>
      <c r="AE592" s="155"/>
      <c r="AF592" s="155"/>
      <c r="AG592" s="155"/>
      <c r="AH592" s="143"/>
      <c r="AI592" s="158"/>
    </row>
    <row r="593" spans="1:35">
      <c r="A593" s="140"/>
      <c r="B593" s="143"/>
      <c r="C593" s="143" t="s">
        <v>1431</v>
      </c>
      <c r="D593" s="143" t="s">
        <v>501</v>
      </c>
      <c r="E593" s="143" t="s">
        <v>80</v>
      </c>
      <c r="F593" s="143" t="s">
        <v>1646</v>
      </c>
      <c r="G593" s="143" t="s">
        <v>1233</v>
      </c>
      <c r="H593" s="143" t="s">
        <v>136</v>
      </c>
      <c r="I593" s="199">
        <v>25317</v>
      </c>
      <c r="J593" s="182"/>
      <c r="K593" s="182">
        <v>1</v>
      </c>
      <c r="L593" s="155"/>
      <c r="M593" s="155"/>
      <c r="N593" s="155"/>
      <c r="O593" s="155"/>
      <c r="P593" s="155"/>
      <c r="Q593" s="155">
        <v>1</v>
      </c>
      <c r="R593" s="155" t="s">
        <v>1348</v>
      </c>
      <c r="S593" s="155"/>
      <c r="T593" s="155"/>
      <c r="U593" s="183" t="s">
        <v>506</v>
      </c>
      <c r="V593" s="143" t="s">
        <v>503</v>
      </c>
      <c r="W593" s="143" t="s">
        <v>298</v>
      </c>
      <c r="X593" s="143" t="s">
        <v>227</v>
      </c>
      <c r="Y593" s="184">
        <v>9176828323</v>
      </c>
      <c r="Z593" s="143"/>
      <c r="AA593" s="159" t="s">
        <v>524</v>
      </c>
      <c r="AB593" s="143" t="s">
        <v>528</v>
      </c>
      <c r="AC593" s="155">
        <v>2</v>
      </c>
      <c r="AD593" s="155"/>
      <c r="AE593" s="155"/>
      <c r="AF593" s="155"/>
      <c r="AG593" s="155"/>
      <c r="AH593" s="143"/>
      <c r="AI593" s="158"/>
    </row>
    <row r="594" spans="1:35">
      <c r="A594" s="140"/>
      <c r="B594" s="143"/>
      <c r="C594" s="143" t="s">
        <v>1431</v>
      </c>
      <c r="D594" s="143" t="s">
        <v>501</v>
      </c>
      <c r="E594" s="143" t="s">
        <v>80</v>
      </c>
      <c r="F594" s="143" t="s">
        <v>997</v>
      </c>
      <c r="G594" s="143" t="s">
        <v>998</v>
      </c>
      <c r="H594" s="143" t="s">
        <v>1647</v>
      </c>
      <c r="I594" s="199">
        <v>26299</v>
      </c>
      <c r="J594" s="182">
        <v>1</v>
      </c>
      <c r="K594" s="182"/>
      <c r="L594" s="155"/>
      <c r="M594" s="155"/>
      <c r="N594" s="155"/>
      <c r="O594" s="155"/>
      <c r="P594" s="155"/>
      <c r="Q594" s="155">
        <v>1</v>
      </c>
      <c r="R594" s="155" t="s">
        <v>962</v>
      </c>
      <c r="S594" s="155"/>
      <c r="T594" s="155"/>
      <c r="U594" s="183" t="s">
        <v>506</v>
      </c>
      <c r="V594" s="143" t="s">
        <v>503</v>
      </c>
      <c r="W594" s="143" t="s">
        <v>298</v>
      </c>
      <c r="X594" s="143" t="s">
        <v>227</v>
      </c>
      <c r="Y594" s="184"/>
      <c r="Z594" s="143"/>
      <c r="AA594" s="157" t="s">
        <v>876</v>
      </c>
      <c r="AB594" s="143" t="s">
        <v>528</v>
      </c>
      <c r="AC594" s="155">
        <v>1</v>
      </c>
      <c r="AD594" s="155"/>
      <c r="AE594" s="155"/>
      <c r="AF594" s="155"/>
      <c r="AG594" s="155"/>
      <c r="AH594" s="143"/>
      <c r="AI594" s="158"/>
    </row>
    <row r="595" spans="1:35">
      <c r="A595" s="140"/>
      <c r="B595" s="143"/>
      <c r="C595" s="143" t="s">
        <v>1431</v>
      </c>
      <c r="D595" s="143" t="s">
        <v>501</v>
      </c>
      <c r="E595" s="143" t="s">
        <v>80</v>
      </c>
      <c r="F595" s="143" t="s">
        <v>1648</v>
      </c>
      <c r="G595" s="143" t="s">
        <v>1649</v>
      </c>
      <c r="H595" s="143" t="s">
        <v>202</v>
      </c>
      <c r="I595" s="199">
        <v>29342</v>
      </c>
      <c r="J595" s="182"/>
      <c r="K595" s="182">
        <v>1</v>
      </c>
      <c r="L595" s="155"/>
      <c r="M595" s="155"/>
      <c r="N595" s="155"/>
      <c r="O595" s="155"/>
      <c r="P595" s="155"/>
      <c r="Q595" s="155">
        <v>1</v>
      </c>
      <c r="R595" s="155" t="s">
        <v>1045</v>
      </c>
      <c r="S595" s="155"/>
      <c r="T595" s="155"/>
      <c r="U595" s="183" t="s">
        <v>514</v>
      </c>
      <c r="V595" s="143" t="s">
        <v>503</v>
      </c>
      <c r="W595" s="143" t="s">
        <v>298</v>
      </c>
      <c r="X595" s="143" t="s">
        <v>227</v>
      </c>
      <c r="Y595" s="184">
        <v>9177731046</v>
      </c>
      <c r="Z595" s="143"/>
      <c r="AA595" s="159" t="s">
        <v>524</v>
      </c>
      <c r="AB595" s="143" t="s">
        <v>528</v>
      </c>
      <c r="AC595" s="155">
        <v>1</v>
      </c>
      <c r="AD595" s="155"/>
      <c r="AE595" s="155"/>
      <c r="AF595" s="155"/>
      <c r="AG595" s="155"/>
      <c r="AH595" s="143"/>
      <c r="AI595" s="158"/>
    </row>
    <row r="596" spans="1:35">
      <c r="A596" s="140"/>
      <c r="B596" s="143"/>
      <c r="C596" s="143" t="s">
        <v>1431</v>
      </c>
      <c r="D596" s="143" t="s">
        <v>501</v>
      </c>
      <c r="E596" s="143" t="s">
        <v>80</v>
      </c>
      <c r="F596" s="143" t="s">
        <v>312</v>
      </c>
      <c r="G596" s="143" t="s">
        <v>955</v>
      </c>
      <c r="H596" s="143" t="s">
        <v>286</v>
      </c>
      <c r="I596" s="199">
        <v>23696</v>
      </c>
      <c r="J596" s="182"/>
      <c r="K596" s="182">
        <v>1</v>
      </c>
      <c r="L596" s="155"/>
      <c r="M596" s="155"/>
      <c r="N596" s="155"/>
      <c r="O596" s="155"/>
      <c r="P596" s="155"/>
      <c r="Q596" s="155">
        <v>1</v>
      </c>
      <c r="R596" s="155" t="s">
        <v>1348</v>
      </c>
      <c r="S596" s="155"/>
      <c r="T596" s="155"/>
      <c r="U596" s="183" t="s">
        <v>509</v>
      </c>
      <c r="V596" s="143" t="s">
        <v>503</v>
      </c>
      <c r="W596" s="143" t="s">
        <v>298</v>
      </c>
      <c r="X596" s="143" t="s">
        <v>227</v>
      </c>
      <c r="Y596" s="184">
        <v>9061976785</v>
      </c>
      <c r="Z596" s="143"/>
      <c r="AA596" s="163" t="s">
        <v>525</v>
      </c>
      <c r="AB596" s="143" t="s">
        <v>528</v>
      </c>
      <c r="AC596" s="155">
        <v>3</v>
      </c>
      <c r="AD596" s="155"/>
      <c r="AE596" s="155"/>
      <c r="AF596" s="155"/>
      <c r="AG596" s="155"/>
      <c r="AH596" s="143"/>
      <c r="AI596" s="158"/>
    </row>
    <row r="597" spans="1:35">
      <c r="A597" s="140"/>
      <c r="B597" s="143"/>
      <c r="C597" s="143" t="s">
        <v>1431</v>
      </c>
      <c r="D597" s="143" t="s">
        <v>501</v>
      </c>
      <c r="E597" s="143" t="s">
        <v>80</v>
      </c>
      <c r="F597" s="143" t="s">
        <v>1650</v>
      </c>
      <c r="G597" s="143" t="s">
        <v>756</v>
      </c>
      <c r="H597" s="143" t="s">
        <v>286</v>
      </c>
      <c r="I597" s="199">
        <v>23239</v>
      </c>
      <c r="J597" s="182">
        <v>1</v>
      </c>
      <c r="K597" s="182"/>
      <c r="L597" s="155"/>
      <c r="M597" s="155"/>
      <c r="N597" s="155"/>
      <c r="O597" s="155"/>
      <c r="P597" s="155"/>
      <c r="Q597" s="155">
        <v>1</v>
      </c>
      <c r="R597" s="155" t="s">
        <v>962</v>
      </c>
      <c r="S597" s="155"/>
      <c r="T597" s="155"/>
      <c r="U597" s="183"/>
      <c r="V597" s="143" t="s">
        <v>513</v>
      </c>
      <c r="W597" s="143" t="s">
        <v>279</v>
      </c>
      <c r="X597" s="143" t="s">
        <v>227</v>
      </c>
      <c r="Y597" s="184">
        <v>9285030435</v>
      </c>
      <c r="Z597" s="143"/>
      <c r="AA597" s="159" t="s">
        <v>524</v>
      </c>
      <c r="AB597" s="143" t="s">
        <v>528</v>
      </c>
      <c r="AC597" s="155">
        <v>1</v>
      </c>
      <c r="AD597" s="155"/>
      <c r="AE597" s="155"/>
      <c r="AF597" s="155"/>
      <c r="AG597" s="155"/>
      <c r="AH597" s="143"/>
      <c r="AI597" s="158"/>
    </row>
    <row r="598" spans="1:35">
      <c r="A598" s="140"/>
      <c r="B598" s="143"/>
      <c r="C598" s="143" t="s">
        <v>1431</v>
      </c>
      <c r="D598" s="143" t="s">
        <v>501</v>
      </c>
      <c r="E598" s="143" t="s">
        <v>80</v>
      </c>
      <c r="F598" s="143" t="s">
        <v>1651</v>
      </c>
      <c r="G598" s="143" t="s">
        <v>1652</v>
      </c>
      <c r="H598" s="143"/>
      <c r="I598" s="199" t="s">
        <v>1653</v>
      </c>
      <c r="J598" s="182"/>
      <c r="K598" s="182">
        <v>1</v>
      </c>
      <c r="L598" s="155"/>
      <c r="M598" s="155"/>
      <c r="N598" s="155"/>
      <c r="O598" s="155"/>
      <c r="P598" s="155"/>
      <c r="Q598" s="155">
        <v>1</v>
      </c>
      <c r="R598" s="155" t="s">
        <v>1045</v>
      </c>
      <c r="S598" s="155"/>
      <c r="T598" s="155"/>
      <c r="U598" s="183" t="s">
        <v>507</v>
      </c>
      <c r="V598" s="143" t="s">
        <v>503</v>
      </c>
      <c r="W598" s="143" t="s">
        <v>298</v>
      </c>
      <c r="X598" s="143" t="s">
        <v>227</v>
      </c>
      <c r="Y598" s="184">
        <v>9072009515</v>
      </c>
      <c r="Z598" s="143"/>
      <c r="AA598" s="159" t="s">
        <v>524</v>
      </c>
      <c r="AB598" s="143" t="s">
        <v>528</v>
      </c>
      <c r="AC598" s="155">
        <v>1</v>
      </c>
      <c r="AD598" s="155"/>
      <c r="AE598" s="155"/>
      <c r="AF598" s="155"/>
      <c r="AG598" s="155"/>
      <c r="AH598" s="143"/>
      <c r="AI598" s="158"/>
    </row>
    <row r="599" spans="1:35">
      <c r="A599" s="140"/>
      <c r="B599" s="143"/>
      <c r="C599" s="143" t="s">
        <v>1431</v>
      </c>
      <c r="D599" s="143" t="s">
        <v>501</v>
      </c>
      <c r="E599" s="143" t="s">
        <v>80</v>
      </c>
      <c r="F599" s="143" t="s">
        <v>912</v>
      </c>
      <c r="G599" s="143" t="s">
        <v>1654</v>
      </c>
      <c r="H599" s="143"/>
      <c r="I599" s="199">
        <v>36132</v>
      </c>
      <c r="J599" s="182">
        <v>1</v>
      </c>
      <c r="K599" s="182"/>
      <c r="L599" s="155"/>
      <c r="M599" s="155"/>
      <c r="N599" s="155"/>
      <c r="O599" s="155"/>
      <c r="P599" s="155"/>
      <c r="Q599" s="155">
        <v>1</v>
      </c>
      <c r="R599" s="155" t="s">
        <v>1348</v>
      </c>
      <c r="S599" s="155"/>
      <c r="T599" s="155"/>
      <c r="U599" s="183" t="s">
        <v>504</v>
      </c>
      <c r="V599" s="143" t="s">
        <v>503</v>
      </c>
      <c r="W599" s="143" t="s">
        <v>298</v>
      </c>
      <c r="X599" s="143" t="s">
        <v>227</v>
      </c>
      <c r="Y599" s="184"/>
      <c r="Z599" s="143"/>
      <c r="AA599" s="159" t="s">
        <v>524</v>
      </c>
      <c r="AB599" s="143" t="s">
        <v>528</v>
      </c>
      <c r="AC599" s="155">
        <v>1</v>
      </c>
      <c r="AD599" s="155"/>
      <c r="AE599" s="155"/>
      <c r="AF599" s="155"/>
      <c r="AG599" s="155"/>
      <c r="AH599" s="143"/>
      <c r="AI599" s="158"/>
    </row>
    <row r="600" spans="1:35">
      <c r="A600" s="140"/>
      <c r="B600" s="143"/>
      <c r="C600" s="143" t="s">
        <v>1431</v>
      </c>
      <c r="D600" s="143" t="s">
        <v>501</v>
      </c>
      <c r="E600" s="143" t="s">
        <v>80</v>
      </c>
      <c r="F600" s="143" t="s">
        <v>1136</v>
      </c>
      <c r="G600" s="143" t="s">
        <v>1655</v>
      </c>
      <c r="H600" s="143"/>
      <c r="I600" s="199"/>
      <c r="J600" s="182">
        <v>1</v>
      </c>
      <c r="K600" s="182"/>
      <c r="L600" s="155"/>
      <c r="M600" s="155"/>
      <c r="N600" s="155"/>
      <c r="O600" s="155"/>
      <c r="P600" s="155"/>
      <c r="Q600" s="155">
        <v>1</v>
      </c>
      <c r="R600" s="155" t="s">
        <v>1660</v>
      </c>
      <c r="S600" s="155"/>
      <c r="T600" s="155"/>
      <c r="U600" s="183"/>
      <c r="V600" s="143" t="s">
        <v>1127</v>
      </c>
      <c r="W600" s="143"/>
      <c r="X600" s="143" t="s">
        <v>1257</v>
      </c>
      <c r="Y600" s="184">
        <v>9267849502</v>
      </c>
      <c r="Z600" s="143"/>
      <c r="AA600" s="159" t="s">
        <v>524</v>
      </c>
      <c r="AB600" s="143" t="s">
        <v>528</v>
      </c>
      <c r="AC600" s="155">
        <v>1</v>
      </c>
      <c r="AD600" s="155"/>
      <c r="AE600" s="155"/>
      <c r="AF600" s="155"/>
      <c r="AG600" s="155"/>
      <c r="AH600" s="143"/>
      <c r="AI600" s="158"/>
    </row>
    <row r="601" spans="1:35">
      <c r="A601" s="140"/>
      <c r="B601" s="143"/>
      <c r="C601" s="143" t="s">
        <v>1431</v>
      </c>
      <c r="D601" s="143" t="s">
        <v>501</v>
      </c>
      <c r="E601" s="143" t="s">
        <v>80</v>
      </c>
      <c r="F601" s="143" t="s">
        <v>1664</v>
      </c>
      <c r="G601" s="143" t="s">
        <v>1656</v>
      </c>
      <c r="H601" s="143"/>
      <c r="I601" s="199"/>
      <c r="J601" s="182">
        <v>1</v>
      </c>
      <c r="K601" s="182"/>
      <c r="L601" s="155"/>
      <c r="M601" s="155"/>
      <c r="N601" s="155"/>
      <c r="O601" s="155"/>
      <c r="P601" s="155"/>
      <c r="Q601" s="155">
        <v>1</v>
      </c>
      <c r="R601" s="155" t="s">
        <v>1660</v>
      </c>
      <c r="S601" s="155"/>
      <c r="T601" s="155"/>
      <c r="U601" s="183"/>
      <c r="V601" s="143" t="s">
        <v>1127</v>
      </c>
      <c r="W601" s="143"/>
      <c r="X601" s="143" t="s">
        <v>1257</v>
      </c>
      <c r="Y601" s="184">
        <v>9267849502</v>
      </c>
      <c r="Z601" s="143"/>
      <c r="AA601" s="159" t="s">
        <v>524</v>
      </c>
      <c r="AB601" s="143" t="s">
        <v>528</v>
      </c>
      <c r="AC601" s="155">
        <v>1</v>
      </c>
      <c r="AD601" s="155"/>
      <c r="AE601" s="155"/>
      <c r="AF601" s="155"/>
      <c r="AG601" s="155"/>
      <c r="AH601" s="143"/>
      <c r="AI601" s="158"/>
    </row>
    <row r="602" spans="1:35">
      <c r="A602" s="140"/>
      <c r="B602" s="143"/>
      <c r="C602" s="143" t="s">
        <v>1431</v>
      </c>
      <c r="D602" s="143" t="s">
        <v>501</v>
      </c>
      <c r="E602" s="143" t="s">
        <v>80</v>
      </c>
      <c r="F602" s="143" t="s">
        <v>1657</v>
      </c>
      <c r="G602" s="143" t="s">
        <v>1658</v>
      </c>
      <c r="H602" s="143"/>
      <c r="I602" s="199" t="s">
        <v>1659</v>
      </c>
      <c r="J602" s="182">
        <v>1</v>
      </c>
      <c r="K602" s="182"/>
      <c r="L602" s="155"/>
      <c r="M602" s="155"/>
      <c r="N602" s="155"/>
      <c r="O602" s="155"/>
      <c r="P602" s="155"/>
      <c r="Q602" s="155">
        <v>1</v>
      </c>
      <c r="R602" s="155" t="s">
        <v>1660</v>
      </c>
      <c r="S602" s="155"/>
      <c r="T602" s="155"/>
      <c r="U602" s="183"/>
      <c r="V602" s="143" t="s">
        <v>1127</v>
      </c>
      <c r="W602" s="143"/>
      <c r="X602" s="143" t="s">
        <v>1257</v>
      </c>
      <c r="Y602" s="184">
        <v>9267849502</v>
      </c>
      <c r="Z602" s="143"/>
      <c r="AA602" s="159" t="s">
        <v>524</v>
      </c>
      <c r="AB602" s="143" t="s">
        <v>528</v>
      </c>
      <c r="AC602" s="155">
        <v>1</v>
      </c>
      <c r="AD602" s="155"/>
      <c r="AE602" s="155"/>
      <c r="AF602" s="155"/>
      <c r="AG602" s="155"/>
      <c r="AH602" s="143"/>
      <c r="AI602" s="158"/>
    </row>
    <row r="603" spans="1:35">
      <c r="A603" s="140"/>
      <c r="B603" s="143"/>
      <c r="C603" s="143" t="s">
        <v>1431</v>
      </c>
      <c r="D603" s="143" t="s">
        <v>501</v>
      </c>
      <c r="E603" s="143" t="s">
        <v>80</v>
      </c>
      <c r="F603" s="143" t="s">
        <v>755</v>
      </c>
      <c r="G603" s="143" t="s">
        <v>389</v>
      </c>
      <c r="H603" s="143" t="s">
        <v>453</v>
      </c>
      <c r="I603" s="199">
        <v>25879</v>
      </c>
      <c r="J603" s="165">
        <v>1</v>
      </c>
      <c r="K603" s="182"/>
      <c r="L603" s="155"/>
      <c r="M603" s="155"/>
      <c r="N603" s="155"/>
      <c r="O603" s="155"/>
      <c r="P603" s="155"/>
      <c r="Q603" s="155">
        <v>1</v>
      </c>
      <c r="R603" s="155" t="s">
        <v>1348</v>
      </c>
      <c r="S603" s="155"/>
      <c r="T603" s="155"/>
      <c r="U603" s="183" t="s">
        <v>502</v>
      </c>
      <c r="V603" s="153" t="s">
        <v>503</v>
      </c>
      <c r="W603" s="143" t="s">
        <v>298</v>
      </c>
      <c r="X603" s="157" t="s">
        <v>227</v>
      </c>
      <c r="Y603" s="184">
        <v>9465351076</v>
      </c>
      <c r="Z603" s="143"/>
      <c r="AA603" s="163" t="s">
        <v>525</v>
      </c>
      <c r="AB603" s="143" t="s">
        <v>528</v>
      </c>
      <c r="AC603" s="155">
        <v>1</v>
      </c>
      <c r="AD603" s="155"/>
      <c r="AE603" s="155"/>
      <c r="AF603" s="155"/>
      <c r="AG603" s="155"/>
      <c r="AH603" s="143"/>
      <c r="AI603" s="158"/>
    </row>
    <row r="604" spans="1:35">
      <c r="A604" s="140"/>
      <c r="B604" s="143"/>
      <c r="C604" s="143" t="s">
        <v>1431</v>
      </c>
      <c r="D604" s="143" t="s">
        <v>501</v>
      </c>
      <c r="E604" s="143" t="s">
        <v>80</v>
      </c>
      <c r="F604" s="143" t="s">
        <v>1665</v>
      </c>
      <c r="G604" s="143" t="s">
        <v>776</v>
      </c>
      <c r="H604" s="143" t="s">
        <v>136</v>
      </c>
      <c r="I604" s="199"/>
      <c r="J604" s="182">
        <v>1</v>
      </c>
      <c r="K604" s="182"/>
      <c r="L604" s="155"/>
      <c r="M604" s="155"/>
      <c r="N604" s="155"/>
      <c r="O604" s="155"/>
      <c r="P604" s="155"/>
      <c r="Q604" s="155">
        <v>1</v>
      </c>
      <c r="R604" s="155" t="s">
        <v>1348</v>
      </c>
      <c r="S604" s="155"/>
      <c r="T604" s="155"/>
      <c r="U604" s="183" t="s">
        <v>506</v>
      </c>
      <c r="V604" s="143" t="s">
        <v>503</v>
      </c>
      <c r="W604" s="143" t="s">
        <v>298</v>
      </c>
      <c r="X604" s="143" t="s">
        <v>227</v>
      </c>
      <c r="Y604" s="184">
        <v>9064495744</v>
      </c>
      <c r="Z604" s="143"/>
      <c r="AA604" s="159" t="s">
        <v>524</v>
      </c>
      <c r="AB604" s="143" t="s">
        <v>528</v>
      </c>
      <c r="AC604" s="155">
        <v>1</v>
      </c>
      <c r="AD604" s="155"/>
      <c r="AE604" s="155"/>
      <c r="AF604" s="155"/>
      <c r="AG604" s="155"/>
      <c r="AH604" s="143"/>
      <c r="AI604" s="158"/>
    </row>
    <row r="605" spans="1:35">
      <c r="A605" s="140"/>
      <c r="B605" s="143"/>
      <c r="C605" s="143" t="s">
        <v>1431</v>
      </c>
      <c r="D605" s="143" t="s">
        <v>501</v>
      </c>
      <c r="E605" s="143" t="s">
        <v>80</v>
      </c>
      <c r="F605" s="143" t="s">
        <v>1666</v>
      </c>
      <c r="G605" s="143" t="s">
        <v>154</v>
      </c>
      <c r="H605" s="143"/>
      <c r="I605" s="199"/>
      <c r="J605" s="182">
        <v>1</v>
      </c>
      <c r="K605" s="182"/>
      <c r="L605" s="155"/>
      <c r="M605" s="155"/>
      <c r="N605" s="155"/>
      <c r="O605" s="155"/>
      <c r="P605" s="155"/>
      <c r="Q605" s="155">
        <v>1</v>
      </c>
      <c r="R605" s="155" t="s">
        <v>1348</v>
      </c>
      <c r="S605" s="155"/>
      <c r="T605" s="155"/>
      <c r="U605" s="183" t="s">
        <v>516</v>
      </c>
      <c r="V605" s="143" t="s">
        <v>503</v>
      </c>
      <c r="W605" s="143" t="s">
        <v>298</v>
      </c>
      <c r="X605" s="143" t="s">
        <v>227</v>
      </c>
      <c r="Y605" s="184">
        <v>9380731342</v>
      </c>
      <c r="Z605" s="143"/>
      <c r="AA605" s="159" t="s">
        <v>524</v>
      </c>
      <c r="AB605" s="143" t="s">
        <v>528</v>
      </c>
      <c r="AC605" s="155">
        <v>1</v>
      </c>
      <c r="AD605" s="155"/>
      <c r="AE605" s="155"/>
      <c r="AF605" s="155"/>
      <c r="AG605" s="155"/>
      <c r="AH605" s="143"/>
      <c r="AI605" s="158"/>
    </row>
    <row r="606" spans="1:35">
      <c r="A606" s="140"/>
      <c r="B606" s="143"/>
      <c r="C606" s="143" t="s">
        <v>1431</v>
      </c>
      <c r="D606" s="143" t="s">
        <v>501</v>
      </c>
      <c r="E606" s="143" t="s">
        <v>80</v>
      </c>
      <c r="F606" s="143" t="s">
        <v>474</v>
      </c>
      <c r="G606" s="143" t="s">
        <v>475</v>
      </c>
      <c r="H606" s="143"/>
      <c r="I606" s="199"/>
      <c r="J606" s="182"/>
      <c r="K606" s="182">
        <v>1</v>
      </c>
      <c r="L606" s="155"/>
      <c r="M606" s="155"/>
      <c r="N606" s="155"/>
      <c r="O606" s="155"/>
      <c r="P606" s="155"/>
      <c r="Q606" s="155">
        <v>1</v>
      </c>
      <c r="R606" s="155" t="s">
        <v>1348</v>
      </c>
      <c r="S606" s="155"/>
      <c r="T606" s="155"/>
      <c r="U606" s="183" t="s">
        <v>506</v>
      </c>
      <c r="V606" s="143" t="s">
        <v>503</v>
      </c>
      <c r="W606" s="143" t="s">
        <v>298</v>
      </c>
      <c r="X606" s="143" t="s">
        <v>227</v>
      </c>
      <c r="Y606" s="184">
        <v>9095595919</v>
      </c>
      <c r="Z606" s="143"/>
      <c r="AA606" s="159" t="s">
        <v>524</v>
      </c>
      <c r="AB606" s="143" t="s">
        <v>528</v>
      </c>
      <c r="AC606" s="155">
        <v>1</v>
      </c>
      <c r="AD606" s="155"/>
      <c r="AE606" s="155"/>
      <c r="AF606" s="155"/>
      <c r="AG606" s="155"/>
      <c r="AH606" s="143"/>
      <c r="AI606" s="158"/>
    </row>
    <row r="607" spans="1:35">
      <c r="A607" s="140"/>
      <c r="B607" s="143"/>
      <c r="C607" s="143" t="s">
        <v>1432</v>
      </c>
      <c r="D607" s="143" t="s">
        <v>501</v>
      </c>
      <c r="E607" s="143" t="s">
        <v>80</v>
      </c>
      <c r="F607" s="143" t="s">
        <v>918</v>
      </c>
      <c r="G607" s="143" t="s">
        <v>198</v>
      </c>
      <c r="H607" s="143"/>
      <c r="I607" s="199"/>
      <c r="J607" s="182">
        <v>1</v>
      </c>
      <c r="K607" s="182"/>
      <c r="L607" s="155">
        <v>1</v>
      </c>
      <c r="M607" s="155"/>
      <c r="N607" s="155"/>
      <c r="O607" s="155"/>
      <c r="P607" s="155"/>
      <c r="Q607" s="155">
        <v>1</v>
      </c>
      <c r="R607" s="155" t="s">
        <v>1348</v>
      </c>
      <c r="S607" s="155"/>
      <c r="T607" s="155"/>
      <c r="U607" s="183" t="s">
        <v>502</v>
      </c>
      <c r="V607" s="143" t="s">
        <v>503</v>
      </c>
      <c r="W607" s="143" t="s">
        <v>298</v>
      </c>
      <c r="X607" s="143" t="s">
        <v>227</v>
      </c>
      <c r="Y607" s="184">
        <v>9519533276</v>
      </c>
      <c r="Z607" s="143"/>
      <c r="AA607" s="163" t="s">
        <v>525</v>
      </c>
      <c r="AB607" s="143" t="s">
        <v>528</v>
      </c>
      <c r="AC607" s="155">
        <v>1</v>
      </c>
      <c r="AD607" s="155"/>
      <c r="AE607" s="155"/>
      <c r="AF607" s="155"/>
      <c r="AG607" s="155"/>
      <c r="AH607" s="143"/>
      <c r="AI607" s="158"/>
    </row>
    <row r="608" spans="1:35">
      <c r="A608" s="140"/>
      <c r="B608" s="143"/>
      <c r="C608" s="143" t="s">
        <v>1432</v>
      </c>
      <c r="D608" s="143" t="s">
        <v>501</v>
      </c>
      <c r="E608" s="143" t="s">
        <v>80</v>
      </c>
      <c r="F608" s="143" t="s">
        <v>1667</v>
      </c>
      <c r="G608" s="143" t="s">
        <v>1006</v>
      </c>
      <c r="H608" s="143" t="s">
        <v>286</v>
      </c>
      <c r="I608" s="199" t="s">
        <v>1668</v>
      </c>
      <c r="J608" s="182"/>
      <c r="K608" s="182">
        <v>1</v>
      </c>
      <c r="L608" s="155"/>
      <c r="M608" s="155"/>
      <c r="N608" s="155"/>
      <c r="O608" s="155"/>
      <c r="P608" s="155"/>
      <c r="Q608" s="155">
        <v>1</v>
      </c>
      <c r="R608" s="155" t="s">
        <v>1348</v>
      </c>
      <c r="S608" s="155"/>
      <c r="T608" s="155"/>
      <c r="U608" s="183"/>
      <c r="V608" s="143" t="s">
        <v>952</v>
      </c>
      <c r="W608" s="143" t="s">
        <v>280</v>
      </c>
      <c r="X608" s="143" t="s">
        <v>227</v>
      </c>
      <c r="Y608" s="184">
        <v>9365610932</v>
      </c>
      <c r="Z608" s="143"/>
      <c r="AA608" s="159" t="s">
        <v>524</v>
      </c>
      <c r="AB608" s="143" t="s">
        <v>528</v>
      </c>
      <c r="AC608" s="155">
        <v>1</v>
      </c>
      <c r="AD608" s="155"/>
      <c r="AE608" s="155"/>
      <c r="AF608" s="155"/>
      <c r="AG608" s="155"/>
      <c r="AH608" s="143"/>
      <c r="AI608" s="158"/>
    </row>
    <row r="609" spans="1:35">
      <c r="A609" s="140"/>
      <c r="B609" s="143"/>
      <c r="C609" s="143" t="s">
        <v>1432</v>
      </c>
      <c r="D609" s="143" t="s">
        <v>501</v>
      </c>
      <c r="E609" s="143" t="s">
        <v>80</v>
      </c>
      <c r="F609" s="143" t="s">
        <v>1669</v>
      </c>
      <c r="G609" s="143" t="s">
        <v>1358</v>
      </c>
      <c r="H609" s="143" t="s">
        <v>409</v>
      </c>
      <c r="I609" s="199" t="s">
        <v>1670</v>
      </c>
      <c r="J609" s="182">
        <v>1</v>
      </c>
      <c r="K609" s="182"/>
      <c r="L609" s="155"/>
      <c r="M609" s="155"/>
      <c r="N609" s="155"/>
      <c r="O609" s="155"/>
      <c r="P609" s="155"/>
      <c r="Q609" s="155">
        <v>1</v>
      </c>
      <c r="R609" s="155" t="s">
        <v>1009</v>
      </c>
      <c r="S609" s="155"/>
      <c r="T609" s="155"/>
      <c r="U609" s="183"/>
      <c r="V609" s="143" t="s">
        <v>503</v>
      </c>
      <c r="W609" s="143" t="s">
        <v>298</v>
      </c>
      <c r="X609" s="143" t="s">
        <v>227</v>
      </c>
      <c r="Y609" s="184">
        <v>9702180513</v>
      </c>
      <c r="Z609" s="143"/>
      <c r="AA609" s="159" t="s">
        <v>524</v>
      </c>
      <c r="AB609" s="143" t="s">
        <v>528</v>
      </c>
      <c r="AC609" s="155">
        <v>1</v>
      </c>
      <c r="AD609" s="155"/>
      <c r="AE609" s="155"/>
      <c r="AF609" s="155"/>
      <c r="AG609" s="155"/>
      <c r="AH609" s="143"/>
      <c r="AI609" s="158"/>
    </row>
    <row r="610" spans="1:35">
      <c r="A610" s="140"/>
      <c r="B610" s="143"/>
      <c r="C610" s="143" t="s">
        <v>1432</v>
      </c>
      <c r="D610" s="143" t="s">
        <v>501</v>
      </c>
      <c r="E610" s="143" t="s">
        <v>80</v>
      </c>
      <c r="F610" s="143" t="s">
        <v>466</v>
      </c>
      <c r="G610" s="143" t="s">
        <v>1672</v>
      </c>
      <c r="H610" s="143" t="s">
        <v>160</v>
      </c>
      <c r="I610" s="199" t="s">
        <v>1671</v>
      </c>
      <c r="J610" s="182">
        <v>1</v>
      </c>
      <c r="K610" s="182"/>
      <c r="L610" s="155"/>
      <c r="M610" s="155"/>
      <c r="N610" s="155"/>
      <c r="O610" s="155"/>
      <c r="P610" s="155"/>
      <c r="Q610" s="155">
        <v>1</v>
      </c>
      <c r="R610" s="155" t="s">
        <v>1009</v>
      </c>
      <c r="S610" s="155"/>
      <c r="T610" s="155"/>
      <c r="U610" s="183" t="s">
        <v>502</v>
      </c>
      <c r="V610" s="143" t="s">
        <v>503</v>
      </c>
      <c r="W610" s="143" t="s">
        <v>298</v>
      </c>
      <c r="X610" s="143" t="s">
        <v>227</v>
      </c>
      <c r="Y610" s="184">
        <v>9268448967</v>
      </c>
      <c r="Z610" s="143"/>
      <c r="AA610" s="159" t="s">
        <v>524</v>
      </c>
      <c r="AB610" s="143" t="s">
        <v>528</v>
      </c>
      <c r="AC610" s="155">
        <v>1</v>
      </c>
      <c r="AD610" s="155"/>
      <c r="AE610" s="155"/>
      <c r="AF610" s="155"/>
      <c r="AG610" s="155"/>
      <c r="AH610" s="143"/>
      <c r="AI610" s="158"/>
    </row>
    <row r="611" spans="1:35">
      <c r="A611" s="140"/>
      <c r="B611" s="143"/>
      <c r="C611" s="143" t="s">
        <v>1432</v>
      </c>
      <c r="D611" s="143" t="s">
        <v>501</v>
      </c>
      <c r="E611" s="143" t="s">
        <v>80</v>
      </c>
      <c r="F611" s="143" t="s">
        <v>1673</v>
      </c>
      <c r="G611" s="143" t="s">
        <v>1674</v>
      </c>
      <c r="H611" s="143" t="s">
        <v>1675</v>
      </c>
      <c r="I611" s="199" t="s">
        <v>1676</v>
      </c>
      <c r="J611" s="182"/>
      <c r="K611" s="182">
        <v>1</v>
      </c>
      <c r="L611" s="155"/>
      <c r="M611" s="155"/>
      <c r="N611" s="155"/>
      <c r="O611" s="155"/>
      <c r="P611" s="155"/>
      <c r="Q611" s="155">
        <v>1</v>
      </c>
      <c r="R611" s="155" t="s">
        <v>957</v>
      </c>
      <c r="S611" s="155"/>
      <c r="T611" s="155"/>
      <c r="U611" s="183" t="s">
        <v>505</v>
      </c>
      <c r="V611" s="143" t="s">
        <v>503</v>
      </c>
      <c r="W611" s="143" t="s">
        <v>298</v>
      </c>
      <c r="X611" s="143" t="s">
        <v>227</v>
      </c>
      <c r="Y611" s="184">
        <v>9091405230</v>
      </c>
      <c r="Z611" s="143"/>
      <c r="AA611" s="159" t="s">
        <v>524</v>
      </c>
      <c r="AB611" s="143" t="s">
        <v>528</v>
      </c>
      <c r="AC611" s="155">
        <v>1</v>
      </c>
      <c r="AD611" s="155"/>
      <c r="AE611" s="155"/>
      <c r="AF611" s="155"/>
      <c r="AG611" s="155"/>
      <c r="AH611" s="143"/>
      <c r="AI611" s="158"/>
    </row>
    <row r="612" spans="1:35">
      <c r="A612" s="140"/>
      <c r="B612" s="143"/>
      <c r="C612" s="143" t="s">
        <v>1432</v>
      </c>
      <c r="D612" s="143" t="s">
        <v>501</v>
      </c>
      <c r="E612" s="143" t="s">
        <v>80</v>
      </c>
      <c r="F612" s="143" t="s">
        <v>482</v>
      </c>
      <c r="G612" s="143" t="s">
        <v>483</v>
      </c>
      <c r="H612" s="143"/>
      <c r="I612" s="199"/>
      <c r="J612" s="182">
        <v>1</v>
      </c>
      <c r="K612" s="182"/>
      <c r="L612" s="155"/>
      <c r="M612" s="155"/>
      <c r="N612" s="155"/>
      <c r="O612" s="155"/>
      <c r="P612" s="155"/>
      <c r="Q612" s="155">
        <v>1</v>
      </c>
      <c r="R612" s="155" t="s">
        <v>1348</v>
      </c>
      <c r="S612" s="155"/>
      <c r="T612" s="155"/>
      <c r="U612" s="183" t="s">
        <v>502</v>
      </c>
      <c r="V612" s="143" t="s">
        <v>503</v>
      </c>
      <c r="W612" s="143" t="s">
        <v>298</v>
      </c>
      <c r="X612" s="143" t="s">
        <v>227</v>
      </c>
      <c r="Y612" s="184">
        <v>9181949709</v>
      </c>
      <c r="Z612" s="143"/>
      <c r="AA612" s="163" t="s">
        <v>525</v>
      </c>
      <c r="AB612" s="143" t="s">
        <v>528</v>
      </c>
      <c r="AC612" s="155">
        <v>1</v>
      </c>
      <c r="AD612" s="155"/>
      <c r="AE612" s="155"/>
      <c r="AF612" s="155"/>
      <c r="AG612" s="155"/>
      <c r="AH612" s="143"/>
      <c r="AI612" s="158"/>
    </row>
    <row r="613" spans="1:35">
      <c r="A613" s="140"/>
      <c r="B613" s="143"/>
      <c r="C613" s="143" t="s">
        <v>1432</v>
      </c>
      <c r="D613" s="143" t="s">
        <v>501</v>
      </c>
      <c r="E613" s="143" t="s">
        <v>80</v>
      </c>
      <c r="F613" s="143" t="s">
        <v>736</v>
      </c>
      <c r="G613" s="143" t="s">
        <v>1677</v>
      </c>
      <c r="H613" s="143" t="s">
        <v>136</v>
      </c>
      <c r="I613" s="199" t="s">
        <v>1678</v>
      </c>
      <c r="J613" s="182"/>
      <c r="K613" s="182">
        <v>1</v>
      </c>
      <c r="L613" s="155"/>
      <c r="M613" s="155"/>
      <c r="N613" s="155"/>
      <c r="O613" s="155"/>
      <c r="P613" s="155"/>
      <c r="Q613" s="155">
        <v>1</v>
      </c>
      <c r="R613" s="155" t="s">
        <v>1348</v>
      </c>
      <c r="S613" s="155"/>
      <c r="T613" s="155"/>
      <c r="U613" s="183" t="s">
        <v>1679</v>
      </c>
      <c r="V613" s="143" t="s">
        <v>503</v>
      </c>
      <c r="W613" s="143" t="s">
        <v>298</v>
      </c>
      <c r="X613" s="143" t="s">
        <v>227</v>
      </c>
      <c r="Y613" s="184">
        <v>9275434964</v>
      </c>
      <c r="Z613" s="143"/>
      <c r="AA613" s="159" t="s">
        <v>524</v>
      </c>
      <c r="AB613" s="143" t="s">
        <v>528</v>
      </c>
      <c r="AC613" s="155">
        <v>1</v>
      </c>
      <c r="AD613" s="155"/>
      <c r="AE613" s="155"/>
      <c r="AF613" s="155"/>
      <c r="AG613" s="155"/>
      <c r="AH613" s="143"/>
      <c r="AI613" s="158"/>
    </row>
    <row r="614" spans="1:35">
      <c r="A614" s="140"/>
      <c r="B614" s="143"/>
      <c r="C614" s="143" t="s">
        <v>1432</v>
      </c>
      <c r="D614" s="143" t="s">
        <v>501</v>
      </c>
      <c r="E614" s="143" t="s">
        <v>80</v>
      </c>
      <c r="F614" s="143" t="s">
        <v>736</v>
      </c>
      <c r="G614" s="143" t="s">
        <v>1229</v>
      </c>
      <c r="H614" s="143" t="s">
        <v>115</v>
      </c>
      <c r="I614" s="199">
        <v>28435</v>
      </c>
      <c r="J614" s="182">
        <v>1</v>
      </c>
      <c r="K614" s="182"/>
      <c r="L614" s="155"/>
      <c r="M614" s="155"/>
      <c r="N614" s="155"/>
      <c r="O614" s="155"/>
      <c r="P614" s="155"/>
      <c r="Q614" s="155">
        <v>1</v>
      </c>
      <c r="R614" s="155" t="s">
        <v>1348</v>
      </c>
      <c r="S614" s="155"/>
      <c r="T614" s="155"/>
      <c r="U614" s="183" t="s">
        <v>1679</v>
      </c>
      <c r="V614" s="143" t="s">
        <v>503</v>
      </c>
      <c r="W614" s="143" t="s">
        <v>298</v>
      </c>
      <c r="X614" s="143" t="s">
        <v>227</v>
      </c>
      <c r="Y614" s="184" t="s">
        <v>1680</v>
      </c>
      <c r="Z614" s="143"/>
      <c r="AA614" s="159" t="s">
        <v>524</v>
      </c>
      <c r="AB614" s="143" t="s">
        <v>528</v>
      </c>
      <c r="AC614" s="155">
        <v>1</v>
      </c>
      <c r="AD614" s="155"/>
      <c r="AE614" s="155"/>
      <c r="AF614" s="155"/>
      <c r="AG614" s="155"/>
      <c r="AH614" s="143"/>
      <c r="AI614" s="158"/>
    </row>
    <row r="615" spans="1:35">
      <c r="A615" s="140"/>
      <c r="B615" s="143"/>
      <c r="C615" s="143" t="s">
        <v>1432</v>
      </c>
      <c r="D615" s="143" t="s">
        <v>501</v>
      </c>
      <c r="E615" s="143" t="s">
        <v>80</v>
      </c>
      <c r="F615" s="143" t="s">
        <v>1434</v>
      </c>
      <c r="G615" s="143" t="s">
        <v>1681</v>
      </c>
      <c r="H615" s="143" t="s">
        <v>160</v>
      </c>
      <c r="I615" s="199">
        <v>28378</v>
      </c>
      <c r="J615" s="182"/>
      <c r="K615" s="182">
        <v>1</v>
      </c>
      <c r="L615" s="155"/>
      <c r="M615" s="155"/>
      <c r="N615" s="155"/>
      <c r="O615" s="155"/>
      <c r="P615" s="155"/>
      <c r="Q615" s="155">
        <v>1</v>
      </c>
      <c r="R615" s="155" t="s">
        <v>1348</v>
      </c>
      <c r="S615" s="155"/>
      <c r="T615" s="155"/>
      <c r="U615" s="183" t="s">
        <v>861</v>
      </c>
      <c r="V615" s="143" t="s">
        <v>503</v>
      </c>
      <c r="W615" s="143" t="s">
        <v>298</v>
      </c>
      <c r="X615" s="143" t="s">
        <v>227</v>
      </c>
      <c r="Y615" s="184">
        <v>9122762021</v>
      </c>
      <c r="Z615" s="143"/>
      <c r="AA615" s="159" t="s">
        <v>524</v>
      </c>
      <c r="AB615" s="143" t="s">
        <v>528</v>
      </c>
      <c r="AC615" s="155">
        <v>2</v>
      </c>
      <c r="AD615" s="155"/>
      <c r="AE615" s="155"/>
      <c r="AF615" s="155"/>
      <c r="AG615" s="155"/>
      <c r="AH615" s="143"/>
      <c r="AI615" s="158"/>
    </row>
    <row r="616" spans="1:35">
      <c r="A616" s="140"/>
      <c r="B616" s="143"/>
      <c r="C616" s="143" t="s">
        <v>1432</v>
      </c>
      <c r="D616" s="143" t="s">
        <v>501</v>
      </c>
      <c r="E616" s="143" t="s">
        <v>80</v>
      </c>
      <c r="F616" s="143" t="s">
        <v>1682</v>
      </c>
      <c r="G616" s="143" t="s">
        <v>1683</v>
      </c>
      <c r="H616" s="143"/>
      <c r="I616" s="199">
        <v>29257</v>
      </c>
      <c r="J616" s="182">
        <v>1</v>
      </c>
      <c r="K616" s="182"/>
      <c r="L616" s="155"/>
      <c r="M616" s="155"/>
      <c r="N616" s="155"/>
      <c r="O616" s="155"/>
      <c r="P616" s="155"/>
      <c r="Q616" s="155">
        <v>1</v>
      </c>
      <c r="R616" s="155" t="s">
        <v>1009</v>
      </c>
      <c r="S616" s="155"/>
      <c r="T616" s="155"/>
      <c r="U616" s="183"/>
      <c r="V616" s="143" t="s">
        <v>875</v>
      </c>
      <c r="W616" s="143" t="s">
        <v>279</v>
      </c>
      <c r="X616" s="143" t="s">
        <v>227</v>
      </c>
      <c r="Y616" s="184">
        <v>9464111387</v>
      </c>
      <c r="Z616" s="143"/>
      <c r="AA616" s="159" t="s">
        <v>524</v>
      </c>
      <c r="AB616" s="143" t="s">
        <v>528</v>
      </c>
      <c r="AC616" s="155">
        <v>1</v>
      </c>
      <c r="AD616" s="155"/>
      <c r="AE616" s="155"/>
      <c r="AF616" s="155"/>
      <c r="AG616" s="155"/>
      <c r="AH616" s="143"/>
      <c r="AI616" s="158"/>
    </row>
    <row r="617" spans="1:35">
      <c r="A617" s="140"/>
      <c r="B617" s="143"/>
      <c r="C617" s="143" t="s">
        <v>1432</v>
      </c>
      <c r="D617" s="143" t="s">
        <v>501</v>
      </c>
      <c r="E617" s="143" t="s">
        <v>80</v>
      </c>
      <c r="F617" s="143" t="s">
        <v>1030</v>
      </c>
      <c r="G617" s="143" t="s">
        <v>1031</v>
      </c>
      <c r="H617" s="143"/>
      <c r="I617" s="199" t="s">
        <v>1684</v>
      </c>
      <c r="J617" s="182"/>
      <c r="K617" s="182">
        <v>1</v>
      </c>
      <c r="L617" s="155"/>
      <c r="M617" s="155"/>
      <c r="N617" s="155"/>
      <c r="O617" s="155"/>
      <c r="P617" s="155"/>
      <c r="Q617" s="155">
        <v>1</v>
      </c>
      <c r="R617" s="155" t="s">
        <v>1348</v>
      </c>
      <c r="S617" s="155"/>
      <c r="T617" s="155"/>
      <c r="U617" s="183" t="s">
        <v>504</v>
      </c>
      <c r="V617" s="143" t="s">
        <v>503</v>
      </c>
      <c r="W617" s="143" t="s">
        <v>298</v>
      </c>
      <c r="X617" s="143" t="s">
        <v>227</v>
      </c>
      <c r="Y617" s="184">
        <v>9777172927</v>
      </c>
      <c r="Z617" s="143"/>
      <c r="AA617" s="163" t="s">
        <v>525</v>
      </c>
      <c r="AB617" s="143" t="s">
        <v>528</v>
      </c>
      <c r="AC617" s="155">
        <v>2</v>
      </c>
      <c r="AD617" s="155"/>
      <c r="AE617" s="155"/>
      <c r="AF617" s="155"/>
      <c r="AG617" s="155"/>
      <c r="AH617" s="143"/>
      <c r="AI617" s="158"/>
    </row>
    <row r="618" spans="1:35">
      <c r="A618" s="140"/>
      <c r="B618" s="143"/>
      <c r="C618" s="143" t="s">
        <v>1432</v>
      </c>
      <c r="D618" s="143" t="s">
        <v>501</v>
      </c>
      <c r="E618" s="143" t="s">
        <v>80</v>
      </c>
      <c r="F618" s="143" t="s">
        <v>1685</v>
      </c>
      <c r="G618" s="143" t="s">
        <v>1686</v>
      </c>
      <c r="H618" s="143" t="s">
        <v>117</v>
      </c>
      <c r="I618" s="199"/>
      <c r="J618" s="182"/>
      <c r="K618" s="182">
        <v>1</v>
      </c>
      <c r="L618" s="155"/>
      <c r="M618" s="155"/>
      <c r="N618" s="155"/>
      <c r="O618" s="155"/>
      <c r="P618" s="155"/>
      <c r="Q618" s="155">
        <v>1</v>
      </c>
      <c r="R618" s="155" t="s">
        <v>1348</v>
      </c>
      <c r="S618" s="155"/>
      <c r="T618" s="155"/>
      <c r="U618" s="183" t="s">
        <v>295</v>
      </c>
      <c r="V618" s="143" t="s">
        <v>503</v>
      </c>
      <c r="W618" s="143" t="s">
        <v>298</v>
      </c>
      <c r="X618" s="143" t="s">
        <v>227</v>
      </c>
      <c r="Y618" s="184">
        <v>9064321243</v>
      </c>
      <c r="Z618" s="143"/>
      <c r="AA618" s="163" t="s">
        <v>525</v>
      </c>
      <c r="AB618" s="143" t="s">
        <v>528</v>
      </c>
      <c r="AC618" s="155">
        <v>1</v>
      </c>
      <c r="AD618" s="155"/>
      <c r="AE618" s="155"/>
      <c r="AF618" s="155"/>
      <c r="AG618" s="155"/>
      <c r="AH618" s="143"/>
      <c r="AI618" s="158"/>
    </row>
    <row r="619" spans="1:35">
      <c r="A619" s="140"/>
      <c r="B619" s="143"/>
      <c r="C619" s="143" t="s">
        <v>1432</v>
      </c>
      <c r="D619" s="143" t="s">
        <v>501</v>
      </c>
      <c r="E619" s="143" t="s">
        <v>80</v>
      </c>
      <c r="F619" s="143" t="s">
        <v>1687</v>
      </c>
      <c r="G619" s="143" t="s">
        <v>1688</v>
      </c>
      <c r="H619" s="143"/>
      <c r="I619" s="199"/>
      <c r="J619" s="182">
        <v>1</v>
      </c>
      <c r="K619" s="182"/>
      <c r="L619" s="155"/>
      <c r="M619" s="155"/>
      <c r="N619" s="155"/>
      <c r="O619" s="155"/>
      <c r="P619" s="155"/>
      <c r="Q619" s="155">
        <v>1</v>
      </c>
      <c r="R619" s="155" t="s">
        <v>1689</v>
      </c>
      <c r="S619" s="155"/>
      <c r="T619" s="155"/>
      <c r="U619" s="183"/>
      <c r="V619" s="143" t="s">
        <v>503</v>
      </c>
      <c r="W619" s="143" t="s">
        <v>298</v>
      </c>
      <c r="X619" s="143" t="s">
        <v>227</v>
      </c>
      <c r="Y619" s="184">
        <v>9419634802</v>
      </c>
      <c r="Z619" s="143"/>
      <c r="AA619" s="159" t="s">
        <v>524</v>
      </c>
      <c r="AB619" s="143" t="s">
        <v>528</v>
      </c>
      <c r="AC619" s="155">
        <v>1</v>
      </c>
      <c r="AD619" s="155"/>
      <c r="AE619" s="155"/>
      <c r="AF619" s="155"/>
      <c r="AG619" s="155"/>
      <c r="AH619" s="143"/>
      <c r="AI619" s="158"/>
    </row>
    <row r="620" spans="1:35">
      <c r="A620" s="140"/>
      <c r="B620" s="143"/>
      <c r="C620" s="143" t="s">
        <v>1432</v>
      </c>
      <c r="D620" s="143" t="s">
        <v>501</v>
      </c>
      <c r="E620" s="143" t="s">
        <v>80</v>
      </c>
      <c r="F620" s="143" t="s">
        <v>1690</v>
      </c>
      <c r="G620" s="143" t="s">
        <v>1691</v>
      </c>
      <c r="H620" s="143"/>
      <c r="I620" s="199" t="s">
        <v>1692</v>
      </c>
      <c r="J620" s="182"/>
      <c r="K620" s="182">
        <v>1</v>
      </c>
      <c r="L620" s="155"/>
      <c r="M620" s="155"/>
      <c r="N620" s="155"/>
      <c r="O620" s="155"/>
      <c r="P620" s="155"/>
      <c r="Q620" s="155">
        <v>1</v>
      </c>
      <c r="R620" s="155" t="s">
        <v>1693</v>
      </c>
      <c r="S620" s="155"/>
      <c r="T620" s="155"/>
      <c r="U620" s="183" t="s">
        <v>502</v>
      </c>
      <c r="V620" s="143" t="s">
        <v>503</v>
      </c>
      <c r="W620" s="143" t="s">
        <v>298</v>
      </c>
      <c r="X620" s="143" t="s">
        <v>227</v>
      </c>
      <c r="Y620" s="184">
        <v>9987800802</v>
      </c>
      <c r="Z620" s="143"/>
      <c r="AA620" s="159" t="s">
        <v>524</v>
      </c>
      <c r="AB620" s="143" t="s">
        <v>528</v>
      </c>
      <c r="AC620" s="155">
        <v>1</v>
      </c>
      <c r="AD620" s="155"/>
      <c r="AE620" s="155"/>
      <c r="AF620" s="155"/>
      <c r="AG620" s="155"/>
      <c r="AH620" s="143"/>
      <c r="AI620" s="158"/>
    </row>
    <row r="621" spans="1:35">
      <c r="A621" s="140"/>
      <c r="B621" s="143"/>
      <c r="C621" s="143" t="s">
        <v>1432</v>
      </c>
      <c r="D621" s="143" t="s">
        <v>501</v>
      </c>
      <c r="E621" s="143" t="s">
        <v>80</v>
      </c>
      <c r="F621" s="143" t="s">
        <v>1694</v>
      </c>
      <c r="G621" s="143" t="s">
        <v>1401</v>
      </c>
      <c r="H621" s="143"/>
      <c r="I621" s="199"/>
      <c r="J621" s="182"/>
      <c r="K621" s="182">
        <v>1</v>
      </c>
      <c r="L621" s="155">
        <v>1</v>
      </c>
      <c r="M621" s="155"/>
      <c r="N621" s="155"/>
      <c r="O621" s="155"/>
      <c r="P621" s="155"/>
      <c r="Q621" s="155">
        <v>1</v>
      </c>
      <c r="R621" s="155" t="s">
        <v>1045</v>
      </c>
      <c r="S621" s="155"/>
      <c r="T621" s="155"/>
      <c r="U621" s="183"/>
      <c r="V621" s="143" t="s">
        <v>949</v>
      </c>
      <c r="W621" s="143" t="s">
        <v>280</v>
      </c>
      <c r="X621" s="143" t="s">
        <v>227</v>
      </c>
      <c r="Y621" s="184"/>
      <c r="Z621" s="143"/>
      <c r="AA621" s="157" t="s">
        <v>877</v>
      </c>
      <c r="AB621" s="143" t="s">
        <v>528</v>
      </c>
      <c r="AC621" s="155">
        <v>1</v>
      </c>
      <c r="AD621" s="155"/>
      <c r="AE621" s="155"/>
      <c r="AF621" s="155"/>
      <c r="AG621" s="155"/>
      <c r="AH621" s="143"/>
      <c r="AI621" s="158"/>
    </row>
    <row r="622" spans="1:35">
      <c r="A622" s="140"/>
      <c r="B622" s="143"/>
      <c r="C622" s="143" t="s">
        <v>1432</v>
      </c>
      <c r="D622" s="143" t="s">
        <v>501</v>
      </c>
      <c r="E622" s="143" t="s">
        <v>80</v>
      </c>
      <c r="F622" s="143" t="s">
        <v>1695</v>
      </c>
      <c r="G622" s="143" t="s">
        <v>1696</v>
      </c>
      <c r="H622" s="143"/>
      <c r="I622" s="199"/>
      <c r="J622" s="182"/>
      <c r="K622" s="182">
        <v>1</v>
      </c>
      <c r="L622" s="155"/>
      <c r="M622" s="155"/>
      <c r="N622" s="155"/>
      <c r="O622" s="155"/>
      <c r="P622" s="155"/>
      <c r="Q622" s="155">
        <v>1</v>
      </c>
      <c r="R622" s="155" t="s">
        <v>1009</v>
      </c>
      <c r="S622" s="155"/>
      <c r="T622" s="155"/>
      <c r="U622" s="183" t="s">
        <v>516</v>
      </c>
      <c r="V622" s="143" t="s">
        <v>503</v>
      </c>
      <c r="W622" s="143" t="s">
        <v>298</v>
      </c>
      <c r="X622" s="143" t="s">
        <v>227</v>
      </c>
      <c r="Y622" s="184">
        <v>9773630919</v>
      </c>
      <c r="Z622" s="143"/>
      <c r="AA622" s="159" t="s">
        <v>524</v>
      </c>
      <c r="AB622" s="143" t="s">
        <v>528</v>
      </c>
      <c r="AC622" s="155">
        <v>1</v>
      </c>
      <c r="AD622" s="155"/>
      <c r="AE622" s="155"/>
      <c r="AF622" s="155"/>
      <c r="AG622" s="155"/>
      <c r="AH622" s="143"/>
      <c r="AI622" s="158"/>
    </row>
    <row r="623" spans="1:35">
      <c r="A623" s="140"/>
      <c r="B623" s="143"/>
      <c r="C623" s="143" t="s">
        <v>1432</v>
      </c>
      <c r="D623" s="143" t="s">
        <v>501</v>
      </c>
      <c r="E623" s="143" t="s">
        <v>80</v>
      </c>
      <c r="F623" s="143" t="s">
        <v>1697</v>
      </c>
      <c r="G623" s="143" t="s">
        <v>1698</v>
      </c>
      <c r="H623" s="143"/>
      <c r="I623" s="199"/>
      <c r="J623" s="182"/>
      <c r="K623" s="182">
        <v>1</v>
      </c>
      <c r="L623" s="155"/>
      <c r="M623" s="155"/>
      <c r="N623" s="155"/>
      <c r="O623" s="155"/>
      <c r="P623" s="155"/>
      <c r="Q623" s="155">
        <v>1</v>
      </c>
      <c r="R623" s="155" t="s">
        <v>1009</v>
      </c>
      <c r="S623" s="155"/>
      <c r="T623" s="155"/>
      <c r="U623" s="183"/>
      <c r="V623" s="143" t="s">
        <v>873</v>
      </c>
      <c r="W623" s="143" t="s">
        <v>279</v>
      </c>
      <c r="X623" s="143" t="s">
        <v>227</v>
      </c>
      <c r="Y623" s="184">
        <v>9193033888</v>
      </c>
      <c r="Z623" s="143"/>
      <c r="AA623" s="159" t="s">
        <v>524</v>
      </c>
      <c r="AB623" s="143" t="s">
        <v>528</v>
      </c>
      <c r="AC623" s="155">
        <v>1</v>
      </c>
      <c r="AD623" s="155"/>
      <c r="AE623" s="155"/>
      <c r="AF623" s="155"/>
      <c r="AG623" s="155"/>
      <c r="AH623" s="143"/>
      <c r="AI623" s="158"/>
    </row>
    <row r="624" spans="1:35">
      <c r="A624" s="140"/>
      <c r="B624" s="143"/>
      <c r="C624" s="143" t="s">
        <v>1432</v>
      </c>
      <c r="D624" s="143" t="s">
        <v>501</v>
      </c>
      <c r="E624" s="143" t="s">
        <v>80</v>
      </c>
      <c r="F624" s="143" t="s">
        <v>1699</v>
      </c>
      <c r="G624" s="143" t="s">
        <v>704</v>
      </c>
      <c r="H624" s="143"/>
      <c r="I624" s="199"/>
      <c r="J624" s="182">
        <v>1</v>
      </c>
      <c r="K624" s="182"/>
      <c r="L624" s="155"/>
      <c r="M624" s="155"/>
      <c r="N624" s="155"/>
      <c r="O624" s="155"/>
      <c r="P624" s="155"/>
      <c r="Q624" s="155">
        <v>1</v>
      </c>
      <c r="R624" s="155" t="s">
        <v>1348</v>
      </c>
      <c r="S624" s="155"/>
      <c r="T624" s="155"/>
      <c r="U624" s="183"/>
      <c r="V624" s="143" t="s">
        <v>1280</v>
      </c>
      <c r="W624" s="143" t="s">
        <v>280</v>
      </c>
      <c r="X624" s="143" t="s">
        <v>227</v>
      </c>
      <c r="Y624" s="184">
        <v>9989755723</v>
      </c>
      <c r="Z624" s="143"/>
      <c r="AA624" s="163" t="s">
        <v>525</v>
      </c>
      <c r="AB624" s="143" t="s">
        <v>528</v>
      </c>
      <c r="AC624" s="155">
        <v>1</v>
      </c>
      <c r="AD624" s="155"/>
      <c r="AE624" s="155"/>
      <c r="AF624" s="155"/>
      <c r="AG624" s="155"/>
      <c r="AH624" s="143"/>
      <c r="AI624" s="158"/>
    </row>
    <row r="625" spans="1:35">
      <c r="A625" s="140"/>
      <c r="B625" s="143"/>
      <c r="C625" s="143" t="s">
        <v>1432</v>
      </c>
      <c r="D625" s="143" t="s">
        <v>501</v>
      </c>
      <c r="E625" s="143" t="s">
        <v>80</v>
      </c>
      <c r="F625" s="143" t="s">
        <v>1700</v>
      </c>
      <c r="G625" s="143" t="s">
        <v>1239</v>
      </c>
      <c r="H625" s="143"/>
      <c r="I625" s="199" t="s">
        <v>1701</v>
      </c>
      <c r="J625" s="182">
        <v>1</v>
      </c>
      <c r="K625" s="182"/>
      <c r="L625" s="155"/>
      <c r="M625" s="155"/>
      <c r="N625" s="155"/>
      <c r="O625" s="155"/>
      <c r="P625" s="155"/>
      <c r="Q625" s="155">
        <v>1</v>
      </c>
      <c r="R625" s="155" t="s">
        <v>1009</v>
      </c>
      <c r="S625" s="155"/>
      <c r="T625" s="155"/>
      <c r="U625" s="183"/>
      <c r="V625" s="143" t="s">
        <v>952</v>
      </c>
      <c r="W625" s="143" t="s">
        <v>280</v>
      </c>
      <c r="X625" s="143" t="s">
        <v>227</v>
      </c>
      <c r="Y625" s="184">
        <v>9057136977</v>
      </c>
      <c r="Z625" s="143"/>
      <c r="AA625" s="159" t="s">
        <v>524</v>
      </c>
      <c r="AB625" s="143" t="s">
        <v>528</v>
      </c>
      <c r="AC625" s="155">
        <v>1</v>
      </c>
      <c r="AD625" s="155"/>
      <c r="AE625" s="155"/>
      <c r="AF625" s="155"/>
      <c r="AG625" s="155"/>
      <c r="AH625" s="143"/>
      <c r="AI625" s="158"/>
    </row>
    <row r="626" spans="1:35">
      <c r="A626" s="140"/>
      <c r="B626" s="143"/>
      <c r="C626" s="143" t="s">
        <v>1432</v>
      </c>
      <c r="D626" s="143" t="s">
        <v>501</v>
      </c>
      <c r="E626" s="143" t="s">
        <v>80</v>
      </c>
      <c r="F626" s="143" t="s">
        <v>852</v>
      </c>
      <c r="G626" s="143" t="s">
        <v>118</v>
      </c>
      <c r="H626" s="143" t="s">
        <v>283</v>
      </c>
      <c r="I626" s="199" t="s">
        <v>1703</v>
      </c>
      <c r="J626" s="182">
        <v>1</v>
      </c>
      <c r="K626" s="182"/>
      <c r="L626" s="155"/>
      <c r="M626" s="155"/>
      <c r="N626" s="155"/>
      <c r="O626" s="155"/>
      <c r="P626" s="155"/>
      <c r="Q626" s="155">
        <v>1</v>
      </c>
      <c r="R626" s="155" t="s">
        <v>1009</v>
      </c>
      <c r="S626" s="155"/>
      <c r="T626" s="155"/>
      <c r="U626" s="183"/>
      <c r="V626" s="143" t="s">
        <v>952</v>
      </c>
      <c r="W626" s="143" t="s">
        <v>280</v>
      </c>
      <c r="X626" s="143" t="s">
        <v>227</v>
      </c>
      <c r="Y626" s="184">
        <v>9756785276</v>
      </c>
      <c r="Z626" s="143"/>
      <c r="AA626" s="159" t="s">
        <v>524</v>
      </c>
      <c r="AB626" s="143" t="s">
        <v>528</v>
      </c>
      <c r="AC626" s="155">
        <v>1</v>
      </c>
      <c r="AD626" s="155"/>
      <c r="AE626" s="155"/>
      <c r="AF626" s="155"/>
      <c r="AG626" s="155"/>
      <c r="AH626" s="143"/>
      <c r="AI626" s="158"/>
    </row>
    <row r="627" spans="1:35">
      <c r="A627" s="140"/>
      <c r="B627" s="143"/>
      <c r="C627" s="143" t="s">
        <v>1432</v>
      </c>
      <c r="D627" s="143" t="s">
        <v>501</v>
      </c>
      <c r="E627" s="143" t="s">
        <v>80</v>
      </c>
      <c r="F627" s="143" t="s">
        <v>1702</v>
      </c>
      <c r="G627" s="143" t="s">
        <v>398</v>
      </c>
      <c r="H627" s="143" t="s">
        <v>120</v>
      </c>
      <c r="I627" s="199">
        <v>26365</v>
      </c>
      <c r="J627" s="182">
        <v>1</v>
      </c>
      <c r="K627" s="182"/>
      <c r="L627" s="155"/>
      <c r="M627" s="155"/>
      <c r="N627" s="155"/>
      <c r="O627" s="155"/>
      <c r="P627" s="155"/>
      <c r="Q627" s="155">
        <v>1</v>
      </c>
      <c r="R627" s="155" t="s">
        <v>1009</v>
      </c>
      <c r="S627" s="155"/>
      <c r="T627" s="155"/>
      <c r="U627" s="183"/>
      <c r="V627" s="143" t="s">
        <v>952</v>
      </c>
      <c r="W627" s="143" t="s">
        <v>280</v>
      </c>
      <c r="X627" s="143" t="s">
        <v>227</v>
      </c>
      <c r="Y627" s="184">
        <v>9552216273</v>
      </c>
      <c r="Z627" s="143"/>
      <c r="AA627" s="159" t="s">
        <v>524</v>
      </c>
      <c r="AB627" s="143" t="s">
        <v>528</v>
      </c>
      <c r="AC627" s="155">
        <v>1</v>
      </c>
      <c r="AD627" s="155"/>
      <c r="AE627" s="155"/>
      <c r="AF627" s="155"/>
      <c r="AG627" s="155"/>
      <c r="AH627" s="143"/>
      <c r="AI627" s="158"/>
    </row>
    <row r="628" spans="1:35">
      <c r="A628" s="140"/>
      <c r="B628" s="143"/>
      <c r="C628" s="143" t="s">
        <v>1432</v>
      </c>
      <c r="D628" s="143" t="s">
        <v>501</v>
      </c>
      <c r="E628" s="143" t="s">
        <v>80</v>
      </c>
      <c r="F628" s="143" t="s">
        <v>1704</v>
      </c>
      <c r="G628" s="143" t="s">
        <v>1705</v>
      </c>
      <c r="H628" s="143" t="s">
        <v>115</v>
      </c>
      <c r="I628" s="199" t="s">
        <v>1706</v>
      </c>
      <c r="J628" s="182">
        <v>1</v>
      </c>
      <c r="K628" s="182"/>
      <c r="L628" s="155"/>
      <c r="M628" s="155"/>
      <c r="N628" s="155"/>
      <c r="O628" s="155"/>
      <c r="P628" s="155"/>
      <c r="Q628" s="155">
        <v>1</v>
      </c>
      <c r="R628" s="155" t="s">
        <v>1009</v>
      </c>
      <c r="S628" s="155"/>
      <c r="T628" s="155"/>
      <c r="U628" s="183"/>
      <c r="V628" s="143" t="s">
        <v>872</v>
      </c>
      <c r="W628" s="143" t="s">
        <v>280</v>
      </c>
      <c r="X628" s="143" t="s">
        <v>227</v>
      </c>
      <c r="Y628" s="184">
        <v>9361368092</v>
      </c>
      <c r="Z628" s="143"/>
      <c r="AA628" s="159" t="s">
        <v>524</v>
      </c>
      <c r="AB628" s="143" t="s">
        <v>528</v>
      </c>
      <c r="AC628" s="155">
        <v>1</v>
      </c>
      <c r="AD628" s="155"/>
      <c r="AE628" s="155"/>
      <c r="AF628" s="155"/>
      <c r="AG628" s="155"/>
      <c r="AH628" s="143"/>
      <c r="AI628" s="158"/>
    </row>
    <row r="629" spans="1:35">
      <c r="A629" s="140"/>
      <c r="B629" s="143"/>
      <c r="C629" s="143" t="s">
        <v>1432</v>
      </c>
      <c r="D629" s="143" t="s">
        <v>501</v>
      </c>
      <c r="E629" s="143" t="s">
        <v>80</v>
      </c>
      <c r="F629" s="143" t="s">
        <v>1707</v>
      </c>
      <c r="G629" s="143" t="s">
        <v>698</v>
      </c>
      <c r="H629" s="143"/>
      <c r="I629" s="199" t="s">
        <v>1708</v>
      </c>
      <c r="J629" s="182">
        <v>1</v>
      </c>
      <c r="K629" s="182"/>
      <c r="L629" s="155"/>
      <c r="M629" s="155"/>
      <c r="N629" s="155"/>
      <c r="O629" s="155"/>
      <c r="P629" s="155"/>
      <c r="Q629" s="155">
        <v>1</v>
      </c>
      <c r="R629" s="155" t="s">
        <v>1009</v>
      </c>
      <c r="S629" s="155"/>
      <c r="T629" s="155"/>
      <c r="U629" s="183"/>
      <c r="V629" s="143" t="s">
        <v>519</v>
      </c>
      <c r="W629" s="143" t="s">
        <v>280</v>
      </c>
      <c r="X629" s="143" t="s">
        <v>227</v>
      </c>
      <c r="Y629" s="184">
        <v>9487968448</v>
      </c>
      <c r="Z629" s="143"/>
      <c r="AA629" s="157" t="s">
        <v>877</v>
      </c>
      <c r="AB629" s="143" t="s">
        <v>528</v>
      </c>
      <c r="AC629" s="155">
        <v>1</v>
      </c>
      <c r="AD629" s="155"/>
      <c r="AE629" s="155"/>
      <c r="AF629" s="155"/>
      <c r="AG629" s="155"/>
      <c r="AH629" s="143"/>
      <c r="AI629" s="158"/>
    </row>
    <row r="630" spans="1:35">
      <c r="A630" s="140"/>
      <c r="B630" s="143"/>
      <c r="C630" s="143" t="s">
        <v>1432</v>
      </c>
      <c r="D630" s="143" t="s">
        <v>501</v>
      </c>
      <c r="E630" s="143" t="s">
        <v>80</v>
      </c>
      <c r="F630" s="143" t="s">
        <v>1019</v>
      </c>
      <c r="G630" s="143" t="s">
        <v>1464</v>
      </c>
      <c r="H630" s="143"/>
      <c r="I630" s="199" t="s">
        <v>1709</v>
      </c>
      <c r="J630" s="182">
        <v>1</v>
      </c>
      <c r="K630" s="182"/>
      <c r="L630" s="155"/>
      <c r="M630" s="155"/>
      <c r="N630" s="155"/>
      <c r="O630" s="155"/>
      <c r="P630" s="155"/>
      <c r="Q630" s="155">
        <v>1</v>
      </c>
      <c r="R630" s="155" t="s">
        <v>1009</v>
      </c>
      <c r="S630" s="155"/>
      <c r="T630" s="155"/>
      <c r="U630" s="183"/>
      <c r="V630" s="143" t="s">
        <v>519</v>
      </c>
      <c r="W630" s="143" t="s">
        <v>280</v>
      </c>
      <c r="X630" s="143" t="s">
        <v>227</v>
      </c>
      <c r="Y630" s="184"/>
      <c r="Z630" s="143"/>
      <c r="AA630" s="157" t="s">
        <v>877</v>
      </c>
      <c r="AB630" s="143" t="s">
        <v>528</v>
      </c>
      <c r="AC630" s="155">
        <v>1</v>
      </c>
      <c r="AD630" s="155"/>
      <c r="AE630" s="155"/>
      <c r="AF630" s="155"/>
      <c r="AG630" s="155"/>
      <c r="AH630" s="143"/>
      <c r="AI630" s="158"/>
    </row>
    <row r="631" spans="1:35">
      <c r="A631" s="140"/>
      <c r="B631" s="143"/>
      <c r="C631" s="143" t="s">
        <v>1432</v>
      </c>
      <c r="D631" s="143" t="s">
        <v>501</v>
      </c>
      <c r="E631" s="143" t="s">
        <v>80</v>
      </c>
      <c r="F631" s="143" t="s">
        <v>1710</v>
      </c>
      <c r="G631" s="143" t="s">
        <v>1711</v>
      </c>
      <c r="H631" s="143"/>
      <c r="I631" s="199" t="s">
        <v>1712</v>
      </c>
      <c r="J631" s="182">
        <v>1</v>
      </c>
      <c r="K631" s="182"/>
      <c r="L631" s="155"/>
      <c r="M631" s="155"/>
      <c r="N631" s="155"/>
      <c r="O631" s="155"/>
      <c r="P631" s="155"/>
      <c r="Q631" s="155">
        <v>1</v>
      </c>
      <c r="R631" s="155" t="s">
        <v>1660</v>
      </c>
      <c r="S631" s="155"/>
      <c r="T631" s="155"/>
      <c r="U631" s="183"/>
      <c r="V631" s="143" t="s">
        <v>1127</v>
      </c>
      <c r="W631" s="143"/>
      <c r="X631" s="143" t="s">
        <v>1257</v>
      </c>
      <c r="Y631" s="184">
        <v>9434328448</v>
      </c>
      <c r="Z631" s="143"/>
      <c r="AA631" s="159" t="s">
        <v>524</v>
      </c>
      <c r="AB631" s="143" t="s">
        <v>528</v>
      </c>
      <c r="AC631" s="155">
        <v>1</v>
      </c>
      <c r="AD631" s="155"/>
      <c r="AE631" s="155"/>
      <c r="AF631" s="155"/>
      <c r="AG631" s="155"/>
      <c r="AH631" s="143"/>
      <c r="AI631" s="158"/>
    </row>
    <row r="632" spans="1:35">
      <c r="A632" s="140"/>
      <c r="B632" s="143"/>
      <c r="C632" s="143" t="s">
        <v>1432</v>
      </c>
      <c r="D632" s="143" t="s">
        <v>501</v>
      </c>
      <c r="E632" s="143" t="s">
        <v>80</v>
      </c>
      <c r="F632" s="143" t="s">
        <v>1710</v>
      </c>
      <c r="G632" s="143" t="s">
        <v>1713</v>
      </c>
      <c r="H632" s="143"/>
      <c r="I632" s="199" t="s">
        <v>1714</v>
      </c>
      <c r="J632" s="182"/>
      <c r="K632" s="182">
        <v>1</v>
      </c>
      <c r="L632" s="155"/>
      <c r="M632" s="155"/>
      <c r="N632" s="155"/>
      <c r="O632" s="155"/>
      <c r="P632" s="155"/>
      <c r="Q632" s="155">
        <v>1</v>
      </c>
      <c r="R632" s="155" t="s">
        <v>1660</v>
      </c>
      <c r="S632" s="155"/>
      <c r="T632" s="155"/>
      <c r="U632" s="183"/>
      <c r="V632" s="143" t="s">
        <v>1127</v>
      </c>
      <c r="W632" s="143"/>
      <c r="X632" s="143" t="s">
        <v>1257</v>
      </c>
      <c r="Y632" s="184">
        <v>9661567741</v>
      </c>
      <c r="Z632" s="143"/>
      <c r="AA632" s="159" t="s">
        <v>524</v>
      </c>
      <c r="AB632" s="143" t="s">
        <v>528</v>
      </c>
      <c r="AC632" s="155">
        <v>1</v>
      </c>
      <c r="AD632" s="155"/>
      <c r="AE632" s="155"/>
      <c r="AF632" s="155"/>
      <c r="AG632" s="155"/>
      <c r="AH632" s="143"/>
      <c r="AI632" s="158"/>
    </row>
    <row r="633" spans="1:35">
      <c r="A633" s="140"/>
      <c r="B633" s="143"/>
      <c r="C633" s="143" t="s">
        <v>1432</v>
      </c>
      <c r="D633" s="143" t="s">
        <v>501</v>
      </c>
      <c r="E633" s="143" t="s">
        <v>80</v>
      </c>
      <c r="F633" s="143" t="s">
        <v>1715</v>
      </c>
      <c r="G633" s="143" t="s">
        <v>1716</v>
      </c>
      <c r="H633" s="143"/>
      <c r="I633" s="199">
        <v>31596</v>
      </c>
      <c r="J633" s="182">
        <v>1</v>
      </c>
      <c r="K633" s="182"/>
      <c r="L633" s="155"/>
      <c r="M633" s="155"/>
      <c r="N633" s="155"/>
      <c r="O633" s="155"/>
      <c r="P633" s="155"/>
      <c r="Q633" s="155">
        <v>1</v>
      </c>
      <c r="R633" s="155" t="s">
        <v>1660</v>
      </c>
      <c r="S633" s="155"/>
      <c r="T633" s="155"/>
      <c r="U633" s="183"/>
      <c r="V633" s="143" t="s">
        <v>1127</v>
      </c>
      <c r="W633" s="143"/>
      <c r="X633" s="143" t="s">
        <v>1257</v>
      </c>
      <c r="Y633" s="184">
        <v>9066135121</v>
      </c>
      <c r="Z633" s="143"/>
      <c r="AA633" s="159" t="s">
        <v>524</v>
      </c>
      <c r="AB633" s="143" t="s">
        <v>528</v>
      </c>
      <c r="AC633" s="155">
        <v>1</v>
      </c>
      <c r="AD633" s="155"/>
      <c r="AE633" s="155"/>
      <c r="AF633" s="155"/>
      <c r="AG633" s="155"/>
      <c r="AH633" s="143"/>
      <c r="AI633" s="158"/>
    </row>
    <row r="634" spans="1:35">
      <c r="A634" s="140"/>
      <c r="B634" s="143"/>
      <c r="C634" s="143" t="s">
        <v>1432</v>
      </c>
      <c r="D634" s="143" t="s">
        <v>501</v>
      </c>
      <c r="E634" s="143" t="s">
        <v>80</v>
      </c>
      <c r="F634" s="143" t="s">
        <v>826</v>
      </c>
      <c r="G634" s="143" t="s">
        <v>1717</v>
      </c>
      <c r="H634" s="143"/>
      <c r="I634" s="199" t="s">
        <v>1718</v>
      </c>
      <c r="J634" s="182">
        <v>1</v>
      </c>
      <c r="K634" s="182"/>
      <c r="L634" s="155"/>
      <c r="M634" s="155"/>
      <c r="N634" s="155"/>
      <c r="O634" s="155"/>
      <c r="P634" s="155"/>
      <c r="Q634" s="155">
        <v>1</v>
      </c>
      <c r="R634" s="155" t="s">
        <v>1009</v>
      </c>
      <c r="S634" s="155"/>
      <c r="T634" s="155"/>
      <c r="U634" s="183"/>
      <c r="V634" s="143" t="s">
        <v>513</v>
      </c>
      <c r="W634" s="143" t="s">
        <v>279</v>
      </c>
      <c r="X634" s="143" t="s">
        <v>227</v>
      </c>
      <c r="Y634" s="184">
        <v>9097092555</v>
      </c>
      <c r="Z634" s="143"/>
      <c r="AA634" s="159" t="s">
        <v>524</v>
      </c>
      <c r="AB634" s="143" t="s">
        <v>528</v>
      </c>
      <c r="AC634" s="155">
        <v>1</v>
      </c>
      <c r="AD634" s="155"/>
      <c r="AE634" s="155"/>
      <c r="AF634" s="155"/>
      <c r="AG634" s="155"/>
      <c r="AH634" s="143"/>
      <c r="AI634" s="158"/>
    </row>
    <row r="635" spans="1:35">
      <c r="A635" s="140"/>
      <c r="B635" s="143"/>
      <c r="C635" s="143" t="s">
        <v>1432</v>
      </c>
      <c r="D635" s="143" t="s">
        <v>501</v>
      </c>
      <c r="E635" s="143" t="s">
        <v>80</v>
      </c>
      <c r="F635" s="143" t="s">
        <v>1609</v>
      </c>
      <c r="G635" s="143" t="s">
        <v>400</v>
      </c>
      <c r="H635" s="143"/>
      <c r="I635" s="199">
        <v>19032</v>
      </c>
      <c r="J635" s="182">
        <v>1</v>
      </c>
      <c r="K635" s="182"/>
      <c r="L635" s="155">
        <v>1</v>
      </c>
      <c r="M635" s="155">
        <v>1</v>
      </c>
      <c r="N635" s="155"/>
      <c r="O635" s="155"/>
      <c r="P635" s="155"/>
      <c r="Q635" s="155"/>
      <c r="R635" s="155"/>
      <c r="S635" s="155"/>
      <c r="T635" s="155"/>
      <c r="U635" s="143" t="s">
        <v>1610</v>
      </c>
      <c r="V635" s="143" t="s">
        <v>355</v>
      </c>
      <c r="W635" s="143" t="s">
        <v>298</v>
      </c>
      <c r="X635" s="143" t="s">
        <v>227</v>
      </c>
      <c r="Y635" s="184"/>
      <c r="Z635" s="143"/>
      <c r="AA635" s="157" t="s">
        <v>877</v>
      </c>
      <c r="AB635" s="143" t="s">
        <v>528</v>
      </c>
      <c r="AC635" s="155">
        <v>1</v>
      </c>
      <c r="AD635" s="155"/>
      <c r="AE635" s="155"/>
      <c r="AF635" s="155"/>
      <c r="AG635" s="155"/>
      <c r="AH635" s="143"/>
      <c r="AI635" s="158"/>
    </row>
    <row r="636" spans="1:35">
      <c r="A636" s="140"/>
      <c r="B636" s="143"/>
      <c r="C636" s="143" t="s">
        <v>1432</v>
      </c>
      <c r="D636" s="143" t="s">
        <v>501</v>
      </c>
      <c r="E636" s="143" t="s">
        <v>80</v>
      </c>
      <c r="F636" s="143" t="s">
        <v>1719</v>
      </c>
      <c r="G636" s="143" t="s">
        <v>1720</v>
      </c>
      <c r="H636" s="143"/>
      <c r="I636" s="199" t="s">
        <v>1721</v>
      </c>
      <c r="J636" s="182">
        <v>1</v>
      </c>
      <c r="K636" s="182"/>
      <c r="L636" s="155"/>
      <c r="M636" s="155"/>
      <c r="N636" s="155"/>
      <c r="O636" s="155"/>
      <c r="P636" s="155"/>
      <c r="Q636" s="155">
        <v>1</v>
      </c>
      <c r="R636" s="155" t="s">
        <v>962</v>
      </c>
      <c r="S636" s="155"/>
      <c r="T636" s="155"/>
      <c r="U636" s="183"/>
      <c r="V636" s="143" t="s">
        <v>1092</v>
      </c>
      <c r="W636" s="143" t="s">
        <v>279</v>
      </c>
      <c r="X636" s="143" t="s">
        <v>227</v>
      </c>
      <c r="Y636" s="184">
        <v>9953783983</v>
      </c>
      <c r="Z636" s="143"/>
      <c r="AA636" s="163" t="s">
        <v>525</v>
      </c>
      <c r="AB636" s="143" t="s">
        <v>528</v>
      </c>
      <c r="AC636" s="155">
        <v>1</v>
      </c>
      <c r="AD636" s="155"/>
      <c r="AE636" s="155"/>
      <c r="AF636" s="155"/>
      <c r="AG636" s="155"/>
      <c r="AH636" s="143"/>
      <c r="AI636" s="158"/>
    </row>
    <row r="637" spans="1:35">
      <c r="A637" s="140"/>
      <c r="B637" s="143"/>
      <c r="C637" s="143" t="s">
        <v>1432</v>
      </c>
      <c r="D637" s="143" t="s">
        <v>501</v>
      </c>
      <c r="E637" s="143" t="s">
        <v>80</v>
      </c>
      <c r="F637" s="143" t="s">
        <v>1722</v>
      </c>
      <c r="G637" s="143" t="s">
        <v>704</v>
      </c>
      <c r="H637" s="143" t="s">
        <v>604</v>
      </c>
      <c r="I637" s="199" t="s">
        <v>1723</v>
      </c>
      <c r="J637" s="182">
        <v>1</v>
      </c>
      <c r="K637" s="182"/>
      <c r="L637" s="155"/>
      <c r="M637" s="155"/>
      <c r="N637" s="155"/>
      <c r="O637" s="155"/>
      <c r="P637" s="155"/>
      <c r="Q637" s="155">
        <v>1</v>
      </c>
      <c r="R637" s="155" t="s">
        <v>1009</v>
      </c>
      <c r="S637" s="155"/>
      <c r="T637" s="155"/>
      <c r="U637" s="183"/>
      <c r="V637" s="143" t="s">
        <v>1280</v>
      </c>
      <c r="W637" s="143" t="s">
        <v>280</v>
      </c>
      <c r="X637" s="143" t="s">
        <v>227</v>
      </c>
      <c r="Y637" s="184">
        <v>9079588938</v>
      </c>
      <c r="Z637" s="143"/>
      <c r="AA637" s="157" t="s">
        <v>877</v>
      </c>
      <c r="AB637" s="143" t="s">
        <v>528</v>
      </c>
      <c r="AC637" s="155">
        <v>1</v>
      </c>
      <c r="AD637" s="155"/>
      <c r="AE637" s="155"/>
      <c r="AF637" s="155"/>
      <c r="AG637" s="155"/>
      <c r="AH637" s="143"/>
      <c r="AI637" s="158"/>
    </row>
    <row r="638" spans="1:35">
      <c r="A638" s="140"/>
      <c r="B638" s="143"/>
      <c r="C638" s="143" t="s">
        <v>1432</v>
      </c>
      <c r="D638" s="143" t="s">
        <v>501</v>
      </c>
      <c r="E638" s="143" t="s">
        <v>80</v>
      </c>
      <c r="F638" s="143" t="s">
        <v>1724</v>
      </c>
      <c r="G638" s="143" t="s">
        <v>1174</v>
      </c>
      <c r="H638" s="143"/>
      <c r="I638" s="199"/>
      <c r="J638" s="182">
        <v>1</v>
      </c>
      <c r="K638" s="182"/>
      <c r="L638" s="155"/>
      <c r="M638" s="155"/>
      <c r="N638" s="155"/>
      <c r="O638" s="155"/>
      <c r="P638" s="155"/>
      <c r="Q638" s="155">
        <v>1</v>
      </c>
      <c r="R638" s="155" t="s">
        <v>1009</v>
      </c>
      <c r="S638" s="155"/>
      <c r="T638" s="155"/>
      <c r="U638" s="183"/>
      <c r="V638" s="143" t="s">
        <v>1280</v>
      </c>
      <c r="W638" s="143" t="s">
        <v>280</v>
      </c>
      <c r="X638" s="143" t="s">
        <v>227</v>
      </c>
      <c r="Y638" s="184"/>
      <c r="Z638" s="143"/>
      <c r="AA638" s="157" t="s">
        <v>877</v>
      </c>
      <c r="AB638" s="143" t="s">
        <v>528</v>
      </c>
      <c r="AC638" s="155">
        <v>1</v>
      </c>
      <c r="AD638" s="155"/>
      <c r="AE638" s="155"/>
      <c r="AF638" s="155"/>
      <c r="AG638" s="155"/>
      <c r="AH638" s="143"/>
      <c r="AI638" s="158"/>
    </row>
    <row r="639" spans="1:35">
      <c r="A639" s="140"/>
      <c r="B639" s="143"/>
      <c r="C639" s="143" t="s">
        <v>1432</v>
      </c>
      <c r="D639" s="143" t="s">
        <v>501</v>
      </c>
      <c r="E639" s="143" t="s">
        <v>80</v>
      </c>
      <c r="F639" s="143" t="s">
        <v>1725</v>
      </c>
      <c r="G639" s="143" t="s">
        <v>698</v>
      </c>
      <c r="H639" s="143"/>
      <c r="I639" s="199"/>
      <c r="J639" s="182">
        <v>1</v>
      </c>
      <c r="K639" s="182"/>
      <c r="L639" s="155"/>
      <c r="M639" s="155"/>
      <c r="N639" s="155"/>
      <c r="O639" s="155"/>
      <c r="P639" s="155"/>
      <c r="Q639" s="155">
        <v>1</v>
      </c>
      <c r="R639" s="155" t="s">
        <v>1009</v>
      </c>
      <c r="S639" s="155"/>
      <c r="T639" s="155"/>
      <c r="U639" s="183"/>
      <c r="V639" s="143" t="s">
        <v>1280</v>
      </c>
      <c r="W639" s="143" t="s">
        <v>280</v>
      </c>
      <c r="X639" s="143" t="s">
        <v>227</v>
      </c>
      <c r="Y639" s="184"/>
      <c r="Z639" s="143"/>
      <c r="AA639" s="157" t="s">
        <v>877</v>
      </c>
      <c r="AB639" s="143" t="s">
        <v>528</v>
      </c>
      <c r="AC639" s="155">
        <v>1</v>
      </c>
      <c r="AD639" s="155"/>
      <c r="AE639" s="155"/>
      <c r="AF639" s="155"/>
      <c r="AG639" s="155"/>
      <c r="AH639" s="143"/>
      <c r="AI639" s="158"/>
    </row>
    <row r="640" spans="1:35">
      <c r="A640" s="140"/>
      <c r="B640" s="143"/>
      <c r="C640" s="143" t="s">
        <v>1432</v>
      </c>
      <c r="D640" s="143" t="s">
        <v>501</v>
      </c>
      <c r="E640" s="143" t="s">
        <v>80</v>
      </c>
      <c r="F640" s="143" t="s">
        <v>1154</v>
      </c>
      <c r="G640" s="143" t="s">
        <v>1726</v>
      </c>
      <c r="H640" s="143"/>
      <c r="I640" s="199"/>
      <c r="J640" s="182">
        <v>1</v>
      </c>
      <c r="K640" s="182"/>
      <c r="L640" s="155"/>
      <c r="M640" s="155"/>
      <c r="N640" s="155"/>
      <c r="O640" s="155"/>
      <c r="P640" s="155"/>
      <c r="Q640" s="155">
        <v>1</v>
      </c>
      <c r="R640" s="155" t="s">
        <v>1009</v>
      </c>
      <c r="S640" s="155"/>
      <c r="T640" s="155"/>
      <c r="U640" s="183"/>
      <c r="V640" s="143" t="s">
        <v>1280</v>
      </c>
      <c r="W640" s="143" t="s">
        <v>280</v>
      </c>
      <c r="X640" s="143" t="s">
        <v>227</v>
      </c>
      <c r="Y640" s="184"/>
      <c r="Z640" s="143"/>
      <c r="AA640" s="157" t="s">
        <v>877</v>
      </c>
      <c r="AB640" s="143" t="s">
        <v>528</v>
      </c>
      <c r="AC640" s="155">
        <v>1</v>
      </c>
      <c r="AD640" s="155"/>
      <c r="AE640" s="155"/>
      <c r="AF640" s="155"/>
      <c r="AG640" s="155"/>
      <c r="AH640" s="143"/>
      <c r="AI640" s="158"/>
    </row>
    <row r="641" spans="1:35">
      <c r="A641" s="140"/>
      <c r="B641" s="143"/>
      <c r="C641" s="143" t="s">
        <v>1432</v>
      </c>
      <c r="D641" s="143" t="s">
        <v>501</v>
      </c>
      <c r="E641" s="143" t="s">
        <v>80</v>
      </c>
      <c r="F641" s="143" t="s">
        <v>110</v>
      </c>
      <c r="G641" s="143" t="s">
        <v>315</v>
      </c>
      <c r="H641" s="143"/>
      <c r="I641" s="199"/>
      <c r="J641" s="182">
        <v>1</v>
      </c>
      <c r="K641" s="182"/>
      <c r="L641" s="155"/>
      <c r="M641" s="155"/>
      <c r="N641" s="155"/>
      <c r="O641" s="155"/>
      <c r="P641" s="155"/>
      <c r="Q641" s="155">
        <v>1</v>
      </c>
      <c r="R641" s="155" t="s">
        <v>1009</v>
      </c>
      <c r="S641" s="155"/>
      <c r="T641" s="155"/>
      <c r="U641" s="183"/>
      <c r="V641" s="143" t="s">
        <v>1280</v>
      </c>
      <c r="W641" s="143" t="s">
        <v>280</v>
      </c>
      <c r="X641" s="143" t="s">
        <v>227</v>
      </c>
      <c r="Y641" s="184"/>
      <c r="Z641" s="143"/>
      <c r="AA641" s="157" t="s">
        <v>877</v>
      </c>
      <c r="AB641" s="143" t="s">
        <v>528</v>
      </c>
      <c r="AC641" s="155">
        <v>1</v>
      </c>
      <c r="AD641" s="155"/>
      <c r="AE641" s="155"/>
      <c r="AF641" s="155"/>
      <c r="AG641" s="155"/>
      <c r="AH641" s="143"/>
      <c r="AI641" s="158"/>
    </row>
    <row r="642" spans="1:35">
      <c r="A642" s="140"/>
      <c r="B642" s="143"/>
      <c r="C642" s="143" t="s">
        <v>1432</v>
      </c>
      <c r="D642" s="143" t="s">
        <v>501</v>
      </c>
      <c r="E642" s="143" t="s">
        <v>80</v>
      </c>
      <c r="F642" s="143" t="s">
        <v>1727</v>
      </c>
      <c r="G642" s="143" t="s">
        <v>1047</v>
      </c>
      <c r="H642" s="143" t="s">
        <v>283</v>
      </c>
      <c r="I642" s="199"/>
      <c r="J642" s="182">
        <v>1</v>
      </c>
      <c r="K642" s="182"/>
      <c r="L642" s="155"/>
      <c r="M642" s="155"/>
      <c r="N642" s="155"/>
      <c r="O642" s="155"/>
      <c r="P642" s="155"/>
      <c r="Q642" s="155">
        <v>1</v>
      </c>
      <c r="R642" s="155" t="s">
        <v>1009</v>
      </c>
      <c r="S642" s="155"/>
      <c r="T642" s="155"/>
      <c r="U642" s="183"/>
      <c r="V642" s="143" t="s">
        <v>223</v>
      </c>
      <c r="W642" s="143" t="s">
        <v>279</v>
      </c>
      <c r="X642" s="143" t="s">
        <v>227</v>
      </c>
      <c r="Y642" s="184"/>
      <c r="Z642" s="143"/>
      <c r="AA642" s="157" t="s">
        <v>877</v>
      </c>
      <c r="AB642" s="143" t="s">
        <v>528</v>
      </c>
      <c r="AC642" s="155">
        <v>1</v>
      </c>
      <c r="AD642" s="155"/>
      <c r="AE642" s="155"/>
      <c r="AF642" s="155"/>
      <c r="AG642" s="155"/>
      <c r="AH642" s="143"/>
      <c r="AI642" s="158"/>
    </row>
    <row r="643" spans="1:35">
      <c r="A643" s="140"/>
      <c r="B643" s="143"/>
      <c r="C643" s="143" t="s">
        <v>1432</v>
      </c>
      <c r="D643" s="143" t="s">
        <v>501</v>
      </c>
      <c r="E643" s="143" t="s">
        <v>80</v>
      </c>
      <c r="F643" s="143" t="s">
        <v>1728</v>
      </c>
      <c r="G643" s="143" t="s">
        <v>776</v>
      </c>
      <c r="H643" s="143" t="s">
        <v>136</v>
      </c>
      <c r="I643" s="199"/>
      <c r="J643" s="182">
        <v>1</v>
      </c>
      <c r="K643" s="182"/>
      <c r="L643" s="155"/>
      <c r="M643" s="155"/>
      <c r="N643" s="155"/>
      <c r="O643" s="155"/>
      <c r="P643" s="155"/>
      <c r="Q643" s="155">
        <v>1</v>
      </c>
      <c r="R643" s="155" t="s">
        <v>1009</v>
      </c>
      <c r="S643" s="155"/>
      <c r="T643" s="155"/>
      <c r="U643" s="183"/>
      <c r="V643" s="143" t="s">
        <v>223</v>
      </c>
      <c r="W643" s="143" t="s">
        <v>279</v>
      </c>
      <c r="X643" s="143" t="s">
        <v>227</v>
      </c>
      <c r="Y643" s="184"/>
      <c r="Z643" s="143"/>
      <c r="AA643" s="157" t="s">
        <v>877</v>
      </c>
      <c r="AB643" s="143" t="s">
        <v>528</v>
      </c>
      <c r="AC643" s="155">
        <v>1</v>
      </c>
      <c r="AD643" s="155"/>
      <c r="AE643" s="155"/>
      <c r="AF643" s="155"/>
      <c r="AG643" s="155"/>
      <c r="AH643" s="143"/>
      <c r="AI643" s="158"/>
    </row>
    <row r="644" spans="1:35">
      <c r="A644" s="140"/>
      <c r="B644" s="143"/>
      <c r="C644" s="143" t="s">
        <v>1432</v>
      </c>
      <c r="D644" s="143" t="s">
        <v>501</v>
      </c>
      <c r="E644" s="143" t="s">
        <v>80</v>
      </c>
      <c r="F644" s="143" t="s">
        <v>1729</v>
      </c>
      <c r="G644" s="143" t="s">
        <v>347</v>
      </c>
      <c r="H644" s="143"/>
      <c r="I644" s="199"/>
      <c r="J644" s="182">
        <v>1</v>
      </c>
      <c r="K644" s="182"/>
      <c r="L644" s="155"/>
      <c r="M644" s="155"/>
      <c r="N644" s="155"/>
      <c r="O644" s="155"/>
      <c r="P644" s="155"/>
      <c r="Q644" s="155">
        <v>1</v>
      </c>
      <c r="R644" s="155" t="s">
        <v>1730</v>
      </c>
      <c r="S644" s="155"/>
      <c r="T644" s="155"/>
      <c r="U644" s="183" t="s">
        <v>853</v>
      </c>
      <c r="V644" s="143" t="s">
        <v>503</v>
      </c>
      <c r="W644" s="143" t="s">
        <v>298</v>
      </c>
      <c r="X644" s="143" t="s">
        <v>227</v>
      </c>
      <c r="Y644" s="184">
        <v>9126717077</v>
      </c>
      <c r="Z644" s="143"/>
      <c r="AA644" s="159" t="s">
        <v>524</v>
      </c>
      <c r="AB644" s="143" t="s">
        <v>528</v>
      </c>
      <c r="AC644" s="155">
        <v>1</v>
      </c>
      <c r="AD644" s="155"/>
      <c r="AE644" s="155"/>
      <c r="AF644" s="155"/>
      <c r="AG644" s="155"/>
      <c r="AH644" s="143"/>
      <c r="AI644" s="158"/>
    </row>
    <row r="645" spans="1:35">
      <c r="A645" s="140"/>
      <c r="B645" s="143"/>
      <c r="C645" s="143" t="s">
        <v>1432</v>
      </c>
      <c r="D645" s="143" t="s">
        <v>501</v>
      </c>
      <c r="E645" s="143" t="s">
        <v>80</v>
      </c>
      <c r="F645" s="143" t="s">
        <v>1731</v>
      </c>
      <c r="G645" s="143" t="s">
        <v>1732</v>
      </c>
      <c r="H645" s="143"/>
      <c r="I645" s="199" t="s">
        <v>1733</v>
      </c>
      <c r="J645" s="182"/>
      <c r="K645" s="182">
        <v>1</v>
      </c>
      <c r="L645" s="155"/>
      <c r="M645" s="155">
        <v>1</v>
      </c>
      <c r="N645" s="155"/>
      <c r="O645" s="155"/>
      <c r="P645" s="155"/>
      <c r="Q645" s="155">
        <v>1</v>
      </c>
      <c r="R645" s="155" t="s">
        <v>1045</v>
      </c>
      <c r="S645" s="155"/>
      <c r="T645" s="155"/>
      <c r="U645" s="183" t="s">
        <v>502</v>
      </c>
      <c r="V645" s="143" t="s">
        <v>503</v>
      </c>
      <c r="W645" s="143" t="s">
        <v>298</v>
      </c>
      <c r="X645" s="143" t="s">
        <v>227</v>
      </c>
      <c r="Y645" s="184"/>
      <c r="Z645" s="143"/>
      <c r="AA645" s="159" t="s">
        <v>524</v>
      </c>
      <c r="AB645" s="143" t="s">
        <v>528</v>
      </c>
      <c r="AC645" s="155">
        <v>1</v>
      </c>
      <c r="AD645" s="155"/>
      <c r="AE645" s="155"/>
      <c r="AF645" s="155"/>
      <c r="AG645" s="155"/>
      <c r="AH645" s="143"/>
      <c r="AI645" s="158"/>
    </row>
    <row r="646" spans="1:35">
      <c r="A646" s="140"/>
      <c r="B646" s="143"/>
      <c r="C646" s="143" t="s">
        <v>1432</v>
      </c>
      <c r="D646" s="143" t="s">
        <v>501</v>
      </c>
      <c r="E646" s="143" t="s">
        <v>80</v>
      </c>
      <c r="F646" s="143" t="s">
        <v>1734</v>
      </c>
      <c r="G646" s="143" t="s">
        <v>1720</v>
      </c>
      <c r="H646" s="143"/>
      <c r="I646" s="199">
        <v>27912</v>
      </c>
      <c r="J646" s="182">
        <v>1</v>
      </c>
      <c r="K646" s="182"/>
      <c r="L646" s="155"/>
      <c r="M646" s="155"/>
      <c r="N646" s="155"/>
      <c r="O646" s="155"/>
      <c r="P646" s="155"/>
      <c r="Q646" s="155">
        <v>1</v>
      </c>
      <c r="R646" s="155" t="s">
        <v>962</v>
      </c>
      <c r="S646" s="155"/>
      <c r="T646" s="155"/>
      <c r="U646" s="183" t="s">
        <v>515</v>
      </c>
      <c r="V646" s="143" t="s">
        <v>503</v>
      </c>
      <c r="W646" s="143" t="s">
        <v>298</v>
      </c>
      <c r="X646" s="143" t="s">
        <v>227</v>
      </c>
      <c r="Y646" s="184">
        <v>9104455803</v>
      </c>
      <c r="Z646" s="143"/>
      <c r="AA646" s="159" t="s">
        <v>524</v>
      </c>
      <c r="AB646" s="143" t="s">
        <v>528</v>
      </c>
      <c r="AC646" s="155">
        <v>1</v>
      </c>
      <c r="AD646" s="155"/>
      <c r="AE646" s="155"/>
      <c r="AF646" s="155"/>
      <c r="AG646" s="155"/>
      <c r="AH646" s="143"/>
      <c r="AI646" s="158"/>
    </row>
    <row r="647" spans="1:35">
      <c r="A647" s="140"/>
      <c r="B647" s="143"/>
      <c r="C647" s="143" t="s">
        <v>1432</v>
      </c>
      <c r="D647" s="143" t="s">
        <v>501</v>
      </c>
      <c r="E647" s="143" t="s">
        <v>80</v>
      </c>
      <c r="F647" s="143" t="s">
        <v>1735</v>
      </c>
      <c r="G647" s="143" t="s">
        <v>181</v>
      </c>
      <c r="H647" s="143"/>
      <c r="I647" s="199"/>
      <c r="J647" s="182">
        <v>1</v>
      </c>
      <c r="K647" s="182"/>
      <c r="L647" s="155"/>
      <c r="M647" s="155"/>
      <c r="N647" s="155"/>
      <c r="O647" s="155"/>
      <c r="P647" s="155"/>
      <c r="Q647" s="155">
        <v>1</v>
      </c>
      <c r="R647" s="155" t="s">
        <v>1736</v>
      </c>
      <c r="S647" s="155"/>
      <c r="T647" s="155"/>
      <c r="U647" s="183" t="s">
        <v>518</v>
      </c>
      <c r="V647" s="143" t="s">
        <v>503</v>
      </c>
      <c r="W647" s="143" t="s">
        <v>298</v>
      </c>
      <c r="X647" s="143" t="s">
        <v>227</v>
      </c>
      <c r="Y647" s="184">
        <v>9976344845</v>
      </c>
      <c r="Z647" s="143"/>
      <c r="AA647" s="159" t="s">
        <v>524</v>
      </c>
      <c r="AB647" s="143" t="s">
        <v>528</v>
      </c>
      <c r="AC647" s="155">
        <v>1</v>
      </c>
      <c r="AD647" s="155"/>
      <c r="AE647" s="155"/>
      <c r="AF647" s="155"/>
      <c r="AG647" s="155"/>
      <c r="AH647" s="143"/>
      <c r="AI647" s="158"/>
    </row>
    <row r="648" spans="1:35">
      <c r="A648" s="140"/>
      <c r="B648" s="143"/>
      <c r="C648" s="143" t="s">
        <v>1432</v>
      </c>
      <c r="D648" s="143" t="s">
        <v>501</v>
      </c>
      <c r="E648" s="143" t="s">
        <v>80</v>
      </c>
      <c r="F648" s="143" t="s">
        <v>1090</v>
      </c>
      <c r="G648" s="143" t="s">
        <v>573</v>
      </c>
      <c r="H648" s="143" t="s">
        <v>120</v>
      </c>
      <c r="I648" s="199">
        <v>22864</v>
      </c>
      <c r="J648" s="182">
        <v>1</v>
      </c>
      <c r="K648" s="182"/>
      <c r="L648" s="155">
        <v>1</v>
      </c>
      <c r="M648" s="155">
        <v>1</v>
      </c>
      <c r="N648" s="155"/>
      <c r="O648" s="155"/>
      <c r="P648" s="155"/>
      <c r="Q648" s="155"/>
      <c r="R648" s="155"/>
      <c r="S648" s="155"/>
      <c r="T648" s="155"/>
      <c r="U648" s="183"/>
      <c r="V648" s="143" t="s">
        <v>1092</v>
      </c>
      <c r="W648" s="143" t="s">
        <v>279</v>
      </c>
      <c r="X648" s="143" t="s">
        <v>227</v>
      </c>
      <c r="Y648" s="184">
        <v>9457900733</v>
      </c>
      <c r="Z648" s="143"/>
      <c r="AA648" s="163" t="s">
        <v>525</v>
      </c>
      <c r="AB648" s="143" t="s">
        <v>528</v>
      </c>
      <c r="AC648" s="155">
        <v>1</v>
      </c>
      <c r="AD648" s="155"/>
      <c r="AE648" s="155"/>
      <c r="AF648" s="155"/>
      <c r="AG648" s="155"/>
      <c r="AH648" s="143"/>
      <c r="AI648" s="158"/>
    </row>
    <row r="649" spans="1:35">
      <c r="A649" s="140"/>
      <c r="B649" s="143"/>
      <c r="C649" s="143" t="s">
        <v>1432</v>
      </c>
      <c r="D649" s="143" t="s">
        <v>501</v>
      </c>
      <c r="E649" s="143" t="s">
        <v>80</v>
      </c>
      <c r="F649" s="143" t="s">
        <v>1090</v>
      </c>
      <c r="G649" s="143" t="s">
        <v>996</v>
      </c>
      <c r="H649" s="143" t="s">
        <v>588</v>
      </c>
      <c r="I649" s="199" t="s">
        <v>1737</v>
      </c>
      <c r="J649" s="182">
        <v>1</v>
      </c>
      <c r="K649" s="182"/>
      <c r="L649" s="155">
        <v>1</v>
      </c>
      <c r="M649" s="155">
        <v>1</v>
      </c>
      <c r="N649" s="155"/>
      <c r="O649" s="155"/>
      <c r="P649" s="155"/>
      <c r="Q649" s="155"/>
      <c r="R649" s="155"/>
      <c r="S649" s="155"/>
      <c r="T649" s="155"/>
      <c r="U649" s="183"/>
      <c r="V649" s="143" t="s">
        <v>1092</v>
      </c>
      <c r="W649" s="143" t="s">
        <v>279</v>
      </c>
      <c r="X649" s="143" t="s">
        <v>227</v>
      </c>
      <c r="Y649" s="184">
        <v>9956349946</v>
      </c>
      <c r="Z649" s="143"/>
      <c r="AA649" s="163" t="s">
        <v>525</v>
      </c>
      <c r="AB649" s="143" t="s">
        <v>528</v>
      </c>
      <c r="AC649" s="155">
        <v>1</v>
      </c>
      <c r="AD649" s="155"/>
      <c r="AE649" s="155"/>
      <c r="AF649" s="155"/>
      <c r="AG649" s="155"/>
      <c r="AH649" s="143"/>
      <c r="AI649" s="158"/>
    </row>
    <row r="650" spans="1:35">
      <c r="A650" s="140"/>
      <c r="B650" s="143"/>
      <c r="C650" s="143" t="s">
        <v>1432</v>
      </c>
      <c r="D650" s="143" t="s">
        <v>501</v>
      </c>
      <c r="E650" s="143" t="s">
        <v>80</v>
      </c>
      <c r="F650" s="143" t="s">
        <v>1738</v>
      </c>
      <c r="G650" s="143" t="s">
        <v>1739</v>
      </c>
      <c r="H650" s="143"/>
      <c r="I650" s="199" t="s">
        <v>1742</v>
      </c>
      <c r="J650" s="182">
        <v>1</v>
      </c>
      <c r="K650" s="182"/>
      <c r="L650" s="155">
        <v>1</v>
      </c>
      <c r="M650" s="155">
        <v>1</v>
      </c>
      <c r="N650" s="155"/>
      <c r="O650" s="155"/>
      <c r="P650" s="155"/>
      <c r="Q650" s="155"/>
      <c r="R650" s="155"/>
      <c r="S650" s="155"/>
      <c r="T650" s="155"/>
      <c r="U650" s="183" t="s">
        <v>354</v>
      </c>
      <c r="V650" s="143" t="s">
        <v>355</v>
      </c>
      <c r="W650" s="143" t="s">
        <v>298</v>
      </c>
      <c r="X650" s="143" t="s">
        <v>227</v>
      </c>
      <c r="Y650" s="184">
        <v>9214104806</v>
      </c>
      <c r="Z650" s="143"/>
      <c r="AA650" s="159" t="s">
        <v>524</v>
      </c>
      <c r="AB650" s="143" t="s">
        <v>528</v>
      </c>
      <c r="AC650" s="155">
        <v>1</v>
      </c>
      <c r="AD650" s="155"/>
      <c r="AE650" s="155"/>
      <c r="AF650" s="155"/>
      <c r="AG650" s="155"/>
      <c r="AH650" s="143"/>
      <c r="AI650" s="158"/>
    </row>
    <row r="651" spans="1:35">
      <c r="A651" s="140"/>
      <c r="B651" s="143"/>
      <c r="C651" s="143" t="s">
        <v>1432</v>
      </c>
      <c r="D651" s="143" t="s">
        <v>501</v>
      </c>
      <c r="E651" s="143" t="s">
        <v>80</v>
      </c>
      <c r="F651" s="143" t="s">
        <v>1740</v>
      </c>
      <c r="G651" s="143" t="s">
        <v>1741</v>
      </c>
      <c r="H651" s="143"/>
      <c r="I651" s="199"/>
      <c r="J651" s="182">
        <v>1</v>
      </c>
      <c r="K651" s="182"/>
      <c r="L651" s="155">
        <v>1</v>
      </c>
      <c r="M651" s="155"/>
      <c r="N651" s="155"/>
      <c r="O651" s="155"/>
      <c r="P651" s="155"/>
      <c r="Q651" s="155"/>
      <c r="R651" s="155"/>
      <c r="S651" s="155"/>
      <c r="T651" s="155"/>
      <c r="U651" s="183" t="s">
        <v>354</v>
      </c>
      <c r="V651" s="143" t="s">
        <v>355</v>
      </c>
      <c r="W651" s="143" t="s">
        <v>298</v>
      </c>
      <c r="X651" s="143" t="s">
        <v>227</v>
      </c>
      <c r="Y651" s="184">
        <v>9244104806</v>
      </c>
      <c r="Z651" s="143"/>
      <c r="AA651" s="159" t="s">
        <v>524</v>
      </c>
      <c r="AB651" s="143" t="s">
        <v>528</v>
      </c>
      <c r="AC651" s="155">
        <v>1</v>
      </c>
      <c r="AD651" s="155"/>
      <c r="AE651" s="155"/>
      <c r="AF651" s="155"/>
      <c r="AG651" s="155"/>
      <c r="AH651" s="143"/>
      <c r="AI651" s="158"/>
    </row>
    <row r="652" spans="1:35">
      <c r="A652" s="140"/>
      <c r="B652" s="143"/>
      <c r="C652" s="143" t="s">
        <v>1432</v>
      </c>
      <c r="D652" s="143" t="s">
        <v>501</v>
      </c>
      <c r="E652" s="143" t="s">
        <v>80</v>
      </c>
      <c r="F652" s="143" t="s">
        <v>1743</v>
      </c>
      <c r="G652" s="143" t="s">
        <v>751</v>
      </c>
      <c r="H652" s="143" t="s">
        <v>1744</v>
      </c>
      <c r="I652" s="199" t="s">
        <v>1747</v>
      </c>
      <c r="J652" s="182">
        <v>1</v>
      </c>
      <c r="K652" s="182"/>
      <c r="L652" s="155"/>
      <c r="M652" s="155"/>
      <c r="N652" s="155"/>
      <c r="O652" s="155"/>
      <c r="P652" s="155"/>
      <c r="Q652" s="155">
        <v>1</v>
      </c>
      <c r="R652" s="155" t="s">
        <v>1045</v>
      </c>
      <c r="S652" s="155"/>
      <c r="T652" s="155"/>
      <c r="U652" s="183" t="s">
        <v>514</v>
      </c>
      <c r="V652" s="143" t="s">
        <v>503</v>
      </c>
      <c r="W652" s="143" t="s">
        <v>298</v>
      </c>
      <c r="X652" s="143" t="s">
        <v>227</v>
      </c>
      <c r="Y652" s="184">
        <v>9633342042</v>
      </c>
      <c r="Z652" s="143"/>
      <c r="AA652" s="159" t="s">
        <v>524</v>
      </c>
      <c r="AB652" s="143" t="s">
        <v>528</v>
      </c>
      <c r="AC652" s="155">
        <v>1</v>
      </c>
      <c r="AD652" s="155"/>
      <c r="AE652" s="155"/>
      <c r="AF652" s="155"/>
      <c r="AG652" s="155"/>
      <c r="AH652" s="143"/>
      <c r="AI652" s="158"/>
    </row>
    <row r="653" spans="1:35">
      <c r="A653" s="140"/>
      <c r="B653" s="143"/>
      <c r="C653" s="143" t="s">
        <v>1432</v>
      </c>
      <c r="D653" s="143" t="s">
        <v>501</v>
      </c>
      <c r="E653" s="143" t="s">
        <v>80</v>
      </c>
      <c r="F653" s="143" t="s">
        <v>1745</v>
      </c>
      <c r="G653" s="143" t="s">
        <v>1746</v>
      </c>
      <c r="H653" s="143"/>
      <c r="I653" s="199"/>
      <c r="J653" s="182">
        <v>1</v>
      </c>
      <c r="K653" s="182"/>
      <c r="L653" s="155"/>
      <c r="M653" s="155"/>
      <c r="N653" s="155"/>
      <c r="O653" s="155"/>
      <c r="P653" s="155"/>
      <c r="Q653" s="155">
        <v>1</v>
      </c>
      <c r="R653" s="155" t="s">
        <v>1045</v>
      </c>
      <c r="S653" s="155"/>
      <c r="T653" s="155"/>
      <c r="U653" s="183" t="s">
        <v>864</v>
      </c>
      <c r="V653" s="143" t="s">
        <v>503</v>
      </c>
      <c r="W653" s="143" t="s">
        <v>298</v>
      </c>
      <c r="X653" s="143" t="s">
        <v>227</v>
      </c>
      <c r="Y653" s="184">
        <v>9175568245</v>
      </c>
      <c r="Z653" s="143"/>
      <c r="AA653" s="159" t="s">
        <v>524</v>
      </c>
      <c r="AB653" s="143" t="s">
        <v>528</v>
      </c>
      <c r="AC653" s="155">
        <v>1</v>
      </c>
      <c r="AD653" s="155"/>
      <c r="AE653" s="155"/>
      <c r="AF653" s="155"/>
      <c r="AG653" s="155"/>
      <c r="AH653" s="143"/>
      <c r="AI653" s="158"/>
    </row>
    <row r="654" spans="1:35">
      <c r="A654" s="140"/>
      <c r="B654" s="143"/>
      <c r="C654" s="143" t="s">
        <v>1432</v>
      </c>
      <c r="D654" s="143" t="s">
        <v>501</v>
      </c>
      <c r="E654" s="143" t="s">
        <v>80</v>
      </c>
      <c r="F654" s="143" t="s">
        <v>1748</v>
      </c>
      <c r="G654" s="143" t="s">
        <v>1749</v>
      </c>
      <c r="H654" s="143"/>
      <c r="I654" s="199" t="s">
        <v>1750</v>
      </c>
      <c r="J654" s="182"/>
      <c r="K654" s="182">
        <v>1</v>
      </c>
      <c r="L654" s="155"/>
      <c r="M654" s="155"/>
      <c r="N654" s="155"/>
      <c r="O654" s="155"/>
      <c r="P654" s="155"/>
      <c r="Q654" s="155">
        <v>1</v>
      </c>
      <c r="R654" s="155" t="s">
        <v>1348</v>
      </c>
      <c r="S654" s="155"/>
      <c r="T654" s="155"/>
      <c r="U654" s="183" t="s">
        <v>859</v>
      </c>
      <c r="V654" s="143" t="s">
        <v>503</v>
      </c>
      <c r="W654" s="143" t="s">
        <v>298</v>
      </c>
      <c r="X654" s="143" t="s">
        <v>227</v>
      </c>
      <c r="Y654" s="184">
        <v>9066380965</v>
      </c>
      <c r="Z654" s="143"/>
      <c r="AA654" s="163" t="s">
        <v>525</v>
      </c>
      <c r="AB654" s="143" t="s">
        <v>528</v>
      </c>
      <c r="AC654" s="155">
        <v>1</v>
      </c>
      <c r="AD654" s="155"/>
      <c r="AE654" s="155"/>
      <c r="AF654" s="155"/>
      <c r="AG654" s="155"/>
      <c r="AH654" s="143"/>
      <c r="AI654" s="158"/>
    </row>
    <row r="655" spans="1:35">
      <c r="A655" s="140"/>
      <c r="B655" s="143"/>
      <c r="C655" s="143" t="s">
        <v>1432</v>
      </c>
      <c r="D655" s="143" t="s">
        <v>501</v>
      </c>
      <c r="E655" s="143" t="s">
        <v>80</v>
      </c>
      <c r="F655" s="143" t="s">
        <v>1108</v>
      </c>
      <c r="G655" s="143" t="s">
        <v>1288</v>
      </c>
      <c r="H655" s="143" t="s">
        <v>115</v>
      </c>
      <c r="I655" s="199" t="s">
        <v>1289</v>
      </c>
      <c r="J655" s="182"/>
      <c r="K655" s="182">
        <v>1</v>
      </c>
      <c r="L655" s="155"/>
      <c r="M655" s="155"/>
      <c r="N655" s="155"/>
      <c r="O655" s="155"/>
      <c r="P655" s="155"/>
      <c r="Q655" s="155">
        <v>1</v>
      </c>
      <c r="R655" s="155" t="s">
        <v>1348</v>
      </c>
      <c r="S655" s="155"/>
      <c r="T655" s="155"/>
      <c r="U655" s="183" t="s">
        <v>859</v>
      </c>
      <c r="V655" s="143" t="s">
        <v>503</v>
      </c>
      <c r="W655" s="143" t="s">
        <v>298</v>
      </c>
      <c r="X655" s="143" t="s">
        <v>227</v>
      </c>
      <c r="Y655" s="184">
        <v>9368500335</v>
      </c>
      <c r="Z655" s="143"/>
      <c r="AA655" s="163" t="s">
        <v>525</v>
      </c>
      <c r="AB655" s="143" t="s">
        <v>528</v>
      </c>
      <c r="AC655" s="155">
        <v>1</v>
      </c>
      <c r="AD655" s="155"/>
      <c r="AE655" s="155"/>
      <c r="AF655" s="155"/>
      <c r="AG655" s="155"/>
      <c r="AH655" s="143"/>
      <c r="AI655" s="158"/>
    </row>
    <row r="656" spans="1:35">
      <c r="A656" s="140"/>
      <c r="B656" s="143"/>
      <c r="C656" s="143" t="s">
        <v>1432</v>
      </c>
      <c r="D656" s="143" t="s">
        <v>501</v>
      </c>
      <c r="E656" s="143" t="s">
        <v>80</v>
      </c>
      <c r="F656" s="143" t="s">
        <v>1751</v>
      </c>
      <c r="G656" s="143" t="s">
        <v>1752</v>
      </c>
      <c r="H656" s="143"/>
      <c r="I656" s="199" t="s">
        <v>1753</v>
      </c>
      <c r="J656" s="182"/>
      <c r="K656" s="182">
        <v>1</v>
      </c>
      <c r="L656" s="155"/>
      <c r="M656" s="155"/>
      <c r="N656" s="155"/>
      <c r="O656" s="155"/>
      <c r="P656" s="155"/>
      <c r="Q656" s="155">
        <v>1</v>
      </c>
      <c r="R656" s="155" t="s">
        <v>1348</v>
      </c>
      <c r="S656" s="155"/>
      <c r="T656" s="155"/>
      <c r="U656" s="183" t="s">
        <v>295</v>
      </c>
      <c r="V656" s="143" t="s">
        <v>503</v>
      </c>
      <c r="W656" s="143" t="s">
        <v>298</v>
      </c>
      <c r="X656" s="143" t="s">
        <v>227</v>
      </c>
      <c r="Y656" s="184">
        <v>9956896902</v>
      </c>
      <c r="Z656" s="143"/>
      <c r="AA656" s="163" t="s">
        <v>525</v>
      </c>
      <c r="AB656" s="143" t="s">
        <v>528</v>
      </c>
      <c r="AC656" s="155">
        <v>1</v>
      </c>
      <c r="AD656" s="155"/>
      <c r="AE656" s="155"/>
      <c r="AF656" s="155"/>
      <c r="AG656" s="155"/>
      <c r="AH656" s="143"/>
      <c r="AI656" s="158"/>
    </row>
    <row r="657" spans="1:35">
      <c r="A657" s="140"/>
      <c r="B657" s="143"/>
      <c r="C657" s="143" t="s">
        <v>1432</v>
      </c>
      <c r="D657" s="143" t="s">
        <v>501</v>
      </c>
      <c r="E657" s="143" t="s">
        <v>80</v>
      </c>
      <c r="F657" s="143" t="s">
        <v>1755</v>
      </c>
      <c r="G657" s="143" t="s">
        <v>1756</v>
      </c>
      <c r="H657" s="143" t="s">
        <v>115</v>
      </c>
      <c r="I657" s="199" t="s">
        <v>1757</v>
      </c>
      <c r="J657" s="182">
        <v>1</v>
      </c>
      <c r="K657" s="182"/>
      <c r="L657" s="155">
        <v>1</v>
      </c>
      <c r="M657" s="155"/>
      <c r="N657" s="155"/>
      <c r="O657" s="155"/>
      <c r="P657" s="155"/>
      <c r="Q657" s="155"/>
      <c r="R657" s="155"/>
      <c r="S657" s="155"/>
      <c r="T657" s="155"/>
      <c r="U657" s="183" t="s">
        <v>295</v>
      </c>
      <c r="V657" s="143" t="s">
        <v>503</v>
      </c>
      <c r="W657" s="143" t="s">
        <v>298</v>
      </c>
      <c r="X657" s="143" t="s">
        <v>227</v>
      </c>
      <c r="Y657" s="153">
        <v>9357514235</v>
      </c>
      <c r="Z657" s="143"/>
      <c r="AA657" s="157" t="s">
        <v>877</v>
      </c>
      <c r="AB657" s="143" t="s">
        <v>528</v>
      </c>
      <c r="AC657" s="155">
        <v>1</v>
      </c>
      <c r="AD657" s="155"/>
      <c r="AE657" s="155"/>
      <c r="AF657" s="155"/>
      <c r="AG657" s="155"/>
      <c r="AH657" s="143"/>
      <c r="AI657" s="158"/>
    </row>
    <row r="658" spans="1:35">
      <c r="A658" s="140"/>
      <c r="B658" s="143"/>
      <c r="C658" s="143" t="s">
        <v>1432</v>
      </c>
      <c r="D658" s="143" t="s">
        <v>501</v>
      </c>
      <c r="E658" s="143" t="s">
        <v>80</v>
      </c>
      <c r="F658" s="143" t="s">
        <v>1758</v>
      </c>
      <c r="G658" s="143" t="s">
        <v>1759</v>
      </c>
      <c r="H658" s="143" t="s">
        <v>136</v>
      </c>
      <c r="I658" s="199">
        <v>25509</v>
      </c>
      <c r="J658" s="182">
        <v>1</v>
      </c>
      <c r="K658" s="182"/>
      <c r="L658" s="155">
        <v>1</v>
      </c>
      <c r="M658" s="155"/>
      <c r="N658" s="155"/>
      <c r="O658" s="155"/>
      <c r="P658" s="155"/>
      <c r="Q658" s="155"/>
      <c r="R658" s="155"/>
      <c r="S658" s="155"/>
      <c r="T658" s="155"/>
      <c r="U658" s="183" t="s">
        <v>295</v>
      </c>
      <c r="V658" s="143" t="s">
        <v>503</v>
      </c>
      <c r="W658" s="143" t="s">
        <v>298</v>
      </c>
      <c r="X658" s="143" t="s">
        <v>227</v>
      </c>
      <c r="Y658" s="153">
        <v>9357514235</v>
      </c>
      <c r="Z658" s="143"/>
      <c r="AA658" s="157" t="s">
        <v>877</v>
      </c>
      <c r="AB658" s="143" t="s">
        <v>528</v>
      </c>
      <c r="AC658" s="155">
        <v>1</v>
      </c>
      <c r="AD658" s="155"/>
      <c r="AE658" s="155"/>
      <c r="AF658" s="155"/>
      <c r="AG658" s="155"/>
      <c r="AH658" s="143"/>
      <c r="AI658" s="158"/>
    </row>
    <row r="659" spans="1:35">
      <c r="A659" s="140"/>
      <c r="B659" s="143"/>
      <c r="C659" s="143" t="s">
        <v>1432</v>
      </c>
      <c r="D659" s="143" t="s">
        <v>501</v>
      </c>
      <c r="E659" s="143" t="s">
        <v>80</v>
      </c>
      <c r="F659" s="143" t="s">
        <v>413</v>
      </c>
      <c r="G659" s="143" t="s">
        <v>1760</v>
      </c>
      <c r="H659" s="143" t="s">
        <v>604</v>
      </c>
      <c r="I659" s="199" t="s">
        <v>1761</v>
      </c>
      <c r="J659" s="182">
        <v>1</v>
      </c>
      <c r="K659" s="182"/>
      <c r="L659" s="155">
        <v>1</v>
      </c>
      <c r="M659" s="155"/>
      <c r="N659" s="155"/>
      <c r="O659" s="155"/>
      <c r="P659" s="155"/>
      <c r="Q659" s="155"/>
      <c r="R659" s="155"/>
      <c r="S659" s="155"/>
      <c r="T659" s="155"/>
      <c r="U659" s="183" t="s">
        <v>295</v>
      </c>
      <c r="V659" s="143" t="s">
        <v>503</v>
      </c>
      <c r="W659" s="143" t="s">
        <v>298</v>
      </c>
      <c r="X659" s="143" t="s">
        <v>227</v>
      </c>
      <c r="Y659" s="153">
        <v>9460611563</v>
      </c>
      <c r="Z659" s="143"/>
      <c r="AA659" s="157" t="s">
        <v>877</v>
      </c>
      <c r="AB659" s="143" t="s">
        <v>528</v>
      </c>
      <c r="AC659" s="155">
        <v>1</v>
      </c>
      <c r="AD659" s="155"/>
      <c r="AE659" s="155"/>
      <c r="AF659" s="155"/>
      <c r="AG659" s="155"/>
      <c r="AH659" s="143"/>
      <c r="AI659" s="158"/>
    </row>
    <row r="660" spans="1:35">
      <c r="A660" s="140"/>
      <c r="B660" s="143"/>
      <c r="C660" s="143" t="s">
        <v>1432</v>
      </c>
      <c r="D660" s="143" t="s">
        <v>501</v>
      </c>
      <c r="E660" s="143" t="s">
        <v>80</v>
      </c>
      <c r="F660" s="143" t="s">
        <v>1762</v>
      </c>
      <c r="G660" s="143" t="s">
        <v>1615</v>
      </c>
      <c r="H660" s="143" t="s">
        <v>126</v>
      </c>
      <c r="I660" s="199">
        <v>29748</v>
      </c>
      <c r="J660" s="182">
        <v>1</v>
      </c>
      <c r="K660" s="182"/>
      <c r="L660" s="155">
        <v>1</v>
      </c>
      <c r="M660" s="155"/>
      <c r="N660" s="155"/>
      <c r="O660" s="155"/>
      <c r="P660" s="155"/>
      <c r="Q660" s="155"/>
      <c r="R660" s="155"/>
      <c r="S660" s="155"/>
      <c r="T660" s="155"/>
      <c r="U660" s="183" t="s">
        <v>295</v>
      </c>
      <c r="V660" s="143" t="s">
        <v>503</v>
      </c>
      <c r="W660" s="143" t="s">
        <v>298</v>
      </c>
      <c r="X660" s="143" t="s">
        <v>227</v>
      </c>
      <c r="Y660" s="153">
        <v>9357514235</v>
      </c>
      <c r="Z660" s="143"/>
      <c r="AA660" s="157" t="s">
        <v>877</v>
      </c>
      <c r="AB660" s="143" t="s">
        <v>528</v>
      </c>
      <c r="AC660" s="155">
        <v>1</v>
      </c>
      <c r="AD660" s="155"/>
      <c r="AE660" s="155"/>
      <c r="AF660" s="155"/>
      <c r="AG660" s="155"/>
      <c r="AH660" s="143"/>
      <c r="AI660" s="158"/>
    </row>
    <row r="661" spans="1:35">
      <c r="A661" s="140"/>
      <c r="B661" s="143"/>
      <c r="C661" s="143" t="s">
        <v>1432</v>
      </c>
      <c r="D661" s="143" t="s">
        <v>501</v>
      </c>
      <c r="E661" s="143" t="s">
        <v>80</v>
      </c>
      <c r="F661" s="143" t="s">
        <v>1763</v>
      </c>
      <c r="G661" s="143" t="s">
        <v>1764</v>
      </c>
      <c r="H661" s="143" t="s">
        <v>113</v>
      </c>
      <c r="I661" s="199">
        <v>25148</v>
      </c>
      <c r="J661" s="182">
        <v>1</v>
      </c>
      <c r="K661" s="182"/>
      <c r="L661" s="155">
        <v>1</v>
      </c>
      <c r="M661" s="155"/>
      <c r="N661" s="155"/>
      <c r="O661" s="155"/>
      <c r="P661" s="155"/>
      <c r="Q661" s="155"/>
      <c r="R661" s="155"/>
      <c r="S661" s="155"/>
      <c r="T661" s="155"/>
      <c r="U661" s="183" t="s">
        <v>295</v>
      </c>
      <c r="V661" s="143" t="s">
        <v>503</v>
      </c>
      <c r="W661" s="143" t="s">
        <v>298</v>
      </c>
      <c r="X661" s="143" t="s">
        <v>227</v>
      </c>
      <c r="Y661" s="153">
        <v>9357514235</v>
      </c>
      <c r="Z661" s="143"/>
      <c r="AA661" s="157" t="s">
        <v>877</v>
      </c>
      <c r="AB661" s="143" t="s">
        <v>528</v>
      </c>
      <c r="AC661" s="155">
        <v>1</v>
      </c>
      <c r="AD661" s="155"/>
      <c r="AE661" s="155"/>
      <c r="AF661" s="155"/>
      <c r="AG661" s="155"/>
      <c r="AH661" s="143"/>
      <c r="AI661" s="158"/>
    </row>
    <row r="662" spans="1:35">
      <c r="A662" s="140"/>
      <c r="B662" s="143"/>
      <c r="C662" s="143" t="s">
        <v>1432</v>
      </c>
      <c r="D662" s="143" t="s">
        <v>501</v>
      </c>
      <c r="E662" s="143" t="s">
        <v>80</v>
      </c>
      <c r="F662" s="143" t="s">
        <v>1765</v>
      </c>
      <c r="G662" s="143" t="s">
        <v>1766</v>
      </c>
      <c r="H662" s="143" t="s">
        <v>115</v>
      </c>
      <c r="I662" s="199" t="s">
        <v>1767</v>
      </c>
      <c r="J662" s="182">
        <v>1</v>
      </c>
      <c r="K662" s="182"/>
      <c r="L662" s="155">
        <v>1</v>
      </c>
      <c r="M662" s="155">
        <v>1</v>
      </c>
      <c r="N662" s="155"/>
      <c r="O662" s="155"/>
      <c r="P662" s="155"/>
      <c r="Q662" s="155"/>
      <c r="R662" s="155"/>
      <c r="S662" s="155"/>
      <c r="T662" s="155"/>
      <c r="U662" s="183" t="s">
        <v>295</v>
      </c>
      <c r="V662" s="143" t="s">
        <v>503</v>
      </c>
      <c r="W662" s="143" t="s">
        <v>298</v>
      </c>
      <c r="X662" s="143" t="s">
        <v>227</v>
      </c>
      <c r="Y662" s="153">
        <v>9357514235</v>
      </c>
      <c r="Z662" s="143"/>
      <c r="AA662" s="157" t="s">
        <v>877</v>
      </c>
      <c r="AB662" s="143" t="s">
        <v>528</v>
      </c>
      <c r="AC662" s="155">
        <v>1</v>
      </c>
      <c r="AD662" s="155"/>
      <c r="AE662" s="155"/>
      <c r="AF662" s="155"/>
      <c r="AG662" s="155"/>
      <c r="AH662" s="143"/>
      <c r="AI662" s="158"/>
    </row>
    <row r="663" spans="1:35">
      <c r="A663" s="140"/>
      <c r="B663" s="143"/>
      <c r="C663" s="143" t="s">
        <v>1432</v>
      </c>
      <c r="D663" s="143" t="s">
        <v>501</v>
      </c>
      <c r="E663" s="143" t="s">
        <v>80</v>
      </c>
      <c r="F663" s="143" t="s">
        <v>1768</v>
      </c>
      <c r="G663" s="143" t="s">
        <v>1769</v>
      </c>
      <c r="H663" s="143" t="s">
        <v>115</v>
      </c>
      <c r="I663" s="199"/>
      <c r="J663" s="182">
        <v>1</v>
      </c>
      <c r="K663" s="182"/>
      <c r="L663" s="155"/>
      <c r="M663" s="155"/>
      <c r="N663" s="155"/>
      <c r="O663" s="155"/>
      <c r="P663" s="155"/>
      <c r="Q663" s="155">
        <v>1</v>
      </c>
      <c r="R663" s="155" t="s">
        <v>1045</v>
      </c>
      <c r="S663" s="155"/>
      <c r="T663" s="155"/>
      <c r="U663" s="183"/>
      <c r="V663" s="143"/>
      <c r="W663" s="143"/>
      <c r="X663" s="143" t="s">
        <v>1257</v>
      </c>
      <c r="Y663" s="184"/>
      <c r="Z663" s="143"/>
      <c r="AA663" s="159" t="s">
        <v>524</v>
      </c>
      <c r="AB663" s="143" t="s">
        <v>528</v>
      </c>
      <c r="AC663" s="155">
        <v>1</v>
      </c>
      <c r="AD663" s="155"/>
      <c r="AE663" s="155"/>
      <c r="AF663" s="155"/>
      <c r="AG663" s="155"/>
      <c r="AH663" s="143"/>
      <c r="AI663" s="158"/>
    </row>
    <row r="664" spans="1:35">
      <c r="A664" s="140"/>
      <c r="B664" s="143"/>
      <c r="C664" s="143" t="s">
        <v>1432</v>
      </c>
      <c r="D664" s="143" t="s">
        <v>501</v>
      </c>
      <c r="E664" s="143" t="s">
        <v>80</v>
      </c>
      <c r="F664" s="143" t="s">
        <v>1435</v>
      </c>
      <c r="G664" s="143" t="s">
        <v>1239</v>
      </c>
      <c r="H664" s="143" t="s">
        <v>113</v>
      </c>
      <c r="I664" s="199"/>
      <c r="J664" s="182">
        <v>1</v>
      </c>
      <c r="K664" s="182"/>
      <c r="L664" s="155"/>
      <c r="M664" s="155"/>
      <c r="N664" s="155"/>
      <c r="O664" s="155"/>
      <c r="P664" s="155"/>
      <c r="Q664" s="155">
        <v>1</v>
      </c>
      <c r="R664" s="155" t="s">
        <v>1009</v>
      </c>
      <c r="S664" s="155"/>
      <c r="T664" s="155"/>
      <c r="U664" s="183"/>
      <c r="V664" s="143" t="s">
        <v>949</v>
      </c>
      <c r="W664" s="143" t="s">
        <v>280</v>
      </c>
      <c r="X664" s="143" t="s">
        <v>227</v>
      </c>
      <c r="Y664" s="184"/>
      <c r="Z664" s="143"/>
      <c r="AA664" s="159" t="s">
        <v>524</v>
      </c>
      <c r="AB664" s="143" t="s">
        <v>528</v>
      </c>
      <c r="AC664" s="155">
        <v>1</v>
      </c>
      <c r="AD664" s="155"/>
      <c r="AE664" s="155"/>
      <c r="AF664" s="155"/>
      <c r="AG664" s="155"/>
      <c r="AH664" s="143"/>
      <c r="AI664" s="158"/>
    </row>
    <row r="665" spans="1:35">
      <c r="A665" s="140"/>
      <c r="B665" s="143"/>
      <c r="C665" s="143" t="s">
        <v>1432</v>
      </c>
      <c r="D665" s="143" t="s">
        <v>501</v>
      </c>
      <c r="E665" s="143" t="s">
        <v>80</v>
      </c>
      <c r="F665" s="143" t="s">
        <v>1770</v>
      </c>
      <c r="G665" s="143" t="s">
        <v>1771</v>
      </c>
      <c r="H665" s="143"/>
      <c r="I665" s="199"/>
      <c r="J665" s="182">
        <v>1</v>
      </c>
      <c r="K665" s="182"/>
      <c r="L665" s="155"/>
      <c r="M665" s="155"/>
      <c r="N665" s="155"/>
      <c r="O665" s="155"/>
      <c r="P665" s="155"/>
      <c r="Q665" s="155">
        <v>1</v>
      </c>
      <c r="R665" s="155" t="s">
        <v>1045</v>
      </c>
      <c r="S665" s="155"/>
      <c r="T665" s="155"/>
      <c r="U665" s="183" t="s">
        <v>506</v>
      </c>
      <c r="V665" s="143" t="s">
        <v>503</v>
      </c>
      <c r="W665" s="143" t="s">
        <v>298</v>
      </c>
      <c r="X665" s="143" t="s">
        <v>227</v>
      </c>
      <c r="Y665" s="184"/>
      <c r="Z665" s="143"/>
      <c r="AA665" s="159" t="s">
        <v>524</v>
      </c>
      <c r="AB665" s="143" t="s">
        <v>528</v>
      </c>
      <c r="AC665" s="155">
        <v>1</v>
      </c>
      <c r="AD665" s="155"/>
      <c r="AE665" s="155"/>
      <c r="AF665" s="155"/>
      <c r="AG665" s="155"/>
      <c r="AH665" s="143"/>
      <c r="AI665" s="158"/>
    </row>
    <row r="666" spans="1:35">
      <c r="A666" s="140"/>
      <c r="B666" s="143"/>
      <c r="C666" s="143"/>
      <c r="D666" s="143"/>
      <c r="E666" s="143"/>
      <c r="F666" s="143"/>
      <c r="G666" s="143"/>
      <c r="H666" s="143"/>
      <c r="I666" s="199"/>
      <c r="J666" s="182"/>
      <c r="K666" s="182"/>
      <c r="L666" s="155"/>
      <c r="M666" s="155"/>
      <c r="N666" s="155"/>
      <c r="O666" s="155"/>
      <c r="P666" s="155"/>
      <c r="Q666" s="155"/>
      <c r="R666" s="155"/>
      <c r="S666" s="155"/>
      <c r="T666" s="155"/>
      <c r="U666" s="183"/>
      <c r="V666" s="143"/>
      <c r="W666" s="143"/>
      <c r="X666" s="143"/>
      <c r="Y666" s="184"/>
      <c r="Z666" s="143"/>
      <c r="AA666" s="159"/>
      <c r="AB666" s="143"/>
      <c r="AC666" s="155"/>
      <c r="AD666" s="155"/>
      <c r="AE666" s="155"/>
      <c r="AF666" s="155"/>
      <c r="AG666" s="155"/>
      <c r="AH666" s="143"/>
      <c r="AI666" s="158"/>
    </row>
    <row r="667" spans="1:35" s="6" customFormat="1">
      <c r="A667" s="149"/>
      <c r="B667" s="150"/>
      <c r="C667" s="150" t="s">
        <v>83</v>
      </c>
      <c r="D667" s="150"/>
      <c r="E667" s="150"/>
      <c r="F667" s="150"/>
      <c r="G667" s="150"/>
      <c r="H667" s="150"/>
      <c r="I667" s="237"/>
      <c r="J667" s="151">
        <f>SUM(J668:J885)</f>
        <v>142</v>
      </c>
      <c r="K667" s="151">
        <f t="shared" ref="K667:Q667" si="2">SUM(K668:K885)</f>
        <v>72</v>
      </c>
      <c r="L667" s="151">
        <f t="shared" si="2"/>
        <v>118</v>
      </c>
      <c r="M667" s="151">
        <f t="shared" si="2"/>
        <v>14</v>
      </c>
      <c r="N667" s="151">
        <f t="shared" si="2"/>
        <v>0</v>
      </c>
      <c r="O667" s="151">
        <f t="shared" si="2"/>
        <v>0</v>
      </c>
      <c r="P667" s="151">
        <f t="shared" si="2"/>
        <v>0</v>
      </c>
      <c r="Q667" s="151">
        <f t="shared" si="2"/>
        <v>92</v>
      </c>
      <c r="R667" s="151"/>
      <c r="S667" s="151">
        <f>SUM(S668:S700)</f>
        <v>0</v>
      </c>
      <c r="T667" s="151">
        <f>SUM(T668:T700)</f>
        <v>0</v>
      </c>
      <c r="U667" s="150"/>
      <c r="V667" s="150"/>
      <c r="W667" s="150"/>
      <c r="X667" s="150"/>
      <c r="Y667" s="150"/>
      <c r="Z667" s="150"/>
      <c r="AA667" s="150"/>
      <c r="AB667" s="150"/>
      <c r="AC667" s="151">
        <f>SUM(AC668:AC885)</f>
        <v>226</v>
      </c>
      <c r="AD667" s="151">
        <f>SUM(AD668:AD700)</f>
        <v>0</v>
      </c>
      <c r="AE667" s="151" t="e">
        <f>AVERAGE(AE668:AE700)</f>
        <v>#DIV/0!</v>
      </c>
      <c r="AF667" s="151" t="e">
        <f>AVERAGE(AF668:AF700)</f>
        <v>#DIV/0!</v>
      </c>
      <c r="AG667" s="151" t="e">
        <f>AVERAGE(AG668:AG700)</f>
        <v>#DIV/0!</v>
      </c>
      <c r="AH667" s="150"/>
      <c r="AI667" s="152"/>
    </row>
    <row r="668" spans="1:35">
      <c r="A668" s="140"/>
      <c r="B668" s="143"/>
      <c r="C668" s="143" t="s">
        <v>1836</v>
      </c>
      <c r="D668" s="143" t="s">
        <v>501</v>
      </c>
      <c r="E668" s="143" t="s">
        <v>80</v>
      </c>
      <c r="F668" s="143" t="s">
        <v>1834</v>
      </c>
      <c r="G668" s="143" t="s">
        <v>1835</v>
      </c>
      <c r="H668" s="143"/>
      <c r="I668" s="199"/>
      <c r="J668" s="182">
        <v>1</v>
      </c>
      <c r="K668" s="182"/>
      <c r="L668" s="155"/>
      <c r="M668" s="155"/>
      <c r="N668" s="155"/>
      <c r="O668" s="155"/>
      <c r="P668" s="155"/>
      <c r="Q668" s="155">
        <v>1</v>
      </c>
      <c r="R668" s="155" t="s">
        <v>1009</v>
      </c>
      <c r="S668" s="155"/>
      <c r="T668" s="155"/>
      <c r="U668" s="183"/>
      <c r="V668" s="143" t="s">
        <v>350</v>
      </c>
      <c r="W668" s="143" t="s">
        <v>279</v>
      </c>
      <c r="X668" s="143" t="s">
        <v>227</v>
      </c>
      <c r="Y668" s="184"/>
      <c r="Z668" s="143"/>
      <c r="AA668" s="162" t="s">
        <v>877</v>
      </c>
      <c r="AB668" s="143" t="s">
        <v>528</v>
      </c>
      <c r="AC668" s="155">
        <v>1</v>
      </c>
      <c r="AD668" s="155"/>
      <c r="AE668" s="155"/>
      <c r="AF668" s="155"/>
      <c r="AG668" s="155"/>
      <c r="AH668" s="143"/>
      <c r="AI668" s="158"/>
    </row>
    <row r="669" spans="1:35">
      <c r="A669" s="140"/>
      <c r="B669" s="143"/>
      <c r="C669" s="143" t="s">
        <v>1836</v>
      </c>
      <c r="D669" s="143" t="s">
        <v>501</v>
      </c>
      <c r="E669" s="143" t="s">
        <v>80</v>
      </c>
      <c r="F669" s="143" t="s">
        <v>1837</v>
      </c>
      <c r="G669" s="143" t="s">
        <v>1838</v>
      </c>
      <c r="H669" s="143"/>
      <c r="I669" s="199"/>
      <c r="J669" s="182">
        <v>1</v>
      </c>
      <c r="K669" s="182"/>
      <c r="L669" s="155"/>
      <c r="M669" s="155"/>
      <c r="N669" s="155"/>
      <c r="O669" s="155"/>
      <c r="P669" s="155"/>
      <c r="Q669" s="155">
        <v>1</v>
      </c>
      <c r="R669" s="155" t="s">
        <v>1009</v>
      </c>
      <c r="S669" s="155"/>
      <c r="T669" s="155"/>
      <c r="U669" s="183"/>
      <c r="V669" s="143" t="s">
        <v>350</v>
      </c>
      <c r="W669" s="143" t="s">
        <v>279</v>
      </c>
      <c r="X669" s="143" t="s">
        <v>227</v>
      </c>
      <c r="Y669" s="184"/>
      <c r="Z669" s="143"/>
      <c r="AA669" s="162" t="s">
        <v>877</v>
      </c>
      <c r="AB669" s="143" t="s">
        <v>528</v>
      </c>
      <c r="AC669" s="155">
        <v>1</v>
      </c>
      <c r="AD669" s="155"/>
      <c r="AE669" s="155"/>
      <c r="AF669" s="155"/>
      <c r="AG669" s="155"/>
      <c r="AH669" s="143"/>
      <c r="AI669" s="158"/>
    </row>
    <row r="670" spans="1:35">
      <c r="A670" s="140"/>
      <c r="B670" s="143"/>
      <c r="C670" s="143" t="s">
        <v>1836</v>
      </c>
      <c r="D670" s="143" t="s">
        <v>501</v>
      </c>
      <c r="E670" s="143" t="s">
        <v>80</v>
      </c>
      <c r="F670" s="143" t="s">
        <v>1842</v>
      </c>
      <c r="G670" s="143" t="s">
        <v>398</v>
      </c>
      <c r="H670" s="143" t="s">
        <v>144</v>
      </c>
      <c r="I670" s="199"/>
      <c r="J670" s="182">
        <v>1</v>
      </c>
      <c r="K670" s="182"/>
      <c r="L670" s="155"/>
      <c r="M670" s="155"/>
      <c r="N670" s="155"/>
      <c r="O670" s="155"/>
      <c r="P670" s="155"/>
      <c r="Q670" s="155">
        <v>1</v>
      </c>
      <c r="R670" s="196" t="s">
        <v>1045</v>
      </c>
      <c r="S670" s="155"/>
      <c r="T670" s="155"/>
      <c r="U670" s="183" t="s">
        <v>508</v>
      </c>
      <c r="V670" s="143" t="s">
        <v>503</v>
      </c>
      <c r="W670" s="143" t="s">
        <v>298</v>
      </c>
      <c r="X670" s="143" t="s">
        <v>227</v>
      </c>
      <c r="Y670" s="184"/>
      <c r="Z670" s="143"/>
      <c r="AA670" s="162" t="s">
        <v>524</v>
      </c>
      <c r="AB670" s="143" t="s">
        <v>528</v>
      </c>
      <c r="AC670" s="155">
        <v>1</v>
      </c>
      <c r="AD670" s="155"/>
      <c r="AE670" s="155"/>
      <c r="AF670" s="155"/>
      <c r="AG670" s="155"/>
      <c r="AH670" s="143"/>
      <c r="AI670" s="158"/>
    </row>
    <row r="671" spans="1:35">
      <c r="A671" s="140"/>
      <c r="B671" s="143"/>
      <c r="C671" s="143" t="s">
        <v>1836</v>
      </c>
      <c r="D671" s="143" t="s">
        <v>501</v>
      </c>
      <c r="E671" s="143" t="s">
        <v>80</v>
      </c>
      <c r="F671" s="143" t="s">
        <v>1839</v>
      </c>
      <c r="G671" s="143" t="s">
        <v>1840</v>
      </c>
      <c r="H671" s="143"/>
      <c r="I671" s="199"/>
      <c r="J671" s="182"/>
      <c r="K671" s="182">
        <v>1</v>
      </c>
      <c r="L671" s="155"/>
      <c r="M671" s="155"/>
      <c r="N671" s="155"/>
      <c r="O671" s="155"/>
      <c r="P671" s="155"/>
      <c r="Q671" s="155">
        <v>1</v>
      </c>
      <c r="R671" s="155" t="s">
        <v>1009</v>
      </c>
      <c r="S671" s="155"/>
      <c r="T671" s="155"/>
      <c r="U671" s="183" t="s">
        <v>507</v>
      </c>
      <c r="V671" s="143" t="s">
        <v>503</v>
      </c>
      <c r="W671" s="143" t="s">
        <v>298</v>
      </c>
      <c r="X671" s="143" t="s">
        <v>227</v>
      </c>
      <c r="Y671" s="184"/>
      <c r="Z671" s="143"/>
      <c r="AA671" s="162" t="s">
        <v>877</v>
      </c>
      <c r="AB671" s="143" t="s">
        <v>528</v>
      </c>
      <c r="AC671" s="155">
        <v>1</v>
      </c>
      <c r="AD671" s="155"/>
      <c r="AE671" s="155"/>
      <c r="AF671" s="155"/>
      <c r="AG671" s="155"/>
      <c r="AH671" s="143"/>
      <c r="AI671" s="158"/>
    </row>
    <row r="672" spans="1:35">
      <c r="A672" s="140"/>
      <c r="B672" s="143"/>
      <c r="C672" s="143" t="s">
        <v>1836</v>
      </c>
      <c r="D672" s="143" t="s">
        <v>501</v>
      </c>
      <c r="E672" s="143" t="s">
        <v>80</v>
      </c>
      <c r="F672" s="143" t="s">
        <v>466</v>
      </c>
      <c r="G672" s="143" t="s">
        <v>1672</v>
      </c>
      <c r="H672" s="143" t="s">
        <v>160</v>
      </c>
      <c r="I672" s="199">
        <v>36153</v>
      </c>
      <c r="J672" s="182">
        <v>1</v>
      </c>
      <c r="K672" s="182"/>
      <c r="L672" s="155"/>
      <c r="M672" s="155"/>
      <c r="N672" s="155"/>
      <c r="O672" s="155"/>
      <c r="P672" s="155"/>
      <c r="Q672" s="155">
        <v>1</v>
      </c>
      <c r="R672" s="155" t="s">
        <v>1899</v>
      </c>
      <c r="S672" s="155"/>
      <c r="T672" s="155"/>
      <c r="U672" s="183" t="s">
        <v>951</v>
      </c>
      <c r="V672" s="143" t="s">
        <v>503</v>
      </c>
      <c r="W672" s="143" t="s">
        <v>298</v>
      </c>
      <c r="X672" s="143" t="s">
        <v>227</v>
      </c>
      <c r="Y672" s="184"/>
      <c r="Z672" s="143"/>
      <c r="AA672" s="162" t="s">
        <v>877</v>
      </c>
      <c r="AB672" s="143" t="s">
        <v>528</v>
      </c>
      <c r="AC672" s="155">
        <v>1</v>
      </c>
      <c r="AD672" s="155"/>
      <c r="AE672" s="155"/>
      <c r="AF672" s="155"/>
      <c r="AG672" s="155"/>
      <c r="AH672" s="143"/>
      <c r="AI672" s="158"/>
    </row>
    <row r="673" spans="1:35">
      <c r="A673" s="140"/>
      <c r="B673" s="143"/>
      <c r="C673" s="143" t="s">
        <v>1836</v>
      </c>
      <c r="D673" s="143" t="s">
        <v>501</v>
      </c>
      <c r="E673" s="143" t="s">
        <v>80</v>
      </c>
      <c r="F673" s="143" t="s">
        <v>1841</v>
      </c>
      <c r="G673" s="143" t="s">
        <v>559</v>
      </c>
      <c r="H673" s="143" t="s">
        <v>136</v>
      </c>
      <c r="I673" s="199"/>
      <c r="J673" s="182"/>
      <c r="K673" s="182">
        <v>1</v>
      </c>
      <c r="L673" s="155"/>
      <c r="M673" s="155"/>
      <c r="N673" s="155"/>
      <c r="O673" s="155"/>
      <c r="P673" s="155"/>
      <c r="Q673" s="155">
        <v>1</v>
      </c>
      <c r="R673" s="155" t="s">
        <v>962</v>
      </c>
      <c r="S673" s="155"/>
      <c r="T673" s="155"/>
      <c r="U673" s="183"/>
      <c r="V673" s="143" t="s">
        <v>350</v>
      </c>
      <c r="W673" s="143" t="s">
        <v>279</v>
      </c>
      <c r="X673" s="143" t="s">
        <v>227</v>
      </c>
      <c r="Y673" s="184"/>
      <c r="Z673" s="143"/>
      <c r="AA673" s="162" t="s">
        <v>877</v>
      </c>
      <c r="AB673" s="143" t="s">
        <v>528</v>
      </c>
      <c r="AC673" s="155">
        <v>1</v>
      </c>
      <c r="AD673" s="155"/>
      <c r="AE673" s="155"/>
      <c r="AF673" s="155"/>
      <c r="AG673" s="155"/>
      <c r="AH673" s="143"/>
      <c r="AI673" s="158"/>
    </row>
    <row r="674" spans="1:35">
      <c r="A674" s="140"/>
      <c r="B674" s="143"/>
      <c r="C674" s="143" t="s">
        <v>1836</v>
      </c>
      <c r="D674" s="143" t="s">
        <v>501</v>
      </c>
      <c r="E674" s="143" t="s">
        <v>80</v>
      </c>
      <c r="F674" s="143" t="s">
        <v>1694</v>
      </c>
      <c r="G674" s="143" t="s">
        <v>1401</v>
      </c>
      <c r="H674" s="143" t="s">
        <v>133</v>
      </c>
      <c r="I674" s="199">
        <v>25832</v>
      </c>
      <c r="J674" s="182">
        <v>1</v>
      </c>
      <c r="K674" s="182"/>
      <c r="L674" s="155"/>
      <c r="M674" s="155"/>
      <c r="N674" s="155"/>
      <c r="O674" s="155"/>
      <c r="P674" s="155"/>
      <c r="Q674" s="155">
        <v>1</v>
      </c>
      <c r="R674" s="155" t="s">
        <v>1045</v>
      </c>
      <c r="S674" s="155"/>
      <c r="T674" s="155"/>
      <c r="U674" s="183"/>
      <c r="V674" s="143" t="s">
        <v>949</v>
      </c>
      <c r="W674" s="143" t="s">
        <v>279</v>
      </c>
      <c r="X674" s="143" t="s">
        <v>227</v>
      </c>
      <c r="Y674" s="184"/>
      <c r="Z674" s="143"/>
      <c r="AA674" s="162" t="s">
        <v>877</v>
      </c>
      <c r="AB674" s="143" t="s">
        <v>528</v>
      </c>
      <c r="AC674" s="155">
        <v>1</v>
      </c>
      <c r="AD674" s="155"/>
      <c r="AE674" s="155"/>
      <c r="AF674" s="155"/>
      <c r="AG674" s="155"/>
      <c r="AH674" s="143"/>
      <c r="AI674" s="158"/>
    </row>
    <row r="675" spans="1:35">
      <c r="A675" s="140"/>
      <c r="B675" s="143"/>
      <c r="C675" s="143" t="s">
        <v>1836</v>
      </c>
      <c r="D675" s="143" t="s">
        <v>501</v>
      </c>
      <c r="E675" s="143" t="s">
        <v>80</v>
      </c>
      <c r="F675" s="143" t="s">
        <v>490</v>
      </c>
      <c r="G675" s="143" t="s">
        <v>1101</v>
      </c>
      <c r="H675" s="143"/>
      <c r="I675" s="199">
        <v>400118</v>
      </c>
      <c r="J675" s="182"/>
      <c r="K675" s="182">
        <v>1</v>
      </c>
      <c r="L675" s="155"/>
      <c r="M675" s="155"/>
      <c r="N675" s="155"/>
      <c r="O675" s="155"/>
      <c r="P675" s="155"/>
      <c r="Q675" s="155">
        <v>1</v>
      </c>
      <c r="R675" s="155" t="s">
        <v>1348</v>
      </c>
      <c r="S675" s="155"/>
      <c r="T675" s="155"/>
      <c r="U675" s="183" t="s">
        <v>859</v>
      </c>
      <c r="V675" s="143" t="s">
        <v>503</v>
      </c>
      <c r="W675" s="143" t="s">
        <v>298</v>
      </c>
      <c r="X675" s="143" t="s">
        <v>227</v>
      </c>
      <c r="Y675" s="184"/>
      <c r="Z675" s="143"/>
      <c r="AA675" s="162" t="s">
        <v>877</v>
      </c>
      <c r="AB675" s="143" t="s">
        <v>528</v>
      </c>
      <c r="AC675" s="155">
        <v>1</v>
      </c>
      <c r="AD675" s="155"/>
      <c r="AE675" s="155"/>
      <c r="AF675" s="155"/>
      <c r="AG675" s="155"/>
      <c r="AH675" s="143"/>
      <c r="AI675" s="158"/>
    </row>
    <row r="676" spans="1:35">
      <c r="A676" s="140"/>
      <c r="B676" s="143"/>
      <c r="C676" s="143" t="s">
        <v>1836</v>
      </c>
      <c r="D676" s="143" t="s">
        <v>501</v>
      </c>
      <c r="E676" s="143" t="s">
        <v>80</v>
      </c>
      <c r="F676" s="143" t="s">
        <v>1843</v>
      </c>
      <c r="G676" s="143" t="s">
        <v>140</v>
      </c>
      <c r="H676" s="143"/>
      <c r="I676" s="199">
        <v>13856</v>
      </c>
      <c r="J676" s="182">
        <v>1</v>
      </c>
      <c r="K676" s="182"/>
      <c r="L676" s="155"/>
      <c r="M676" s="155"/>
      <c r="N676" s="155"/>
      <c r="O676" s="155"/>
      <c r="P676" s="155"/>
      <c r="Q676" s="155">
        <v>1</v>
      </c>
      <c r="R676" s="155" t="s">
        <v>962</v>
      </c>
      <c r="S676" s="155"/>
      <c r="T676" s="155"/>
      <c r="U676" s="183" t="s">
        <v>1369</v>
      </c>
      <c r="V676" s="143" t="s">
        <v>1861</v>
      </c>
      <c r="W676" s="143" t="s">
        <v>280</v>
      </c>
      <c r="X676" s="143" t="s">
        <v>227</v>
      </c>
      <c r="Y676" s="184"/>
      <c r="Z676" s="143"/>
      <c r="AA676" s="162" t="s">
        <v>524</v>
      </c>
      <c r="AB676" s="143" t="s">
        <v>528</v>
      </c>
      <c r="AC676" s="155">
        <v>1</v>
      </c>
      <c r="AD676" s="155"/>
      <c r="AE676" s="155"/>
      <c r="AF676" s="155"/>
      <c r="AG676" s="155"/>
      <c r="AH676" s="143"/>
      <c r="AI676" s="158"/>
    </row>
    <row r="677" spans="1:35">
      <c r="A677" s="140"/>
      <c r="B677" s="143"/>
      <c r="C677" s="143" t="s">
        <v>1836</v>
      </c>
      <c r="D677" s="143" t="s">
        <v>501</v>
      </c>
      <c r="E677" s="143" t="s">
        <v>80</v>
      </c>
      <c r="F677" s="143" t="s">
        <v>1851</v>
      </c>
      <c r="G677" s="143" t="s">
        <v>1850</v>
      </c>
      <c r="H677" s="143"/>
      <c r="I677" s="199">
        <v>34196</v>
      </c>
      <c r="J677" s="182"/>
      <c r="K677" s="182">
        <v>1</v>
      </c>
      <c r="L677" s="155"/>
      <c r="M677" s="155"/>
      <c r="N677" s="155"/>
      <c r="O677" s="155"/>
      <c r="P677" s="155"/>
      <c r="Q677" s="155">
        <v>1</v>
      </c>
      <c r="R677" s="155" t="s">
        <v>1009</v>
      </c>
      <c r="S677" s="155"/>
      <c r="T677" s="155"/>
      <c r="U677" s="183"/>
      <c r="V677" s="143"/>
      <c r="W677" s="143"/>
      <c r="X677" s="143" t="s">
        <v>227</v>
      </c>
      <c r="Y677" s="184"/>
      <c r="Z677" s="143"/>
      <c r="AA677" s="143" t="s">
        <v>877</v>
      </c>
      <c r="AB677" s="143" t="s">
        <v>528</v>
      </c>
      <c r="AC677" s="155">
        <v>1</v>
      </c>
      <c r="AD677" s="155"/>
      <c r="AE677" s="155"/>
      <c r="AF677" s="155"/>
      <c r="AG677" s="155"/>
      <c r="AH677" s="143"/>
      <c r="AI677" s="158"/>
    </row>
    <row r="678" spans="1:35">
      <c r="A678" s="140"/>
      <c r="B678" s="143"/>
      <c r="C678" s="143" t="s">
        <v>1836</v>
      </c>
      <c r="D678" s="143" t="s">
        <v>501</v>
      </c>
      <c r="E678" s="143" t="s">
        <v>80</v>
      </c>
      <c r="F678" s="143" t="s">
        <v>1844</v>
      </c>
      <c r="G678" s="143" t="s">
        <v>955</v>
      </c>
      <c r="H678" s="143"/>
      <c r="I678" s="199">
        <v>23482</v>
      </c>
      <c r="J678" s="182"/>
      <c r="K678" s="182">
        <v>1</v>
      </c>
      <c r="L678" s="155">
        <v>1</v>
      </c>
      <c r="M678" s="155"/>
      <c r="N678" s="155"/>
      <c r="O678" s="155"/>
      <c r="P678" s="155"/>
      <c r="Q678" s="155"/>
      <c r="R678" s="155"/>
      <c r="S678" s="155"/>
      <c r="T678" s="155"/>
      <c r="U678" s="183" t="s">
        <v>509</v>
      </c>
      <c r="V678" s="143" t="s">
        <v>503</v>
      </c>
      <c r="W678" s="143" t="s">
        <v>298</v>
      </c>
      <c r="X678" s="143" t="s">
        <v>227</v>
      </c>
      <c r="Y678" s="184"/>
      <c r="Z678" s="143"/>
      <c r="AA678" s="143" t="s">
        <v>525</v>
      </c>
      <c r="AB678" s="143" t="s">
        <v>528</v>
      </c>
      <c r="AC678" s="155">
        <v>1</v>
      </c>
      <c r="AD678" s="155"/>
      <c r="AE678" s="155"/>
      <c r="AF678" s="155"/>
      <c r="AG678" s="155"/>
      <c r="AH678" s="143"/>
      <c r="AI678" s="158"/>
    </row>
    <row r="679" spans="1:35">
      <c r="A679" s="140"/>
      <c r="B679" s="143"/>
      <c r="C679" s="143" t="s">
        <v>1836</v>
      </c>
      <c r="D679" s="143" t="s">
        <v>501</v>
      </c>
      <c r="E679" s="143" t="s">
        <v>80</v>
      </c>
      <c r="F679" s="143" t="s">
        <v>1845</v>
      </c>
      <c r="G679" s="143" t="s">
        <v>751</v>
      </c>
      <c r="H679" s="143"/>
      <c r="I679" s="199"/>
      <c r="J679" s="182">
        <v>1</v>
      </c>
      <c r="K679" s="182"/>
      <c r="L679" s="155">
        <v>1</v>
      </c>
      <c r="M679" s="155"/>
      <c r="N679" s="155"/>
      <c r="O679" s="155"/>
      <c r="P679" s="155"/>
      <c r="Q679" s="155"/>
      <c r="R679" s="155"/>
      <c r="S679" s="155"/>
      <c r="T679" s="155"/>
      <c r="U679" s="183" t="s">
        <v>1862</v>
      </c>
      <c r="V679" s="143" t="s">
        <v>503</v>
      </c>
      <c r="W679" s="143" t="s">
        <v>298</v>
      </c>
      <c r="X679" s="143" t="s">
        <v>227</v>
      </c>
      <c r="Y679" s="184"/>
      <c r="Z679" s="143"/>
      <c r="AA679" s="143" t="s">
        <v>525</v>
      </c>
      <c r="AB679" s="143" t="s">
        <v>528</v>
      </c>
      <c r="AC679" s="155">
        <v>1</v>
      </c>
      <c r="AD679" s="155"/>
      <c r="AE679" s="155"/>
      <c r="AF679" s="155"/>
      <c r="AG679" s="155"/>
      <c r="AH679" s="143"/>
      <c r="AI679" s="158"/>
    </row>
    <row r="680" spans="1:35">
      <c r="A680" s="140"/>
      <c r="B680" s="143"/>
      <c r="C680" s="143" t="s">
        <v>1836</v>
      </c>
      <c r="D680" s="143" t="s">
        <v>501</v>
      </c>
      <c r="E680" s="143" t="s">
        <v>80</v>
      </c>
      <c r="F680" s="143" t="s">
        <v>1846</v>
      </c>
      <c r="G680" s="143" t="s">
        <v>1847</v>
      </c>
      <c r="H680" s="143"/>
      <c r="I680" s="199"/>
      <c r="J680" s="182">
        <v>1</v>
      </c>
      <c r="K680" s="182"/>
      <c r="L680" s="155">
        <v>1</v>
      </c>
      <c r="M680" s="155"/>
      <c r="N680" s="155"/>
      <c r="O680" s="155"/>
      <c r="P680" s="155"/>
      <c r="Q680" s="155"/>
      <c r="R680" s="155"/>
      <c r="S680" s="155"/>
      <c r="T680" s="155"/>
      <c r="U680" s="183" t="s">
        <v>515</v>
      </c>
      <c r="V680" s="143" t="s">
        <v>503</v>
      </c>
      <c r="W680" s="143" t="s">
        <v>298</v>
      </c>
      <c r="X680" s="143" t="s">
        <v>227</v>
      </c>
      <c r="Y680" s="184"/>
      <c r="Z680" s="143"/>
      <c r="AA680" s="143" t="s">
        <v>525</v>
      </c>
      <c r="AB680" s="143" t="s">
        <v>528</v>
      </c>
      <c r="AC680" s="155">
        <v>1</v>
      </c>
      <c r="AD680" s="155"/>
      <c r="AE680" s="155"/>
      <c r="AF680" s="155"/>
      <c r="AG680" s="155"/>
      <c r="AH680" s="143"/>
      <c r="AI680" s="158"/>
    </row>
    <row r="681" spans="1:35">
      <c r="A681" s="140"/>
      <c r="B681" s="143"/>
      <c r="C681" s="143" t="s">
        <v>1836</v>
      </c>
      <c r="D681" s="143" t="s">
        <v>501</v>
      </c>
      <c r="E681" s="143" t="s">
        <v>80</v>
      </c>
      <c r="F681" s="143" t="s">
        <v>1848</v>
      </c>
      <c r="G681" s="143" t="s">
        <v>1849</v>
      </c>
      <c r="H681" s="143"/>
      <c r="I681" s="199"/>
      <c r="J681" s="182">
        <v>1</v>
      </c>
      <c r="K681" s="182"/>
      <c r="L681" s="155">
        <v>1</v>
      </c>
      <c r="M681" s="155"/>
      <c r="N681" s="155"/>
      <c r="O681" s="155"/>
      <c r="P681" s="155"/>
      <c r="Q681" s="155"/>
      <c r="R681" s="155"/>
      <c r="S681" s="155"/>
      <c r="T681" s="155"/>
      <c r="U681" s="183" t="s">
        <v>515</v>
      </c>
      <c r="V681" s="143" t="s">
        <v>503</v>
      </c>
      <c r="W681" s="143" t="s">
        <v>298</v>
      </c>
      <c r="X681" s="143" t="s">
        <v>227</v>
      </c>
      <c r="Y681" s="184"/>
      <c r="Z681" s="143"/>
      <c r="AA681" s="143" t="s">
        <v>525</v>
      </c>
      <c r="AB681" s="143" t="s">
        <v>528</v>
      </c>
      <c r="AC681" s="155">
        <v>1</v>
      </c>
      <c r="AD681" s="155"/>
      <c r="AE681" s="155"/>
      <c r="AF681" s="155"/>
      <c r="AG681" s="155"/>
      <c r="AH681" s="143"/>
      <c r="AI681" s="158"/>
    </row>
    <row r="682" spans="1:35">
      <c r="A682" s="140"/>
      <c r="B682" s="143"/>
      <c r="C682" s="143" t="s">
        <v>1836</v>
      </c>
      <c r="D682" s="143" t="s">
        <v>501</v>
      </c>
      <c r="E682" s="143" t="s">
        <v>80</v>
      </c>
      <c r="F682" s="143" t="s">
        <v>1852</v>
      </c>
      <c r="G682" s="143" t="s">
        <v>1853</v>
      </c>
      <c r="H682" s="143" t="s">
        <v>133</v>
      </c>
      <c r="I682" s="198"/>
      <c r="J682" s="155">
        <v>1</v>
      </c>
      <c r="K682" s="155"/>
      <c r="L682" s="155">
        <v>1</v>
      </c>
      <c r="M682" s="155"/>
      <c r="N682" s="155"/>
      <c r="O682" s="155"/>
      <c r="P682" s="155"/>
      <c r="Q682" s="155"/>
      <c r="R682" s="155"/>
      <c r="S682" s="155"/>
      <c r="T682" s="155"/>
      <c r="U682" s="143" t="s">
        <v>515</v>
      </c>
      <c r="V682" s="143" t="s">
        <v>503</v>
      </c>
      <c r="W682" s="143" t="s">
        <v>298</v>
      </c>
      <c r="X682" s="143" t="s">
        <v>227</v>
      </c>
      <c r="Y682" s="143"/>
      <c r="Z682" s="143"/>
      <c r="AA682" s="143" t="s">
        <v>525</v>
      </c>
      <c r="AB682" s="143" t="s">
        <v>528</v>
      </c>
      <c r="AC682" s="155">
        <v>1</v>
      </c>
      <c r="AD682" s="155"/>
      <c r="AE682" s="155"/>
      <c r="AF682" s="155"/>
      <c r="AG682" s="155"/>
      <c r="AH682" s="143"/>
      <c r="AI682" s="158"/>
    </row>
    <row r="683" spans="1:35">
      <c r="A683" s="140"/>
      <c r="B683" s="143"/>
      <c r="C683" s="143" t="s">
        <v>1836</v>
      </c>
      <c r="D683" s="143" t="s">
        <v>501</v>
      </c>
      <c r="E683" s="143" t="s">
        <v>80</v>
      </c>
      <c r="F683" s="143" t="s">
        <v>1854</v>
      </c>
      <c r="G683" s="143" t="s">
        <v>1855</v>
      </c>
      <c r="H683" s="143"/>
      <c r="I683" s="198"/>
      <c r="J683" s="155">
        <v>1</v>
      </c>
      <c r="K683" s="155"/>
      <c r="L683" s="155">
        <v>1</v>
      </c>
      <c r="M683" s="155"/>
      <c r="N683" s="155"/>
      <c r="O683" s="155"/>
      <c r="P683" s="155"/>
      <c r="Q683" s="155"/>
      <c r="R683" s="155"/>
      <c r="S683" s="155"/>
      <c r="T683" s="155"/>
      <c r="U683" s="143"/>
      <c r="V683" s="143"/>
      <c r="W683" s="143"/>
      <c r="X683" s="143"/>
      <c r="Y683" s="143"/>
      <c r="Z683" s="143"/>
      <c r="AA683" s="143" t="s">
        <v>525</v>
      </c>
      <c r="AB683" s="143" t="s">
        <v>528</v>
      </c>
      <c r="AC683" s="155">
        <v>1</v>
      </c>
      <c r="AD683" s="155"/>
      <c r="AE683" s="155"/>
      <c r="AF683" s="155"/>
      <c r="AG683" s="155"/>
      <c r="AH683" s="143"/>
      <c r="AI683" s="158"/>
    </row>
    <row r="684" spans="1:35">
      <c r="A684" s="140"/>
      <c r="B684" s="143"/>
      <c r="C684" s="143" t="s">
        <v>1836</v>
      </c>
      <c r="D684" s="143" t="s">
        <v>501</v>
      </c>
      <c r="E684" s="143" t="s">
        <v>80</v>
      </c>
      <c r="F684" s="143" t="s">
        <v>1856</v>
      </c>
      <c r="G684" s="143" t="s">
        <v>1322</v>
      </c>
      <c r="H684" s="143"/>
      <c r="I684" s="198"/>
      <c r="J684" s="155">
        <v>1</v>
      </c>
      <c r="K684" s="155"/>
      <c r="L684" s="155">
        <v>1</v>
      </c>
      <c r="M684" s="155"/>
      <c r="N684" s="155"/>
      <c r="O684" s="155"/>
      <c r="P684" s="155"/>
      <c r="Q684" s="155"/>
      <c r="R684" s="155"/>
      <c r="S684" s="155"/>
      <c r="T684" s="155"/>
      <c r="U684" s="143"/>
      <c r="V684" s="143"/>
      <c r="W684" s="143"/>
      <c r="X684" s="143"/>
      <c r="Y684" s="143"/>
      <c r="Z684" s="143"/>
      <c r="AA684" s="143" t="s">
        <v>525</v>
      </c>
      <c r="AB684" s="143" t="s">
        <v>528</v>
      </c>
      <c r="AC684" s="155">
        <v>1</v>
      </c>
      <c r="AD684" s="155"/>
      <c r="AE684" s="155"/>
      <c r="AF684" s="155"/>
      <c r="AG684" s="155"/>
      <c r="AH684" s="143"/>
      <c r="AI684" s="158"/>
    </row>
    <row r="685" spans="1:35">
      <c r="A685" s="140"/>
      <c r="B685" s="143"/>
      <c r="C685" s="143" t="s">
        <v>1836</v>
      </c>
      <c r="D685" s="143" t="s">
        <v>501</v>
      </c>
      <c r="E685" s="143" t="s">
        <v>80</v>
      </c>
      <c r="F685" s="143" t="s">
        <v>170</v>
      </c>
      <c r="G685" s="143" t="s">
        <v>181</v>
      </c>
      <c r="H685" s="143"/>
      <c r="I685" s="198"/>
      <c r="J685" s="155">
        <v>1</v>
      </c>
      <c r="K685" s="155"/>
      <c r="L685" s="155">
        <v>1</v>
      </c>
      <c r="M685" s="155"/>
      <c r="N685" s="155"/>
      <c r="O685" s="155"/>
      <c r="P685" s="155"/>
      <c r="Q685" s="155"/>
      <c r="R685" s="155"/>
      <c r="S685" s="155"/>
      <c r="T685" s="155"/>
      <c r="U685" s="143" t="s">
        <v>292</v>
      </c>
      <c r="V685" s="143" t="s">
        <v>503</v>
      </c>
      <c r="W685" s="143" t="s">
        <v>298</v>
      </c>
      <c r="X685" s="143" t="s">
        <v>227</v>
      </c>
      <c r="Y685" s="143"/>
      <c r="Z685" s="143"/>
      <c r="AA685" s="143" t="s">
        <v>525</v>
      </c>
      <c r="AB685" s="143" t="s">
        <v>528</v>
      </c>
      <c r="AC685" s="155">
        <v>1</v>
      </c>
      <c r="AD685" s="155"/>
      <c r="AE685" s="155"/>
      <c r="AF685" s="155"/>
      <c r="AG685" s="155"/>
      <c r="AH685" s="143"/>
      <c r="AI685" s="158"/>
    </row>
    <row r="686" spans="1:35">
      <c r="A686" s="140"/>
      <c r="B686" s="143"/>
      <c r="C686" s="143" t="s">
        <v>1836</v>
      </c>
      <c r="D686" s="143" t="s">
        <v>501</v>
      </c>
      <c r="E686" s="143" t="s">
        <v>80</v>
      </c>
      <c r="F686" s="143" t="s">
        <v>1857</v>
      </c>
      <c r="G686" s="143" t="s">
        <v>1858</v>
      </c>
      <c r="H686" s="143" t="s">
        <v>117</v>
      </c>
      <c r="I686" s="198">
        <v>25010</v>
      </c>
      <c r="J686" s="155">
        <v>1</v>
      </c>
      <c r="K686" s="155"/>
      <c r="L686" s="155">
        <v>1</v>
      </c>
      <c r="M686" s="155"/>
      <c r="N686" s="155"/>
      <c r="O686" s="155"/>
      <c r="P686" s="155"/>
      <c r="Q686" s="155"/>
      <c r="R686" s="155"/>
      <c r="S686" s="155"/>
      <c r="T686" s="155"/>
      <c r="U686" s="143" t="s">
        <v>1863</v>
      </c>
      <c r="V686" s="143" t="s">
        <v>875</v>
      </c>
      <c r="W686" s="143" t="s">
        <v>279</v>
      </c>
      <c r="X686" s="143" t="s">
        <v>227</v>
      </c>
      <c r="Y686" s="143"/>
      <c r="Z686" s="143"/>
      <c r="AA686" s="143" t="s">
        <v>525</v>
      </c>
      <c r="AB686" s="143" t="s">
        <v>528</v>
      </c>
      <c r="AC686" s="155">
        <v>1</v>
      </c>
      <c r="AD686" s="155"/>
      <c r="AE686" s="155"/>
      <c r="AF686" s="155"/>
      <c r="AG686" s="155"/>
      <c r="AH686" s="143"/>
      <c r="AI686" s="158"/>
    </row>
    <row r="687" spans="1:35">
      <c r="A687" s="140"/>
      <c r="B687" s="143"/>
      <c r="C687" s="143" t="s">
        <v>1836</v>
      </c>
      <c r="D687" s="143" t="s">
        <v>501</v>
      </c>
      <c r="E687" s="143" t="s">
        <v>80</v>
      </c>
      <c r="F687" s="143" t="s">
        <v>918</v>
      </c>
      <c r="G687" s="143" t="s">
        <v>919</v>
      </c>
      <c r="H687" s="143"/>
      <c r="I687" s="198">
        <v>24918</v>
      </c>
      <c r="J687" s="155"/>
      <c r="K687" s="155">
        <v>1</v>
      </c>
      <c r="L687" s="155">
        <v>1</v>
      </c>
      <c r="M687" s="155"/>
      <c r="N687" s="155"/>
      <c r="O687" s="155"/>
      <c r="P687" s="155"/>
      <c r="Q687" s="155"/>
      <c r="R687" s="155"/>
      <c r="S687" s="155"/>
      <c r="T687" s="155"/>
      <c r="U687" s="143" t="s">
        <v>502</v>
      </c>
      <c r="V687" s="143" t="s">
        <v>503</v>
      </c>
      <c r="W687" s="143" t="s">
        <v>298</v>
      </c>
      <c r="X687" s="143" t="s">
        <v>227</v>
      </c>
      <c r="Y687" s="143"/>
      <c r="Z687" s="143"/>
      <c r="AA687" s="143" t="s">
        <v>525</v>
      </c>
      <c r="AB687" s="143" t="s">
        <v>528</v>
      </c>
      <c r="AC687" s="155">
        <v>1</v>
      </c>
      <c r="AD687" s="155"/>
      <c r="AE687" s="155"/>
      <c r="AF687" s="155"/>
      <c r="AG687" s="155"/>
      <c r="AH687" s="143"/>
      <c r="AI687" s="158"/>
    </row>
    <row r="688" spans="1:35">
      <c r="A688" s="140"/>
      <c r="B688" s="143"/>
      <c r="C688" s="143" t="s">
        <v>1836</v>
      </c>
      <c r="D688" s="143" t="s">
        <v>501</v>
      </c>
      <c r="E688" s="143" t="s">
        <v>80</v>
      </c>
      <c r="F688" s="143" t="s">
        <v>1859</v>
      </c>
      <c r="G688" s="143" t="s">
        <v>1860</v>
      </c>
      <c r="H688" s="143" t="s">
        <v>160</v>
      </c>
      <c r="I688" s="198">
        <v>35155</v>
      </c>
      <c r="J688" s="155">
        <v>1</v>
      </c>
      <c r="K688" s="155"/>
      <c r="L688" s="155">
        <v>1</v>
      </c>
      <c r="M688" s="155"/>
      <c r="N688" s="155"/>
      <c r="O688" s="155"/>
      <c r="P688" s="155"/>
      <c r="Q688" s="155"/>
      <c r="R688" s="155"/>
      <c r="S688" s="155"/>
      <c r="T688" s="155"/>
      <c r="U688" s="143" t="s">
        <v>515</v>
      </c>
      <c r="V688" s="143" t="s">
        <v>503</v>
      </c>
      <c r="W688" s="143" t="s">
        <v>298</v>
      </c>
      <c r="X688" s="143" t="s">
        <v>227</v>
      </c>
      <c r="Y688" s="143"/>
      <c r="Z688" s="143"/>
      <c r="AA688" s="143" t="s">
        <v>525</v>
      </c>
      <c r="AB688" s="143" t="s">
        <v>528</v>
      </c>
      <c r="AC688" s="155">
        <v>1</v>
      </c>
      <c r="AD688" s="155"/>
      <c r="AE688" s="155"/>
      <c r="AF688" s="155"/>
      <c r="AG688" s="155"/>
      <c r="AH688" s="143"/>
      <c r="AI688" s="158"/>
    </row>
    <row r="689" spans="1:35">
      <c r="A689" s="140"/>
      <c r="B689" s="143"/>
      <c r="C689" s="143" t="s">
        <v>1836</v>
      </c>
      <c r="D689" s="143" t="s">
        <v>501</v>
      </c>
      <c r="E689" s="143" t="s">
        <v>80</v>
      </c>
      <c r="F689" s="143" t="s">
        <v>312</v>
      </c>
      <c r="G689" s="143" t="s">
        <v>817</v>
      </c>
      <c r="H689" s="143"/>
      <c r="I689" s="198" t="s">
        <v>1867</v>
      </c>
      <c r="J689" s="155">
        <v>1</v>
      </c>
      <c r="K689" s="155"/>
      <c r="L689" s="155">
        <v>1</v>
      </c>
      <c r="M689" s="155"/>
      <c r="N689" s="155"/>
      <c r="O689" s="155"/>
      <c r="P689" s="155"/>
      <c r="Q689" s="155"/>
      <c r="R689" s="155"/>
      <c r="S689" s="155"/>
      <c r="T689" s="155"/>
      <c r="U689" s="143" t="s">
        <v>517</v>
      </c>
      <c r="V689" s="143" t="s">
        <v>503</v>
      </c>
      <c r="W689" s="143" t="s">
        <v>298</v>
      </c>
      <c r="X689" s="143" t="s">
        <v>227</v>
      </c>
      <c r="Y689" s="143">
        <v>9097797114</v>
      </c>
      <c r="Z689" s="143"/>
      <c r="AA689" s="143" t="s">
        <v>524</v>
      </c>
      <c r="AB689" s="143" t="s">
        <v>528</v>
      </c>
      <c r="AC689" s="155">
        <v>1</v>
      </c>
      <c r="AD689" s="155"/>
      <c r="AE689" s="155"/>
      <c r="AF689" s="155"/>
      <c r="AG689" s="155"/>
      <c r="AH689" s="143"/>
      <c r="AI689" s="158"/>
    </row>
    <row r="690" spans="1:35">
      <c r="A690" s="140"/>
      <c r="B690" s="143"/>
      <c r="C690" s="143" t="s">
        <v>1836</v>
      </c>
      <c r="D690" s="143" t="s">
        <v>501</v>
      </c>
      <c r="E690" s="143" t="s">
        <v>80</v>
      </c>
      <c r="F690" s="143" t="s">
        <v>1021</v>
      </c>
      <c r="G690" s="143" t="s">
        <v>1407</v>
      </c>
      <c r="H690" s="143" t="s">
        <v>604</v>
      </c>
      <c r="I690" s="198" t="s">
        <v>1887</v>
      </c>
      <c r="J690" s="155">
        <v>1</v>
      </c>
      <c r="K690" s="155"/>
      <c r="L690" s="155">
        <v>1</v>
      </c>
      <c r="M690" s="155">
        <v>1</v>
      </c>
      <c r="N690" s="155"/>
      <c r="O690" s="155"/>
      <c r="P690" s="155"/>
      <c r="Q690" s="155"/>
      <c r="R690" s="155"/>
      <c r="S690" s="155"/>
      <c r="T690" s="155"/>
      <c r="U690" s="143" t="s">
        <v>502</v>
      </c>
      <c r="V690" s="143" t="s">
        <v>503</v>
      </c>
      <c r="W690" s="143" t="s">
        <v>298</v>
      </c>
      <c r="X690" s="143" t="s">
        <v>227</v>
      </c>
      <c r="Y690" s="143">
        <v>9082499267</v>
      </c>
      <c r="Z690" s="143"/>
      <c r="AA690" s="143" t="s">
        <v>525</v>
      </c>
      <c r="AB690" s="143" t="s">
        <v>528</v>
      </c>
      <c r="AC690" s="155">
        <v>1</v>
      </c>
      <c r="AD690" s="155"/>
      <c r="AE690" s="155"/>
      <c r="AF690" s="155"/>
      <c r="AG690" s="155"/>
      <c r="AH690" s="143"/>
      <c r="AI690" s="158"/>
    </row>
    <row r="691" spans="1:35">
      <c r="A691" s="140"/>
      <c r="B691" s="143"/>
      <c r="C691" s="143" t="s">
        <v>1836</v>
      </c>
      <c r="D691" s="143" t="s">
        <v>501</v>
      </c>
      <c r="E691" s="143" t="s">
        <v>80</v>
      </c>
      <c r="F691" s="143" t="s">
        <v>1864</v>
      </c>
      <c r="G691" s="143" t="s">
        <v>1868</v>
      </c>
      <c r="H691" s="143" t="s">
        <v>588</v>
      </c>
      <c r="I691" s="198">
        <v>32489</v>
      </c>
      <c r="J691" s="155"/>
      <c r="K691" s="155">
        <v>1</v>
      </c>
      <c r="L691" s="155"/>
      <c r="M691" s="155"/>
      <c r="N691" s="155"/>
      <c r="O691" s="155"/>
      <c r="P691" s="155"/>
      <c r="Q691" s="155">
        <v>1</v>
      </c>
      <c r="R691" s="155" t="s">
        <v>1132</v>
      </c>
      <c r="S691" s="155"/>
      <c r="T691" s="155"/>
      <c r="U691" s="143" t="s">
        <v>1896</v>
      </c>
      <c r="V691" s="143" t="s">
        <v>503</v>
      </c>
      <c r="W691" s="143" t="s">
        <v>298</v>
      </c>
      <c r="X691" s="143" t="s">
        <v>227</v>
      </c>
      <c r="Y691" s="143">
        <v>9519967351</v>
      </c>
      <c r="Z691" s="143"/>
      <c r="AA691" s="143" t="s">
        <v>524</v>
      </c>
      <c r="AB691" s="143" t="s">
        <v>528</v>
      </c>
      <c r="AC691" s="155">
        <v>1</v>
      </c>
      <c r="AD691" s="155"/>
      <c r="AE691" s="155"/>
      <c r="AF691" s="155"/>
      <c r="AG691" s="155"/>
      <c r="AH691" s="143"/>
      <c r="AI691" s="158"/>
    </row>
    <row r="692" spans="1:35">
      <c r="A692" s="140"/>
      <c r="B692" s="143"/>
      <c r="C692" s="143" t="s">
        <v>1836</v>
      </c>
      <c r="D692" s="143" t="s">
        <v>501</v>
      </c>
      <c r="E692" s="143" t="s">
        <v>80</v>
      </c>
      <c r="F692" s="143" t="s">
        <v>1865</v>
      </c>
      <c r="G692" s="143" t="s">
        <v>1869</v>
      </c>
      <c r="H692" s="143"/>
      <c r="I692" s="198">
        <v>33767</v>
      </c>
      <c r="J692" s="155"/>
      <c r="K692" s="155">
        <v>1</v>
      </c>
      <c r="L692" s="155"/>
      <c r="M692" s="155"/>
      <c r="N692" s="155"/>
      <c r="O692" s="155"/>
      <c r="P692" s="155"/>
      <c r="Q692" s="155">
        <v>1</v>
      </c>
      <c r="R692" s="155" t="s">
        <v>1348</v>
      </c>
      <c r="S692" s="155"/>
      <c r="T692" s="155"/>
      <c r="U692" s="143" t="s">
        <v>504</v>
      </c>
      <c r="V692" s="143" t="s">
        <v>503</v>
      </c>
      <c r="W692" s="143" t="s">
        <v>298</v>
      </c>
      <c r="X692" s="143" t="s">
        <v>227</v>
      </c>
      <c r="Y692" s="143">
        <v>9497900240</v>
      </c>
      <c r="Z692" s="143"/>
      <c r="AA692" s="143" t="s">
        <v>524</v>
      </c>
      <c r="AB692" s="143" t="s">
        <v>528</v>
      </c>
      <c r="AC692" s="155">
        <v>1</v>
      </c>
      <c r="AD692" s="155"/>
      <c r="AE692" s="155"/>
      <c r="AF692" s="155"/>
      <c r="AG692" s="155"/>
      <c r="AH692" s="143"/>
      <c r="AI692" s="158"/>
    </row>
    <row r="693" spans="1:35">
      <c r="A693" s="140"/>
      <c r="B693" s="143"/>
      <c r="C693" s="143" t="s">
        <v>1866</v>
      </c>
      <c r="D693" s="143" t="s">
        <v>501</v>
      </c>
      <c r="E693" s="143" t="s">
        <v>80</v>
      </c>
      <c r="F693" s="143" t="s">
        <v>1873</v>
      </c>
      <c r="G693" s="143" t="s">
        <v>1870</v>
      </c>
      <c r="H693" s="143"/>
      <c r="I693" s="198" t="s">
        <v>1888</v>
      </c>
      <c r="J693" s="155">
        <v>1</v>
      </c>
      <c r="K693" s="155"/>
      <c r="L693" s="155">
        <v>1</v>
      </c>
      <c r="M693" s="155">
        <v>1</v>
      </c>
      <c r="N693" s="155"/>
      <c r="O693" s="155"/>
      <c r="P693" s="155"/>
      <c r="Q693" s="155"/>
      <c r="R693" s="155"/>
      <c r="S693" s="155"/>
      <c r="T693" s="155"/>
      <c r="U693" s="143" t="s">
        <v>1898</v>
      </c>
      <c r="V693" s="143" t="s">
        <v>503</v>
      </c>
      <c r="W693" s="143" t="s">
        <v>298</v>
      </c>
      <c r="X693" s="143" t="s">
        <v>227</v>
      </c>
      <c r="Y693" s="143"/>
      <c r="Z693" s="143"/>
      <c r="AA693" s="143" t="s">
        <v>525</v>
      </c>
      <c r="AB693" s="143" t="s">
        <v>528</v>
      </c>
      <c r="AC693" s="155">
        <v>1</v>
      </c>
      <c r="AD693" s="155"/>
      <c r="AE693" s="155"/>
      <c r="AF693" s="155"/>
      <c r="AG693" s="155"/>
      <c r="AH693" s="143"/>
      <c r="AI693" s="158"/>
    </row>
    <row r="694" spans="1:35">
      <c r="A694" s="140"/>
      <c r="B694" s="143"/>
      <c r="C694" s="143" t="s">
        <v>1866</v>
      </c>
      <c r="D694" s="143" t="s">
        <v>501</v>
      </c>
      <c r="E694" s="143" t="s">
        <v>80</v>
      </c>
      <c r="F694" s="143" t="s">
        <v>1873</v>
      </c>
      <c r="G694" s="143" t="s">
        <v>1871</v>
      </c>
      <c r="H694" s="143" t="s">
        <v>604</v>
      </c>
      <c r="I694" s="198" t="s">
        <v>1889</v>
      </c>
      <c r="J694" s="155">
        <v>1</v>
      </c>
      <c r="K694" s="155"/>
      <c r="L694" s="155">
        <v>1</v>
      </c>
      <c r="M694" s="155">
        <v>1</v>
      </c>
      <c r="N694" s="155"/>
      <c r="O694" s="155"/>
      <c r="P694" s="155"/>
      <c r="Q694" s="155"/>
      <c r="R694" s="155"/>
      <c r="S694" s="155"/>
      <c r="T694" s="155"/>
      <c r="U694" s="143" t="s">
        <v>1898</v>
      </c>
      <c r="V694" s="143" t="s">
        <v>503</v>
      </c>
      <c r="W694" s="143" t="s">
        <v>298</v>
      </c>
      <c r="X694" s="143" t="s">
        <v>227</v>
      </c>
      <c r="Y694" s="143">
        <v>9979539394</v>
      </c>
      <c r="Z694" s="143"/>
      <c r="AA694" s="143" t="s">
        <v>525</v>
      </c>
      <c r="AB694" s="143" t="s">
        <v>528</v>
      </c>
      <c r="AC694" s="155">
        <v>1</v>
      </c>
      <c r="AD694" s="155"/>
      <c r="AE694" s="155"/>
      <c r="AF694" s="155"/>
      <c r="AG694" s="155"/>
      <c r="AH694" s="143"/>
      <c r="AI694" s="158"/>
    </row>
    <row r="695" spans="1:35">
      <c r="A695" s="140"/>
      <c r="B695" s="143"/>
      <c r="C695" s="143" t="s">
        <v>1866</v>
      </c>
      <c r="D695" s="143" t="s">
        <v>501</v>
      </c>
      <c r="E695" s="143" t="s">
        <v>80</v>
      </c>
      <c r="F695" s="143" t="s">
        <v>1874</v>
      </c>
      <c r="G695" s="143" t="s">
        <v>196</v>
      </c>
      <c r="H695" s="143" t="s">
        <v>115</v>
      </c>
      <c r="I695" s="198">
        <v>33210</v>
      </c>
      <c r="J695" s="155">
        <v>1</v>
      </c>
      <c r="K695" s="155"/>
      <c r="L695" s="155">
        <v>1</v>
      </c>
      <c r="M695" s="155"/>
      <c r="N695" s="155"/>
      <c r="O695" s="155"/>
      <c r="P695" s="155"/>
      <c r="Q695" s="155"/>
      <c r="R695" s="155"/>
      <c r="S695" s="155"/>
      <c r="T695" s="155"/>
      <c r="U695" s="143" t="s">
        <v>1898</v>
      </c>
      <c r="V695" s="143" t="s">
        <v>503</v>
      </c>
      <c r="W695" s="143" t="s">
        <v>298</v>
      </c>
      <c r="X695" s="143" t="s">
        <v>227</v>
      </c>
      <c r="Y695" s="143">
        <v>9553367109</v>
      </c>
      <c r="Z695" s="143"/>
      <c r="AA695" s="143" t="s">
        <v>525</v>
      </c>
      <c r="AB695" s="143" t="s">
        <v>528</v>
      </c>
      <c r="AC695" s="155">
        <v>1</v>
      </c>
      <c r="AD695" s="155"/>
      <c r="AE695" s="155"/>
      <c r="AF695" s="155"/>
      <c r="AG695" s="155"/>
      <c r="AH695" s="143"/>
      <c r="AI695" s="158"/>
    </row>
    <row r="696" spans="1:35">
      <c r="A696" s="140"/>
      <c r="B696" s="143"/>
      <c r="C696" s="143" t="s">
        <v>1866</v>
      </c>
      <c r="D696" s="143" t="s">
        <v>501</v>
      </c>
      <c r="E696" s="143" t="s">
        <v>80</v>
      </c>
      <c r="F696" s="143" t="s">
        <v>1875</v>
      </c>
      <c r="G696" s="143" t="s">
        <v>159</v>
      </c>
      <c r="H696" s="143"/>
      <c r="I696" s="198" t="s">
        <v>1890</v>
      </c>
      <c r="J696" s="155">
        <v>1</v>
      </c>
      <c r="K696" s="155"/>
      <c r="L696" s="155">
        <v>1</v>
      </c>
      <c r="M696" s="155">
        <v>1</v>
      </c>
      <c r="N696" s="155"/>
      <c r="O696" s="155"/>
      <c r="P696" s="155"/>
      <c r="Q696" s="155"/>
      <c r="R696" s="155"/>
      <c r="S696" s="155"/>
      <c r="T696" s="155"/>
      <c r="U696" s="143" t="s">
        <v>1898</v>
      </c>
      <c r="V696" s="143" t="s">
        <v>503</v>
      </c>
      <c r="W696" s="143" t="s">
        <v>298</v>
      </c>
      <c r="X696" s="143" t="s">
        <v>227</v>
      </c>
      <c r="Y696" s="143"/>
      <c r="Z696" s="143"/>
      <c r="AA696" s="143" t="s">
        <v>525</v>
      </c>
      <c r="AB696" s="143" t="s">
        <v>528</v>
      </c>
      <c r="AC696" s="155">
        <v>1</v>
      </c>
      <c r="AD696" s="155"/>
      <c r="AE696" s="155"/>
      <c r="AF696" s="155"/>
      <c r="AG696" s="155"/>
      <c r="AH696" s="143"/>
      <c r="AI696" s="158"/>
    </row>
    <row r="697" spans="1:35">
      <c r="A697" s="140"/>
      <c r="B697" s="143"/>
      <c r="C697" s="143" t="s">
        <v>1866</v>
      </c>
      <c r="D697" s="143" t="s">
        <v>501</v>
      </c>
      <c r="E697" s="143" t="s">
        <v>80</v>
      </c>
      <c r="F697" s="143" t="s">
        <v>1876</v>
      </c>
      <c r="G697" s="143" t="s">
        <v>1872</v>
      </c>
      <c r="H697" s="143"/>
      <c r="I697" s="198" t="s">
        <v>1891</v>
      </c>
      <c r="J697" s="155">
        <v>1</v>
      </c>
      <c r="K697" s="155"/>
      <c r="L697" s="155">
        <v>1</v>
      </c>
      <c r="M697" s="155">
        <v>1</v>
      </c>
      <c r="N697" s="155"/>
      <c r="O697" s="155"/>
      <c r="P697" s="155"/>
      <c r="Q697" s="155"/>
      <c r="R697" s="155"/>
      <c r="S697" s="155"/>
      <c r="T697" s="155"/>
      <c r="U697" s="143" t="s">
        <v>1898</v>
      </c>
      <c r="V697" s="143" t="s">
        <v>503</v>
      </c>
      <c r="W697" s="143" t="s">
        <v>298</v>
      </c>
      <c r="X697" s="143" t="s">
        <v>227</v>
      </c>
      <c r="Y697" s="143"/>
      <c r="Z697" s="143"/>
      <c r="AA697" s="143" t="s">
        <v>525</v>
      </c>
      <c r="AB697" s="143" t="s">
        <v>528</v>
      </c>
      <c r="AC697" s="155">
        <v>1</v>
      </c>
      <c r="AD697" s="155"/>
      <c r="AE697" s="155"/>
      <c r="AF697" s="155"/>
      <c r="AG697" s="155"/>
      <c r="AH697" s="143"/>
      <c r="AI697" s="158"/>
    </row>
    <row r="698" spans="1:35">
      <c r="A698" s="140"/>
      <c r="B698" s="143"/>
      <c r="C698" s="143" t="s">
        <v>1866</v>
      </c>
      <c r="D698" s="143" t="s">
        <v>501</v>
      </c>
      <c r="E698" s="143" t="s">
        <v>80</v>
      </c>
      <c r="F698" s="143" t="s">
        <v>1876</v>
      </c>
      <c r="G698" s="143" t="s">
        <v>817</v>
      </c>
      <c r="H698" s="143"/>
      <c r="I698" s="198">
        <v>21278</v>
      </c>
      <c r="J698" s="155">
        <v>1</v>
      </c>
      <c r="K698" s="155"/>
      <c r="L698" s="155">
        <v>1</v>
      </c>
      <c r="M698" s="155">
        <v>1</v>
      </c>
      <c r="N698" s="155"/>
      <c r="O698" s="155"/>
      <c r="P698" s="155"/>
      <c r="Q698" s="155"/>
      <c r="R698" s="155"/>
      <c r="S698" s="155"/>
      <c r="T698" s="155"/>
      <c r="U698" s="143" t="s">
        <v>1898</v>
      </c>
      <c r="V698" s="143" t="s">
        <v>503</v>
      </c>
      <c r="W698" s="143" t="s">
        <v>298</v>
      </c>
      <c r="X698" s="143" t="s">
        <v>227</v>
      </c>
      <c r="Y698" s="143"/>
      <c r="Z698" s="143"/>
      <c r="AA698" s="143" t="s">
        <v>525</v>
      </c>
      <c r="AB698" s="143" t="s">
        <v>528</v>
      </c>
      <c r="AC698" s="155">
        <v>1</v>
      </c>
      <c r="AD698" s="155"/>
      <c r="AE698" s="155"/>
      <c r="AF698" s="155"/>
      <c r="AG698" s="155"/>
      <c r="AH698" s="143"/>
      <c r="AI698" s="158"/>
    </row>
    <row r="699" spans="1:35">
      <c r="A699" s="140"/>
      <c r="B699" s="143"/>
      <c r="C699" s="143" t="s">
        <v>1866</v>
      </c>
      <c r="D699" s="143" t="s">
        <v>501</v>
      </c>
      <c r="E699" s="143" t="s">
        <v>80</v>
      </c>
      <c r="F699" s="143" t="s">
        <v>666</v>
      </c>
      <c r="G699" s="143" t="s">
        <v>313</v>
      </c>
      <c r="H699" s="143" t="s">
        <v>136</v>
      </c>
      <c r="I699" s="198" t="s">
        <v>1892</v>
      </c>
      <c r="J699" s="155">
        <v>1</v>
      </c>
      <c r="K699" s="155"/>
      <c r="L699" s="155">
        <v>1</v>
      </c>
      <c r="M699" s="155"/>
      <c r="N699" s="155"/>
      <c r="O699" s="155"/>
      <c r="P699" s="155"/>
      <c r="Q699" s="155"/>
      <c r="R699" s="155"/>
      <c r="S699" s="155"/>
      <c r="T699" s="155"/>
      <c r="U699" s="143" t="s">
        <v>1898</v>
      </c>
      <c r="V699" s="143" t="s">
        <v>503</v>
      </c>
      <c r="W699" s="143" t="s">
        <v>298</v>
      </c>
      <c r="X699" s="143" t="s">
        <v>227</v>
      </c>
      <c r="Y699" s="143">
        <v>9651978293</v>
      </c>
      <c r="Z699" s="143"/>
      <c r="AA699" s="143" t="s">
        <v>525</v>
      </c>
      <c r="AB699" s="143" t="s">
        <v>528</v>
      </c>
      <c r="AC699" s="155">
        <v>1</v>
      </c>
      <c r="AD699" s="155"/>
      <c r="AE699" s="155"/>
      <c r="AF699" s="155"/>
      <c r="AG699" s="155"/>
      <c r="AH699" s="143"/>
      <c r="AI699" s="158"/>
    </row>
    <row r="700" spans="1:35">
      <c r="A700" s="140"/>
      <c r="B700" s="143"/>
      <c r="C700" s="143" t="s">
        <v>1866</v>
      </c>
      <c r="D700" s="143" t="s">
        <v>501</v>
      </c>
      <c r="E700" s="143" t="s">
        <v>80</v>
      </c>
      <c r="F700" s="143" t="s">
        <v>1873</v>
      </c>
      <c r="G700" s="143" t="s">
        <v>1720</v>
      </c>
      <c r="H700" s="143"/>
      <c r="I700" s="198">
        <v>18176</v>
      </c>
      <c r="J700" s="155">
        <v>1</v>
      </c>
      <c r="K700" s="155"/>
      <c r="L700" s="155">
        <v>1</v>
      </c>
      <c r="M700" s="155">
        <v>1</v>
      </c>
      <c r="N700" s="155"/>
      <c r="O700" s="155"/>
      <c r="P700" s="155"/>
      <c r="Q700" s="155"/>
      <c r="R700" s="155"/>
      <c r="S700" s="155"/>
      <c r="T700" s="155"/>
      <c r="U700" s="143" t="s">
        <v>1898</v>
      </c>
      <c r="V700" s="143" t="s">
        <v>503</v>
      </c>
      <c r="W700" s="143" t="s">
        <v>298</v>
      </c>
      <c r="X700" s="143" t="s">
        <v>227</v>
      </c>
      <c r="Y700" s="143"/>
      <c r="Z700" s="143"/>
      <c r="AA700" s="143" t="s">
        <v>525</v>
      </c>
      <c r="AB700" s="143" t="s">
        <v>528</v>
      </c>
      <c r="AC700" s="155">
        <v>1</v>
      </c>
      <c r="AD700" s="155"/>
      <c r="AE700" s="155"/>
      <c r="AF700" s="155"/>
      <c r="AG700" s="155"/>
      <c r="AH700" s="143"/>
      <c r="AI700" s="158"/>
    </row>
    <row r="701" spans="1:35">
      <c r="A701" s="140"/>
      <c r="B701" s="143"/>
      <c r="C701" s="143" t="s">
        <v>1866</v>
      </c>
      <c r="D701" s="143" t="s">
        <v>501</v>
      </c>
      <c r="E701" s="143" t="s">
        <v>80</v>
      </c>
      <c r="F701" s="143" t="s">
        <v>1877</v>
      </c>
      <c r="G701" s="143" t="s">
        <v>1878</v>
      </c>
      <c r="H701" s="143" t="s">
        <v>115</v>
      </c>
      <c r="I701" s="198">
        <v>24932</v>
      </c>
      <c r="J701" s="155">
        <v>1</v>
      </c>
      <c r="K701" s="155"/>
      <c r="L701" s="155">
        <v>1</v>
      </c>
      <c r="M701" s="155"/>
      <c r="N701" s="155"/>
      <c r="O701" s="155"/>
      <c r="P701" s="155"/>
      <c r="Q701" s="155"/>
      <c r="R701" s="155"/>
      <c r="S701" s="155"/>
      <c r="T701" s="155"/>
      <c r="U701" s="143" t="s">
        <v>1898</v>
      </c>
      <c r="V701" s="143" t="s">
        <v>503</v>
      </c>
      <c r="W701" s="143" t="s">
        <v>298</v>
      </c>
      <c r="X701" s="143" t="s">
        <v>227</v>
      </c>
      <c r="Y701" s="143"/>
      <c r="Z701" s="143"/>
      <c r="AA701" s="143" t="s">
        <v>525</v>
      </c>
      <c r="AB701" s="143" t="s">
        <v>528</v>
      </c>
      <c r="AC701" s="155">
        <v>1</v>
      </c>
      <c r="AD701" s="155"/>
      <c r="AE701" s="155"/>
      <c r="AF701" s="155"/>
      <c r="AG701" s="155"/>
      <c r="AH701" s="143"/>
      <c r="AI701" s="158"/>
    </row>
    <row r="702" spans="1:35">
      <c r="A702" s="140"/>
      <c r="B702" s="143"/>
      <c r="C702" s="143" t="s">
        <v>1866</v>
      </c>
      <c r="D702" s="143" t="s">
        <v>501</v>
      </c>
      <c r="E702" s="143" t="s">
        <v>80</v>
      </c>
      <c r="F702" s="143" t="s">
        <v>1873</v>
      </c>
      <c r="G702" s="143" t="s">
        <v>1879</v>
      </c>
      <c r="H702" s="143"/>
      <c r="I702" s="198" t="s">
        <v>1893</v>
      </c>
      <c r="J702" s="155">
        <v>1</v>
      </c>
      <c r="K702" s="155"/>
      <c r="L702" s="155">
        <v>1</v>
      </c>
      <c r="M702" s="155"/>
      <c r="N702" s="155"/>
      <c r="O702" s="155"/>
      <c r="P702" s="155"/>
      <c r="Q702" s="155"/>
      <c r="R702" s="155"/>
      <c r="S702" s="155"/>
      <c r="T702" s="155"/>
      <c r="U702" s="143" t="s">
        <v>1898</v>
      </c>
      <c r="V702" s="143" t="s">
        <v>503</v>
      </c>
      <c r="W702" s="143" t="s">
        <v>298</v>
      </c>
      <c r="X702" s="143" t="s">
        <v>227</v>
      </c>
      <c r="Y702" s="143"/>
      <c r="Z702" s="143"/>
      <c r="AA702" s="143" t="s">
        <v>525</v>
      </c>
      <c r="AB702" s="143" t="s">
        <v>528</v>
      </c>
      <c r="AC702" s="155">
        <v>1</v>
      </c>
      <c r="AD702" s="155"/>
      <c r="AE702" s="155"/>
      <c r="AF702" s="155"/>
      <c r="AG702" s="155"/>
      <c r="AH702" s="143"/>
      <c r="AI702" s="158"/>
    </row>
    <row r="703" spans="1:35">
      <c r="A703" s="140"/>
      <c r="B703" s="143"/>
      <c r="C703" s="143" t="s">
        <v>1866</v>
      </c>
      <c r="D703" s="143" t="s">
        <v>501</v>
      </c>
      <c r="E703" s="143" t="s">
        <v>80</v>
      </c>
      <c r="F703" s="143" t="s">
        <v>1880</v>
      </c>
      <c r="G703" s="143" t="s">
        <v>1895</v>
      </c>
      <c r="H703" s="143" t="s">
        <v>144</v>
      </c>
      <c r="I703" s="198" t="s">
        <v>1894</v>
      </c>
      <c r="J703" s="155">
        <v>1</v>
      </c>
      <c r="K703" s="155"/>
      <c r="L703" s="155">
        <v>1</v>
      </c>
      <c r="M703" s="155"/>
      <c r="N703" s="155"/>
      <c r="O703" s="155"/>
      <c r="P703" s="155"/>
      <c r="Q703" s="155"/>
      <c r="R703" s="155"/>
      <c r="S703" s="155"/>
      <c r="T703" s="155"/>
      <c r="U703" s="143"/>
      <c r="V703" s="143"/>
      <c r="W703" s="143"/>
      <c r="X703" s="143" t="s">
        <v>93</v>
      </c>
      <c r="Y703" s="143"/>
      <c r="Z703" s="143"/>
      <c r="AA703" s="143" t="s">
        <v>525</v>
      </c>
      <c r="AB703" s="143" t="s">
        <v>528</v>
      </c>
      <c r="AC703" s="155">
        <v>1</v>
      </c>
      <c r="AD703" s="155"/>
      <c r="AE703" s="155"/>
      <c r="AF703" s="155"/>
      <c r="AG703" s="155"/>
      <c r="AH703" s="143"/>
      <c r="AI703" s="158"/>
    </row>
    <row r="704" spans="1:35">
      <c r="A704" s="140"/>
      <c r="B704" s="143"/>
      <c r="C704" s="143" t="s">
        <v>1866</v>
      </c>
      <c r="D704" s="143" t="s">
        <v>501</v>
      </c>
      <c r="E704" s="143" t="s">
        <v>80</v>
      </c>
      <c r="F704" s="143" t="s">
        <v>1881</v>
      </c>
      <c r="G704" s="143" t="s">
        <v>1882</v>
      </c>
      <c r="H704" s="143" t="s">
        <v>120</v>
      </c>
      <c r="I704" s="198">
        <v>36622</v>
      </c>
      <c r="J704" s="155">
        <v>1</v>
      </c>
      <c r="K704" s="155"/>
      <c r="L704" s="155">
        <v>1</v>
      </c>
      <c r="M704" s="155"/>
      <c r="N704" s="155"/>
      <c r="O704" s="155"/>
      <c r="P704" s="155"/>
      <c r="Q704" s="155"/>
      <c r="R704" s="155"/>
      <c r="S704" s="155"/>
      <c r="T704" s="155"/>
      <c r="U704" s="187"/>
      <c r="V704" s="143" t="s">
        <v>223</v>
      </c>
      <c r="W704" s="143" t="s">
        <v>279</v>
      </c>
      <c r="X704" s="143" t="s">
        <v>227</v>
      </c>
      <c r="Y704" s="143"/>
      <c r="Z704" s="143"/>
      <c r="AA704" s="143" t="s">
        <v>525</v>
      </c>
      <c r="AB704" s="143" t="s">
        <v>528</v>
      </c>
      <c r="AC704" s="155">
        <v>1</v>
      </c>
      <c r="AD704" s="155"/>
      <c r="AE704" s="155"/>
      <c r="AF704" s="155"/>
      <c r="AG704" s="155"/>
      <c r="AH704" s="143"/>
      <c r="AI704" s="158"/>
    </row>
    <row r="705" spans="1:35">
      <c r="A705" s="140"/>
      <c r="B705" s="143"/>
      <c r="C705" s="143" t="s">
        <v>1866</v>
      </c>
      <c r="D705" s="143" t="s">
        <v>501</v>
      </c>
      <c r="E705" s="143" t="s">
        <v>80</v>
      </c>
      <c r="F705" s="143" t="s">
        <v>558</v>
      </c>
      <c r="G705" s="143" t="s">
        <v>1766</v>
      </c>
      <c r="H705" s="143" t="s">
        <v>126</v>
      </c>
      <c r="I705" s="198">
        <v>29171</v>
      </c>
      <c r="J705" s="155">
        <v>1</v>
      </c>
      <c r="K705" s="155"/>
      <c r="L705" s="155">
        <v>1</v>
      </c>
      <c r="M705" s="155"/>
      <c r="N705" s="155"/>
      <c r="O705" s="155"/>
      <c r="P705" s="155"/>
      <c r="Q705" s="155"/>
      <c r="R705" s="155"/>
      <c r="S705" s="155"/>
      <c r="T705" s="155"/>
      <c r="U705" s="143" t="s">
        <v>1897</v>
      </c>
      <c r="V705" s="143" t="s">
        <v>503</v>
      </c>
      <c r="W705" s="143" t="s">
        <v>298</v>
      </c>
      <c r="X705" s="143" t="s">
        <v>227</v>
      </c>
      <c r="Y705" s="143"/>
      <c r="Z705" s="143"/>
      <c r="AA705" s="143" t="s">
        <v>525</v>
      </c>
      <c r="AB705" s="143" t="s">
        <v>528</v>
      </c>
      <c r="AC705" s="155">
        <v>1</v>
      </c>
      <c r="AD705" s="155"/>
      <c r="AE705" s="155"/>
      <c r="AF705" s="155"/>
      <c r="AG705" s="155"/>
      <c r="AH705" s="143"/>
      <c r="AI705" s="158"/>
    </row>
    <row r="706" spans="1:35">
      <c r="A706" s="140"/>
      <c r="B706" s="143"/>
      <c r="C706" s="143" t="s">
        <v>1866</v>
      </c>
      <c r="D706" s="143" t="s">
        <v>501</v>
      </c>
      <c r="E706" s="143" t="s">
        <v>80</v>
      </c>
      <c r="F706" s="143" t="s">
        <v>1883</v>
      </c>
      <c r="G706" s="143" t="s">
        <v>1884</v>
      </c>
      <c r="H706" s="143"/>
      <c r="I706" s="198">
        <v>32301</v>
      </c>
      <c r="J706" s="155"/>
      <c r="K706" s="155">
        <v>1</v>
      </c>
      <c r="L706" s="155"/>
      <c r="M706" s="155"/>
      <c r="N706" s="155"/>
      <c r="O706" s="155"/>
      <c r="P706" s="155"/>
      <c r="Q706" s="155">
        <v>1</v>
      </c>
      <c r="R706" s="155" t="s">
        <v>1009</v>
      </c>
      <c r="S706" s="155"/>
      <c r="T706" s="155"/>
      <c r="U706" s="143" t="s">
        <v>505</v>
      </c>
      <c r="V706" s="143" t="s">
        <v>503</v>
      </c>
      <c r="W706" s="143" t="s">
        <v>298</v>
      </c>
      <c r="X706" s="143" t="s">
        <v>227</v>
      </c>
      <c r="Y706" s="143"/>
      <c r="Z706" s="143"/>
      <c r="AA706" s="143" t="s">
        <v>877</v>
      </c>
      <c r="AB706" s="143" t="s">
        <v>528</v>
      </c>
      <c r="AC706" s="155">
        <v>1</v>
      </c>
      <c r="AD706" s="155"/>
      <c r="AE706" s="155"/>
      <c r="AF706" s="155"/>
      <c r="AG706" s="155"/>
      <c r="AH706" s="143"/>
      <c r="AI706" s="158"/>
    </row>
    <row r="707" spans="1:35">
      <c r="A707" s="140"/>
      <c r="B707" s="143"/>
      <c r="C707" s="143" t="s">
        <v>1866</v>
      </c>
      <c r="D707" s="143" t="s">
        <v>501</v>
      </c>
      <c r="E707" s="143" t="s">
        <v>80</v>
      </c>
      <c r="F707" s="143" t="s">
        <v>1955</v>
      </c>
      <c r="G707" s="143" t="s">
        <v>1956</v>
      </c>
      <c r="H707" s="143" t="s">
        <v>1957</v>
      </c>
      <c r="I707" s="198"/>
      <c r="J707" s="155">
        <v>1</v>
      </c>
      <c r="K707" s="155"/>
      <c r="L707" s="155"/>
      <c r="M707" s="155"/>
      <c r="N707" s="155"/>
      <c r="O707" s="155"/>
      <c r="P707" s="155"/>
      <c r="Q707" s="155">
        <v>1</v>
      </c>
      <c r="R707" s="155" t="s">
        <v>1009</v>
      </c>
      <c r="S707" s="155"/>
      <c r="T707" s="155"/>
      <c r="U707" s="143" t="s">
        <v>505</v>
      </c>
      <c r="V707" s="143" t="s">
        <v>503</v>
      </c>
      <c r="W707" s="143" t="s">
        <v>298</v>
      </c>
      <c r="X707" s="143" t="s">
        <v>227</v>
      </c>
      <c r="Y707" s="143"/>
      <c r="Z707" s="143"/>
      <c r="AA707" s="143" t="s">
        <v>877</v>
      </c>
      <c r="AB707" s="143" t="s">
        <v>528</v>
      </c>
      <c r="AC707" s="155">
        <v>1</v>
      </c>
      <c r="AD707" s="155"/>
      <c r="AE707" s="155"/>
      <c r="AF707" s="155"/>
      <c r="AG707" s="155"/>
      <c r="AH707" s="143"/>
      <c r="AI707" s="158"/>
    </row>
    <row r="708" spans="1:35">
      <c r="A708" s="140"/>
      <c r="B708" s="143"/>
      <c r="C708" s="143" t="s">
        <v>1866</v>
      </c>
      <c r="D708" s="143" t="s">
        <v>501</v>
      </c>
      <c r="E708" s="143" t="s">
        <v>80</v>
      </c>
      <c r="F708" s="143" t="s">
        <v>1885</v>
      </c>
      <c r="G708" s="143" t="s">
        <v>1886</v>
      </c>
      <c r="H708" s="143"/>
      <c r="I708" s="198"/>
      <c r="J708" s="155">
        <v>1</v>
      </c>
      <c r="K708" s="155"/>
      <c r="L708" s="155"/>
      <c r="M708" s="155"/>
      <c r="N708" s="155"/>
      <c r="O708" s="155"/>
      <c r="P708" s="155"/>
      <c r="Q708" s="155">
        <v>1</v>
      </c>
      <c r="R708" s="155" t="s">
        <v>1009</v>
      </c>
      <c r="S708" s="155"/>
      <c r="T708" s="155"/>
      <c r="U708" s="143" t="s">
        <v>505</v>
      </c>
      <c r="V708" s="143" t="s">
        <v>503</v>
      </c>
      <c r="W708" s="143" t="s">
        <v>298</v>
      </c>
      <c r="X708" s="143" t="s">
        <v>227</v>
      </c>
      <c r="Y708" s="143"/>
      <c r="Z708" s="143"/>
      <c r="AA708" s="143" t="s">
        <v>877</v>
      </c>
      <c r="AB708" s="143" t="s">
        <v>528</v>
      </c>
      <c r="AC708" s="155">
        <v>1</v>
      </c>
      <c r="AD708" s="155"/>
      <c r="AE708" s="155"/>
      <c r="AF708" s="155"/>
      <c r="AG708" s="155"/>
      <c r="AH708" s="143"/>
      <c r="AI708" s="158"/>
    </row>
    <row r="709" spans="1:35">
      <c r="A709" s="140"/>
      <c r="B709" s="143"/>
      <c r="C709" s="143" t="s">
        <v>1866</v>
      </c>
      <c r="D709" s="143" t="s">
        <v>501</v>
      </c>
      <c r="E709" s="143" t="s">
        <v>80</v>
      </c>
      <c r="F709" s="143" t="s">
        <v>1900</v>
      </c>
      <c r="G709" s="143" t="s">
        <v>745</v>
      </c>
      <c r="H709" s="143" t="s">
        <v>1901</v>
      </c>
      <c r="I709" s="198"/>
      <c r="J709" s="155">
        <v>1</v>
      </c>
      <c r="K709" s="155"/>
      <c r="L709" s="155"/>
      <c r="M709" s="155"/>
      <c r="N709" s="155"/>
      <c r="O709" s="155"/>
      <c r="P709" s="155"/>
      <c r="Q709" s="155">
        <v>1</v>
      </c>
      <c r="R709" s="155" t="s">
        <v>962</v>
      </c>
      <c r="S709" s="155"/>
      <c r="T709" s="155"/>
      <c r="U709" s="143" t="s">
        <v>502</v>
      </c>
      <c r="V709" s="143" t="s">
        <v>503</v>
      </c>
      <c r="W709" s="143" t="s">
        <v>298</v>
      </c>
      <c r="X709" s="143" t="s">
        <v>227</v>
      </c>
      <c r="Y709" s="143"/>
      <c r="Z709" s="143"/>
      <c r="AA709" s="143" t="s">
        <v>525</v>
      </c>
      <c r="AB709" s="143" t="s">
        <v>528</v>
      </c>
      <c r="AC709" s="155">
        <v>1</v>
      </c>
      <c r="AD709" s="155"/>
      <c r="AE709" s="155"/>
      <c r="AF709" s="155"/>
      <c r="AG709" s="155"/>
      <c r="AH709" s="143"/>
      <c r="AI709" s="158"/>
    </row>
    <row r="710" spans="1:35">
      <c r="A710" s="140"/>
      <c r="B710" s="143"/>
      <c r="C710" s="143" t="s">
        <v>1866</v>
      </c>
      <c r="D710" s="143" t="s">
        <v>501</v>
      </c>
      <c r="E710" s="143" t="s">
        <v>80</v>
      </c>
      <c r="F710" s="143" t="s">
        <v>1902</v>
      </c>
      <c r="G710" s="143" t="s">
        <v>1903</v>
      </c>
      <c r="H710" s="143" t="s">
        <v>133</v>
      </c>
      <c r="I710" s="198"/>
      <c r="J710" s="155">
        <v>1</v>
      </c>
      <c r="K710" s="155"/>
      <c r="L710" s="155">
        <v>1</v>
      </c>
      <c r="M710" s="155"/>
      <c r="N710" s="155"/>
      <c r="O710" s="155"/>
      <c r="P710" s="155"/>
      <c r="Q710" s="155">
        <v>1</v>
      </c>
      <c r="R710" s="155" t="s">
        <v>1045</v>
      </c>
      <c r="S710" s="155"/>
      <c r="T710" s="155"/>
      <c r="U710" s="143" t="s">
        <v>504</v>
      </c>
      <c r="V710" s="143" t="s">
        <v>503</v>
      </c>
      <c r="W710" s="143" t="s">
        <v>298</v>
      </c>
      <c r="X710" s="143" t="s">
        <v>227</v>
      </c>
      <c r="Y710" s="143"/>
      <c r="Z710" s="143"/>
      <c r="AA710" s="143" t="s">
        <v>524</v>
      </c>
      <c r="AB710" s="143" t="s">
        <v>528</v>
      </c>
      <c r="AC710" s="155">
        <v>1</v>
      </c>
      <c r="AD710" s="155"/>
      <c r="AE710" s="155"/>
      <c r="AF710" s="155"/>
      <c r="AG710" s="155"/>
      <c r="AH710" s="143"/>
      <c r="AI710" s="158"/>
    </row>
    <row r="711" spans="1:35">
      <c r="A711" s="140"/>
      <c r="B711" s="143"/>
      <c r="C711" s="143" t="s">
        <v>1866</v>
      </c>
      <c r="D711" s="143" t="s">
        <v>501</v>
      </c>
      <c r="E711" s="143" t="s">
        <v>80</v>
      </c>
      <c r="F711" s="143" t="s">
        <v>211</v>
      </c>
      <c r="G711" s="143" t="s">
        <v>1904</v>
      </c>
      <c r="H711" s="143"/>
      <c r="I711" s="198"/>
      <c r="J711" s="155">
        <v>1</v>
      </c>
      <c r="K711" s="155"/>
      <c r="L711" s="155"/>
      <c r="M711" s="155"/>
      <c r="N711" s="155"/>
      <c r="O711" s="155"/>
      <c r="P711" s="155"/>
      <c r="Q711" s="155">
        <v>1</v>
      </c>
      <c r="R711" s="155" t="s">
        <v>1908</v>
      </c>
      <c r="S711" s="155"/>
      <c r="T711" s="155"/>
      <c r="U711" s="143"/>
      <c r="V711" s="143" t="s">
        <v>1127</v>
      </c>
      <c r="W711" s="143"/>
      <c r="X711" s="143" t="s">
        <v>1257</v>
      </c>
      <c r="Y711" s="143"/>
      <c r="Z711" s="143"/>
      <c r="AA711" s="143" t="s">
        <v>524</v>
      </c>
      <c r="AB711" s="143" t="s">
        <v>528</v>
      </c>
      <c r="AC711" s="155">
        <v>1</v>
      </c>
      <c r="AD711" s="155"/>
      <c r="AE711" s="155"/>
      <c r="AF711" s="155"/>
      <c r="AG711" s="155"/>
      <c r="AH711" s="143"/>
      <c r="AI711" s="158"/>
    </row>
    <row r="712" spans="1:35">
      <c r="A712" s="140"/>
      <c r="B712" s="143"/>
      <c r="C712" s="143" t="s">
        <v>1866</v>
      </c>
      <c r="D712" s="143" t="s">
        <v>501</v>
      </c>
      <c r="E712" s="143" t="s">
        <v>80</v>
      </c>
      <c r="F712" s="143" t="s">
        <v>1905</v>
      </c>
      <c r="G712" s="143" t="s">
        <v>1906</v>
      </c>
      <c r="H712" s="143"/>
      <c r="I712" s="198"/>
      <c r="J712" s="155"/>
      <c r="K712" s="155"/>
      <c r="L712" s="155"/>
      <c r="M712" s="155"/>
      <c r="N712" s="155"/>
      <c r="O712" s="155"/>
      <c r="P712" s="155"/>
      <c r="Q712" s="155">
        <v>1</v>
      </c>
      <c r="R712" s="155" t="s">
        <v>1908</v>
      </c>
      <c r="S712" s="155"/>
      <c r="T712" s="155"/>
      <c r="U712" s="143"/>
      <c r="V712" s="143" t="s">
        <v>1127</v>
      </c>
      <c r="W712" s="143"/>
      <c r="X712" s="143" t="s">
        <v>1257</v>
      </c>
      <c r="Y712" s="143"/>
      <c r="Z712" s="143"/>
      <c r="AA712" s="143" t="s">
        <v>524</v>
      </c>
      <c r="AB712" s="143" t="s">
        <v>528</v>
      </c>
      <c r="AC712" s="155">
        <v>1</v>
      </c>
      <c r="AD712" s="155"/>
      <c r="AE712" s="155"/>
      <c r="AF712" s="155"/>
      <c r="AG712" s="155"/>
      <c r="AH712" s="143"/>
      <c r="AI712" s="158"/>
    </row>
    <row r="713" spans="1:35">
      <c r="A713" s="140"/>
      <c r="B713" s="143"/>
      <c r="C713" s="143" t="s">
        <v>1866</v>
      </c>
      <c r="D713" s="143" t="s">
        <v>501</v>
      </c>
      <c r="E713" s="143" t="s">
        <v>80</v>
      </c>
      <c r="F713" s="143" t="s">
        <v>1833</v>
      </c>
      <c r="G713" s="143" t="s">
        <v>1832</v>
      </c>
      <c r="H713" s="143" t="s">
        <v>286</v>
      </c>
      <c r="I713" s="198" t="s">
        <v>1907</v>
      </c>
      <c r="J713" s="155"/>
      <c r="K713" s="155">
        <v>1</v>
      </c>
      <c r="L713" s="155">
        <v>1</v>
      </c>
      <c r="M713" s="155"/>
      <c r="N713" s="155"/>
      <c r="O713" s="155"/>
      <c r="P713" s="155"/>
      <c r="Q713" s="155">
        <v>1</v>
      </c>
      <c r="R713" s="155" t="s">
        <v>1348</v>
      </c>
      <c r="S713" s="155"/>
      <c r="T713" s="155"/>
      <c r="U713" s="143" t="s">
        <v>859</v>
      </c>
      <c r="V713" s="143" t="s">
        <v>503</v>
      </c>
      <c r="W713" s="143" t="s">
        <v>298</v>
      </c>
      <c r="X713" s="143" t="s">
        <v>227</v>
      </c>
      <c r="Y713" s="143">
        <v>9659537816</v>
      </c>
      <c r="Z713" s="143"/>
      <c r="AA713" s="143" t="s">
        <v>525</v>
      </c>
      <c r="AB713" s="143" t="s">
        <v>528</v>
      </c>
      <c r="AC713" s="155">
        <v>1</v>
      </c>
      <c r="AD713" s="155" t="s">
        <v>93</v>
      </c>
      <c r="AE713" s="155"/>
      <c r="AF713" s="155"/>
      <c r="AG713" s="155"/>
      <c r="AH713" s="143"/>
      <c r="AI713" s="158"/>
    </row>
    <row r="714" spans="1:35">
      <c r="A714" s="140"/>
      <c r="B714" s="143"/>
      <c r="C714" s="143" t="s">
        <v>1866</v>
      </c>
      <c r="D714" s="143" t="s">
        <v>501</v>
      </c>
      <c r="E714" s="143" t="s">
        <v>80</v>
      </c>
      <c r="F714" s="143" t="s">
        <v>549</v>
      </c>
      <c r="G714" s="143" t="s">
        <v>1274</v>
      </c>
      <c r="H714" s="143" t="s">
        <v>133</v>
      </c>
      <c r="I714" s="198">
        <v>28800</v>
      </c>
      <c r="J714" s="155"/>
      <c r="K714" s="155"/>
      <c r="L714" s="155">
        <v>1</v>
      </c>
      <c r="M714" s="155"/>
      <c r="N714" s="155"/>
      <c r="O714" s="155"/>
      <c r="P714" s="155"/>
      <c r="Q714" s="155">
        <v>1</v>
      </c>
      <c r="R714" s="155" t="s">
        <v>1348</v>
      </c>
      <c r="S714" s="155"/>
      <c r="T714" s="155"/>
      <c r="U714" s="143" t="s">
        <v>859</v>
      </c>
      <c r="V714" s="143" t="s">
        <v>503</v>
      </c>
      <c r="W714" s="143" t="s">
        <v>298</v>
      </c>
      <c r="X714" s="143" t="s">
        <v>227</v>
      </c>
      <c r="Y714" s="143">
        <v>9683804223</v>
      </c>
      <c r="Z714" s="143"/>
      <c r="AA714" s="143" t="s">
        <v>525</v>
      </c>
      <c r="AB714" s="143" t="s">
        <v>528</v>
      </c>
      <c r="AC714" s="155">
        <v>1</v>
      </c>
      <c r="AD714" s="155"/>
      <c r="AE714" s="155"/>
      <c r="AF714" s="155"/>
      <c r="AG714" s="155"/>
      <c r="AH714" s="143"/>
      <c r="AI714" s="158"/>
    </row>
    <row r="715" spans="1:35">
      <c r="A715" s="140"/>
      <c r="B715" s="143"/>
      <c r="C715" s="143" t="s">
        <v>1866</v>
      </c>
      <c r="D715" s="143" t="s">
        <v>501</v>
      </c>
      <c r="E715" s="143" t="s">
        <v>80</v>
      </c>
      <c r="F715" s="143" t="s">
        <v>1917</v>
      </c>
      <c r="G715" s="143" t="s">
        <v>1916</v>
      </c>
      <c r="H715" s="143"/>
      <c r="I715" s="198"/>
      <c r="J715" s="155"/>
      <c r="K715" s="155"/>
      <c r="L715" s="155" t="s">
        <v>93</v>
      </c>
      <c r="M715" s="155"/>
      <c r="N715" s="155"/>
      <c r="O715" s="155"/>
      <c r="P715" s="155"/>
      <c r="Q715" s="155">
        <v>1</v>
      </c>
      <c r="R715" s="155" t="s">
        <v>1045</v>
      </c>
      <c r="S715" s="155"/>
      <c r="T715" s="155"/>
      <c r="U715" s="143" t="s">
        <v>509</v>
      </c>
      <c r="V715" s="143" t="s">
        <v>503</v>
      </c>
      <c r="W715" s="143" t="s">
        <v>298</v>
      </c>
      <c r="X715" s="143" t="s">
        <v>227</v>
      </c>
      <c r="Y715" s="143">
        <v>9052102889</v>
      </c>
      <c r="Z715" s="143"/>
      <c r="AA715" s="143" t="s">
        <v>524</v>
      </c>
      <c r="AB715" s="143" t="s">
        <v>528</v>
      </c>
      <c r="AC715" s="155">
        <v>1</v>
      </c>
      <c r="AD715" s="155"/>
      <c r="AE715" s="155"/>
      <c r="AF715" s="155"/>
      <c r="AG715" s="155"/>
      <c r="AH715" s="143"/>
      <c r="AI715" s="158"/>
    </row>
    <row r="716" spans="1:35">
      <c r="A716" s="140"/>
      <c r="B716" s="143"/>
      <c r="C716" s="143" t="s">
        <v>1866</v>
      </c>
      <c r="D716" s="143" t="s">
        <v>501</v>
      </c>
      <c r="E716" s="143" t="s">
        <v>80</v>
      </c>
      <c r="F716" s="143" t="s">
        <v>397</v>
      </c>
      <c r="G716" s="143" t="s">
        <v>398</v>
      </c>
      <c r="H716" s="143" t="s">
        <v>742</v>
      </c>
      <c r="I716" s="198">
        <v>22315</v>
      </c>
      <c r="J716" s="155">
        <v>1</v>
      </c>
      <c r="K716" s="155"/>
      <c r="L716" s="155">
        <v>1</v>
      </c>
      <c r="M716" s="155"/>
      <c r="N716" s="155"/>
      <c r="O716" s="155"/>
      <c r="P716" s="155"/>
      <c r="Q716" s="155">
        <v>1</v>
      </c>
      <c r="R716" s="155" t="s">
        <v>1348</v>
      </c>
      <c r="S716" s="155"/>
      <c r="T716" s="155"/>
      <c r="U716" s="187" t="s">
        <v>517</v>
      </c>
      <c r="V716" s="143" t="s">
        <v>503</v>
      </c>
      <c r="W716" s="143" t="s">
        <v>298</v>
      </c>
      <c r="X716" s="143" t="s">
        <v>227</v>
      </c>
      <c r="Y716" s="143">
        <v>9456937644</v>
      </c>
      <c r="Z716" s="143"/>
      <c r="AA716" s="143" t="s">
        <v>525</v>
      </c>
      <c r="AB716" s="143" t="s">
        <v>528</v>
      </c>
      <c r="AC716" s="155">
        <v>1</v>
      </c>
      <c r="AD716" s="155"/>
      <c r="AE716" s="155"/>
      <c r="AF716" s="155"/>
      <c r="AG716" s="155"/>
      <c r="AH716" s="143"/>
      <c r="AI716" s="158"/>
    </row>
    <row r="717" spans="1:35">
      <c r="A717" s="140"/>
      <c r="B717" s="143"/>
      <c r="C717" s="143" t="s">
        <v>1866</v>
      </c>
      <c r="D717" s="143" t="s">
        <v>501</v>
      </c>
      <c r="E717" s="143" t="s">
        <v>80</v>
      </c>
      <c r="F717" s="143" t="s">
        <v>445</v>
      </c>
      <c r="G717" s="143" t="s">
        <v>446</v>
      </c>
      <c r="H717" s="143" t="s">
        <v>133</v>
      </c>
      <c r="I717" s="198">
        <v>33127</v>
      </c>
      <c r="J717" s="155"/>
      <c r="K717" s="155">
        <v>1</v>
      </c>
      <c r="L717" s="155" t="s">
        <v>93</v>
      </c>
      <c r="M717" s="155"/>
      <c r="N717" s="155"/>
      <c r="O717" s="155"/>
      <c r="P717" s="155"/>
      <c r="Q717" s="155">
        <v>1</v>
      </c>
      <c r="R717" s="155" t="s">
        <v>1348</v>
      </c>
      <c r="S717" s="155"/>
      <c r="T717" s="155"/>
      <c r="U717" s="143" t="s">
        <v>295</v>
      </c>
      <c r="V717" s="143" t="s">
        <v>503</v>
      </c>
      <c r="W717" s="143" t="s">
        <v>298</v>
      </c>
      <c r="X717" s="143" t="s">
        <v>227</v>
      </c>
      <c r="Y717" s="143">
        <v>9759439305</v>
      </c>
      <c r="Z717" s="143"/>
      <c r="AA717" s="143" t="s">
        <v>525</v>
      </c>
      <c r="AB717" s="143" t="s">
        <v>528</v>
      </c>
      <c r="AC717" s="155">
        <v>2</v>
      </c>
      <c r="AD717" s="155"/>
      <c r="AE717" s="155"/>
      <c r="AF717" s="155"/>
      <c r="AG717" s="155"/>
      <c r="AH717" s="143"/>
      <c r="AI717" s="158"/>
    </row>
    <row r="718" spans="1:35">
      <c r="A718" s="140"/>
      <c r="B718" s="143"/>
      <c r="C718" s="143" t="s">
        <v>1866</v>
      </c>
      <c r="D718" s="143" t="s">
        <v>501</v>
      </c>
      <c r="E718" s="143" t="s">
        <v>80</v>
      </c>
      <c r="F718" s="143" t="s">
        <v>1953</v>
      </c>
      <c r="G718" s="143"/>
      <c r="H718" s="143"/>
      <c r="I718" s="198"/>
      <c r="J718" s="155">
        <v>1</v>
      </c>
      <c r="K718" s="155"/>
      <c r="L718" s="155"/>
      <c r="M718" s="155"/>
      <c r="N718" s="155"/>
      <c r="O718" s="155"/>
      <c r="P718" s="155"/>
      <c r="Q718" s="155">
        <v>1</v>
      </c>
      <c r="R718" s="155" t="s">
        <v>1009</v>
      </c>
      <c r="S718" s="155"/>
      <c r="T718" s="155"/>
      <c r="U718" s="143" t="s">
        <v>504</v>
      </c>
      <c r="V718" s="143" t="s">
        <v>503</v>
      </c>
      <c r="W718" s="143" t="s">
        <v>298</v>
      </c>
      <c r="X718" s="143" t="s">
        <v>227</v>
      </c>
      <c r="Y718" s="143"/>
      <c r="Z718" s="143"/>
      <c r="AA718" s="162" t="s">
        <v>524</v>
      </c>
      <c r="AB718" s="143" t="s">
        <v>528</v>
      </c>
      <c r="AC718" s="155">
        <v>1</v>
      </c>
      <c r="AD718" s="155"/>
      <c r="AE718" s="155"/>
      <c r="AF718" s="155"/>
      <c r="AG718" s="155"/>
      <c r="AH718" s="143"/>
      <c r="AI718" s="158"/>
    </row>
    <row r="719" spans="1:35">
      <c r="A719" s="140"/>
      <c r="B719" s="143"/>
      <c r="C719" s="143" t="s">
        <v>1866</v>
      </c>
      <c r="D719" s="143" t="s">
        <v>501</v>
      </c>
      <c r="E719" s="143" t="s">
        <v>80</v>
      </c>
      <c r="F719" s="143" t="s">
        <v>1954</v>
      </c>
      <c r="G719" s="143" t="s">
        <v>494</v>
      </c>
      <c r="H719" s="143" t="s">
        <v>136</v>
      </c>
      <c r="I719" s="198">
        <v>21187</v>
      </c>
      <c r="J719" s="155">
        <v>1</v>
      </c>
      <c r="K719" s="155"/>
      <c r="L719" s="155" t="s">
        <v>93</v>
      </c>
      <c r="M719" s="155">
        <v>1</v>
      </c>
      <c r="N719" s="155"/>
      <c r="O719" s="155"/>
      <c r="P719" s="155"/>
      <c r="Q719" s="155">
        <v>1</v>
      </c>
      <c r="R719" s="155" t="s">
        <v>1009</v>
      </c>
      <c r="S719" s="155"/>
      <c r="T719" s="155"/>
      <c r="U719" s="143"/>
      <c r="V719" s="143" t="s">
        <v>218</v>
      </c>
      <c r="W719" s="143" t="s">
        <v>279</v>
      </c>
      <c r="X719" s="143" t="s">
        <v>227</v>
      </c>
      <c r="Y719" s="143">
        <v>9985499773</v>
      </c>
      <c r="Z719" s="143"/>
      <c r="AA719" s="143" t="s">
        <v>877</v>
      </c>
      <c r="AB719" s="143" t="s">
        <v>528</v>
      </c>
      <c r="AC719" s="155">
        <v>2</v>
      </c>
      <c r="AD719" s="155"/>
      <c r="AE719" s="155"/>
      <c r="AF719" s="155"/>
      <c r="AG719" s="155"/>
      <c r="AH719" s="143"/>
      <c r="AI719" s="158"/>
    </row>
    <row r="720" spans="1:35">
      <c r="A720" s="140"/>
      <c r="B720" s="143"/>
      <c r="C720" s="143" t="s">
        <v>1866</v>
      </c>
      <c r="D720" s="143" t="s">
        <v>501</v>
      </c>
      <c r="E720" s="143" t="s">
        <v>80</v>
      </c>
      <c r="F720" s="143" t="s">
        <v>1967</v>
      </c>
      <c r="G720" s="143" t="s">
        <v>1966</v>
      </c>
      <c r="H720" s="143"/>
      <c r="I720" s="198"/>
      <c r="J720" s="155"/>
      <c r="K720" s="155">
        <v>1</v>
      </c>
      <c r="L720" s="155"/>
      <c r="M720" s="155"/>
      <c r="N720" s="155"/>
      <c r="O720" s="155"/>
      <c r="P720" s="155"/>
      <c r="Q720" s="155">
        <v>1</v>
      </c>
      <c r="R720" s="155" t="s">
        <v>1009</v>
      </c>
      <c r="S720" s="155"/>
      <c r="T720" s="155"/>
      <c r="U720" s="143"/>
      <c r="V720" s="143" t="s">
        <v>218</v>
      </c>
      <c r="W720" s="143" t="s">
        <v>279</v>
      </c>
      <c r="X720" s="143" t="s">
        <v>227</v>
      </c>
      <c r="Y720" s="143">
        <v>9985499773</v>
      </c>
      <c r="Z720" s="143"/>
      <c r="AA720" s="143" t="s">
        <v>877</v>
      </c>
      <c r="AB720" s="143" t="s">
        <v>528</v>
      </c>
      <c r="AC720" s="155">
        <v>1</v>
      </c>
      <c r="AD720" s="155"/>
      <c r="AE720" s="155"/>
      <c r="AF720" s="155"/>
      <c r="AG720" s="155"/>
      <c r="AH720" s="143"/>
      <c r="AI720" s="158"/>
    </row>
    <row r="721" spans="1:35">
      <c r="A721" s="140"/>
      <c r="B721" s="143"/>
      <c r="C721" s="143" t="s">
        <v>1866</v>
      </c>
      <c r="D721" s="143" t="s">
        <v>501</v>
      </c>
      <c r="E721" s="143" t="s">
        <v>80</v>
      </c>
      <c r="F721" s="143" t="s">
        <v>1968</v>
      </c>
      <c r="G721" s="143" t="s">
        <v>809</v>
      </c>
      <c r="H721" s="143"/>
      <c r="I721" s="198"/>
      <c r="J721" s="155"/>
      <c r="K721" s="155">
        <v>1</v>
      </c>
      <c r="L721" s="155"/>
      <c r="M721" s="155"/>
      <c r="N721" s="155"/>
      <c r="O721" s="155"/>
      <c r="P721" s="155"/>
      <c r="Q721" s="155">
        <v>1</v>
      </c>
      <c r="R721" s="155" t="s">
        <v>1045</v>
      </c>
      <c r="S721" s="155"/>
      <c r="T721" s="155"/>
      <c r="U721" s="143" t="s">
        <v>1970</v>
      </c>
      <c r="V721" s="143" t="s">
        <v>503</v>
      </c>
      <c r="W721" s="143" t="s">
        <v>298</v>
      </c>
      <c r="X721" s="143" t="s">
        <v>227</v>
      </c>
      <c r="Y721" s="143">
        <v>9105818711</v>
      </c>
      <c r="Z721" s="143"/>
      <c r="AA721" s="162" t="s">
        <v>524</v>
      </c>
      <c r="AB721" s="143" t="s">
        <v>528</v>
      </c>
      <c r="AC721" s="155">
        <v>1</v>
      </c>
      <c r="AD721" s="155"/>
      <c r="AE721" s="155"/>
      <c r="AF721" s="155"/>
      <c r="AG721" s="155"/>
      <c r="AH721" s="143"/>
      <c r="AI721" s="158"/>
    </row>
    <row r="722" spans="1:35">
      <c r="A722" s="140"/>
      <c r="B722" s="143"/>
      <c r="C722" s="143" t="s">
        <v>1866</v>
      </c>
      <c r="D722" s="143" t="s">
        <v>501</v>
      </c>
      <c r="E722" s="143" t="s">
        <v>80</v>
      </c>
      <c r="F722" s="143" t="s">
        <v>1411</v>
      </c>
      <c r="G722" s="143" t="s">
        <v>1412</v>
      </c>
      <c r="H722" s="143"/>
      <c r="I722" s="198"/>
      <c r="J722" s="155"/>
      <c r="K722" s="155">
        <v>1</v>
      </c>
      <c r="L722" s="155"/>
      <c r="M722" s="155"/>
      <c r="N722" s="155"/>
      <c r="O722" s="155"/>
      <c r="P722" s="155"/>
      <c r="Q722" s="155">
        <v>1</v>
      </c>
      <c r="R722" s="155" t="s">
        <v>1045</v>
      </c>
      <c r="S722" s="155"/>
      <c r="T722" s="155"/>
      <c r="U722" s="143" t="s">
        <v>1969</v>
      </c>
      <c r="V722" s="143" t="s">
        <v>218</v>
      </c>
      <c r="W722" s="143" t="s">
        <v>279</v>
      </c>
      <c r="X722" s="143" t="s">
        <v>227</v>
      </c>
      <c r="Y722" s="143"/>
      <c r="Z722" s="143"/>
      <c r="AA722" s="162" t="s">
        <v>524</v>
      </c>
      <c r="AB722" s="143" t="s">
        <v>528</v>
      </c>
      <c r="AC722" s="155">
        <v>1</v>
      </c>
      <c r="AD722" s="155"/>
      <c r="AE722" s="155"/>
      <c r="AF722" s="155"/>
      <c r="AG722" s="155"/>
      <c r="AH722" s="143"/>
      <c r="AI722" s="158"/>
    </row>
    <row r="723" spans="1:35">
      <c r="A723" s="140"/>
      <c r="B723" s="143"/>
      <c r="C723" s="143" t="s">
        <v>1866</v>
      </c>
      <c r="D723" s="143" t="s">
        <v>501</v>
      </c>
      <c r="E723" s="143" t="s">
        <v>80</v>
      </c>
      <c r="F723" s="143" t="s">
        <v>1077</v>
      </c>
      <c r="G723" s="143" t="s">
        <v>1078</v>
      </c>
      <c r="H723" s="143" t="s">
        <v>830</v>
      </c>
      <c r="I723" s="199">
        <v>27524</v>
      </c>
      <c r="J723" s="182"/>
      <c r="K723" s="182">
        <v>1</v>
      </c>
      <c r="L723" s="155"/>
      <c r="M723" s="155"/>
      <c r="N723" s="155"/>
      <c r="O723" s="155"/>
      <c r="P723" s="155"/>
      <c r="Q723" s="155">
        <v>1</v>
      </c>
      <c r="R723" s="155" t="s">
        <v>1348</v>
      </c>
      <c r="S723" s="155"/>
      <c r="T723" s="155"/>
      <c r="U723" s="183" t="s">
        <v>855</v>
      </c>
      <c r="V723" s="143" t="s">
        <v>503</v>
      </c>
      <c r="W723" s="143" t="s">
        <v>298</v>
      </c>
      <c r="X723" s="143" t="s">
        <v>227</v>
      </c>
      <c r="Y723" s="184">
        <v>9102099575</v>
      </c>
      <c r="Z723" s="143"/>
      <c r="AA723" s="162" t="s">
        <v>524</v>
      </c>
      <c r="AB723" s="143" t="s">
        <v>528</v>
      </c>
      <c r="AC723" s="155">
        <v>1</v>
      </c>
      <c r="AD723" s="155"/>
      <c r="AE723" s="155"/>
      <c r="AF723" s="155"/>
      <c r="AG723" s="155"/>
      <c r="AH723" s="143"/>
      <c r="AI723" s="158"/>
    </row>
    <row r="724" spans="1:35">
      <c r="A724" s="140"/>
      <c r="B724" s="143"/>
      <c r="C724" s="143" t="s">
        <v>1866</v>
      </c>
      <c r="D724" s="143" t="s">
        <v>501</v>
      </c>
      <c r="E724" s="143" t="s">
        <v>80</v>
      </c>
      <c r="F724" s="143" t="s">
        <v>1971</v>
      </c>
      <c r="G724" s="143" t="s">
        <v>1229</v>
      </c>
      <c r="H724" s="143"/>
      <c r="I724" s="198">
        <v>27749</v>
      </c>
      <c r="J724" s="155">
        <v>1</v>
      </c>
      <c r="K724" s="155" t="s">
        <v>93</v>
      </c>
      <c r="L724" s="155">
        <v>1</v>
      </c>
      <c r="M724" s="155"/>
      <c r="N724" s="155"/>
      <c r="O724" s="155"/>
      <c r="P724" s="155"/>
      <c r="Q724" s="155"/>
      <c r="R724" s="155"/>
      <c r="S724" s="155"/>
      <c r="T724" s="155"/>
      <c r="U724" s="143" t="s">
        <v>517</v>
      </c>
      <c r="V724" s="143" t="s">
        <v>503</v>
      </c>
      <c r="W724" s="143" t="s">
        <v>298</v>
      </c>
      <c r="X724" s="143" t="s">
        <v>227</v>
      </c>
      <c r="Y724" s="143">
        <v>9166248754</v>
      </c>
      <c r="Z724" s="143"/>
      <c r="AA724" s="143" t="s">
        <v>877</v>
      </c>
      <c r="AB724" s="143" t="s">
        <v>528</v>
      </c>
      <c r="AC724" s="155">
        <v>1</v>
      </c>
      <c r="AD724" s="155"/>
      <c r="AE724" s="155"/>
      <c r="AF724" s="155"/>
      <c r="AG724" s="155"/>
      <c r="AH724" s="143"/>
      <c r="AI724" s="158"/>
    </row>
    <row r="725" spans="1:35">
      <c r="A725" s="140"/>
      <c r="B725" s="143"/>
      <c r="C725" s="143" t="s">
        <v>1866</v>
      </c>
      <c r="D725" s="143" t="s">
        <v>501</v>
      </c>
      <c r="E725" s="143" t="s">
        <v>80</v>
      </c>
      <c r="F725" s="143" t="s">
        <v>1972</v>
      </c>
      <c r="G725" s="143" t="s">
        <v>1973</v>
      </c>
      <c r="H725" s="143"/>
      <c r="I725" s="198">
        <v>23787</v>
      </c>
      <c r="J725" s="155">
        <v>1</v>
      </c>
      <c r="K725" s="155" t="s">
        <v>93</v>
      </c>
      <c r="L725" s="155">
        <v>1</v>
      </c>
      <c r="M725" s="155"/>
      <c r="N725" s="155"/>
      <c r="O725" s="155"/>
      <c r="P725" s="155"/>
      <c r="Q725" s="155"/>
      <c r="R725" s="155"/>
      <c r="S725" s="155"/>
      <c r="T725" s="155"/>
      <c r="U725" s="143" t="s">
        <v>859</v>
      </c>
      <c r="V725" s="143" t="s">
        <v>503</v>
      </c>
      <c r="W725" s="143" t="s">
        <v>298</v>
      </c>
      <c r="X725" s="143" t="s">
        <v>227</v>
      </c>
      <c r="Y725" s="143"/>
      <c r="Z725" s="143"/>
      <c r="AA725" s="143" t="s">
        <v>877</v>
      </c>
      <c r="AB725" s="143" t="s">
        <v>528</v>
      </c>
      <c r="AC725" s="155">
        <v>1</v>
      </c>
      <c r="AD725" s="155"/>
      <c r="AE725" s="155"/>
      <c r="AF725" s="155"/>
      <c r="AG725" s="155"/>
      <c r="AH725" s="143"/>
      <c r="AI725" s="158"/>
    </row>
    <row r="726" spans="1:35">
      <c r="A726" s="140"/>
      <c r="B726" s="143"/>
      <c r="C726" s="143" t="s">
        <v>1866</v>
      </c>
      <c r="D726" s="143" t="s">
        <v>501</v>
      </c>
      <c r="E726" s="143" t="s">
        <v>80</v>
      </c>
      <c r="F726" s="143" t="s">
        <v>1977</v>
      </c>
      <c r="G726" s="143" t="s">
        <v>1229</v>
      </c>
      <c r="H726" s="143"/>
      <c r="I726" s="198">
        <v>37403</v>
      </c>
      <c r="J726" s="155">
        <v>1</v>
      </c>
      <c r="K726" s="155" t="s">
        <v>93</v>
      </c>
      <c r="L726" s="155">
        <v>1</v>
      </c>
      <c r="M726" s="155"/>
      <c r="N726" s="155"/>
      <c r="O726" s="155"/>
      <c r="P726" s="155"/>
      <c r="Q726" s="155"/>
      <c r="R726" s="155"/>
      <c r="S726" s="155"/>
      <c r="T726" s="155"/>
      <c r="U726" s="143" t="s">
        <v>517</v>
      </c>
      <c r="V726" s="143" t="s">
        <v>503</v>
      </c>
      <c r="W726" s="143" t="s">
        <v>298</v>
      </c>
      <c r="X726" s="143" t="s">
        <v>227</v>
      </c>
      <c r="Y726" s="143">
        <v>9489366136</v>
      </c>
      <c r="Z726" s="143"/>
      <c r="AA726" s="143" t="s">
        <v>877</v>
      </c>
      <c r="AB726" s="143" t="s">
        <v>528</v>
      </c>
      <c r="AC726" s="155">
        <v>1</v>
      </c>
      <c r="AD726" s="155"/>
      <c r="AE726" s="155"/>
      <c r="AF726" s="155"/>
      <c r="AG726" s="155"/>
      <c r="AH726" s="143"/>
      <c r="AI726" s="158"/>
    </row>
    <row r="727" spans="1:35">
      <c r="A727" s="140"/>
      <c r="B727" s="143"/>
      <c r="C727" s="143" t="s">
        <v>1866</v>
      </c>
      <c r="D727" s="143" t="s">
        <v>501</v>
      </c>
      <c r="E727" s="143" t="s">
        <v>80</v>
      </c>
      <c r="F727" s="143" t="s">
        <v>1971</v>
      </c>
      <c r="G727" s="143" t="s">
        <v>1974</v>
      </c>
      <c r="H727" s="143"/>
      <c r="I727" s="198" t="s">
        <v>93</v>
      </c>
      <c r="J727" s="155">
        <v>1</v>
      </c>
      <c r="K727" s="200" t="s">
        <v>93</v>
      </c>
      <c r="L727" s="155">
        <v>1</v>
      </c>
      <c r="M727" s="155"/>
      <c r="N727" s="155"/>
      <c r="O727" s="155"/>
      <c r="P727" s="155"/>
      <c r="Q727" s="155"/>
      <c r="R727" s="155"/>
      <c r="S727" s="155"/>
      <c r="T727" s="155"/>
      <c r="U727" s="143" t="s">
        <v>517</v>
      </c>
      <c r="V727" s="143" t="s">
        <v>503</v>
      </c>
      <c r="W727" s="143" t="s">
        <v>298</v>
      </c>
      <c r="X727" s="143" t="s">
        <v>227</v>
      </c>
      <c r="Y727" s="143"/>
      <c r="Z727" s="143"/>
      <c r="AA727" s="143" t="s">
        <v>877</v>
      </c>
      <c r="AB727" s="143" t="s">
        <v>528</v>
      </c>
      <c r="AC727" s="155">
        <v>1</v>
      </c>
      <c r="AD727" s="155"/>
      <c r="AE727" s="155"/>
      <c r="AF727" s="155"/>
      <c r="AG727" s="155"/>
      <c r="AH727" s="143"/>
      <c r="AI727" s="158"/>
    </row>
    <row r="728" spans="1:35">
      <c r="A728" s="140"/>
      <c r="B728" s="143"/>
      <c r="C728" s="143" t="s">
        <v>1866</v>
      </c>
      <c r="D728" s="143" t="s">
        <v>501</v>
      </c>
      <c r="E728" s="143" t="s">
        <v>80</v>
      </c>
      <c r="F728" s="143" t="s">
        <v>1975</v>
      </c>
      <c r="G728" s="143" t="s">
        <v>1976</v>
      </c>
      <c r="H728" s="143"/>
      <c r="I728" s="241">
        <v>35432</v>
      </c>
      <c r="J728" s="155">
        <v>1</v>
      </c>
      <c r="K728" s="155" t="s">
        <v>93</v>
      </c>
      <c r="L728" s="155">
        <v>1</v>
      </c>
      <c r="M728" s="155"/>
      <c r="N728" s="155"/>
      <c r="O728" s="155"/>
      <c r="P728" s="155"/>
      <c r="Q728" s="155"/>
      <c r="R728" s="155"/>
      <c r="S728" s="155"/>
      <c r="T728" s="155"/>
      <c r="U728" s="143" t="s">
        <v>517</v>
      </c>
      <c r="V728" s="143" t="s">
        <v>503</v>
      </c>
      <c r="W728" s="143" t="s">
        <v>298</v>
      </c>
      <c r="X728" s="143" t="s">
        <v>227</v>
      </c>
      <c r="Y728" s="143">
        <v>9665936562</v>
      </c>
      <c r="Z728" s="143"/>
      <c r="AA728" s="143" t="s">
        <v>877</v>
      </c>
      <c r="AB728" s="143" t="s">
        <v>528</v>
      </c>
      <c r="AC728" s="155">
        <v>1</v>
      </c>
      <c r="AD728" s="155"/>
      <c r="AE728" s="155"/>
      <c r="AF728" s="155"/>
      <c r="AG728" s="155"/>
      <c r="AH728" s="143"/>
      <c r="AI728" s="158"/>
    </row>
    <row r="729" spans="1:35">
      <c r="A729" s="140"/>
      <c r="B729" s="143"/>
      <c r="C729" s="143" t="s">
        <v>1866</v>
      </c>
      <c r="D729" s="143" t="s">
        <v>501</v>
      </c>
      <c r="E729" s="143" t="s">
        <v>80</v>
      </c>
      <c r="F729" s="143" t="s">
        <v>1978</v>
      </c>
      <c r="G729" s="143" t="s">
        <v>1381</v>
      </c>
      <c r="H729" s="143"/>
      <c r="I729" s="198"/>
      <c r="J729" s="155">
        <v>1</v>
      </c>
      <c r="K729" s="200" t="s">
        <v>93</v>
      </c>
      <c r="L729" s="155">
        <v>1</v>
      </c>
      <c r="M729" s="155"/>
      <c r="N729" s="155"/>
      <c r="O729" s="155"/>
      <c r="P729" s="155"/>
      <c r="Q729" s="155"/>
      <c r="R729" s="155"/>
      <c r="S729" s="155"/>
      <c r="T729" s="155"/>
      <c r="U729" s="143" t="s">
        <v>859</v>
      </c>
      <c r="V729" s="143" t="s">
        <v>503</v>
      </c>
      <c r="W729" s="143" t="s">
        <v>298</v>
      </c>
      <c r="X729" s="143" t="s">
        <v>227</v>
      </c>
      <c r="Y729" s="143">
        <v>9166248754</v>
      </c>
      <c r="Z729" s="143"/>
      <c r="AA729" s="143" t="s">
        <v>877</v>
      </c>
      <c r="AB729" s="143" t="s">
        <v>528</v>
      </c>
      <c r="AC729" s="155">
        <v>1</v>
      </c>
      <c r="AD729" s="155"/>
      <c r="AE729" s="155"/>
      <c r="AF729" s="155"/>
      <c r="AG729" s="155"/>
      <c r="AH729" s="143"/>
      <c r="AI729" s="158"/>
    </row>
    <row r="730" spans="1:35">
      <c r="A730" s="140"/>
      <c r="B730" s="143"/>
      <c r="C730" s="143" t="s">
        <v>1866</v>
      </c>
      <c r="D730" s="143" t="s">
        <v>501</v>
      </c>
      <c r="E730" s="143" t="s">
        <v>80</v>
      </c>
      <c r="F730" s="143" t="s">
        <v>1971</v>
      </c>
      <c r="G730" s="143" t="s">
        <v>1989</v>
      </c>
      <c r="H730" s="143"/>
      <c r="I730" s="198">
        <v>37167</v>
      </c>
      <c r="J730" s="201">
        <v>1</v>
      </c>
      <c r="K730" s="202" t="s">
        <v>93</v>
      </c>
      <c r="L730" s="201">
        <v>1</v>
      </c>
      <c r="M730" s="201"/>
      <c r="N730" s="201"/>
      <c r="O730" s="201"/>
      <c r="P730" s="201"/>
      <c r="Q730" s="201"/>
      <c r="R730" s="201"/>
      <c r="S730" s="201"/>
      <c r="T730" s="201"/>
      <c r="U730" s="143" t="s">
        <v>859</v>
      </c>
      <c r="V730" s="143" t="s">
        <v>503</v>
      </c>
      <c r="W730" s="143" t="s">
        <v>298</v>
      </c>
      <c r="X730" s="143" t="s">
        <v>227</v>
      </c>
      <c r="Y730" s="143"/>
      <c r="Z730" s="143"/>
      <c r="AA730" s="143" t="s">
        <v>877</v>
      </c>
      <c r="AB730" s="143" t="s">
        <v>528</v>
      </c>
      <c r="AC730" s="201">
        <v>1</v>
      </c>
      <c r="AD730" s="201"/>
      <c r="AE730" s="201"/>
      <c r="AF730" s="201"/>
      <c r="AG730" s="201"/>
      <c r="AH730" s="143"/>
      <c r="AI730" s="158"/>
    </row>
    <row r="731" spans="1:35">
      <c r="A731" s="140"/>
      <c r="B731" s="143"/>
      <c r="C731" s="143" t="s">
        <v>1866</v>
      </c>
      <c r="D731" s="143" t="s">
        <v>501</v>
      </c>
      <c r="E731" s="143" t="s">
        <v>80</v>
      </c>
      <c r="F731" s="143" t="s">
        <v>1215</v>
      </c>
      <c r="G731" s="143" t="s">
        <v>159</v>
      </c>
      <c r="H731" s="143"/>
      <c r="I731" s="198"/>
      <c r="J731" s="155"/>
      <c r="K731" s="155"/>
      <c r="L731" s="155"/>
      <c r="M731" s="155"/>
      <c r="N731" s="155"/>
      <c r="O731" s="155"/>
      <c r="P731" s="155"/>
      <c r="Q731" s="155">
        <v>1</v>
      </c>
      <c r="R731" s="155" t="s">
        <v>1009</v>
      </c>
      <c r="S731" s="155"/>
      <c r="T731" s="155"/>
      <c r="U731" s="143" t="s">
        <v>1988</v>
      </c>
      <c r="V731" s="143" t="s">
        <v>218</v>
      </c>
      <c r="W731" s="143" t="s">
        <v>279</v>
      </c>
      <c r="X731" s="143" t="s">
        <v>227</v>
      </c>
      <c r="Y731" s="143"/>
      <c r="Z731" s="143"/>
      <c r="AA731" s="143" t="s">
        <v>877</v>
      </c>
      <c r="AB731" s="143" t="s">
        <v>528</v>
      </c>
      <c r="AC731" s="155">
        <v>1</v>
      </c>
      <c r="AD731" s="155"/>
      <c r="AE731" s="155"/>
      <c r="AF731" s="155"/>
      <c r="AG731" s="155"/>
      <c r="AH731" s="143"/>
      <c r="AI731" s="158"/>
    </row>
    <row r="732" spans="1:35">
      <c r="A732" s="140"/>
      <c r="B732" s="143"/>
      <c r="C732" s="143" t="s">
        <v>1866</v>
      </c>
      <c r="D732" s="143" t="s">
        <v>501</v>
      </c>
      <c r="E732" s="143" t="s">
        <v>80</v>
      </c>
      <c r="F732" s="143" t="s">
        <v>1979</v>
      </c>
      <c r="G732" s="143" t="s">
        <v>159</v>
      </c>
      <c r="H732" s="143"/>
      <c r="I732" s="198"/>
      <c r="J732" s="155"/>
      <c r="K732" s="155"/>
      <c r="L732" s="155"/>
      <c r="M732" s="155"/>
      <c r="N732" s="155"/>
      <c r="O732" s="155"/>
      <c r="P732" s="155"/>
      <c r="Q732" s="155">
        <v>1</v>
      </c>
      <c r="R732" s="155" t="s">
        <v>1009</v>
      </c>
      <c r="S732" s="155"/>
      <c r="T732" s="155"/>
      <c r="U732" s="143" t="s">
        <v>1988</v>
      </c>
      <c r="V732" s="143" t="s">
        <v>218</v>
      </c>
      <c r="W732" s="143" t="s">
        <v>279</v>
      </c>
      <c r="X732" s="143" t="s">
        <v>227</v>
      </c>
      <c r="Y732" s="143"/>
      <c r="Z732" s="143"/>
      <c r="AA732" s="143" t="s">
        <v>877</v>
      </c>
      <c r="AB732" s="143" t="s">
        <v>528</v>
      </c>
      <c r="AC732" s="155">
        <v>1</v>
      </c>
      <c r="AD732" s="155"/>
      <c r="AE732" s="155"/>
      <c r="AF732" s="155"/>
      <c r="AG732" s="155"/>
      <c r="AH732" s="143"/>
      <c r="AI732" s="158"/>
    </row>
    <row r="733" spans="1:35">
      <c r="A733" s="140"/>
      <c r="B733" s="143"/>
      <c r="C733" s="143" t="s">
        <v>1866</v>
      </c>
      <c r="D733" s="143" t="s">
        <v>501</v>
      </c>
      <c r="E733" s="143" t="s">
        <v>80</v>
      </c>
      <c r="F733" s="143" t="s">
        <v>211</v>
      </c>
      <c r="G733" s="143" t="s">
        <v>1980</v>
      </c>
      <c r="H733" s="143"/>
      <c r="I733" s="198">
        <v>19320</v>
      </c>
      <c r="J733" s="155"/>
      <c r="K733" s="155">
        <v>1</v>
      </c>
      <c r="L733" s="155"/>
      <c r="M733" s="155">
        <v>1</v>
      </c>
      <c r="N733" s="155"/>
      <c r="O733" s="155"/>
      <c r="P733" s="155"/>
      <c r="Q733" s="155">
        <v>1</v>
      </c>
      <c r="R733" s="155" t="s">
        <v>1009</v>
      </c>
      <c r="S733" s="155"/>
      <c r="T733" s="155"/>
      <c r="U733" s="143" t="s">
        <v>1988</v>
      </c>
      <c r="V733" s="143" t="s">
        <v>218</v>
      </c>
      <c r="W733" s="143" t="s">
        <v>279</v>
      </c>
      <c r="X733" s="143" t="s">
        <v>227</v>
      </c>
      <c r="Y733" s="143">
        <v>9338268311</v>
      </c>
      <c r="Z733" s="143"/>
      <c r="AA733" s="143" t="s">
        <v>877</v>
      </c>
      <c r="AB733" s="143" t="s">
        <v>528</v>
      </c>
      <c r="AC733" s="155">
        <v>1</v>
      </c>
      <c r="AD733" s="155"/>
      <c r="AE733" s="155"/>
      <c r="AF733" s="155"/>
      <c r="AG733" s="155"/>
      <c r="AH733" s="143"/>
      <c r="AI733" s="158"/>
    </row>
    <row r="734" spans="1:35">
      <c r="A734" s="140"/>
      <c r="B734" s="143"/>
      <c r="C734" s="143" t="s">
        <v>1866</v>
      </c>
      <c r="D734" s="143" t="s">
        <v>501</v>
      </c>
      <c r="E734" s="143" t="s">
        <v>80</v>
      </c>
      <c r="F734" s="143" t="s">
        <v>1981</v>
      </c>
      <c r="G734" s="143" t="s">
        <v>492</v>
      </c>
      <c r="H734" s="143"/>
      <c r="I734" s="198">
        <v>21829</v>
      </c>
      <c r="J734" s="155">
        <v>1</v>
      </c>
      <c r="K734" s="155"/>
      <c r="L734" s="155"/>
      <c r="M734" s="155">
        <v>1</v>
      </c>
      <c r="N734" s="155"/>
      <c r="O734" s="155"/>
      <c r="P734" s="155"/>
      <c r="Q734" s="155">
        <v>1</v>
      </c>
      <c r="R734" s="155" t="s">
        <v>957</v>
      </c>
      <c r="S734" s="155"/>
      <c r="T734" s="155"/>
      <c r="U734" s="143" t="s">
        <v>510</v>
      </c>
      <c r="V734" s="143" t="s">
        <v>503</v>
      </c>
      <c r="W734" s="143" t="s">
        <v>298</v>
      </c>
      <c r="X734" s="143" t="s">
        <v>227</v>
      </c>
      <c r="Y734" s="143">
        <v>9474460613</v>
      </c>
      <c r="Z734" s="143"/>
      <c r="AA734" s="162" t="s">
        <v>524</v>
      </c>
      <c r="AB734" s="143" t="s">
        <v>528</v>
      </c>
      <c r="AC734" s="155">
        <v>3</v>
      </c>
      <c r="AD734" s="155"/>
      <c r="AE734" s="155"/>
      <c r="AF734" s="155"/>
      <c r="AG734" s="155"/>
      <c r="AH734" s="143"/>
      <c r="AI734" s="158"/>
    </row>
    <row r="735" spans="1:35">
      <c r="A735" s="140" t="s">
        <v>93</v>
      </c>
      <c r="B735" s="143"/>
      <c r="C735" s="143" t="s">
        <v>1866</v>
      </c>
      <c r="D735" s="143" t="s">
        <v>501</v>
      </c>
      <c r="E735" s="143" t="s">
        <v>80</v>
      </c>
      <c r="F735" s="143" t="s">
        <v>1982</v>
      </c>
      <c r="G735" s="143" t="s">
        <v>150</v>
      </c>
      <c r="H735" s="143"/>
      <c r="I735" s="198">
        <v>22900</v>
      </c>
      <c r="J735" s="155">
        <v>1</v>
      </c>
      <c r="K735" s="155"/>
      <c r="L735" s="155"/>
      <c r="M735" s="155"/>
      <c r="N735" s="155"/>
      <c r="O735" s="155"/>
      <c r="P735" s="155"/>
      <c r="Q735" s="155">
        <v>1</v>
      </c>
      <c r="R735" s="155" t="s">
        <v>1009</v>
      </c>
      <c r="S735" s="155"/>
      <c r="T735" s="155"/>
      <c r="U735" s="143" t="s">
        <v>862</v>
      </c>
      <c r="V735" s="143" t="s">
        <v>503</v>
      </c>
      <c r="W735" s="143" t="s">
        <v>298</v>
      </c>
      <c r="X735" s="143" t="s">
        <v>227</v>
      </c>
      <c r="Y735" s="143">
        <v>9173604292</v>
      </c>
      <c r="Z735" s="143"/>
      <c r="AA735" s="143" t="s">
        <v>877</v>
      </c>
      <c r="AB735" s="143" t="s">
        <v>528</v>
      </c>
      <c r="AC735" s="155">
        <v>1</v>
      </c>
      <c r="AD735" s="155"/>
      <c r="AE735" s="155"/>
      <c r="AF735" s="155"/>
      <c r="AG735" s="155"/>
      <c r="AH735" s="143"/>
      <c r="AI735" s="158"/>
    </row>
    <row r="736" spans="1:35">
      <c r="A736" s="140" t="s">
        <v>93</v>
      </c>
      <c r="B736" s="143"/>
      <c r="C736" s="143" t="s">
        <v>1866</v>
      </c>
      <c r="D736" s="143" t="s">
        <v>501</v>
      </c>
      <c r="E736" s="143" t="s">
        <v>80</v>
      </c>
      <c r="F736" s="143" t="s">
        <v>1984</v>
      </c>
      <c r="G736" s="143" t="s">
        <v>1983</v>
      </c>
      <c r="H736" s="143"/>
      <c r="I736" s="198">
        <v>31167</v>
      </c>
      <c r="J736" s="155"/>
      <c r="K736" s="155">
        <v>1</v>
      </c>
      <c r="L736" s="155"/>
      <c r="M736" s="155"/>
      <c r="N736" s="155"/>
      <c r="O736" s="155"/>
      <c r="P736" s="155"/>
      <c r="Q736" s="155">
        <v>1</v>
      </c>
      <c r="R736" s="155" t="s">
        <v>1348</v>
      </c>
      <c r="S736" s="155"/>
      <c r="T736" s="155"/>
      <c r="U736" s="143" t="s">
        <v>502</v>
      </c>
      <c r="V736" s="143" t="s">
        <v>503</v>
      </c>
      <c r="W736" s="143" t="s">
        <v>298</v>
      </c>
      <c r="X736" s="143" t="s">
        <v>227</v>
      </c>
      <c r="Y736" s="143">
        <v>9758414991</v>
      </c>
      <c r="Z736" s="143"/>
      <c r="AA736" s="162" t="s">
        <v>524</v>
      </c>
      <c r="AB736" s="143" t="s">
        <v>528</v>
      </c>
      <c r="AC736" s="155">
        <v>1</v>
      </c>
      <c r="AD736" s="155"/>
      <c r="AE736" s="155"/>
      <c r="AF736" s="155"/>
      <c r="AG736" s="155"/>
      <c r="AH736" s="143"/>
      <c r="AI736" s="158"/>
    </row>
    <row r="737" spans="1:35">
      <c r="A737" s="140"/>
      <c r="B737" s="143"/>
      <c r="C737" s="143" t="s">
        <v>1866</v>
      </c>
      <c r="D737" s="143" t="s">
        <v>501</v>
      </c>
      <c r="E737" s="143" t="s">
        <v>80</v>
      </c>
      <c r="F737" s="143" t="s">
        <v>1985</v>
      </c>
      <c r="G737" s="143" t="s">
        <v>1749</v>
      </c>
      <c r="H737" s="143"/>
      <c r="I737" s="198">
        <v>33636</v>
      </c>
      <c r="J737" s="155"/>
      <c r="K737" s="155">
        <v>1</v>
      </c>
      <c r="L737" s="155">
        <v>1</v>
      </c>
      <c r="M737" s="155"/>
      <c r="N737" s="155"/>
      <c r="O737" s="155"/>
      <c r="P737" s="155"/>
      <c r="Q737" s="155"/>
      <c r="R737" s="155"/>
      <c r="S737" s="155"/>
      <c r="T737" s="155"/>
      <c r="U737" s="143" t="s">
        <v>859</v>
      </c>
      <c r="V737" s="143" t="s">
        <v>503</v>
      </c>
      <c r="W737" s="143" t="s">
        <v>298</v>
      </c>
      <c r="X737" s="143" t="s">
        <v>227</v>
      </c>
      <c r="Y737" s="143"/>
      <c r="Z737" s="143"/>
      <c r="AA737" s="162" t="s">
        <v>524</v>
      </c>
      <c r="AB737" s="143" t="s">
        <v>528</v>
      </c>
      <c r="AC737" s="155">
        <v>1</v>
      </c>
      <c r="AD737" s="155"/>
      <c r="AE737" s="155"/>
      <c r="AF737" s="155"/>
      <c r="AG737" s="155"/>
      <c r="AH737" s="143"/>
      <c r="AI737" s="158"/>
    </row>
    <row r="738" spans="1:35">
      <c r="A738" s="140"/>
      <c r="B738" s="143"/>
      <c r="C738" s="143" t="s">
        <v>1866</v>
      </c>
      <c r="D738" s="143" t="s">
        <v>501</v>
      </c>
      <c r="E738" s="143" t="s">
        <v>80</v>
      </c>
      <c r="F738" s="143" t="s">
        <v>1986</v>
      </c>
      <c r="G738" s="143" t="s">
        <v>1987</v>
      </c>
      <c r="H738" s="143"/>
      <c r="I738" s="198">
        <v>35316</v>
      </c>
      <c r="J738" s="155">
        <v>1</v>
      </c>
      <c r="K738" s="155"/>
      <c r="L738" s="155">
        <v>1</v>
      </c>
      <c r="M738" s="155"/>
      <c r="N738" s="155"/>
      <c r="O738" s="155"/>
      <c r="P738" s="155"/>
      <c r="Q738" s="155"/>
      <c r="R738" s="155"/>
      <c r="S738" s="155"/>
      <c r="T738" s="155"/>
      <c r="U738" s="143" t="s">
        <v>221</v>
      </c>
      <c r="V738" s="143" t="s">
        <v>218</v>
      </c>
      <c r="W738" s="143" t="s">
        <v>279</v>
      </c>
      <c r="X738" s="143" t="s">
        <v>227</v>
      </c>
      <c r="Y738" s="143">
        <v>9675444101</v>
      </c>
      <c r="Z738" s="143"/>
      <c r="AA738" s="143" t="s">
        <v>877</v>
      </c>
      <c r="AB738" s="143" t="s">
        <v>528</v>
      </c>
      <c r="AC738" s="155">
        <v>1</v>
      </c>
      <c r="AD738" s="155"/>
      <c r="AE738" s="155"/>
      <c r="AF738" s="155"/>
      <c r="AG738" s="155"/>
      <c r="AH738" s="143"/>
      <c r="AI738" s="158"/>
    </row>
    <row r="739" spans="1:35">
      <c r="A739" s="140"/>
      <c r="B739" s="143"/>
      <c r="C739" s="143" t="s">
        <v>1866</v>
      </c>
      <c r="D739" s="143" t="s">
        <v>501</v>
      </c>
      <c r="E739" s="143" t="s">
        <v>80</v>
      </c>
      <c r="F739" s="143" t="s">
        <v>2091</v>
      </c>
      <c r="G739" s="143" t="s">
        <v>1313</v>
      </c>
      <c r="H739" s="143"/>
      <c r="I739" s="198">
        <v>26864</v>
      </c>
      <c r="J739" s="155"/>
      <c r="K739" s="155">
        <v>1</v>
      </c>
      <c r="L739" s="155"/>
      <c r="M739" s="155"/>
      <c r="N739" s="155"/>
      <c r="O739" s="155"/>
      <c r="P739" s="155"/>
      <c r="Q739" s="155">
        <v>1</v>
      </c>
      <c r="R739" s="155" t="s">
        <v>1348</v>
      </c>
      <c r="S739" s="155"/>
      <c r="T739" s="155"/>
      <c r="U739" s="143"/>
      <c r="V739" s="143" t="s">
        <v>949</v>
      </c>
      <c r="W739" s="143" t="s">
        <v>280</v>
      </c>
      <c r="X739" s="143" t="s">
        <v>227</v>
      </c>
      <c r="Y739" s="143">
        <v>9678030705</v>
      </c>
      <c r="Z739" s="143"/>
      <c r="AA739" s="143" t="s">
        <v>877</v>
      </c>
      <c r="AB739" s="143" t="s">
        <v>528</v>
      </c>
      <c r="AC739" s="155">
        <v>1</v>
      </c>
      <c r="AD739" s="155"/>
      <c r="AE739" s="155"/>
      <c r="AF739" s="155"/>
      <c r="AG739" s="155"/>
      <c r="AH739" s="143"/>
      <c r="AI739" s="158"/>
    </row>
    <row r="740" spans="1:35">
      <c r="A740" s="140"/>
      <c r="B740" s="143"/>
      <c r="C740" s="143" t="s">
        <v>1866</v>
      </c>
      <c r="D740" s="143" t="s">
        <v>501</v>
      </c>
      <c r="E740" s="143" t="s">
        <v>80</v>
      </c>
      <c r="F740" s="143" t="s">
        <v>2092</v>
      </c>
      <c r="G740" s="143" t="s">
        <v>2093</v>
      </c>
      <c r="H740" s="143" t="s">
        <v>133</v>
      </c>
      <c r="I740" s="198">
        <v>20449</v>
      </c>
      <c r="J740" s="155">
        <v>1</v>
      </c>
      <c r="K740" s="155"/>
      <c r="L740" s="155">
        <v>1</v>
      </c>
      <c r="M740" s="155">
        <v>1</v>
      </c>
      <c r="N740" s="155"/>
      <c r="O740" s="155"/>
      <c r="P740" s="155"/>
      <c r="Q740" s="155"/>
      <c r="R740" s="155"/>
      <c r="S740" s="155"/>
      <c r="T740" s="155"/>
      <c r="U740" s="143" t="s">
        <v>509</v>
      </c>
      <c r="V740" s="143" t="s">
        <v>503</v>
      </c>
      <c r="W740" s="143" t="s">
        <v>298</v>
      </c>
      <c r="X740" s="143" t="s">
        <v>227</v>
      </c>
      <c r="Y740" s="143">
        <v>9104238005</v>
      </c>
      <c r="Z740" s="143"/>
      <c r="AA740" s="143" t="s">
        <v>877</v>
      </c>
      <c r="AB740" s="143" t="s">
        <v>528</v>
      </c>
      <c r="AC740" s="155">
        <v>1</v>
      </c>
      <c r="AD740" s="155"/>
      <c r="AE740" s="155"/>
      <c r="AF740" s="155"/>
      <c r="AG740" s="155"/>
      <c r="AH740" s="143"/>
      <c r="AI740" s="158"/>
    </row>
    <row r="741" spans="1:35">
      <c r="A741" s="140"/>
      <c r="B741" s="143"/>
      <c r="C741" s="143" t="s">
        <v>1866</v>
      </c>
      <c r="D741" s="143" t="s">
        <v>501</v>
      </c>
      <c r="E741" s="143" t="s">
        <v>80</v>
      </c>
      <c r="F741" s="143" t="s">
        <v>1812</v>
      </c>
      <c r="G741" s="143" t="s">
        <v>1813</v>
      </c>
      <c r="H741" s="143" t="s">
        <v>120</v>
      </c>
      <c r="I741" s="198"/>
      <c r="J741" s="155"/>
      <c r="K741" s="155">
        <v>1</v>
      </c>
      <c r="L741" s="155"/>
      <c r="M741" s="155"/>
      <c r="N741" s="155"/>
      <c r="O741" s="155"/>
      <c r="P741" s="155"/>
      <c r="Q741" s="155">
        <v>1</v>
      </c>
      <c r="R741" s="155" t="s">
        <v>1348</v>
      </c>
      <c r="S741" s="155"/>
      <c r="T741" s="155"/>
      <c r="U741" s="143" t="s">
        <v>518</v>
      </c>
      <c r="V741" s="143" t="s">
        <v>503</v>
      </c>
      <c r="W741" s="143" t="s">
        <v>298</v>
      </c>
      <c r="X741" s="143" t="s">
        <v>227</v>
      </c>
      <c r="Y741" s="143">
        <v>9508232265</v>
      </c>
      <c r="Z741" s="143"/>
      <c r="AA741" s="143" t="s">
        <v>877</v>
      </c>
      <c r="AB741" s="143" t="s">
        <v>528</v>
      </c>
      <c r="AC741" s="155">
        <v>1</v>
      </c>
      <c r="AD741" s="155"/>
      <c r="AE741" s="155"/>
      <c r="AF741" s="155"/>
      <c r="AG741" s="155"/>
      <c r="AH741" s="143"/>
      <c r="AI741" s="158"/>
    </row>
    <row r="742" spans="1:35">
      <c r="A742" s="140"/>
      <c r="B742" s="143"/>
      <c r="C742" s="143" t="s">
        <v>1866</v>
      </c>
      <c r="D742" s="143" t="s">
        <v>501</v>
      </c>
      <c r="E742" s="143" t="s">
        <v>80</v>
      </c>
      <c r="F742" s="143" t="s">
        <v>2094</v>
      </c>
      <c r="G742" s="143" t="s">
        <v>2095</v>
      </c>
      <c r="H742" s="143"/>
      <c r="I742" s="198">
        <v>34262</v>
      </c>
      <c r="J742" s="155">
        <v>1</v>
      </c>
      <c r="K742" s="155"/>
      <c r="L742" s="155"/>
      <c r="M742" s="155"/>
      <c r="N742" s="155"/>
      <c r="O742" s="155"/>
      <c r="P742" s="155"/>
      <c r="Q742" s="155">
        <v>1</v>
      </c>
      <c r="R742" s="155" t="s">
        <v>1009</v>
      </c>
      <c r="S742" s="155"/>
      <c r="T742" s="155"/>
      <c r="U742" s="143"/>
      <c r="V742" s="143" t="s">
        <v>223</v>
      </c>
      <c r="W742" s="143" t="s">
        <v>279</v>
      </c>
      <c r="X742" s="143" t="s">
        <v>227</v>
      </c>
      <c r="Y742" s="143">
        <v>9153431004</v>
      </c>
      <c r="Z742" s="143"/>
      <c r="AA742" s="143" t="s">
        <v>877</v>
      </c>
      <c r="AB742" s="143" t="s">
        <v>528</v>
      </c>
      <c r="AC742" s="155">
        <v>1</v>
      </c>
      <c r="AD742" s="155"/>
      <c r="AE742" s="155"/>
      <c r="AF742" s="155"/>
      <c r="AG742" s="155"/>
      <c r="AH742" s="143"/>
      <c r="AI742" s="158"/>
    </row>
    <row r="743" spans="1:35">
      <c r="A743" s="140"/>
      <c r="B743" s="143"/>
      <c r="C743" s="143" t="s">
        <v>1866</v>
      </c>
      <c r="D743" s="143" t="s">
        <v>501</v>
      </c>
      <c r="E743" s="143" t="s">
        <v>80</v>
      </c>
      <c r="F743" s="143" t="s">
        <v>1997</v>
      </c>
      <c r="G743" s="143" t="s">
        <v>2096</v>
      </c>
      <c r="H743" s="143" t="s">
        <v>126</v>
      </c>
      <c r="I743" s="198">
        <v>29242</v>
      </c>
      <c r="J743" s="155"/>
      <c r="K743" s="155">
        <v>1</v>
      </c>
      <c r="L743" s="155">
        <v>1</v>
      </c>
      <c r="M743" s="155"/>
      <c r="N743" s="155"/>
      <c r="O743" s="155"/>
      <c r="P743" s="155"/>
      <c r="Q743" s="155"/>
      <c r="R743" s="155"/>
      <c r="S743" s="155"/>
      <c r="T743" s="155"/>
      <c r="U743" s="143" t="s">
        <v>515</v>
      </c>
      <c r="V743" s="143" t="s">
        <v>503</v>
      </c>
      <c r="W743" s="143" t="s">
        <v>298</v>
      </c>
      <c r="X743" s="143" t="s">
        <v>227</v>
      </c>
      <c r="Y743" s="143">
        <v>9708110902</v>
      </c>
      <c r="Z743" s="143"/>
      <c r="AA743" s="143" t="s">
        <v>877</v>
      </c>
      <c r="AB743" s="143" t="s">
        <v>528</v>
      </c>
      <c r="AC743" s="155">
        <v>2</v>
      </c>
      <c r="AD743" s="155"/>
      <c r="AE743" s="155"/>
      <c r="AF743" s="155"/>
      <c r="AG743" s="155"/>
      <c r="AH743" s="143"/>
      <c r="AI743" s="158"/>
    </row>
    <row r="744" spans="1:35">
      <c r="A744" s="140"/>
      <c r="B744" s="143"/>
      <c r="C744" s="143" t="s">
        <v>1866</v>
      </c>
      <c r="D744" s="143" t="s">
        <v>501</v>
      </c>
      <c r="E744" s="143" t="s">
        <v>80</v>
      </c>
      <c r="F744" s="143" t="s">
        <v>1982</v>
      </c>
      <c r="G744" s="143" t="s">
        <v>150</v>
      </c>
      <c r="H744" s="143"/>
      <c r="I744" s="198">
        <v>22900</v>
      </c>
      <c r="J744" s="155">
        <v>1</v>
      </c>
      <c r="K744" s="155"/>
      <c r="L744" s="155">
        <v>1</v>
      </c>
      <c r="M744" s="155"/>
      <c r="N744" s="155"/>
      <c r="O744" s="155"/>
      <c r="P744" s="155"/>
      <c r="Q744" s="155"/>
      <c r="R744" s="155"/>
      <c r="S744" s="155"/>
      <c r="T744" s="155"/>
      <c r="U744" s="143" t="s">
        <v>862</v>
      </c>
      <c r="V744" s="143" t="s">
        <v>503</v>
      </c>
      <c r="W744" s="143" t="s">
        <v>298</v>
      </c>
      <c r="X744" s="143" t="s">
        <v>227</v>
      </c>
      <c r="Y744" s="143">
        <v>9173604292</v>
      </c>
      <c r="Z744" s="143"/>
      <c r="AA744" s="143" t="s">
        <v>877</v>
      </c>
      <c r="AB744" s="143" t="s">
        <v>528</v>
      </c>
      <c r="AC744" s="155">
        <v>1</v>
      </c>
      <c r="AD744" s="155"/>
      <c r="AE744" s="155"/>
      <c r="AF744" s="155"/>
      <c r="AG744" s="155"/>
      <c r="AH744" s="143"/>
      <c r="AI744" s="158"/>
    </row>
    <row r="745" spans="1:35">
      <c r="A745" s="140"/>
      <c r="B745" s="143"/>
      <c r="C745" s="143" t="s">
        <v>1866</v>
      </c>
      <c r="D745" s="143" t="s">
        <v>501</v>
      </c>
      <c r="E745" s="143" t="s">
        <v>80</v>
      </c>
      <c r="F745" s="143" t="s">
        <v>1995</v>
      </c>
      <c r="G745" s="143" t="s">
        <v>1996</v>
      </c>
      <c r="H745" s="143"/>
      <c r="I745" s="198">
        <v>34233</v>
      </c>
      <c r="J745" s="155">
        <v>1</v>
      </c>
      <c r="K745" s="155"/>
      <c r="L745" s="155">
        <v>1</v>
      </c>
      <c r="M745" s="155"/>
      <c r="N745" s="155"/>
      <c r="O745" s="155"/>
      <c r="P745" s="155"/>
      <c r="Q745" s="155"/>
      <c r="R745" s="155"/>
      <c r="S745" s="155"/>
      <c r="T745" s="155"/>
      <c r="U745" s="143" t="s">
        <v>515</v>
      </c>
      <c r="V745" s="143" t="s">
        <v>503</v>
      </c>
      <c r="W745" s="143" t="s">
        <v>298</v>
      </c>
      <c r="X745" s="143" t="s">
        <v>227</v>
      </c>
      <c r="Y745" s="143">
        <v>9395359809</v>
      </c>
      <c r="Z745" s="143"/>
      <c r="AA745" s="143" t="s">
        <v>877</v>
      </c>
      <c r="AB745" s="143" t="s">
        <v>528</v>
      </c>
      <c r="AC745" s="155">
        <v>1</v>
      </c>
      <c r="AD745" s="155"/>
      <c r="AE745" s="155"/>
      <c r="AF745" s="155"/>
      <c r="AG745" s="155"/>
      <c r="AH745" s="143"/>
      <c r="AI745" s="158"/>
    </row>
    <row r="746" spans="1:35">
      <c r="A746" s="140"/>
      <c r="B746" s="143"/>
      <c r="C746" s="143" t="s">
        <v>1866</v>
      </c>
      <c r="D746" s="143" t="s">
        <v>501</v>
      </c>
      <c r="E746" s="143" t="s">
        <v>80</v>
      </c>
      <c r="F746" s="143" t="s">
        <v>2097</v>
      </c>
      <c r="G746" s="143" t="s">
        <v>2000</v>
      </c>
      <c r="H746" s="143"/>
      <c r="I746" s="198">
        <v>33869</v>
      </c>
      <c r="J746" s="155"/>
      <c r="K746" s="155">
        <v>1</v>
      </c>
      <c r="L746" s="155">
        <v>1</v>
      </c>
      <c r="M746" s="155"/>
      <c r="N746" s="155"/>
      <c r="O746" s="155"/>
      <c r="P746" s="155"/>
      <c r="Q746" s="155"/>
      <c r="R746" s="155"/>
      <c r="S746" s="155"/>
      <c r="T746" s="155"/>
      <c r="U746" s="143" t="s">
        <v>515</v>
      </c>
      <c r="V746" s="143" t="s">
        <v>503</v>
      </c>
      <c r="W746" s="143" t="s">
        <v>298</v>
      </c>
      <c r="X746" s="143" t="s">
        <v>227</v>
      </c>
      <c r="Y746" s="143">
        <v>9319631463</v>
      </c>
      <c r="Z746" s="143"/>
      <c r="AA746" s="143" t="s">
        <v>877</v>
      </c>
      <c r="AB746" s="143" t="s">
        <v>528</v>
      </c>
      <c r="AC746" s="155">
        <v>1</v>
      </c>
      <c r="AD746" s="155"/>
      <c r="AE746" s="155"/>
      <c r="AF746" s="155"/>
      <c r="AG746" s="155"/>
      <c r="AH746" s="143"/>
      <c r="AI746" s="158"/>
    </row>
    <row r="747" spans="1:35">
      <c r="A747" s="140"/>
      <c r="B747" s="143"/>
      <c r="C747" s="143" t="s">
        <v>1866</v>
      </c>
      <c r="D747" s="143" t="s">
        <v>501</v>
      </c>
      <c r="E747" s="143" t="s">
        <v>80</v>
      </c>
      <c r="F747" s="143" t="s">
        <v>2098</v>
      </c>
      <c r="G747" s="143" t="s">
        <v>2002</v>
      </c>
      <c r="H747" s="143"/>
      <c r="I747" s="198">
        <v>30070</v>
      </c>
      <c r="J747" s="155"/>
      <c r="K747" s="155">
        <v>1</v>
      </c>
      <c r="L747" s="155">
        <v>1</v>
      </c>
      <c r="M747" s="155"/>
      <c r="N747" s="155"/>
      <c r="O747" s="155"/>
      <c r="P747" s="155"/>
      <c r="Q747" s="155"/>
      <c r="R747" s="155"/>
      <c r="S747" s="155"/>
      <c r="T747" s="155"/>
      <c r="U747" s="143" t="s">
        <v>515</v>
      </c>
      <c r="V747" s="143" t="s">
        <v>503</v>
      </c>
      <c r="W747" s="143" t="s">
        <v>298</v>
      </c>
      <c r="X747" s="143" t="s">
        <v>227</v>
      </c>
      <c r="Y747" s="143">
        <v>9090817966</v>
      </c>
      <c r="Z747" s="143"/>
      <c r="AA747" s="143" t="s">
        <v>877</v>
      </c>
      <c r="AB747" s="143" t="s">
        <v>528</v>
      </c>
      <c r="AC747" s="155">
        <v>1</v>
      </c>
      <c r="AD747" s="155"/>
      <c r="AE747" s="155"/>
      <c r="AF747" s="155"/>
      <c r="AG747" s="155"/>
      <c r="AH747" s="143"/>
      <c r="AI747" s="158"/>
    </row>
    <row r="748" spans="1:35">
      <c r="A748" s="140"/>
      <c r="B748" s="143"/>
      <c r="C748" s="143" t="s">
        <v>1866</v>
      </c>
      <c r="D748" s="143" t="s">
        <v>501</v>
      </c>
      <c r="E748" s="143" t="s">
        <v>80</v>
      </c>
      <c r="F748" s="143" t="s">
        <v>2098</v>
      </c>
      <c r="G748" s="143" t="s">
        <v>2099</v>
      </c>
      <c r="H748" s="143"/>
      <c r="I748" s="198">
        <v>27658</v>
      </c>
      <c r="J748" s="155"/>
      <c r="K748" s="155">
        <v>1</v>
      </c>
      <c r="L748" s="155">
        <v>1</v>
      </c>
      <c r="M748" s="155"/>
      <c r="N748" s="155"/>
      <c r="O748" s="155"/>
      <c r="P748" s="155"/>
      <c r="Q748" s="155"/>
      <c r="R748" s="155"/>
      <c r="S748" s="155"/>
      <c r="T748" s="155"/>
      <c r="U748" s="143" t="s">
        <v>515</v>
      </c>
      <c r="V748" s="143" t="s">
        <v>503</v>
      </c>
      <c r="W748" s="143" t="s">
        <v>298</v>
      </c>
      <c r="X748" s="143" t="s">
        <v>227</v>
      </c>
      <c r="Y748" s="143">
        <v>9090817966</v>
      </c>
      <c r="Z748" s="143"/>
      <c r="AA748" s="143" t="s">
        <v>877</v>
      </c>
      <c r="AB748" s="143" t="s">
        <v>528</v>
      </c>
      <c r="AC748" s="155">
        <v>1</v>
      </c>
      <c r="AD748" s="155"/>
      <c r="AE748" s="155"/>
      <c r="AF748" s="155"/>
      <c r="AG748" s="155"/>
      <c r="AH748" s="143"/>
      <c r="AI748" s="158"/>
    </row>
    <row r="749" spans="1:35">
      <c r="A749" s="140"/>
      <c r="B749" s="143"/>
      <c r="C749" s="143" t="s">
        <v>1866</v>
      </c>
      <c r="D749" s="143" t="s">
        <v>501</v>
      </c>
      <c r="E749" s="143" t="s">
        <v>80</v>
      </c>
      <c r="F749" s="143" t="s">
        <v>1995</v>
      </c>
      <c r="G749" s="143" t="s">
        <v>575</v>
      </c>
      <c r="H749" s="143"/>
      <c r="I749" s="198">
        <v>25982</v>
      </c>
      <c r="J749" s="155"/>
      <c r="K749" s="155">
        <v>1</v>
      </c>
      <c r="L749" s="155">
        <v>1</v>
      </c>
      <c r="M749" s="155"/>
      <c r="N749" s="155"/>
      <c r="O749" s="155"/>
      <c r="P749" s="155"/>
      <c r="Q749" s="155"/>
      <c r="R749" s="155"/>
      <c r="S749" s="155"/>
      <c r="T749" s="155"/>
      <c r="U749" s="143" t="s">
        <v>515</v>
      </c>
      <c r="V749" s="143" t="s">
        <v>503</v>
      </c>
      <c r="W749" s="143" t="s">
        <v>298</v>
      </c>
      <c r="X749" s="143" t="s">
        <v>227</v>
      </c>
      <c r="Y749" s="143">
        <v>9090817966</v>
      </c>
      <c r="Z749" s="143"/>
      <c r="AA749" s="143" t="s">
        <v>877</v>
      </c>
      <c r="AB749" s="143" t="s">
        <v>528</v>
      </c>
      <c r="AC749" s="155">
        <v>1</v>
      </c>
      <c r="AD749" s="155"/>
      <c r="AE749" s="155"/>
      <c r="AF749" s="155"/>
      <c r="AG749" s="155"/>
      <c r="AH749" s="143"/>
      <c r="AI749" s="158"/>
    </row>
    <row r="750" spans="1:35">
      <c r="A750" s="140"/>
      <c r="B750" s="143"/>
      <c r="C750" s="143" t="s">
        <v>1866</v>
      </c>
      <c r="D750" s="143" t="s">
        <v>501</v>
      </c>
      <c r="E750" s="143" t="s">
        <v>80</v>
      </c>
      <c r="F750" s="143" t="s">
        <v>1995</v>
      </c>
      <c r="G750" s="143" t="s">
        <v>2100</v>
      </c>
      <c r="H750" s="143"/>
      <c r="I750" s="198">
        <v>23981</v>
      </c>
      <c r="J750" s="155">
        <v>1</v>
      </c>
      <c r="K750" s="155"/>
      <c r="L750" s="155">
        <v>1</v>
      </c>
      <c r="M750" s="155"/>
      <c r="N750" s="155"/>
      <c r="O750" s="155"/>
      <c r="P750" s="155"/>
      <c r="Q750" s="155"/>
      <c r="R750" s="155"/>
      <c r="S750" s="155"/>
      <c r="T750" s="155"/>
      <c r="U750" s="143" t="s">
        <v>515</v>
      </c>
      <c r="V750" s="143" t="s">
        <v>503</v>
      </c>
      <c r="W750" s="143" t="s">
        <v>298</v>
      </c>
      <c r="X750" s="143" t="s">
        <v>227</v>
      </c>
      <c r="Y750" s="143">
        <v>9090817966</v>
      </c>
      <c r="Z750" s="143"/>
      <c r="AA750" s="143" t="s">
        <v>877</v>
      </c>
      <c r="AB750" s="143" t="s">
        <v>528</v>
      </c>
      <c r="AC750" s="155">
        <v>1</v>
      </c>
      <c r="AD750" s="155"/>
      <c r="AE750" s="155"/>
      <c r="AF750" s="155"/>
      <c r="AG750" s="155"/>
      <c r="AH750" s="143"/>
      <c r="AI750" s="158"/>
    </row>
    <row r="751" spans="1:35">
      <c r="A751" s="140"/>
      <c r="B751" s="143"/>
      <c r="C751" s="143" t="s">
        <v>1866</v>
      </c>
      <c r="D751" s="143" t="s">
        <v>501</v>
      </c>
      <c r="E751" s="143" t="s">
        <v>80</v>
      </c>
      <c r="F751" s="143" t="s">
        <v>1997</v>
      </c>
      <c r="G751" s="143" t="s">
        <v>433</v>
      </c>
      <c r="H751" s="143"/>
      <c r="I751" s="198">
        <v>29482</v>
      </c>
      <c r="J751" s="155">
        <v>1</v>
      </c>
      <c r="K751" s="155"/>
      <c r="L751" s="155">
        <v>1</v>
      </c>
      <c r="M751" s="155"/>
      <c r="N751" s="155"/>
      <c r="O751" s="155"/>
      <c r="P751" s="155"/>
      <c r="Q751" s="155"/>
      <c r="R751" s="155"/>
      <c r="S751" s="155"/>
      <c r="T751" s="155"/>
      <c r="U751" s="143" t="s">
        <v>515</v>
      </c>
      <c r="V751" s="143" t="s">
        <v>503</v>
      </c>
      <c r="W751" s="143" t="s">
        <v>298</v>
      </c>
      <c r="X751" s="143" t="s">
        <v>227</v>
      </c>
      <c r="Y751" s="143">
        <v>9090817966</v>
      </c>
      <c r="Z751" s="143"/>
      <c r="AA751" s="143" t="s">
        <v>877</v>
      </c>
      <c r="AB751" s="143" t="s">
        <v>528</v>
      </c>
      <c r="AC751" s="155">
        <v>1</v>
      </c>
      <c r="AD751" s="155"/>
      <c r="AE751" s="155"/>
      <c r="AF751" s="155"/>
      <c r="AG751" s="155"/>
      <c r="AH751" s="143"/>
      <c r="AI751" s="158"/>
    </row>
    <row r="752" spans="1:35">
      <c r="A752" s="140"/>
      <c r="B752" s="143"/>
      <c r="C752" s="143" t="s">
        <v>1866</v>
      </c>
      <c r="D752" s="143" t="s">
        <v>501</v>
      </c>
      <c r="E752" s="143" t="s">
        <v>80</v>
      </c>
      <c r="F752" s="143" t="s">
        <v>1997</v>
      </c>
      <c r="G752" s="143" t="s">
        <v>1150</v>
      </c>
      <c r="H752" s="143"/>
      <c r="I752" s="198">
        <v>26916</v>
      </c>
      <c r="J752" s="155">
        <v>1</v>
      </c>
      <c r="K752" s="155"/>
      <c r="L752" s="155">
        <v>1</v>
      </c>
      <c r="M752" s="155"/>
      <c r="N752" s="155"/>
      <c r="O752" s="155"/>
      <c r="P752" s="155"/>
      <c r="Q752" s="155"/>
      <c r="R752" s="155"/>
      <c r="S752" s="155"/>
      <c r="T752" s="155"/>
      <c r="U752" s="143" t="s">
        <v>515</v>
      </c>
      <c r="V752" s="143" t="s">
        <v>503</v>
      </c>
      <c r="W752" s="143" t="s">
        <v>298</v>
      </c>
      <c r="X752" s="143" t="s">
        <v>227</v>
      </c>
      <c r="Y752" s="143">
        <v>9467597244</v>
      </c>
      <c r="Z752" s="143"/>
      <c r="AA752" s="143" t="s">
        <v>877</v>
      </c>
      <c r="AB752" s="143" t="s">
        <v>528</v>
      </c>
      <c r="AC752" s="155">
        <v>1</v>
      </c>
      <c r="AD752" s="155"/>
      <c r="AE752" s="155"/>
      <c r="AF752" s="155"/>
      <c r="AG752" s="155"/>
      <c r="AH752" s="143"/>
      <c r="AI752" s="158"/>
    </row>
    <row r="753" spans="1:35">
      <c r="A753" s="140" t="s">
        <v>93</v>
      </c>
      <c r="B753" s="143"/>
      <c r="C753" s="143" t="s">
        <v>1866</v>
      </c>
      <c r="D753" s="143" t="s">
        <v>501</v>
      </c>
      <c r="E753" s="143" t="s">
        <v>80</v>
      </c>
      <c r="F753" s="143" t="s">
        <v>1997</v>
      </c>
      <c r="G753" s="143" t="s">
        <v>2101</v>
      </c>
      <c r="H753" s="143"/>
      <c r="I753" s="198">
        <v>28395</v>
      </c>
      <c r="J753" s="155"/>
      <c r="K753" s="155">
        <v>1</v>
      </c>
      <c r="L753" s="155">
        <v>1</v>
      </c>
      <c r="M753" s="155"/>
      <c r="N753" s="155"/>
      <c r="O753" s="155"/>
      <c r="P753" s="155"/>
      <c r="Q753" s="155"/>
      <c r="R753" s="155"/>
      <c r="S753" s="155"/>
      <c r="T753" s="155"/>
      <c r="U753" s="143" t="s">
        <v>515</v>
      </c>
      <c r="V753" s="143" t="s">
        <v>503</v>
      </c>
      <c r="W753" s="143" t="s">
        <v>298</v>
      </c>
      <c r="X753" s="143" t="s">
        <v>227</v>
      </c>
      <c r="Y753" s="143">
        <v>9467597244</v>
      </c>
      <c r="Z753" s="143"/>
      <c r="AA753" s="143" t="s">
        <v>877</v>
      </c>
      <c r="AB753" s="143" t="s">
        <v>528</v>
      </c>
      <c r="AC753" s="155">
        <v>1</v>
      </c>
      <c r="AD753" s="155"/>
      <c r="AE753" s="155"/>
      <c r="AF753" s="155"/>
      <c r="AG753" s="155"/>
      <c r="AH753" s="143"/>
      <c r="AI753" s="158"/>
    </row>
    <row r="754" spans="1:35">
      <c r="A754" s="140" t="s">
        <v>93</v>
      </c>
      <c r="B754" s="143"/>
      <c r="C754" s="143" t="s">
        <v>1866</v>
      </c>
      <c r="D754" s="143" t="s">
        <v>501</v>
      </c>
      <c r="E754" s="143" t="s">
        <v>80</v>
      </c>
      <c r="F754" s="143" t="s">
        <v>2102</v>
      </c>
      <c r="G754" s="143" t="s">
        <v>2103</v>
      </c>
      <c r="H754" s="143"/>
      <c r="I754" s="198">
        <v>28223</v>
      </c>
      <c r="J754" s="155"/>
      <c r="K754" s="155">
        <v>1</v>
      </c>
      <c r="L754" s="155">
        <v>1</v>
      </c>
      <c r="M754" s="155"/>
      <c r="N754" s="155"/>
      <c r="O754" s="155"/>
      <c r="P754" s="155"/>
      <c r="Q754" s="155"/>
      <c r="R754" s="155"/>
      <c r="S754" s="155"/>
      <c r="T754" s="155"/>
      <c r="U754" s="143" t="s">
        <v>515</v>
      </c>
      <c r="V754" s="143" t="s">
        <v>503</v>
      </c>
      <c r="W754" s="143" t="s">
        <v>298</v>
      </c>
      <c r="X754" s="143" t="s">
        <v>227</v>
      </c>
      <c r="Y754" s="143">
        <v>9469268484</v>
      </c>
      <c r="Z754" s="143"/>
      <c r="AA754" s="143" t="s">
        <v>877</v>
      </c>
      <c r="AB754" s="143" t="s">
        <v>528</v>
      </c>
      <c r="AC754" s="155">
        <v>1</v>
      </c>
      <c r="AD754" s="155"/>
      <c r="AE754" s="155"/>
      <c r="AF754" s="155"/>
      <c r="AG754" s="155"/>
      <c r="AH754" s="143"/>
      <c r="AI754" s="158"/>
    </row>
    <row r="755" spans="1:35">
      <c r="A755" s="140" t="s">
        <v>93</v>
      </c>
      <c r="B755" s="143"/>
      <c r="C755" s="143" t="s">
        <v>1866</v>
      </c>
      <c r="D755" s="143" t="s">
        <v>501</v>
      </c>
      <c r="E755" s="143" t="s">
        <v>80</v>
      </c>
      <c r="F755" s="143" t="s">
        <v>2104</v>
      </c>
      <c r="G755" s="143" t="s">
        <v>1726</v>
      </c>
      <c r="H755" s="143"/>
      <c r="I755" s="198">
        <v>27295</v>
      </c>
      <c r="J755" s="155">
        <v>1</v>
      </c>
      <c r="K755" s="155"/>
      <c r="L755" s="155">
        <v>1</v>
      </c>
      <c r="M755" s="155"/>
      <c r="N755" s="155"/>
      <c r="O755" s="155"/>
      <c r="P755" s="155"/>
      <c r="Q755" s="155"/>
      <c r="R755" s="155"/>
      <c r="S755" s="155"/>
      <c r="T755" s="155"/>
      <c r="U755" s="143" t="s">
        <v>515</v>
      </c>
      <c r="V755" s="143" t="s">
        <v>503</v>
      </c>
      <c r="W755" s="143" t="s">
        <v>298</v>
      </c>
      <c r="X755" s="143" t="s">
        <v>227</v>
      </c>
      <c r="Y755" s="143">
        <v>9469268484</v>
      </c>
      <c r="Z755" s="143"/>
      <c r="AA755" s="143" t="s">
        <v>877</v>
      </c>
      <c r="AB755" s="143" t="s">
        <v>528</v>
      </c>
      <c r="AC755" s="155">
        <v>1</v>
      </c>
      <c r="AD755" s="155"/>
      <c r="AE755" s="155"/>
      <c r="AF755" s="155"/>
      <c r="AG755" s="155"/>
      <c r="AH755" s="143"/>
      <c r="AI755" s="158"/>
    </row>
    <row r="756" spans="1:35">
      <c r="A756" s="140"/>
      <c r="B756" s="143"/>
      <c r="C756" s="143" t="s">
        <v>1866</v>
      </c>
      <c r="D756" s="143" t="s">
        <v>501</v>
      </c>
      <c r="E756" s="143" t="s">
        <v>80</v>
      </c>
      <c r="F756" s="143" t="s">
        <v>593</v>
      </c>
      <c r="G756" s="143" t="s">
        <v>1990</v>
      </c>
      <c r="H756" s="143"/>
      <c r="I756" s="198">
        <v>30960</v>
      </c>
      <c r="J756" s="155">
        <v>1</v>
      </c>
      <c r="K756" s="155"/>
      <c r="L756" s="155">
        <v>1</v>
      </c>
      <c r="M756" s="155"/>
      <c r="N756" s="155"/>
      <c r="O756" s="155"/>
      <c r="P756" s="155"/>
      <c r="Q756" s="155"/>
      <c r="R756" s="155"/>
      <c r="S756" s="155"/>
      <c r="T756" s="155"/>
      <c r="U756" s="143" t="s">
        <v>515</v>
      </c>
      <c r="V756" s="143" t="s">
        <v>503</v>
      </c>
      <c r="W756" s="143" t="s">
        <v>298</v>
      </c>
      <c r="X756" s="143" t="s">
        <v>227</v>
      </c>
      <c r="Y756" s="143"/>
      <c r="Z756" s="143"/>
      <c r="AA756" s="143" t="s">
        <v>877</v>
      </c>
      <c r="AB756" s="143" t="s">
        <v>528</v>
      </c>
      <c r="AC756" s="155">
        <v>1</v>
      </c>
      <c r="AD756" s="155"/>
      <c r="AE756" s="155"/>
      <c r="AF756" s="155"/>
      <c r="AG756" s="155"/>
      <c r="AH756" s="143"/>
      <c r="AI756" s="158"/>
    </row>
    <row r="757" spans="1:35">
      <c r="A757" s="140"/>
      <c r="B757" s="143"/>
      <c r="C757" s="143" t="s">
        <v>1866</v>
      </c>
      <c r="D757" s="143" t="s">
        <v>501</v>
      </c>
      <c r="E757" s="143" t="s">
        <v>80</v>
      </c>
      <c r="F757" s="143" t="s">
        <v>2105</v>
      </c>
      <c r="G757" s="143" t="s">
        <v>994</v>
      </c>
      <c r="H757" s="143" t="s">
        <v>120</v>
      </c>
      <c r="I757" s="198">
        <v>23534</v>
      </c>
      <c r="J757" s="155">
        <v>1</v>
      </c>
      <c r="K757" s="155"/>
      <c r="L757" s="155">
        <v>1</v>
      </c>
      <c r="M757" s="155"/>
      <c r="N757" s="155"/>
      <c r="O757" s="155"/>
      <c r="P757" s="155"/>
      <c r="Q757" s="155"/>
      <c r="R757" s="155"/>
      <c r="S757" s="155"/>
      <c r="T757" s="155"/>
      <c r="U757" s="143" t="s">
        <v>515</v>
      </c>
      <c r="V757" s="143" t="s">
        <v>503</v>
      </c>
      <c r="W757" s="143" t="s">
        <v>298</v>
      </c>
      <c r="X757" s="143" t="s">
        <v>227</v>
      </c>
      <c r="Y757" s="143">
        <v>9091940820</v>
      </c>
      <c r="Z757" s="143"/>
      <c r="AA757" s="143" t="s">
        <v>877</v>
      </c>
      <c r="AB757" s="143" t="s">
        <v>528</v>
      </c>
      <c r="AC757" s="155">
        <v>1</v>
      </c>
      <c r="AD757" s="155"/>
      <c r="AE757" s="155"/>
      <c r="AF757" s="155"/>
      <c r="AG757" s="155"/>
      <c r="AH757" s="143"/>
      <c r="AI757" s="158"/>
    </row>
    <row r="758" spans="1:35">
      <c r="A758" s="140"/>
      <c r="B758" s="143"/>
      <c r="C758" s="143" t="s">
        <v>1866</v>
      </c>
      <c r="D758" s="143" t="s">
        <v>501</v>
      </c>
      <c r="E758" s="143" t="s">
        <v>80</v>
      </c>
      <c r="F758" s="143" t="s">
        <v>1993</v>
      </c>
      <c r="G758" s="143" t="s">
        <v>2106</v>
      </c>
      <c r="H758" s="143"/>
      <c r="I758" s="198">
        <v>24285</v>
      </c>
      <c r="J758" s="155">
        <v>1</v>
      </c>
      <c r="K758" s="155"/>
      <c r="L758" s="155">
        <v>1</v>
      </c>
      <c r="M758" s="155"/>
      <c r="N758" s="155"/>
      <c r="O758" s="155"/>
      <c r="P758" s="155"/>
      <c r="Q758" s="155"/>
      <c r="R758" s="155"/>
      <c r="S758" s="155"/>
      <c r="T758" s="155"/>
      <c r="U758" s="143" t="s">
        <v>515</v>
      </c>
      <c r="V758" s="143" t="s">
        <v>503</v>
      </c>
      <c r="W758" s="143" t="s">
        <v>298</v>
      </c>
      <c r="X758" s="143" t="s">
        <v>227</v>
      </c>
      <c r="Y758" s="143"/>
      <c r="Z758" s="143"/>
      <c r="AA758" s="143" t="s">
        <v>877</v>
      </c>
      <c r="AB758" s="143" t="s">
        <v>528</v>
      </c>
      <c r="AC758" s="155">
        <v>1</v>
      </c>
      <c r="AD758" s="155"/>
      <c r="AE758" s="155"/>
      <c r="AF758" s="155"/>
      <c r="AG758" s="155"/>
      <c r="AH758" s="143"/>
      <c r="AI758" s="158"/>
    </row>
    <row r="759" spans="1:35">
      <c r="A759" s="140"/>
      <c r="B759" s="143"/>
      <c r="C759" s="143" t="s">
        <v>1866</v>
      </c>
      <c r="D759" s="143" t="s">
        <v>501</v>
      </c>
      <c r="E759" s="143" t="s">
        <v>80</v>
      </c>
      <c r="F759" s="143" t="s">
        <v>593</v>
      </c>
      <c r="G759" s="143" t="s">
        <v>2004</v>
      </c>
      <c r="H759" s="143" t="s">
        <v>133</v>
      </c>
      <c r="I759" s="198">
        <v>23082</v>
      </c>
      <c r="J759" s="155">
        <v>1</v>
      </c>
      <c r="K759" s="155"/>
      <c r="L759" s="155">
        <v>1</v>
      </c>
      <c r="M759" s="155"/>
      <c r="N759" s="155"/>
      <c r="O759" s="155"/>
      <c r="P759" s="155"/>
      <c r="Q759" s="155"/>
      <c r="R759" s="155"/>
      <c r="S759" s="155" t="s">
        <v>93</v>
      </c>
      <c r="T759" s="155"/>
      <c r="U759" s="143" t="s">
        <v>515</v>
      </c>
      <c r="V759" s="143" t="s">
        <v>503</v>
      </c>
      <c r="W759" s="143" t="s">
        <v>298</v>
      </c>
      <c r="X759" s="143" t="s">
        <v>227</v>
      </c>
      <c r="Y759" s="143">
        <v>9395065621</v>
      </c>
      <c r="Z759" s="143"/>
      <c r="AA759" s="143" t="s">
        <v>877</v>
      </c>
      <c r="AB759" s="143" t="s">
        <v>528</v>
      </c>
      <c r="AC759" s="155">
        <v>1</v>
      </c>
      <c r="AD759" s="155"/>
      <c r="AE759" s="155"/>
      <c r="AF759" s="155"/>
      <c r="AG759" s="155"/>
      <c r="AH759" s="143"/>
      <c r="AI759" s="158"/>
    </row>
    <row r="760" spans="1:35">
      <c r="A760" s="140"/>
      <c r="B760" s="143"/>
      <c r="C760" s="143" t="s">
        <v>1866</v>
      </c>
      <c r="D760" s="143" t="s">
        <v>501</v>
      </c>
      <c r="E760" s="143" t="s">
        <v>80</v>
      </c>
      <c r="F760" s="143" t="s">
        <v>2005</v>
      </c>
      <c r="G760" s="143" t="s">
        <v>2107</v>
      </c>
      <c r="H760" s="143" t="s">
        <v>126</v>
      </c>
      <c r="I760" s="198">
        <v>34245</v>
      </c>
      <c r="J760" s="155">
        <v>1</v>
      </c>
      <c r="K760" s="155"/>
      <c r="L760" s="155">
        <v>1</v>
      </c>
      <c r="M760" s="155"/>
      <c r="N760" s="155"/>
      <c r="O760" s="155"/>
      <c r="P760" s="155"/>
      <c r="Q760" s="155"/>
      <c r="R760" s="155"/>
      <c r="S760" s="155"/>
      <c r="T760" s="155"/>
      <c r="U760" s="143" t="s">
        <v>515</v>
      </c>
      <c r="V760" s="143" t="s">
        <v>503</v>
      </c>
      <c r="W760" s="143" t="s">
        <v>298</v>
      </c>
      <c r="X760" s="143" t="s">
        <v>227</v>
      </c>
      <c r="Y760" s="143">
        <v>9519828885</v>
      </c>
      <c r="Z760" s="143"/>
      <c r="AA760" s="143" t="s">
        <v>877</v>
      </c>
      <c r="AB760" s="143" t="s">
        <v>528</v>
      </c>
      <c r="AC760" s="155">
        <v>1</v>
      </c>
      <c r="AD760" s="155"/>
      <c r="AE760" s="155"/>
      <c r="AF760" s="155"/>
      <c r="AG760" s="155"/>
      <c r="AH760" s="143"/>
      <c r="AI760" s="158"/>
    </row>
    <row r="761" spans="1:35">
      <c r="A761" s="140"/>
      <c r="B761" s="143"/>
      <c r="C761" s="143" t="s">
        <v>1866</v>
      </c>
      <c r="D761" s="143" t="s">
        <v>501</v>
      </c>
      <c r="E761" s="143" t="s">
        <v>80</v>
      </c>
      <c r="F761" s="143" t="s">
        <v>2005</v>
      </c>
      <c r="G761" s="143" t="s">
        <v>400</v>
      </c>
      <c r="H761" s="143" t="s">
        <v>126</v>
      </c>
      <c r="I761" s="198">
        <v>34611</v>
      </c>
      <c r="J761" s="155">
        <v>1</v>
      </c>
      <c r="K761" s="155"/>
      <c r="L761" s="155">
        <v>1</v>
      </c>
      <c r="M761" s="155"/>
      <c r="N761" s="155"/>
      <c r="O761" s="155"/>
      <c r="P761" s="155"/>
      <c r="Q761" s="155"/>
      <c r="R761" s="155"/>
      <c r="S761" s="155"/>
      <c r="T761" s="155"/>
      <c r="U761" s="143" t="s">
        <v>515</v>
      </c>
      <c r="V761" s="143" t="s">
        <v>503</v>
      </c>
      <c r="W761" s="143" t="s">
        <v>298</v>
      </c>
      <c r="X761" s="143" t="s">
        <v>227</v>
      </c>
      <c r="Y761" s="143">
        <v>9555288108</v>
      </c>
      <c r="Z761" s="143"/>
      <c r="AA761" s="143" t="s">
        <v>877</v>
      </c>
      <c r="AB761" s="143" t="s">
        <v>528</v>
      </c>
      <c r="AC761" s="155">
        <v>1</v>
      </c>
      <c r="AD761" s="155"/>
      <c r="AE761" s="155"/>
      <c r="AF761" s="155"/>
      <c r="AG761" s="155"/>
      <c r="AH761" s="143"/>
      <c r="AI761" s="158"/>
    </row>
    <row r="762" spans="1:35">
      <c r="A762" s="140"/>
      <c r="B762" s="143"/>
      <c r="C762" s="143" t="s">
        <v>1866</v>
      </c>
      <c r="D762" s="143" t="s">
        <v>501</v>
      </c>
      <c r="E762" s="143" t="s">
        <v>80</v>
      </c>
      <c r="F762" s="143" t="s">
        <v>2098</v>
      </c>
      <c r="G762" s="143" t="s">
        <v>2108</v>
      </c>
      <c r="H762" s="143"/>
      <c r="I762" s="198">
        <v>28333</v>
      </c>
      <c r="J762" s="155">
        <v>1</v>
      </c>
      <c r="K762" s="155"/>
      <c r="L762" s="155">
        <v>1</v>
      </c>
      <c r="M762" s="155"/>
      <c r="N762" s="155"/>
      <c r="O762" s="155"/>
      <c r="P762" s="155"/>
      <c r="Q762" s="155"/>
      <c r="R762" s="155"/>
      <c r="S762" s="155"/>
      <c r="T762" s="155"/>
      <c r="U762" s="143" t="s">
        <v>515</v>
      </c>
      <c r="V762" s="143" t="s">
        <v>503</v>
      </c>
      <c r="W762" s="143" t="s">
        <v>298</v>
      </c>
      <c r="X762" s="143" t="s">
        <v>227</v>
      </c>
      <c r="Y762" s="143">
        <v>9090810796</v>
      </c>
      <c r="Z762" s="143"/>
      <c r="AA762" s="143" t="s">
        <v>877</v>
      </c>
      <c r="AB762" s="143" t="s">
        <v>528</v>
      </c>
      <c r="AC762" s="155">
        <v>1</v>
      </c>
      <c r="AD762" s="155"/>
      <c r="AE762" s="155"/>
      <c r="AF762" s="155"/>
      <c r="AG762" s="155"/>
      <c r="AH762" s="143"/>
      <c r="AI762" s="158"/>
    </row>
    <row r="763" spans="1:35">
      <c r="A763" s="140"/>
      <c r="B763" s="143"/>
      <c r="C763" s="143" t="s">
        <v>1866</v>
      </c>
      <c r="D763" s="143" t="s">
        <v>501</v>
      </c>
      <c r="E763" s="143" t="s">
        <v>80</v>
      </c>
      <c r="F763" s="143" t="s">
        <v>2098</v>
      </c>
      <c r="G763" s="143" t="s">
        <v>683</v>
      </c>
      <c r="H763" s="143"/>
      <c r="I763" s="198">
        <v>27662</v>
      </c>
      <c r="J763" s="155">
        <v>1</v>
      </c>
      <c r="K763" s="155"/>
      <c r="L763" s="155">
        <v>1</v>
      </c>
      <c r="M763" s="155"/>
      <c r="N763" s="155"/>
      <c r="O763" s="155"/>
      <c r="P763" s="155"/>
      <c r="Q763" s="155"/>
      <c r="R763" s="155"/>
      <c r="S763" s="155"/>
      <c r="T763" s="155"/>
      <c r="U763" s="143" t="s">
        <v>515</v>
      </c>
      <c r="V763" s="143" t="s">
        <v>503</v>
      </c>
      <c r="W763" s="143" t="s">
        <v>298</v>
      </c>
      <c r="X763" s="143" t="s">
        <v>227</v>
      </c>
      <c r="Y763" s="143">
        <v>9090810796</v>
      </c>
      <c r="Z763" s="143"/>
      <c r="AA763" s="143" t="s">
        <v>877</v>
      </c>
      <c r="AB763" s="143" t="s">
        <v>528</v>
      </c>
      <c r="AC763" s="155">
        <v>1</v>
      </c>
      <c r="AD763" s="155"/>
      <c r="AE763" s="155"/>
      <c r="AF763" s="155"/>
      <c r="AG763" s="155"/>
      <c r="AH763" s="143"/>
      <c r="AI763" s="158"/>
    </row>
    <row r="764" spans="1:35">
      <c r="A764" s="140"/>
      <c r="B764" s="143"/>
      <c r="C764" s="143" t="s">
        <v>1866</v>
      </c>
      <c r="D764" s="143" t="s">
        <v>501</v>
      </c>
      <c r="E764" s="143" t="s">
        <v>80</v>
      </c>
      <c r="F764" s="143" t="s">
        <v>2109</v>
      </c>
      <c r="G764" s="143" t="s">
        <v>2110</v>
      </c>
      <c r="H764" s="143" t="s">
        <v>286</v>
      </c>
      <c r="I764" s="198">
        <v>22932</v>
      </c>
      <c r="J764" s="155"/>
      <c r="K764" s="155">
        <v>1</v>
      </c>
      <c r="L764" s="155">
        <v>1</v>
      </c>
      <c r="M764" s="155"/>
      <c r="N764" s="155"/>
      <c r="O764" s="155"/>
      <c r="P764" s="155"/>
      <c r="Q764" s="155"/>
      <c r="R764" s="155"/>
      <c r="S764" s="155"/>
      <c r="T764" s="155"/>
      <c r="U764" s="143" t="s">
        <v>222</v>
      </c>
      <c r="V764" s="143" t="s">
        <v>223</v>
      </c>
      <c r="W764" s="143" t="s">
        <v>279</v>
      </c>
      <c r="X764" s="143" t="s">
        <v>227</v>
      </c>
      <c r="Y764" s="143">
        <v>9502149859</v>
      </c>
      <c r="Z764" s="143"/>
      <c r="AA764" s="143" t="s">
        <v>877</v>
      </c>
      <c r="AB764" s="143" t="s">
        <v>528</v>
      </c>
      <c r="AC764" s="155">
        <v>1</v>
      </c>
      <c r="AD764" s="155"/>
      <c r="AE764" s="155"/>
      <c r="AF764" s="155"/>
      <c r="AG764" s="155"/>
      <c r="AH764" s="143"/>
      <c r="AI764" s="158"/>
    </row>
    <row r="765" spans="1:35">
      <c r="A765" s="140"/>
      <c r="B765" s="143"/>
      <c r="C765" s="143" t="s">
        <v>1866</v>
      </c>
      <c r="D765" s="143" t="s">
        <v>501</v>
      </c>
      <c r="E765" s="143" t="s">
        <v>80</v>
      </c>
      <c r="F765" s="143" t="s">
        <v>1982</v>
      </c>
      <c r="G765" s="143" t="s">
        <v>150</v>
      </c>
      <c r="H765" s="143" t="s">
        <v>160</v>
      </c>
      <c r="I765" s="198">
        <v>30205</v>
      </c>
      <c r="J765" s="155">
        <v>1</v>
      </c>
      <c r="K765" s="155"/>
      <c r="L765" s="155">
        <v>1</v>
      </c>
      <c r="M765" s="155"/>
      <c r="N765" s="155"/>
      <c r="O765" s="155"/>
      <c r="P765" s="155"/>
      <c r="Q765" s="155"/>
      <c r="R765" s="155"/>
      <c r="S765" s="155"/>
      <c r="T765" s="155"/>
      <c r="U765" s="143" t="s">
        <v>862</v>
      </c>
      <c r="V765" s="143" t="s">
        <v>503</v>
      </c>
      <c r="W765" s="143" t="s">
        <v>298</v>
      </c>
      <c r="X765" s="143" t="s">
        <v>227</v>
      </c>
      <c r="Y765" s="143">
        <v>9173604292</v>
      </c>
      <c r="Z765" s="143"/>
      <c r="AA765" s="143" t="s">
        <v>877</v>
      </c>
      <c r="AB765" s="143" t="s">
        <v>528</v>
      </c>
      <c r="AC765" s="155">
        <v>1</v>
      </c>
      <c r="AD765" s="155"/>
      <c r="AE765" s="155"/>
      <c r="AF765" s="155"/>
      <c r="AG765" s="155"/>
      <c r="AH765" s="143"/>
      <c r="AI765" s="158"/>
    </row>
    <row r="766" spans="1:35">
      <c r="A766" s="140"/>
      <c r="B766" s="143"/>
      <c r="C766" s="143" t="s">
        <v>1866</v>
      </c>
      <c r="D766" s="143" t="s">
        <v>501</v>
      </c>
      <c r="E766" s="143" t="s">
        <v>80</v>
      </c>
      <c r="F766" s="143" t="s">
        <v>2041</v>
      </c>
      <c r="G766" s="143" t="s">
        <v>2042</v>
      </c>
      <c r="H766" s="143" t="s">
        <v>113</v>
      </c>
      <c r="I766" s="198">
        <v>17323</v>
      </c>
      <c r="J766" s="155">
        <v>1</v>
      </c>
      <c r="K766" s="155"/>
      <c r="L766" s="155">
        <v>1</v>
      </c>
      <c r="M766" s="155">
        <v>1</v>
      </c>
      <c r="N766" s="155"/>
      <c r="O766" s="155"/>
      <c r="P766" s="155"/>
      <c r="Q766" s="155"/>
      <c r="R766" s="155"/>
      <c r="S766" s="155"/>
      <c r="T766" s="155"/>
      <c r="U766" s="143" t="s">
        <v>862</v>
      </c>
      <c r="V766" s="143" t="s">
        <v>503</v>
      </c>
      <c r="W766" s="143" t="s">
        <v>298</v>
      </c>
      <c r="X766" s="143" t="s">
        <v>227</v>
      </c>
      <c r="Y766" s="143">
        <v>9557024876</v>
      </c>
      <c r="Z766" s="143"/>
      <c r="AA766" s="143" t="s">
        <v>877</v>
      </c>
      <c r="AB766" s="143" t="s">
        <v>528</v>
      </c>
      <c r="AC766" s="155">
        <v>1</v>
      </c>
      <c r="AD766" s="155"/>
      <c r="AE766" s="155"/>
      <c r="AF766" s="155"/>
      <c r="AG766" s="155"/>
      <c r="AH766" s="143"/>
      <c r="AI766" s="158"/>
    </row>
    <row r="767" spans="1:35">
      <c r="A767" s="140"/>
      <c r="B767" s="143"/>
      <c r="C767" s="143" t="s">
        <v>1866</v>
      </c>
      <c r="D767" s="143" t="s">
        <v>501</v>
      </c>
      <c r="E767" s="143" t="s">
        <v>80</v>
      </c>
      <c r="F767" s="143" t="s">
        <v>1839</v>
      </c>
      <c r="G767" s="143" t="s">
        <v>2045</v>
      </c>
      <c r="H767" s="143" t="s">
        <v>160</v>
      </c>
      <c r="I767" s="198">
        <v>24430</v>
      </c>
      <c r="J767" s="155">
        <v>1</v>
      </c>
      <c r="K767" s="155"/>
      <c r="L767" s="155">
        <v>1</v>
      </c>
      <c r="M767" s="155"/>
      <c r="N767" s="155"/>
      <c r="O767" s="155"/>
      <c r="P767" s="155"/>
      <c r="Q767" s="155"/>
      <c r="R767" s="155"/>
      <c r="S767" s="155"/>
      <c r="T767" s="155"/>
      <c r="U767" s="143" t="s">
        <v>862</v>
      </c>
      <c r="V767" s="143" t="s">
        <v>503</v>
      </c>
      <c r="W767" s="143" t="s">
        <v>298</v>
      </c>
      <c r="X767" s="143" t="s">
        <v>227</v>
      </c>
      <c r="Y767" s="143">
        <v>9678704124</v>
      </c>
      <c r="Z767" s="143"/>
      <c r="AA767" s="143" t="s">
        <v>877</v>
      </c>
      <c r="AB767" s="143" t="s">
        <v>528</v>
      </c>
      <c r="AC767" s="155">
        <v>1</v>
      </c>
      <c r="AD767" s="155"/>
      <c r="AE767" s="155"/>
      <c r="AF767" s="155"/>
      <c r="AG767" s="155"/>
      <c r="AH767" s="143"/>
      <c r="AI767" s="158"/>
    </row>
    <row r="768" spans="1:35">
      <c r="A768" s="140"/>
      <c r="B768" s="143"/>
      <c r="C768" s="143" t="s">
        <v>1866</v>
      </c>
      <c r="D768" s="143" t="s">
        <v>501</v>
      </c>
      <c r="E768" s="143" t="s">
        <v>80</v>
      </c>
      <c r="F768" s="143" t="s">
        <v>2047</v>
      </c>
      <c r="G768" s="143" t="s">
        <v>2111</v>
      </c>
      <c r="H768" s="143" t="s">
        <v>742</v>
      </c>
      <c r="I768" s="198">
        <v>28596</v>
      </c>
      <c r="J768" s="155">
        <v>1</v>
      </c>
      <c r="K768" s="155"/>
      <c r="L768" s="155">
        <v>1</v>
      </c>
      <c r="M768" s="155"/>
      <c r="N768" s="155"/>
      <c r="O768" s="155"/>
      <c r="P768" s="155"/>
      <c r="Q768" s="155"/>
      <c r="R768" s="155"/>
      <c r="S768" s="155"/>
      <c r="T768" s="155"/>
      <c r="U768" s="143" t="s">
        <v>862</v>
      </c>
      <c r="V768" s="143" t="s">
        <v>503</v>
      </c>
      <c r="W768" s="143" t="s">
        <v>298</v>
      </c>
      <c r="X768" s="143" t="s">
        <v>227</v>
      </c>
      <c r="Y768" s="143"/>
      <c r="Z768" s="143"/>
      <c r="AA768" s="143" t="s">
        <v>877</v>
      </c>
      <c r="AB768" s="143" t="s">
        <v>528</v>
      </c>
      <c r="AC768" s="155">
        <v>1</v>
      </c>
      <c r="AD768" s="155"/>
      <c r="AE768" s="155"/>
      <c r="AF768" s="155"/>
      <c r="AG768" s="155"/>
      <c r="AH768" s="143"/>
      <c r="AI768" s="158"/>
    </row>
    <row r="769" spans="1:35">
      <c r="A769" s="140" t="s">
        <v>93</v>
      </c>
      <c r="B769" s="143"/>
      <c r="C769" s="143" t="s">
        <v>1866</v>
      </c>
      <c r="D769" s="143" t="s">
        <v>501</v>
      </c>
      <c r="E769" s="143" t="s">
        <v>80</v>
      </c>
      <c r="F769" s="143" t="s">
        <v>2046</v>
      </c>
      <c r="G769" s="143" t="s">
        <v>554</v>
      </c>
      <c r="H769" s="143" t="s">
        <v>160</v>
      </c>
      <c r="I769" s="198">
        <v>26488</v>
      </c>
      <c r="J769" s="155"/>
      <c r="K769" s="155">
        <v>1</v>
      </c>
      <c r="L769" s="155">
        <v>1</v>
      </c>
      <c r="M769" s="155"/>
      <c r="N769" s="155"/>
      <c r="O769" s="155"/>
      <c r="P769" s="155"/>
      <c r="Q769" s="155"/>
      <c r="R769" s="155"/>
      <c r="S769" s="155"/>
      <c r="T769" s="155"/>
      <c r="U769" s="143" t="s">
        <v>862</v>
      </c>
      <c r="V769" s="143" t="s">
        <v>503</v>
      </c>
      <c r="W769" s="143" t="s">
        <v>298</v>
      </c>
      <c r="X769" s="143" t="s">
        <v>227</v>
      </c>
      <c r="Y769" s="143"/>
      <c r="Z769" s="143"/>
      <c r="AA769" s="143" t="s">
        <v>877</v>
      </c>
      <c r="AB769" s="143" t="s">
        <v>528</v>
      </c>
      <c r="AC769" s="155">
        <v>1</v>
      </c>
      <c r="AD769" s="155"/>
      <c r="AE769" s="155"/>
      <c r="AF769" s="155"/>
      <c r="AG769" s="155"/>
      <c r="AH769" s="143"/>
      <c r="AI769" s="158"/>
    </row>
    <row r="770" spans="1:35">
      <c r="A770" s="140"/>
      <c r="B770" s="143"/>
      <c r="C770" s="143" t="s">
        <v>1866</v>
      </c>
      <c r="D770" s="143" t="s">
        <v>501</v>
      </c>
      <c r="E770" s="143" t="s">
        <v>80</v>
      </c>
      <c r="F770" s="143" t="s">
        <v>2049</v>
      </c>
      <c r="G770" s="143" t="s">
        <v>2050</v>
      </c>
      <c r="H770" s="143"/>
      <c r="I770" s="198">
        <v>27127</v>
      </c>
      <c r="J770" s="155"/>
      <c r="K770" s="155">
        <v>1</v>
      </c>
      <c r="L770" s="155">
        <v>1</v>
      </c>
      <c r="M770" s="155"/>
      <c r="N770" s="155"/>
      <c r="O770" s="155"/>
      <c r="P770" s="155"/>
      <c r="Q770" s="155"/>
      <c r="R770" s="155"/>
      <c r="S770" s="155"/>
      <c r="T770" s="155"/>
      <c r="U770" s="143" t="s">
        <v>862</v>
      </c>
      <c r="V770" s="143" t="s">
        <v>503</v>
      </c>
      <c r="W770" s="143" t="s">
        <v>298</v>
      </c>
      <c r="X770" s="143" t="s">
        <v>227</v>
      </c>
      <c r="Y770" s="143"/>
      <c r="Z770" s="143"/>
      <c r="AA770" s="143" t="s">
        <v>877</v>
      </c>
      <c r="AB770" s="143" t="s">
        <v>528</v>
      </c>
      <c r="AC770" s="155">
        <v>1</v>
      </c>
      <c r="AD770" s="155"/>
      <c r="AE770" s="155"/>
      <c r="AF770" s="155"/>
      <c r="AG770" s="155"/>
      <c r="AH770" s="143"/>
      <c r="AI770" s="158"/>
    </row>
    <row r="771" spans="1:35">
      <c r="A771" s="140"/>
      <c r="B771" s="143"/>
      <c r="C771" s="143" t="s">
        <v>1866</v>
      </c>
      <c r="D771" s="143" t="s">
        <v>501</v>
      </c>
      <c r="E771" s="143" t="s">
        <v>80</v>
      </c>
      <c r="F771" s="143" t="s">
        <v>2043</v>
      </c>
      <c r="G771" s="143" t="s">
        <v>2112</v>
      </c>
      <c r="H771" s="143" t="s">
        <v>120</v>
      </c>
      <c r="I771" s="198">
        <v>21460</v>
      </c>
      <c r="J771" s="155"/>
      <c r="K771" s="155">
        <v>1</v>
      </c>
      <c r="L771" s="155">
        <v>1</v>
      </c>
      <c r="M771" s="155">
        <v>1</v>
      </c>
      <c r="N771" s="155"/>
      <c r="O771" s="155"/>
      <c r="P771" s="155"/>
      <c r="Q771" s="155"/>
      <c r="R771" s="155"/>
      <c r="S771" s="155"/>
      <c r="T771" s="155"/>
      <c r="U771" s="143" t="s">
        <v>862</v>
      </c>
      <c r="V771" s="143" t="s">
        <v>503</v>
      </c>
      <c r="W771" s="143" t="s">
        <v>298</v>
      </c>
      <c r="X771" s="143" t="s">
        <v>227</v>
      </c>
      <c r="Y771" s="143">
        <v>9563090041</v>
      </c>
      <c r="Z771" s="143"/>
      <c r="AA771" s="143" t="s">
        <v>877</v>
      </c>
      <c r="AB771" s="143" t="s">
        <v>528</v>
      </c>
      <c r="AC771" s="155">
        <v>1</v>
      </c>
      <c r="AD771" s="155"/>
      <c r="AE771" s="155"/>
      <c r="AF771" s="155"/>
      <c r="AG771" s="155"/>
      <c r="AH771" s="143"/>
      <c r="AI771" s="158"/>
    </row>
    <row r="772" spans="1:35">
      <c r="A772" s="140"/>
      <c r="B772" s="143"/>
      <c r="C772" s="143" t="s">
        <v>1866</v>
      </c>
      <c r="D772" s="143" t="s">
        <v>501</v>
      </c>
      <c r="E772" s="143" t="s">
        <v>80</v>
      </c>
      <c r="F772" s="143" t="s">
        <v>2051</v>
      </c>
      <c r="G772" s="143" t="s">
        <v>1212</v>
      </c>
      <c r="H772" s="143"/>
      <c r="I772" s="198">
        <v>34217</v>
      </c>
      <c r="J772" s="155">
        <v>1</v>
      </c>
      <c r="K772" s="155"/>
      <c r="L772" s="155">
        <v>1</v>
      </c>
      <c r="M772" s="155"/>
      <c r="N772" s="155"/>
      <c r="O772" s="155"/>
      <c r="P772" s="155"/>
      <c r="Q772" s="155"/>
      <c r="R772" s="155"/>
      <c r="S772" s="155"/>
      <c r="T772" s="155"/>
      <c r="U772" s="143" t="s">
        <v>862</v>
      </c>
      <c r="V772" s="143" t="s">
        <v>503</v>
      </c>
      <c r="W772" s="143" t="s">
        <v>298</v>
      </c>
      <c r="X772" s="143" t="s">
        <v>227</v>
      </c>
      <c r="Y772" s="143">
        <v>9659158863</v>
      </c>
      <c r="Z772" s="143"/>
      <c r="AA772" s="143" t="s">
        <v>877</v>
      </c>
      <c r="AB772" s="143" t="s">
        <v>528</v>
      </c>
      <c r="AC772" s="155">
        <v>1</v>
      </c>
      <c r="AD772" s="155"/>
      <c r="AE772" s="155"/>
      <c r="AF772" s="155"/>
      <c r="AG772" s="155"/>
      <c r="AH772" s="143"/>
      <c r="AI772" s="158"/>
    </row>
    <row r="773" spans="1:35">
      <c r="A773" s="140"/>
      <c r="B773" s="143"/>
      <c r="C773" s="143" t="s">
        <v>1866</v>
      </c>
      <c r="D773" s="143" t="s">
        <v>501</v>
      </c>
      <c r="E773" s="143" t="s">
        <v>80</v>
      </c>
      <c r="F773" s="143" t="s">
        <v>674</v>
      </c>
      <c r="G773" s="143" t="s">
        <v>676</v>
      </c>
      <c r="H773" s="143"/>
      <c r="I773" s="198">
        <v>34469</v>
      </c>
      <c r="J773" s="155"/>
      <c r="K773" s="155">
        <v>1</v>
      </c>
      <c r="L773" s="155">
        <v>1</v>
      </c>
      <c r="M773" s="155"/>
      <c r="N773" s="155"/>
      <c r="O773" s="155"/>
      <c r="P773" s="155"/>
      <c r="Q773" s="155"/>
      <c r="R773" s="155"/>
      <c r="S773" s="155"/>
      <c r="T773" s="155"/>
      <c r="U773" s="143" t="s">
        <v>862</v>
      </c>
      <c r="V773" s="143" t="s">
        <v>503</v>
      </c>
      <c r="W773" s="143" t="s">
        <v>298</v>
      </c>
      <c r="X773" s="143" t="s">
        <v>227</v>
      </c>
      <c r="Y773" s="143">
        <v>9279787553</v>
      </c>
      <c r="Z773" s="143"/>
      <c r="AA773" s="143" t="s">
        <v>877</v>
      </c>
      <c r="AB773" s="143" t="s">
        <v>528</v>
      </c>
      <c r="AC773" s="155">
        <v>1</v>
      </c>
      <c r="AD773" s="155"/>
      <c r="AE773" s="155"/>
      <c r="AF773" s="155"/>
      <c r="AG773" s="155"/>
      <c r="AH773" s="143"/>
      <c r="AI773" s="158"/>
    </row>
    <row r="774" spans="1:35">
      <c r="A774" s="140"/>
      <c r="B774" s="143"/>
      <c r="C774" s="143" t="s">
        <v>1866</v>
      </c>
      <c r="D774" s="143" t="s">
        <v>501</v>
      </c>
      <c r="E774" s="143" t="s">
        <v>80</v>
      </c>
      <c r="F774" s="143" t="s">
        <v>908</v>
      </c>
      <c r="G774" s="143" t="s">
        <v>2113</v>
      </c>
      <c r="H774" s="143"/>
      <c r="I774" s="198">
        <v>24198</v>
      </c>
      <c r="J774" s="155">
        <v>1</v>
      </c>
      <c r="K774" s="155"/>
      <c r="L774" s="155">
        <v>1</v>
      </c>
      <c r="M774" s="155"/>
      <c r="N774" s="155"/>
      <c r="O774" s="155"/>
      <c r="P774" s="155"/>
      <c r="Q774" s="155"/>
      <c r="R774" s="155"/>
      <c r="S774" s="155"/>
      <c r="T774" s="155"/>
      <c r="U774" s="143" t="s">
        <v>862</v>
      </c>
      <c r="V774" s="143" t="s">
        <v>503</v>
      </c>
      <c r="W774" s="143" t="s">
        <v>298</v>
      </c>
      <c r="X774" s="143" t="s">
        <v>227</v>
      </c>
      <c r="Y774" s="143">
        <v>9164865908</v>
      </c>
      <c r="Z774" s="143"/>
      <c r="AA774" s="143" t="s">
        <v>877</v>
      </c>
      <c r="AB774" s="143" t="s">
        <v>528</v>
      </c>
      <c r="AC774" s="155">
        <v>1</v>
      </c>
      <c r="AD774" s="155"/>
      <c r="AE774" s="155"/>
      <c r="AF774" s="155"/>
      <c r="AG774" s="155"/>
      <c r="AH774" s="143"/>
      <c r="AI774" s="158"/>
    </row>
    <row r="775" spans="1:35">
      <c r="A775" s="140"/>
      <c r="B775" s="143"/>
      <c r="C775" s="143" t="s">
        <v>1866</v>
      </c>
      <c r="D775" s="143" t="s">
        <v>501</v>
      </c>
      <c r="E775" s="143" t="s">
        <v>80</v>
      </c>
      <c r="F775" s="143" t="s">
        <v>2051</v>
      </c>
      <c r="G775" s="143" t="s">
        <v>976</v>
      </c>
      <c r="H775" s="143"/>
      <c r="I775" s="198">
        <v>24140</v>
      </c>
      <c r="J775" s="155">
        <v>1</v>
      </c>
      <c r="K775" s="155"/>
      <c r="L775" s="155">
        <v>1</v>
      </c>
      <c r="M775" s="155"/>
      <c r="N775" s="155"/>
      <c r="O775" s="155"/>
      <c r="P775" s="155"/>
      <c r="Q775" s="155"/>
      <c r="R775" s="155"/>
      <c r="S775" s="155"/>
      <c r="T775" s="155"/>
      <c r="U775" s="143" t="s">
        <v>862</v>
      </c>
      <c r="V775" s="143" t="s">
        <v>503</v>
      </c>
      <c r="W775" s="143" t="s">
        <v>298</v>
      </c>
      <c r="X775" s="143" t="s">
        <v>227</v>
      </c>
      <c r="Y775" s="143">
        <v>9755604741</v>
      </c>
      <c r="Z775" s="143"/>
      <c r="AA775" s="143" t="s">
        <v>877</v>
      </c>
      <c r="AB775" s="143" t="s">
        <v>528</v>
      </c>
      <c r="AC775" s="155">
        <v>1</v>
      </c>
      <c r="AD775" s="155"/>
      <c r="AE775" s="155"/>
      <c r="AF775" s="155"/>
      <c r="AG775" s="155"/>
      <c r="AH775" s="143"/>
      <c r="AI775" s="158"/>
    </row>
    <row r="776" spans="1:35">
      <c r="A776" s="140"/>
      <c r="B776" s="143"/>
      <c r="C776" s="143" t="s">
        <v>1866</v>
      </c>
      <c r="D776" s="143" t="s">
        <v>501</v>
      </c>
      <c r="E776" s="143" t="s">
        <v>80</v>
      </c>
      <c r="F776" s="143" t="s">
        <v>2052</v>
      </c>
      <c r="G776" s="143" t="s">
        <v>644</v>
      </c>
      <c r="H776" s="143"/>
      <c r="I776" s="198">
        <v>26318</v>
      </c>
      <c r="J776" s="155"/>
      <c r="K776" s="155">
        <v>1</v>
      </c>
      <c r="L776" s="155">
        <v>1</v>
      </c>
      <c r="M776" s="155"/>
      <c r="N776" s="155"/>
      <c r="O776" s="155"/>
      <c r="P776" s="155"/>
      <c r="Q776" s="155"/>
      <c r="R776" s="155"/>
      <c r="S776" s="155"/>
      <c r="T776" s="155"/>
      <c r="U776" s="143" t="s">
        <v>862</v>
      </c>
      <c r="V776" s="143" t="s">
        <v>503</v>
      </c>
      <c r="W776" s="143" t="s">
        <v>298</v>
      </c>
      <c r="X776" s="143" t="s">
        <v>227</v>
      </c>
      <c r="Y776" s="143">
        <v>9755604741</v>
      </c>
      <c r="Z776" s="143"/>
      <c r="AA776" s="143" t="s">
        <v>877</v>
      </c>
      <c r="AB776" s="143" t="s">
        <v>528</v>
      </c>
      <c r="AC776" s="155">
        <v>1</v>
      </c>
      <c r="AD776" s="155"/>
      <c r="AE776" s="155"/>
      <c r="AF776" s="155"/>
      <c r="AG776" s="155"/>
      <c r="AH776" s="143"/>
      <c r="AI776" s="158"/>
    </row>
    <row r="777" spans="1:35">
      <c r="A777" s="140"/>
      <c r="B777" s="143"/>
      <c r="C777" s="143" t="s">
        <v>1866</v>
      </c>
      <c r="D777" s="143" t="s">
        <v>501</v>
      </c>
      <c r="E777" s="143" t="s">
        <v>80</v>
      </c>
      <c r="F777" s="143" t="s">
        <v>2053</v>
      </c>
      <c r="G777" s="143" t="s">
        <v>1237</v>
      </c>
      <c r="H777" s="197" t="s">
        <v>93</v>
      </c>
      <c r="I777" s="198">
        <v>34757</v>
      </c>
      <c r="J777" s="155">
        <v>1</v>
      </c>
      <c r="K777" s="155"/>
      <c r="L777" s="155">
        <v>1</v>
      </c>
      <c r="M777" s="155"/>
      <c r="N777" s="155"/>
      <c r="O777" s="155"/>
      <c r="P777" s="155"/>
      <c r="Q777" s="155"/>
      <c r="R777" s="155"/>
      <c r="S777" s="155"/>
      <c r="T777" s="155"/>
      <c r="U777" s="143" t="s">
        <v>862</v>
      </c>
      <c r="V777" s="143" t="s">
        <v>503</v>
      </c>
      <c r="W777" s="143" t="s">
        <v>298</v>
      </c>
      <c r="X777" s="143" t="s">
        <v>227</v>
      </c>
      <c r="Y777" s="143">
        <v>9755604741</v>
      </c>
      <c r="Z777" s="143"/>
      <c r="AA777" s="143" t="s">
        <v>877</v>
      </c>
      <c r="AB777" s="143" t="s">
        <v>528</v>
      </c>
      <c r="AC777" s="155">
        <v>1</v>
      </c>
      <c r="AD777" s="155"/>
      <c r="AE777" s="155"/>
      <c r="AF777" s="155"/>
      <c r="AG777" s="155"/>
      <c r="AH777" s="143"/>
      <c r="AI777" s="158"/>
    </row>
    <row r="778" spans="1:35">
      <c r="A778" s="140"/>
      <c r="B778" s="143"/>
      <c r="C778" s="143" t="s">
        <v>1866</v>
      </c>
      <c r="D778" s="143" t="s">
        <v>501</v>
      </c>
      <c r="E778" s="143" t="s">
        <v>80</v>
      </c>
      <c r="F778" s="143" t="s">
        <v>2114</v>
      </c>
      <c r="G778" s="143" t="s">
        <v>192</v>
      </c>
      <c r="H778" s="143" t="s">
        <v>93</v>
      </c>
      <c r="I778" s="198">
        <v>34926</v>
      </c>
      <c r="J778" s="155">
        <v>1</v>
      </c>
      <c r="K778" s="155"/>
      <c r="L778" s="155">
        <v>1</v>
      </c>
      <c r="M778" s="155"/>
      <c r="N778" s="155"/>
      <c r="O778" s="155"/>
      <c r="P778" s="155"/>
      <c r="Q778" s="155"/>
      <c r="R778" s="155"/>
      <c r="S778" s="155"/>
      <c r="T778" s="155"/>
      <c r="U778" s="143" t="s">
        <v>862</v>
      </c>
      <c r="V778" s="143" t="s">
        <v>503</v>
      </c>
      <c r="W778" s="143" t="s">
        <v>298</v>
      </c>
      <c r="X778" s="143" t="s">
        <v>227</v>
      </c>
      <c r="Y778" s="143">
        <v>9675444101</v>
      </c>
      <c r="Z778" s="143"/>
      <c r="AA778" s="143" t="s">
        <v>877</v>
      </c>
      <c r="AB778" s="143" t="s">
        <v>528</v>
      </c>
      <c r="AC778" s="155">
        <v>1</v>
      </c>
      <c r="AD778" s="155"/>
      <c r="AE778" s="155"/>
      <c r="AF778" s="155"/>
      <c r="AG778" s="155"/>
      <c r="AH778" s="143"/>
      <c r="AI778" s="158"/>
    </row>
    <row r="779" spans="1:35">
      <c r="A779" s="140"/>
      <c r="B779" s="143"/>
      <c r="C779" s="143" t="s">
        <v>1866</v>
      </c>
      <c r="D779" s="143" t="s">
        <v>501</v>
      </c>
      <c r="E779" s="143" t="s">
        <v>80</v>
      </c>
      <c r="F779" s="143" t="s">
        <v>1986</v>
      </c>
      <c r="G779" s="143" t="s">
        <v>1987</v>
      </c>
      <c r="H779" s="143"/>
      <c r="I779" s="198">
        <v>35316</v>
      </c>
      <c r="J779" s="155">
        <v>1</v>
      </c>
      <c r="K779" s="155"/>
      <c r="L779" s="155">
        <v>1</v>
      </c>
      <c r="M779" s="155"/>
      <c r="N779" s="155"/>
      <c r="O779" s="155"/>
      <c r="P779" s="155"/>
      <c r="Q779" s="155"/>
      <c r="R779" s="155"/>
      <c r="S779" s="155"/>
      <c r="T779" s="155"/>
      <c r="U779" s="143" t="s">
        <v>221</v>
      </c>
      <c r="V779" s="143" t="s">
        <v>218</v>
      </c>
      <c r="W779" s="143" t="s">
        <v>298</v>
      </c>
      <c r="X779" s="143" t="s">
        <v>227</v>
      </c>
      <c r="Y779" s="143">
        <v>9675444101</v>
      </c>
      <c r="Z779" s="143"/>
      <c r="AA779" s="143" t="s">
        <v>877</v>
      </c>
      <c r="AB779" s="143" t="s">
        <v>528</v>
      </c>
      <c r="AC779" s="155">
        <v>1</v>
      </c>
      <c r="AD779" s="155"/>
      <c r="AE779" s="155"/>
      <c r="AF779" s="155"/>
      <c r="AG779" s="155"/>
      <c r="AH779" s="143"/>
      <c r="AI779" s="158"/>
    </row>
    <row r="780" spans="1:35">
      <c r="A780" s="140"/>
      <c r="B780" s="143"/>
      <c r="C780" s="143" t="s">
        <v>1866</v>
      </c>
      <c r="D780" s="143" t="s">
        <v>501</v>
      </c>
      <c r="E780" s="143" t="s">
        <v>80</v>
      </c>
      <c r="F780" s="143" t="s">
        <v>1021</v>
      </c>
      <c r="G780" s="143" t="s">
        <v>2115</v>
      </c>
      <c r="H780" s="143"/>
      <c r="I780" s="198">
        <v>22919</v>
      </c>
      <c r="J780" s="155">
        <v>1</v>
      </c>
      <c r="K780" s="155"/>
      <c r="L780" s="155">
        <v>1</v>
      </c>
      <c r="M780" s="155"/>
      <c r="N780" s="155"/>
      <c r="O780" s="155"/>
      <c r="P780" s="155"/>
      <c r="Q780" s="155"/>
      <c r="R780" s="155"/>
      <c r="S780" s="155"/>
      <c r="T780" s="155"/>
      <c r="U780" s="143" t="s">
        <v>859</v>
      </c>
      <c r="V780" s="143" t="s">
        <v>503</v>
      </c>
      <c r="W780" s="143" t="s">
        <v>298</v>
      </c>
      <c r="X780" s="143" t="s">
        <v>227</v>
      </c>
      <c r="Y780" s="143">
        <v>9675444101</v>
      </c>
      <c r="Z780" s="143"/>
      <c r="AA780" s="143" t="s">
        <v>877</v>
      </c>
      <c r="AB780" s="143" t="s">
        <v>528</v>
      </c>
      <c r="AC780" s="155">
        <v>1</v>
      </c>
      <c r="AD780" s="155"/>
      <c r="AE780" s="155"/>
      <c r="AF780" s="155"/>
      <c r="AG780" s="155"/>
      <c r="AH780" s="143"/>
      <c r="AI780" s="158"/>
    </row>
    <row r="781" spans="1:35">
      <c r="A781" s="140"/>
      <c r="B781" s="143"/>
      <c r="C781" s="143" t="s">
        <v>1866</v>
      </c>
      <c r="D781" s="143" t="s">
        <v>501</v>
      </c>
      <c r="E781" s="143" t="s">
        <v>80</v>
      </c>
      <c r="F781" s="143" t="s">
        <v>1586</v>
      </c>
      <c r="G781" s="143" t="s">
        <v>383</v>
      </c>
      <c r="H781" s="143" t="s">
        <v>133</v>
      </c>
      <c r="I781" s="198">
        <v>30915</v>
      </c>
      <c r="J781" s="155"/>
      <c r="K781" s="155">
        <v>1</v>
      </c>
      <c r="L781" s="155"/>
      <c r="M781" s="155"/>
      <c r="N781" s="155"/>
      <c r="O781" s="155"/>
      <c r="P781" s="155"/>
      <c r="Q781" s="155">
        <v>1</v>
      </c>
      <c r="R781" s="155" t="s">
        <v>2120</v>
      </c>
      <c r="S781" s="155"/>
      <c r="T781" s="155"/>
      <c r="U781" s="143" t="s">
        <v>2123</v>
      </c>
      <c r="V781" s="143" t="s">
        <v>1429</v>
      </c>
      <c r="W781" s="143"/>
      <c r="X781" s="143" t="s">
        <v>2122</v>
      </c>
      <c r="Y781" s="143">
        <v>9178493344</v>
      </c>
      <c r="Z781" s="143"/>
      <c r="AA781" s="143" t="s">
        <v>1321</v>
      </c>
      <c r="AB781" s="143" t="s">
        <v>528</v>
      </c>
      <c r="AC781" s="155">
        <v>1</v>
      </c>
      <c r="AD781" s="155"/>
      <c r="AE781" s="155"/>
      <c r="AF781" s="155"/>
      <c r="AG781" s="155"/>
      <c r="AH781" s="143"/>
      <c r="AI781" s="158"/>
    </row>
    <row r="782" spans="1:35">
      <c r="A782" s="140"/>
      <c r="B782" s="143"/>
      <c r="C782" s="143" t="s">
        <v>1866</v>
      </c>
      <c r="D782" s="143" t="s">
        <v>501</v>
      </c>
      <c r="E782" s="143" t="s">
        <v>80</v>
      </c>
      <c r="F782" s="143" t="s">
        <v>2117</v>
      </c>
      <c r="G782" s="143" t="s">
        <v>2118</v>
      </c>
      <c r="H782" s="143"/>
      <c r="I782" s="198" t="s">
        <v>2119</v>
      </c>
      <c r="J782" s="155">
        <v>1</v>
      </c>
      <c r="K782" s="155"/>
      <c r="L782" s="155"/>
      <c r="M782" s="155"/>
      <c r="N782" s="155"/>
      <c r="O782" s="155"/>
      <c r="P782" s="155"/>
      <c r="Q782" s="155">
        <v>1</v>
      </c>
      <c r="R782" s="155" t="s">
        <v>2120</v>
      </c>
      <c r="S782" s="155"/>
      <c r="T782" s="155"/>
      <c r="U782" s="143" t="s">
        <v>2121</v>
      </c>
      <c r="V782" s="143" t="s">
        <v>190</v>
      </c>
      <c r="W782" s="143"/>
      <c r="X782" s="143" t="s">
        <v>2122</v>
      </c>
      <c r="Y782" s="143">
        <v>997769247</v>
      </c>
      <c r="Z782" s="143"/>
      <c r="AA782" s="143" t="s">
        <v>1321</v>
      </c>
      <c r="AB782" s="143" t="s">
        <v>528</v>
      </c>
      <c r="AC782" s="155">
        <v>1</v>
      </c>
      <c r="AD782" s="155"/>
      <c r="AE782" s="155"/>
      <c r="AF782" s="155"/>
      <c r="AG782" s="155"/>
      <c r="AH782" s="143"/>
      <c r="AI782" s="158"/>
    </row>
    <row r="783" spans="1:35">
      <c r="A783" s="140"/>
      <c r="B783" s="143"/>
      <c r="C783" s="143" t="s">
        <v>1866</v>
      </c>
      <c r="D783" s="143" t="s">
        <v>501</v>
      </c>
      <c r="E783" s="143" t="s">
        <v>80</v>
      </c>
      <c r="F783" s="143" t="s">
        <v>2116</v>
      </c>
      <c r="G783" s="143" t="s">
        <v>1608</v>
      </c>
      <c r="H783" s="143"/>
      <c r="I783" s="198">
        <v>33812</v>
      </c>
      <c r="J783" s="155"/>
      <c r="K783" s="155">
        <v>1</v>
      </c>
      <c r="L783" s="155"/>
      <c r="M783" s="155"/>
      <c r="N783" s="155"/>
      <c r="O783" s="155"/>
      <c r="P783" s="155"/>
      <c r="Q783" s="155">
        <v>1</v>
      </c>
      <c r="R783" s="155" t="s">
        <v>1009</v>
      </c>
      <c r="S783" s="155"/>
      <c r="T783" s="155"/>
      <c r="U783" s="143"/>
      <c r="V783" s="143" t="s">
        <v>949</v>
      </c>
      <c r="W783" s="143" t="s">
        <v>280</v>
      </c>
      <c r="X783" s="143" t="s">
        <v>227</v>
      </c>
      <c r="Y783" s="143">
        <v>9502114709</v>
      </c>
      <c r="Z783" s="143"/>
      <c r="AA783" s="143" t="s">
        <v>877</v>
      </c>
      <c r="AB783" s="143" t="s">
        <v>528</v>
      </c>
      <c r="AC783" s="155">
        <v>1</v>
      </c>
      <c r="AD783" s="155"/>
      <c r="AE783" s="155"/>
      <c r="AF783" s="155"/>
      <c r="AG783" s="155"/>
      <c r="AH783" s="143"/>
      <c r="AI783" s="158"/>
    </row>
    <row r="784" spans="1:35">
      <c r="A784" s="140"/>
      <c r="B784" s="143"/>
      <c r="C784" s="143" t="s">
        <v>2126</v>
      </c>
      <c r="D784" s="143" t="s">
        <v>501</v>
      </c>
      <c r="E784" s="143" t="s">
        <v>80</v>
      </c>
      <c r="F784" s="143" t="s">
        <v>2856</v>
      </c>
      <c r="G784" s="143" t="s">
        <v>2908</v>
      </c>
      <c r="H784" s="143"/>
      <c r="I784" s="198"/>
      <c r="J784" s="155"/>
      <c r="K784" s="155">
        <v>1</v>
      </c>
      <c r="L784" s="155">
        <v>1</v>
      </c>
      <c r="M784" s="155"/>
      <c r="N784" s="155"/>
      <c r="O784" s="155"/>
      <c r="P784" s="155"/>
      <c r="Q784" s="155"/>
      <c r="R784" s="155"/>
      <c r="S784" s="155"/>
      <c r="T784" s="155"/>
      <c r="U784" s="143" t="s">
        <v>516</v>
      </c>
      <c r="V784" s="143" t="s">
        <v>503</v>
      </c>
      <c r="W784" s="143" t="s">
        <v>298</v>
      </c>
      <c r="X784" s="143" t="s">
        <v>227</v>
      </c>
      <c r="Y784" s="143">
        <v>9461624944</v>
      </c>
      <c r="Z784" s="143"/>
      <c r="AA784" s="143" t="s">
        <v>877</v>
      </c>
      <c r="AB784" s="143" t="s">
        <v>528</v>
      </c>
      <c r="AC784" s="155">
        <v>1</v>
      </c>
      <c r="AD784" s="155"/>
      <c r="AE784" s="155"/>
      <c r="AF784" s="155"/>
      <c r="AG784" s="155"/>
      <c r="AH784" s="143"/>
      <c r="AI784" s="158"/>
    </row>
    <row r="785" spans="1:35">
      <c r="A785" s="140"/>
      <c r="B785" s="143"/>
      <c r="C785" s="143" t="s">
        <v>2126</v>
      </c>
      <c r="D785" s="143" t="s">
        <v>501</v>
      </c>
      <c r="E785" s="143" t="s">
        <v>80</v>
      </c>
      <c r="F785" s="143" t="s">
        <v>2909</v>
      </c>
      <c r="G785" s="143" t="s">
        <v>544</v>
      </c>
      <c r="H785" s="143"/>
      <c r="I785" s="198"/>
      <c r="J785" s="155"/>
      <c r="K785" s="155">
        <v>1</v>
      </c>
      <c r="L785" s="155">
        <v>1</v>
      </c>
      <c r="M785" s="155"/>
      <c r="N785" s="155"/>
      <c r="O785" s="155"/>
      <c r="P785" s="155"/>
      <c r="Q785" s="155" t="s">
        <v>93</v>
      </c>
      <c r="R785" s="155"/>
      <c r="S785" s="155"/>
      <c r="T785" s="155"/>
      <c r="U785" s="143" t="s">
        <v>516</v>
      </c>
      <c r="V785" s="143" t="s">
        <v>503</v>
      </c>
      <c r="W785" s="143" t="s">
        <v>298</v>
      </c>
      <c r="X785" s="143" t="s">
        <v>227</v>
      </c>
      <c r="Y785" s="143">
        <v>9061548299</v>
      </c>
      <c r="Z785" s="143"/>
      <c r="AA785" s="143" t="s">
        <v>877</v>
      </c>
      <c r="AB785" s="143" t="s">
        <v>528</v>
      </c>
      <c r="AC785" s="155">
        <v>1</v>
      </c>
      <c r="AD785" s="155"/>
      <c r="AE785" s="155"/>
      <c r="AF785" s="155"/>
      <c r="AG785" s="155"/>
      <c r="AH785" s="143"/>
      <c r="AI785" s="158"/>
    </row>
    <row r="786" spans="1:35">
      <c r="A786" s="140"/>
      <c r="B786" s="143"/>
      <c r="C786" s="143" t="s">
        <v>2126</v>
      </c>
      <c r="D786" s="143" t="s">
        <v>501</v>
      </c>
      <c r="E786" s="143" t="s">
        <v>80</v>
      </c>
      <c r="F786" s="143" t="s">
        <v>774</v>
      </c>
      <c r="G786" s="143" t="s">
        <v>1274</v>
      </c>
      <c r="H786" s="143"/>
      <c r="I786" s="198">
        <v>27605</v>
      </c>
      <c r="J786" s="155">
        <v>1</v>
      </c>
      <c r="K786" s="155"/>
      <c r="L786" s="155"/>
      <c r="M786" s="155"/>
      <c r="N786" s="155"/>
      <c r="O786" s="155"/>
      <c r="P786" s="155"/>
      <c r="Q786" s="155">
        <v>1</v>
      </c>
      <c r="R786" s="155" t="s">
        <v>962</v>
      </c>
      <c r="S786" s="155"/>
      <c r="T786" s="155"/>
      <c r="U786" s="143" t="s">
        <v>507</v>
      </c>
      <c r="V786" s="143" t="s">
        <v>503</v>
      </c>
      <c r="W786" s="143" t="s">
        <v>298</v>
      </c>
      <c r="X786" s="143" t="s">
        <v>227</v>
      </c>
      <c r="Y786" s="143">
        <v>9270889596</v>
      </c>
      <c r="Z786" s="143"/>
      <c r="AA786" s="143" t="s">
        <v>877</v>
      </c>
      <c r="AB786" s="143" t="s">
        <v>528</v>
      </c>
      <c r="AC786" s="155">
        <v>1</v>
      </c>
      <c r="AD786" s="155"/>
      <c r="AE786" s="155"/>
      <c r="AF786" s="155"/>
      <c r="AG786" s="155"/>
      <c r="AH786" s="143"/>
      <c r="AI786" s="158"/>
    </row>
    <row r="787" spans="1:35">
      <c r="A787" s="140"/>
      <c r="B787" s="143"/>
      <c r="C787" s="143" t="s">
        <v>2126</v>
      </c>
      <c r="D787" s="143" t="s">
        <v>501</v>
      </c>
      <c r="E787" s="143" t="s">
        <v>80</v>
      </c>
      <c r="F787" s="143" t="s">
        <v>2910</v>
      </c>
      <c r="G787" s="143" t="s">
        <v>2375</v>
      </c>
      <c r="H787" s="143"/>
      <c r="I787" s="198">
        <v>27595</v>
      </c>
      <c r="J787" s="155">
        <v>1</v>
      </c>
      <c r="K787" s="155"/>
      <c r="L787" s="155"/>
      <c r="M787" s="155"/>
      <c r="N787" s="155"/>
      <c r="O787" s="155"/>
      <c r="P787" s="155"/>
      <c r="Q787" s="155">
        <v>1</v>
      </c>
      <c r="R787" s="155" t="s">
        <v>962</v>
      </c>
      <c r="S787" s="155"/>
      <c r="T787" s="155"/>
      <c r="U787" s="143" t="s">
        <v>2911</v>
      </c>
      <c r="V787" s="143" t="s">
        <v>503</v>
      </c>
      <c r="W787" s="143" t="s">
        <v>298</v>
      </c>
      <c r="X787" s="143" t="s">
        <v>227</v>
      </c>
      <c r="Y787" s="143">
        <v>9975072881</v>
      </c>
      <c r="Z787" s="143"/>
      <c r="AA787" s="143" t="s">
        <v>877</v>
      </c>
      <c r="AB787" s="143" t="s">
        <v>528</v>
      </c>
      <c r="AC787" s="155">
        <v>1</v>
      </c>
      <c r="AD787" s="155"/>
      <c r="AE787" s="155"/>
      <c r="AF787" s="155"/>
      <c r="AG787" s="155"/>
      <c r="AH787" s="143"/>
      <c r="AI787" s="158"/>
    </row>
    <row r="788" spans="1:35">
      <c r="A788" s="140"/>
      <c r="B788" s="143"/>
      <c r="C788" s="143" t="s">
        <v>2126</v>
      </c>
      <c r="D788" s="143" t="s">
        <v>501</v>
      </c>
      <c r="E788" s="143" t="s">
        <v>80</v>
      </c>
      <c r="F788" s="143" t="s">
        <v>1193</v>
      </c>
      <c r="G788" s="143" t="s">
        <v>2912</v>
      </c>
      <c r="H788" s="143" t="s">
        <v>113</v>
      </c>
      <c r="I788" s="198">
        <v>28043</v>
      </c>
      <c r="J788" s="155"/>
      <c r="K788" s="155">
        <v>1</v>
      </c>
      <c r="L788" s="155"/>
      <c r="M788" s="155"/>
      <c r="N788" s="155"/>
      <c r="O788" s="155"/>
      <c r="P788" s="155"/>
      <c r="Q788" s="155">
        <v>1</v>
      </c>
      <c r="R788" s="155" t="s">
        <v>962</v>
      </c>
      <c r="S788" s="155"/>
      <c r="T788" s="155"/>
      <c r="U788" s="143" t="s">
        <v>505</v>
      </c>
      <c r="V788" s="143" t="s">
        <v>503</v>
      </c>
      <c r="W788" s="143" t="s">
        <v>298</v>
      </c>
      <c r="X788" s="143" t="s">
        <v>227</v>
      </c>
      <c r="Y788" s="143">
        <v>9199513382</v>
      </c>
      <c r="Z788" s="143"/>
      <c r="AA788" s="143" t="s">
        <v>525</v>
      </c>
      <c r="AB788" s="143" t="s">
        <v>528</v>
      </c>
      <c r="AC788" s="155">
        <v>1</v>
      </c>
      <c r="AD788" s="155"/>
      <c r="AE788" s="155"/>
      <c r="AF788" s="155"/>
      <c r="AG788" s="155"/>
      <c r="AH788" s="143"/>
      <c r="AI788" s="158"/>
    </row>
    <row r="789" spans="1:35">
      <c r="A789" s="140"/>
      <c r="B789" s="143"/>
      <c r="C789" s="143" t="s">
        <v>2126</v>
      </c>
      <c r="D789" s="143" t="s">
        <v>501</v>
      </c>
      <c r="E789" s="143" t="s">
        <v>80</v>
      </c>
      <c r="F789" s="143" t="s">
        <v>2913</v>
      </c>
      <c r="G789" s="143" t="s">
        <v>2914</v>
      </c>
      <c r="H789" s="143" t="s">
        <v>115</v>
      </c>
      <c r="I789" s="198"/>
      <c r="J789" s="155">
        <v>1</v>
      </c>
      <c r="K789" s="155"/>
      <c r="L789" s="155"/>
      <c r="M789" s="155"/>
      <c r="N789" s="155"/>
      <c r="O789" s="155"/>
      <c r="P789" s="155"/>
      <c r="Q789" s="155">
        <v>1</v>
      </c>
      <c r="R789" s="155" t="s">
        <v>1009</v>
      </c>
      <c r="S789" s="155"/>
      <c r="T789" s="155"/>
      <c r="U789" s="143"/>
      <c r="V789" s="143" t="s">
        <v>223</v>
      </c>
      <c r="W789" s="143" t="s">
        <v>279</v>
      </c>
      <c r="X789" s="143" t="s">
        <v>227</v>
      </c>
      <c r="Y789" s="143"/>
      <c r="Z789" s="143"/>
      <c r="AA789" s="143" t="s">
        <v>877</v>
      </c>
      <c r="AB789" s="143" t="s">
        <v>528</v>
      </c>
      <c r="AC789" s="155">
        <v>1</v>
      </c>
      <c r="AD789" s="155"/>
      <c r="AE789" s="155"/>
      <c r="AF789" s="155"/>
      <c r="AG789" s="155"/>
      <c r="AH789" s="143"/>
      <c r="AI789" s="158"/>
    </row>
    <row r="790" spans="1:35">
      <c r="A790" s="140"/>
      <c r="B790" s="143"/>
      <c r="C790" s="143" t="s">
        <v>2126</v>
      </c>
      <c r="D790" s="143" t="s">
        <v>501</v>
      </c>
      <c r="E790" s="143" t="s">
        <v>80</v>
      </c>
      <c r="F790" s="143" t="s">
        <v>2915</v>
      </c>
      <c r="G790" s="143" t="s">
        <v>1018</v>
      </c>
      <c r="H790" s="143"/>
      <c r="I790" s="198"/>
      <c r="J790" s="155">
        <v>1</v>
      </c>
      <c r="K790" s="155"/>
      <c r="L790" s="155"/>
      <c r="M790" s="155"/>
      <c r="N790" s="155"/>
      <c r="O790" s="155"/>
      <c r="P790" s="155"/>
      <c r="Q790" s="155">
        <v>1</v>
      </c>
      <c r="R790" s="155" t="s">
        <v>1009</v>
      </c>
      <c r="S790" s="155"/>
      <c r="T790" s="155"/>
      <c r="U790" s="143"/>
      <c r="V790" s="143" t="s">
        <v>223</v>
      </c>
      <c r="W790" s="143" t="s">
        <v>279</v>
      </c>
      <c r="X790" s="143" t="s">
        <v>227</v>
      </c>
      <c r="Y790" s="143"/>
      <c r="Z790" s="143"/>
      <c r="AA790" s="143" t="s">
        <v>877</v>
      </c>
      <c r="AB790" s="143" t="s">
        <v>528</v>
      </c>
      <c r="AC790" s="155">
        <v>1</v>
      </c>
      <c r="AD790" s="155"/>
      <c r="AE790" s="155"/>
      <c r="AF790" s="155"/>
      <c r="AG790" s="155"/>
      <c r="AH790" s="143"/>
      <c r="AI790" s="158"/>
    </row>
    <row r="791" spans="1:35">
      <c r="A791" s="140"/>
      <c r="B791" s="143"/>
      <c r="C791" s="143" t="s">
        <v>2126</v>
      </c>
      <c r="D791" s="143" t="s">
        <v>501</v>
      </c>
      <c r="E791" s="143" t="s">
        <v>80</v>
      </c>
      <c r="F791" s="143" t="s">
        <v>2920</v>
      </c>
      <c r="G791" s="143" t="s">
        <v>776</v>
      </c>
      <c r="H791" s="143" t="s">
        <v>136</v>
      </c>
      <c r="I791" s="198">
        <v>28876</v>
      </c>
      <c r="J791" s="155">
        <v>1</v>
      </c>
      <c r="K791" s="155"/>
      <c r="L791" s="155"/>
      <c r="M791" s="155"/>
      <c r="N791" s="155"/>
      <c r="O791" s="155"/>
      <c r="P791" s="155"/>
      <c r="Q791" s="155">
        <v>1</v>
      </c>
      <c r="R791" s="155" t="s">
        <v>1009</v>
      </c>
      <c r="S791" s="155"/>
      <c r="T791" s="155"/>
      <c r="U791" s="143"/>
      <c r="V791" s="143" t="s">
        <v>223</v>
      </c>
      <c r="W791" s="143" t="s">
        <v>279</v>
      </c>
      <c r="X791" s="143" t="s">
        <v>227</v>
      </c>
      <c r="Y791" s="143"/>
      <c r="Z791" s="143"/>
      <c r="AA791" s="143" t="s">
        <v>877</v>
      </c>
      <c r="AB791" s="143" t="s">
        <v>528</v>
      </c>
      <c r="AC791" s="155">
        <v>1</v>
      </c>
      <c r="AD791" s="155"/>
      <c r="AE791" s="155"/>
      <c r="AF791" s="155"/>
      <c r="AG791" s="155"/>
      <c r="AH791" s="143"/>
      <c r="AI791" s="158"/>
    </row>
    <row r="792" spans="1:35">
      <c r="A792" s="140"/>
      <c r="B792" s="143"/>
      <c r="C792" s="143" t="s">
        <v>2126</v>
      </c>
      <c r="D792" s="143" t="s">
        <v>501</v>
      </c>
      <c r="E792" s="143" t="s">
        <v>80</v>
      </c>
      <c r="F792" s="143" t="s">
        <v>2916</v>
      </c>
      <c r="G792" s="143" t="s">
        <v>2917</v>
      </c>
      <c r="H792" s="143"/>
      <c r="I792" s="198"/>
      <c r="J792" s="155">
        <v>1</v>
      </c>
      <c r="K792" s="155"/>
      <c r="L792" s="155"/>
      <c r="M792" s="155"/>
      <c r="N792" s="155"/>
      <c r="O792" s="155"/>
      <c r="P792" s="155"/>
      <c r="Q792" s="155">
        <v>1</v>
      </c>
      <c r="R792" s="155" t="s">
        <v>1009</v>
      </c>
      <c r="S792" s="155"/>
      <c r="T792" s="155"/>
      <c r="U792" s="143"/>
      <c r="V792" s="143" t="s">
        <v>223</v>
      </c>
      <c r="W792" s="143" t="s">
        <v>279</v>
      </c>
      <c r="X792" s="143" t="s">
        <v>227</v>
      </c>
      <c r="Y792" s="143"/>
      <c r="Z792" s="143"/>
      <c r="AA792" s="143" t="s">
        <v>877</v>
      </c>
      <c r="AB792" s="143" t="s">
        <v>528</v>
      </c>
      <c r="AC792" s="155">
        <v>1</v>
      </c>
      <c r="AD792" s="155"/>
      <c r="AE792" s="155"/>
      <c r="AF792" s="155"/>
      <c r="AG792" s="155"/>
      <c r="AH792" s="143"/>
      <c r="AI792" s="158"/>
    </row>
    <row r="793" spans="1:35">
      <c r="A793" s="140"/>
      <c r="B793" s="143"/>
      <c r="C793" s="143" t="s">
        <v>2126</v>
      </c>
      <c r="D793" s="143" t="s">
        <v>501</v>
      </c>
      <c r="E793" s="143" t="s">
        <v>80</v>
      </c>
      <c r="F793" s="143" t="s">
        <v>2918</v>
      </c>
      <c r="G793" s="143" t="s">
        <v>2919</v>
      </c>
      <c r="H793" s="143" t="s">
        <v>409</v>
      </c>
      <c r="I793" s="198"/>
      <c r="J793" s="155"/>
      <c r="K793" s="155">
        <v>1</v>
      </c>
      <c r="L793" s="155"/>
      <c r="M793" s="155"/>
      <c r="N793" s="155"/>
      <c r="O793" s="155"/>
      <c r="P793" s="155"/>
      <c r="Q793" s="155">
        <v>1</v>
      </c>
      <c r="R793" s="155" t="s">
        <v>1009</v>
      </c>
      <c r="S793" s="155"/>
      <c r="T793" s="155"/>
      <c r="U793" s="143"/>
      <c r="V793" s="143" t="s">
        <v>223</v>
      </c>
      <c r="W793" s="143" t="s">
        <v>279</v>
      </c>
      <c r="X793" s="143" t="s">
        <v>227</v>
      </c>
      <c r="Y793" s="143"/>
      <c r="Z793" s="143"/>
      <c r="AA793" s="143" t="s">
        <v>877</v>
      </c>
      <c r="AB793" s="143" t="s">
        <v>528</v>
      </c>
      <c r="AC793" s="155">
        <v>1</v>
      </c>
      <c r="AD793" s="155"/>
      <c r="AE793" s="155"/>
      <c r="AF793" s="155"/>
      <c r="AG793" s="155"/>
      <c r="AH793" s="143"/>
      <c r="AI793" s="158"/>
    </row>
    <row r="794" spans="1:35">
      <c r="A794" s="140"/>
      <c r="B794" s="143" t="s">
        <v>93</v>
      </c>
      <c r="C794" s="143" t="s">
        <v>2126</v>
      </c>
      <c r="D794" s="143" t="s">
        <v>501</v>
      </c>
      <c r="E794" s="143" t="s">
        <v>80</v>
      </c>
      <c r="F794" s="143" t="s">
        <v>2921</v>
      </c>
      <c r="G794" s="143" t="s">
        <v>2455</v>
      </c>
      <c r="H794" s="143"/>
      <c r="I794" s="198"/>
      <c r="J794" s="155">
        <v>1</v>
      </c>
      <c r="K794" s="155"/>
      <c r="L794" s="155"/>
      <c r="M794" s="155"/>
      <c r="N794" s="155"/>
      <c r="O794" s="155"/>
      <c r="P794" s="155"/>
      <c r="Q794" s="155">
        <v>1</v>
      </c>
      <c r="R794" s="155" t="s">
        <v>1009</v>
      </c>
      <c r="S794" s="155"/>
      <c r="T794" s="155"/>
      <c r="U794" s="143"/>
      <c r="V794" s="143" t="s">
        <v>223</v>
      </c>
      <c r="W794" s="143" t="s">
        <v>279</v>
      </c>
      <c r="X794" s="143" t="s">
        <v>227</v>
      </c>
      <c r="Y794" s="143"/>
      <c r="Z794" s="143"/>
      <c r="AA794" s="143" t="s">
        <v>877</v>
      </c>
      <c r="AB794" s="143" t="s">
        <v>528</v>
      </c>
      <c r="AC794" s="155">
        <v>1</v>
      </c>
      <c r="AD794" s="155"/>
      <c r="AE794" s="155"/>
      <c r="AF794" s="155"/>
      <c r="AG794" s="155"/>
      <c r="AH794" s="143"/>
      <c r="AI794" s="158"/>
    </row>
    <row r="795" spans="1:35">
      <c r="A795" s="140"/>
      <c r="B795" s="143"/>
      <c r="C795" s="143" t="s">
        <v>2126</v>
      </c>
      <c r="D795" s="143" t="s">
        <v>501</v>
      </c>
      <c r="E795" s="143" t="s">
        <v>80</v>
      </c>
      <c r="F795" s="143" t="s">
        <v>2923</v>
      </c>
      <c r="G795" s="143" t="s">
        <v>2922</v>
      </c>
      <c r="H795" s="143"/>
      <c r="I795" s="198">
        <v>28066</v>
      </c>
      <c r="J795" s="155">
        <v>1</v>
      </c>
      <c r="K795" s="155">
        <v>1</v>
      </c>
      <c r="L795" s="155"/>
      <c r="M795" s="155"/>
      <c r="N795" s="155"/>
      <c r="O795" s="155"/>
      <c r="P795" s="155"/>
      <c r="Q795" s="155"/>
      <c r="R795" s="155"/>
      <c r="S795" s="155"/>
      <c r="T795" s="155"/>
      <c r="U795" s="143" t="s">
        <v>505</v>
      </c>
      <c r="V795" s="143" t="s">
        <v>503</v>
      </c>
      <c r="W795" s="143" t="s">
        <v>298</v>
      </c>
      <c r="X795" s="143" t="s">
        <v>227</v>
      </c>
      <c r="Y795" s="143">
        <v>9469317798</v>
      </c>
      <c r="Z795" s="143"/>
      <c r="AA795" s="143" t="s">
        <v>877</v>
      </c>
      <c r="AB795" s="143" t="s">
        <v>528</v>
      </c>
      <c r="AC795" s="155">
        <v>1</v>
      </c>
      <c r="AD795" s="155"/>
      <c r="AE795" s="155"/>
      <c r="AF795" s="155"/>
      <c r="AG795" s="155"/>
      <c r="AH795" s="143"/>
      <c r="AI795" s="158"/>
    </row>
    <row r="796" spans="1:35">
      <c r="A796" s="140"/>
      <c r="B796" s="143"/>
      <c r="C796" s="143" t="s">
        <v>2126</v>
      </c>
      <c r="D796" s="143" t="s">
        <v>501</v>
      </c>
      <c r="E796" s="143" t="s">
        <v>80</v>
      </c>
      <c r="F796" s="143" t="s">
        <v>2924</v>
      </c>
      <c r="G796" s="143" t="s">
        <v>2925</v>
      </c>
      <c r="H796" s="143"/>
      <c r="I796" s="198">
        <v>23200</v>
      </c>
      <c r="J796" s="155" t="s">
        <v>93</v>
      </c>
      <c r="K796" s="155">
        <v>1</v>
      </c>
      <c r="L796" s="155">
        <v>1</v>
      </c>
      <c r="M796" s="155"/>
      <c r="N796" s="155"/>
      <c r="O796" s="155"/>
      <c r="P796" s="155"/>
      <c r="Q796" s="155">
        <v>1</v>
      </c>
      <c r="R796" s="155" t="s">
        <v>1348</v>
      </c>
      <c r="S796" s="155"/>
      <c r="T796" s="155"/>
      <c r="U796" s="143" t="s">
        <v>295</v>
      </c>
      <c r="V796" s="143" t="s">
        <v>503</v>
      </c>
      <c r="W796" s="143" t="s">
        <v>298</v>
      </c>
      <c r="X796" s="143" t="s">
        <v>227</v>
      </c>
      <c r="Y796" s="143">
        <v>9368393183</v>
      </c>
      <c r="Z796" s="143"/>
      <c r="AA796" s="143" t="s">
        <v>525</v>
      </c>
      <c r="AB796" s="143" t="s">
        <v>528</v>
      </c>
      <c r="AC796" s="155">
        <v>1</v>
      </c>
      <c r="AD796" s="155"/>
      <c r="AE796" s="155"/>
      <c r="AF796" s="155"/>
      <c r="AG796" s="155"/>
      <c r="AH796" s="143"/>
      <c r="AI796" s="158"/>
    </row>
    <row r="797" spans="1:35">
      <c r="A797" s="140"/>
      <c r="B797" s="143"/>
      <c r="C797" s="143" t="s">
        <v>2126</v>
      </c>
      <c r="D797" s="143" t="s">
        <v>501</v>
      </c>
      <c r="E797" s="143" t="s">
        <v>80</v>
      </c>
      <c r="F797" s="143" t="s">
        <v>2926</v>
      </c>
      <c r="G797" s="143" t="s">
        <v>2927</v>
      </c>
      <c r="H797" s="143"/>
      <c r="I797" s="198">
        <v>30156</v>
      </c>
      <c r="J797" s="155" t="s">
        <v>93</v>
      </c>
      <c r="K797" s="155">
        <v>1</v>
      </c>
      <c r="L797" s="155">
        <v>1</v>
      </c>
      <c r="M797" s="155"/>
      <c r="N797" s="155"/>
      <c r="O797" s="155"/>
      <c r="P797" s="155"/>
      <c r="Q797" s="155"/>
      <c r="R797" s="155"/>
      <c r="S797" s="155"/>
      <c r="T797" s="155"/>
      <c r="U797" s="143" t="s">
        <v>295</v>
      </c>
      <c r="V797" s="143" t="s">
        <v>503</v>
      </c>
      <c r="W797" s="143" t="s">
        <v>298</v>
      </c>
      <c r="X797" s="143" t="s">
        <v>227</v>
      </c>
      <c r="Y797" s="143"/>
      <c r="Z797" s="143"/>
      <c r="AA797" s="143" t="s">
        <v>877</v>
      </c>
      <c r="AB797" s="143" t="s">
        <v>528</v>
      </c>
      <c r="AC797" s="155">
        <v>1</v>
      </c>
      <c r="AD797" s="155"/>
      <c r="AE797" s="155"/>
      <c r="AF797" s="155"/>
      <c r="AG797" s="155"/>
      <c r="AH797" s="143"/>
      <c r="AI797" s="158"/>
    </row>
    <row r="798" spans="1:35">
      <c r="A798" s="140"/>
      <c r="B798" s="143"/>
      <c r="C798" s="143" t="s">
        <v>2126</v>
      </c>
      <c r="D798" s="143" t="s">
        <v>501</v>
      </c>
      <c r="E798" s="143" t="s">
        <v>80</v>
      </c>
      <c r="F798" s="143" t="s">
        <v>2928</v>
      </c>
      <c r="G798" s="143" t="s">
        <v>2929</v>
      </c>
      <c r="H798" s="143"/>
      <c r="I798" s="198">
        <v>32950</v>
      </c>
      <c r="J798" s="155">
        <v>1</v>
      </c>
      <c r="K798" s="155" t="s">
        <v>93</v>
      </c>
      <c r="L798" s="155">
        <v>1</v>
      </c>
      <c r="M798" s="155"/>
      <c r="N798" s="155"/>
      <c r="O798" s="155"/>
      <c r="P798" s="155"/>
      <c r="Q798" s="155"/>
      <c r="R798" s="155"/>
      <c r="S798" s="155"/>
      <c r="T798" s="155"/>
      <c r="U798" s="143" t="s">
        <v>295</v>
      </c>
      <c r="V798" s="143" t="s">
        <v>503</v>
      </c>
      <c r="W798" s="143" t="s">
        <v>298</v>
      </c>
      <c r="X798" s="143" t="s">
        <v>227</v>
      </c>
      <c r="Y798" s="143"/>
      <c r="Z798" s="143"/>
      <c r="AA798" s="143" t="s">
        <v>877</v>
      </c>
      <c r="AB798" s="143" t="s">
        <v>528</v>
      </c>
      <c r="AC798" s="155">
        <v>1</v>
      </c>
      <c r="AD798" s="155"/>
      <c r="AE798" s="155"/>
      <c r="AF798" s="155"/>
      <c r="AG798" s="155"/>
      <c r="AH798" s="143"/>
      <c r="AI798" s="158"/>
    </row>
    <row r="799" spans="1:35">
      <c r="A799" s="140"/>
      <c r="B799" s="143"/>
      <c r="C799" s="143" t="s">
        <v>2126</v>
      </c>
      <c r="D799" s="143" t="s">
        <v>501</v>
      </c>
      <c r="E799" s="143" t="s">
        <v>80</v>
      </c>
      <c r="F799" s="143" t="s">
        <v>2930</v>
      </c>
      <c r="G799" s="143" t="s">
        <v>2118</v>
      </c>
      <c r="H799" s="143" t="s">
        <v>113</v>
      </c>
      <c r="I799" s="198">
        <v>35240</v>
      </c>
      <c r="J799" s="155">
        <v>1</v>
      </c>
      <c r="K799" s="155"/>
      <c r="L799" s="155">
        <v>1</v>
      </c>
      <c r="M799" s="155"/>
      <c r="N799" s="155"/>
      <c r="O799" s="155"/>
      <c r="P799" s="155"/>
      <c r="Q799" s="155"/>
      <c r="R799" s="155"/>
      <c r="S799" s="155"/>
      <c r="T799" s="155"/>
      <c r="U799" s="143" t="s">
        <v>295</v>
      </c>
      <c r="V799" s="143" t="s">
        <v>503</v>
      </c>
      <c r="W799" s="143" t="s">
        <v>298</v>
      </c>
      <c r="X799" s="143" t="s">
        <v>227</v>
      </c>
      <c r="Y799" s="143">
        <v>96555185706</v>
      </c>
      <c r="Z799" s="143"/>
      <c r="AA799" s="143" t="s">
        <v>877</v>
      </c>
      <c r="AB799" s="143" t="s">
        <v>528</v>
      </c>
      <c r="AC799" s="155">
        <v>1</v>
      </c>
      <c r="AD799" s="155"/>
      <c r="AE799" s="155"/>
      <c r="AF799" s="155"/>
      <c r="AG799" s="155"/>
      <c r="AH799" s="143"/>
      <c r="AI799" s="158"/>
    </row>
    <row r="800" spans="1:35">
      <c r="A800" s="140"/>
      <c r="B800" s="143"/>
      <c r="C800" s="143" t="s">
        <v>2126</v>
      </c>
      <c r="D800" s="143" t="s">
        <v>501</v>
      </c>
      <c r="E800" s="143" t="s">
        <v>80</v>
      </c>
      <c r="F800" s="143" t="s">
        <v>2931</v>
      </c>
      <c r="G800" s="143" t="s">
        <v>2932</v>
      </c>
      <c r="H800" s="143"/>
      <c r="I800" s="198">
        <v>35040</v>
      </c>
      <c r="J800" s="155">
        <v>1</v>
      </c>
      <c r="K800" s="155"/>
      <c r="L800" s="155">
        <v>1</v>
      </c>
      <c r="M800" s="155"/>
      <c r="N800" s="155"/>
      <c r="O800" s="155"/>
      <c r="P800" s="155"/>
      <c r="Q800" s="155"/>
      <c r="R800" s="155"/>
      <c r="S800" s="155"/>
      <c r="T800" s="155"/>
      <c r="U800" s="143" t="s">
        <v>295</v>
      </c>
      <c r="V800" s="143" t="s">
        <v>503</v>
      </c>
      <c r="W800" s="143" t="s">
        <v>298</v>
      </c>
      <c r="X800" s="143" t="s">
        <v>227</v>
      </c>
      <c r="Y800" s="143"/>
      <c r="Z800" s="143"/>
      <c r="AA800" s="143" t="s">
        <v>877</v>
      </c>
      <c r="AB800" s="143" t="s">
        <v>528</v>
      </c>
      <c r="AC800" s="155">
        <v>1</v>
      </c>
      <c r="AD800" s="155"/>
      <c r="AE800" s="155"/>
      <c r="AF800" s="155"/>
      <c r="AG800" s="155"/>
      <c r="AH800" s="143"/>
      <c r="AI800" s="158"/>
    </row>
    <row r="801" spans="1:35">
      <c r="A801" s="140"/>
      <c r="B801" s="143"/>
      <c r="C801" s="143" t="s">
        <v>2126</v>
      </c>
      <c r="D801" s="143" t="s">
        <v>501</v>
      </c>
      <c r="E801" s="143" t="s">
        <v>80</v>
      </c>
      <c r="F801" s="143" t="s">
        <v>2751</v>
      </c>
      <c r="G801" s="143" t="s">
        <v>820</v>
      </c>
      <c r="H801" s="143"/>
      <c r="I801" s="198">
        <v>34916</v>
      </c>
      <c r="J801" s="155">
        <v>1</v>
      </c>
      <c r="K801" s="155"/>
      <c r="L801" s="155">
        <v>1</v>
      </c>
      <c r="M801" s="155"/>
      <c r="N801" s="155"/>
      <c r="O801" s="155"/>
      <c r="P801" s="155"/>
      <c r="Q801" s="155"/>
      <c r="R801" s="155"/>
      <c r="S801" s="155"/>
      <c r="T801" s="155"/>
      <c r="U801" s="143" t="s">
        <v>295</v>
      </c>
      <c r="V801" s="143" t="s">
        <v>503</v>
      </c>
      <c r="W801" s="143" t="s">
        <v>298</v>
      </c>
      <c r="X801" s="143" t="s">
        <v>227</v>
      </c>
      <c r="Y801" s="143"/>
      <c r="Z801" s="143"/>
      <c r="AA801" s="143" t="s">
        <v>877</v>
      </c>
      <c r="AB801" s="143" t="s">
        <v>528</v>
      </c>
      <c r="AC801" s="155">
        <v>1</v>
      </c>
      <c r="AD801" s="155"/>
      <c r="AE801" s="155"/>
      <c r="AF801" s="155"/>
      <c r="AG801" s="155"/>
      <c r="AH801" s="143"/>
      <c r="AI801" s="158"/>
    </row>
    <row r="802" spans="1:35">
      <c r="A802" s="140"/>
      <c r="B802" s="143"/>
      <c r="C802" s="143" t="s">
        <v>2126</v>
      </c>
      <c r="D802" s="143" t="s">
        <v>501</v>
      </c>
      <c r="E802" s="143" t="s">
        <v>80</v>
      </c>
      <c r="F802" s="143" t="s">
        <v>2933</v>
      </c>
      <c r="G802" s="143" t="s">
        <v>2934</v>
      </c>
      <c r="H802" s="143"/>
      <c r="I802" s="198">
        <v>32936</v>
      </c>
      <c r="J802" s="155">
        <v>1</v>
      </c>
      <c r="K802" s="155"/>
      <c r="L802" s="155">
        <v>1</v>
      </c>
      <c r="M802" s="155"/>
      <c r="N802" s="155"/>
      <c r="O802" s="155"/>
      <c r="P802" s="155"/>
      <c r="Q802" s="155"/>
      <c r="R802" s="155"/>
      <c r="S802" s="155"/>
      <c r="T802" s="155"/>
      <c r="U802" s="143" t="s">
        <v>295</v>
      </c>
      <c r="V802" s="143" t="s">
        <v>503</v>
      </c>
      <c r="W802" s="143" t="s">
        <v>298</v>
      </c>
      <c r="X802" s="143" t="s">
        <v>227</v>
      </c>
      <c r="Y802" s="143"/>
      <c r="Z802" s="143"/>
      <c r="AA802" s="143" t="s">
        <v>877</v>
      </c>
      <c r="AB802" s="143" t="s">
        <v>528</v>
      </c>
      <c r="AC802" s="155">
        <v>1</v>
      </c>
      <c r="AD802" s="155"/>
      <c r="AE802" s="155"/>
      <c r="AF802" s="155"/>
      <c r="AG802" s="155"/>
      <c r="AH802" s="143"/>
      <c r="AI802" s="158"/>
    </row>
    <row r="803" spans="1:35">
      <c r="A803" s="140"/>
      <c r="B803" s="143"/>
      <c r="C803" s="143" t="s">
        <v>2126</v>
      </c>
      <c r="D803" s="143" t="s">
        <v>501</v>
      </c>
      <c r="E803" s="143" t="s">
        <v>80</v>
      </c>
      <c r="F803" s="143" t="s">
        <v>2935</v>
      </c>
      <c r="G803" s="143" t="s">
        <v>2936</v>
      </c>
      <c r="H803" s="143"/>
      <c r="I803" s="198">
        <v>26280</v>
      </c>
      <c r="J803" s="155">
        <v>1</v>
      </c>
      <c r="K803" s="155"/>
      <c r="L803" s="155">
        <v>1</v>
      </c>
      <c r="M803" s="155" t="s">
        <v>93</v>
      </c>
      <c r="N803" s="155"/>
      <c r="O803" s="155"/>
      <c r="P803" s="155"/>
      <c r="Q803" s="155"/>
      <c r="R803" s="155"/>
      <c r="S803" s="155"/>
      <c r="T803" s="155"/>
      <c r="U803" s="143" t="s">
        <v>295</v>
      </c>
      <c r="V803" s="143" t="s">
        <v>503</v>
      </c>
      <c r="W803" s="143" t="s">
        <v>298</v>
      </c>
      <c r="X803" s="143" t="s">
        <v>227</v>
      </c>
      <c r="Y803" s="143"/>
      <c r="Z803" s="143"/>
      <c r="AA803" s="143" t="s">
        <v>877</v>
      </c>
      <c r="AB803" s="143" t="s">
        <v>528</v>
      </c>
      <c r="AC803" s="155">
        <v>1</v>
      </c>
      <c r="AD803" s="155"/>
      <c r="AE803" s="155"/>
      <c r="AF803" s="155"/>
      <c r="AG803" s="155"/>
      <c r="AH803" s="143"/>
      <c r="AI803" s="158"/>
    </row>
    <row r="804" spans="1:35">
      <c r="A804" s="140"/>
      <c r="B804" s="143"/>
      <c r="C804" s="143" t="s">
        <v>2126</v>
      </c>
      <c r="D804" s="143" t="s">
        <v>501</v>
      </c>
      <c r="E804" s="143" t="s">
        <v>80</v>
      </c>
      <c r="F804" s="143" t="s">
        <v>2937</v>
      </c>
      <c r="G804" s="143" t="s">
        <v>2790</v>
      </c>
      <c r="H804" s="143"/>
      <c r="I804" s="198"/>
      <c r="J804" s="155">
        <v>1</v>
      </c>
      <c r="K804" s="155"/>
      <c r="L804" s="155">
        <v>1</v>
      </c>
      <c r="M804" s="155"/>
      <c r="N804" s="155"/>
      <c r="O804" s="155"/>
      <c r="P804" s="155"/>
      <c r="Q804" s="155"/>
      <c r="R804" s="155"/>
      <c r="S804" s="155"/>
      <c r="T804" s="155"/>
      <c r="U804" s="143"/>
      <c r="V804" s="143" t="s">
        <v>503</v>
      </c>
      <c r="W804" s="143" t="s">
        <v>298</v>
      </c>
      <c r="X804" s="143" t="s">
        <v>227</v>
      </c>
      <c r="Y804" s="143"/>
      <c r="Z804" s="143"/>
      <c r="AA804" s="143" t="s">
        <v>877</v>
      </c>
      <c r="AB804" s="143" t="s">
        <v>528</v>
      </c>
      <c r="AC804" s="155">
        <v>1</v>
      </c>
      <c r="AD804" s="155"/>
      <c r="AE804" s="155"/>
      <c r="AF804" s="155"/>
      <c r="AG804" s="155"/>
      <c r="AH804" s="143"/>
      <c r="AI804" s="158"/>
    </row>
    <row r="805" spans="1:35">
      <c r="A805" s="140"/>
      <c r="B805" s="143"/>
      <c r="C805" s="143" t="s">
        <v>2126</v>
      </c>
      <c r="D805" s="143" t="s">
        <v>501</v>
      </c>
      <c r="E805" s="143" t="s">
        <v>80</v>
      </c>
      <c r="F805" s="143" t="s">
        <v>2938</v>
      </c>
      <c r="G805" s="143" t="s">
        <v>2939</v>
      </c>
      <c r="H805" s="143"/>
      <c r="I805" s="198"/>
      <c r="J805" s="155">
        <v>1</v>
      </c>
      <c r="K805" s="155"/>
      <c r="L805" s="155">
        <v>1</v>
      </c>
      <c r="M805" s="155"/>
      <c r="N805" s="155"/>
      <c r="O805" s="155"/>
      <c r="P805" s="155"/>
      <c r="Q805" s="155"/>
      <c r="R805" s="155"/>
      <c r="S805" s="155"/>
      <c r="T805" s="155"/>
      <c r="U805" s="143"/>
      <c r="V805" s="143" t="s">
        <v>503</v>
      </c>
      <c r="W805" s="143" t="s">
        <v>298</v>
      </c>
      <c r="X805" s="143" t="s">
        <v>227</v>
      </c>
      <c r="Y805" s="143"/>
      <c r="Z805" s="143"/>
      <c r="AA805" s="143" t="s">
        <v>877</v>
      </c>
      <c r="AB805" s="143" t="s">
        <v>528</v>
      </c>
      <c r="AC805" s="155">
        <v>1</v>
      </c>
      <c r="AD805" s="155"/>
      <c r="AE805" s="155"/>
      <c r="AF805" s="155"/>
      <c r="AG805" s="155"/>
      <c r="AH805" s="143"/>
      <c r="AI805" s="158"/>
    </row>
    <row r="806" spans="1:35">
      <c r="A806" s="140"/>
      <c r="B806" s="143"/>
      <c r="C806" s="143" t="s">
        <v>2126</v>
      </c>
      <c r="D806" s="143" t="s">
        <v>501</v>
      </c>
      <c r="E806" s="143" t="s">
        <v>80</v>
      </c>
      <c r="F806" s="143" t="s">
        <v>2941</v>
      </c>
      <c r="G806" s="143" t="s">
        <v>1000</v>
      </c>
      <c r="H806" s="143"/>
      <c r="I806" s="198">
        <v>28378</v>
      </c>
      <c r="J806" s="155" t="s">
        <v>93</v>
      </c>
      <c r="K806" s="155">
        <v>1</v>
      </c>
      <c r="L806" s="155">
        <v>1</v>
      </c>
      <c r="M806" s="155"/>
      <c r="N806" s="155"/>
      <c r="O806" s="155"/>
      <c r="P806" s="155"/>
      <c r="Q806" s="155"/>
      <c r="R806" s="155"/>
      <c r="S806" s="155"/>
      <c r="T806" s="155"/>
      <c r="U806" s="143" t="s">
        <v>2940</v>
      </c>
      <c r="V806" s="143" t="s">
        <v>503</v>
      </c>
      <c r="W806" s="143" t="s">
        <v>298</v>
      </c>
      <c r="X806" s="143" t="s">
        <v>227</v>
      </c>
      <c r="Y806" s="143"/>
      <c r="Z806" s="143"/>
      <c r="AA806" s="143" t="s">
        <v>877</v>
      </c>
      <c r="AB806" s="143" t="s">
        <v>528</v>
      </c>
      <c r="AC806" s="155">
        <v>1</v>
      </c>
      <c r="AD806" s="155"/>
      <c r="AE806" s="155"/>
      <c r="AF806" s="155"/>
      <c r="AG806" s="155"/>
      <c r="AH806" s="143"/>
      <c r="AI806" s="158"/>
    </row>
    <row r="807" spans="1:35">
      <c r="A807" s="140"/>
      <c r="B807" s="143"/>
      <c r="C807" s="143" t="s">
        <v>2126</v>
      </c>
      <c r="D807" s="143" t="s">
        <v>501</v>
      </c>
      <c r="E807" s="143" t="s">
        <v>80</v>
      </c>
      <c r="F807" s="143" t="s">
        <v>2942</v>
      </c>
      <c r="G807" s="143" t="s">
        <v>2943</v>
      </c>
      <c r="H807" s="143"/>
      <c r="I807" s="198">
        <v>35746</v>
      </c>
      <c r="J807" s="155">
        <v>1</v>
      </c>
      <c r="K807" s="155"/>
      <c r="L807" s="155">
        <v>1</v>
      </c>
      <c r="M807" s="155"/>
      <c r="N807" s="155"/>
      <c r="O807" s="155"/>
      <c r="P807" s="155"/>
      <c r="Q807" s="155"/>
      <c r="R807" s="155"/>
      <c r="S807" s="155"/>
      <c r="T807" s="155"/>
      <c r="U807" s="143"/>
      <c r="V807" s="143" t="s">
        <v>503</v>
      </c>
      <c r="W807" s="143" t="s">
        <v>298</v>
      </c>
      <c r="X807" s="143" t="s">
        <v>227</v>
      </c>
      <c r="Y807" s="143"/>
      <c r="Z807" s="143"/>
      <c r="AA807" s="143" t="s">
        <v>877</v>
      </c>
      <c r="AB807" s="143" t="s">
        <v>528</v>
      </c>
      <c r="AC807" s="155">
        <v>1</v>
      </c>
      <c r="AD807" s="155"/>
      <c r="AE807" s="155"/>
      <c r="AF807" s="155"/>
      <c r="AG807" s="155"/>
      <c r="AH807" s="143"/>
      <c r="AI807" s="158"/>
    </row>
    <row r="808" spans="1:35">
      <c r="A808" s="140"/>
      <c r="B808" s="143"/>
      <c r="C808" s="143" t="s">
        <v>2126</v>
      </c>
      <c r="D808" s="143" t="s">
        <v>501</v>
      </c>
      <c r="E808" s="143" t="s">
        <v>80</v>
      </c>
      <c r="F808" s="143" t="s">
        <v>2944</v>
      </c>
      <c r="G808" s="143" t="s">
        <v>2914</v>
      </c>
      <c r="H808" s="143"/>
      <c r="I808" s="198">
        <v>22073</v>
      </c>
      <c r="J808" s="155">
        <v>1</v>
      </c>
      <c r="K808" s="155"/>
      <c r="L808" s="155">
        <v>1</v>
      </c>
      <c r="M808" s="155"/>
      <c r="N808" s="155"/>
      <c r="O808" s="155"/>
      <c r="P808" s="155"/>
      <c r="Q808" s="155"/>
      <c r="R808" s="155"/>
      <c r="S808" s="155"/>
      <c r="T808" s="155"/>
      <c r="U808" s="143"/>
      <c r="V808" s="143" t="s">
        <v>503</v>
      </c>
      <c r="W808" s="143" t="s">
        <v>298</v>
      </c>
      <c r="X808" s="143" t="s">
        <v>227</v>
      </c>
      <c r="Y808" s="143"/>
      <c r="Z808" s="143"/>
      <c r="AA808" s="143" t="s">
        <v>877</v>
      </c>
      <c r="AB808" s="143" t="s">
        <v>528</v>
      </c>
      <c r="AC808" s="155">
        <v>1</v>
      </c>
      <c r="AD808" s="155"/>
      <c r="AE808" s="155"/>
      <c r="AF808" s="155"/>
      <c r="AG808" s="155"/>
      <c r="AH808" s="143"/>
      <c r="AI808" s="158"/>
    </row>
    <row r="809" spans="1:35">
      <c r="A809" s="140"/>
      <c r="B809" s="143"/>
      <c r="C809" s="143" t="s">
        <v>2126</v>
      </c>
      <c r="D809" s="143" t="s">
        <v>501</v>
      </c>
      <c r="E809" s="143" t="s">
        <v>80</v>
      </c>
      <c r="F809" s="143" t="s">
        <v>466</v>
      </c>
      <c r="G809" s="143" t="s">
        <v>1672</v>
      </c>
      <c r="H809" s="143" t="s">
        <v>160</v>
      </c>
      <c r="I809" s="198">
        <v>36153</v>
      </c>
      <c r="J809" s="155">
        <v>1</v>
      </c>
      <c r="K809" s="155"/>
      <c r="L809" s="155"/>
      <c r="M809" s="155"/>
      <c r="N809" s="155"/>
      <c r="O809" s="155"/>
      <c r="P809" s="155"/>
      <c r="Q809" s="155">
        <v>1</v>
      </c>
      <c r="R809" s="155" t="s">
        <v>1899</v>
      </c>
      <c r="S809" s="155"/>
      <c r="T809" s="155"/>
      <c r="U809" s="143" t="s">
        <v>2945</v>
      </c>
      <c r="V809" s="143" t="s">
        <v>503</v>
      </c>
      <c r="W809" s="143" t="s">
        <v>298</v>
      </c>
      <c r="X809" s="143" t="s">
        <v>227</v>
      </c>
      <c r="Y809" s="143">
        <v>9268448967</v>
      </c>
      <c r="Z809" s="143"/>
      <c r="AA809" s="143" t="s">
        <v>877</v>
      </c>
      <c r="AB809" s="143" t="s">
        <v>528</v>
      </c>
      <c r="AC809" s="155">
        <v>1</v>
      </c>
      <c r="AD809" s="155"/>
      <c r="AE809" s="155"/>
      <c r="AF809" s="155"/>
      <c r="AG809" s="155"/>
      <c r="AH809" s="143"/>
      <c r="AI809" s="158"/>
    </row>
    <row r="810" spans="1:35">
      <c r="A810" s="140"/>
      <c r="B810" s="143"/>
      <c r="C810" s="143" t="s">
        <v>2126</v>
      </c>
      <c r="D810" s="143" t="s">
        <v>501</v>
      </c>
      <c r="E810" s="143" t="s">
        <v>80</v>
      </c>
      <c r="F810" s="143" t="s">
        <v>2946</v>
      </c>
      <c r="G810" s="143" t="s">
        <v>2947</v>
      </c>
      <c r="H810" s="143"/>
      <c r="I810" s="198"/>
      <c r="J810" s="155"/>
      <c r="K810" s="155">
        <v>1</v>
      </c>
      <c r="L810" s="155" t="s">
        <v>93</v>
      </c>
      <c r="M810" s="155"/>
      <c r="N810" s="155"/>
      <c r="O810" s="155"/>
      <c r="P810" s="155"/>
      <c r="Q810" s="155">
        <v>1</v>
      </c>
      <c r="R810" s="155" t="s">
        <v>957</v>
      </c>
      <c r="S810" s="155"/>
      <c r="T810" s="155"/>
      <c r="U810" s="143" t="s">
        <v>506</v>
      </c>
      <c r="V810" s="143" t="s">
        <v>503</v>
      </c>
      <c r="W810" s="143" t="s">
        <v>298</v>
      </c>
      <c r="X810" s="143" t="s">
        <v>227</v>
      </c>
      <c r="Y810" s="143">
        <v>9199910807</v>
      </c>
      <c r="Z810" s="143"/>
      <c r="AA810" s="143" t="s">
        <v>1321</v>
      </c>
      <c r="AB810" s="143" t="s">
        <v>528</v>
      </c>
      <c r="AC810" s="155">
        <v>1</v>
      </c>
      <c r="AD810" s="155"/>
      <c r="AE810" s="155"/>
      <c r="AF810" s="155"/>
      <c r="AG810" s="155"/>
      <c r="AH810" s="143"/>
      <c r="AI810" s="158"/>
    </row>
    <row r="811" spans="1:35">
      <c r="A811" s="140"/>
      <c r="B811" s="143"/>
      <c r="C811" s="143" t="s">
        <v>2126</v>
      </c>
      <c r="D811" s="143" t="s">
        <v>501</v>
      </c>
      <c r="E811" s="143" t="s">
        <v>80</v>
      </c>
      <c r="F811" s="143" t="s">
        <v>2948</v>
      </c>
      <c r="G811" s="143" t="s">
        <v>751</v>
      </c>
      <c r="H811" s="143"/>
      <c r="I811" s="198"/>
      <c r="J811" s="155">
        <v>1</v>
      </c>
      <c r="K811" s="155"/>
      <c r="L811" s="155"/>
      <c r="M811" s="155"/>
      <c r="N811" s="155"/>
      <c r="O811" s="155"/>
      <c r="P811" s="155"/>
      <c r="Q811" s="155">
        <v>1</v>
      </c>
      <c r="R811" s="155" t="s">
        <v>1009</v>
      </c>
      <c r="S811" s="155"/>
      <c r="T811" s="155"/>
      <c r="U811" s="143"/>
      <c r="V811" s="143" t="s">
        <v>513</v>
      </c>
      <c r="W811" s="143" t="s">
        <v>279</v>
      </c>
      <c r="X811" s="143" t="s">
        <v>227</v>
      </c>
      <c r="Y811" s="143">
        <v>9988686930</v>
      </c>
      <c r="Z811" s="143"/>
      <c r="AA811" s="143" t="s">
        <v>1321</v>
      </c>
      <c r="AB811" s="143" t="s">
        <v>528</v>
      </c>
      <c r="AC811" s="155">
        <v>1</v>
      </c>
      <c r="AD811" s="155"/>
      <c r="AE811" s="155"/>
      <c r="AF811" s="155"/>
      <c r="AG811" s="155"/>
      <c r="AH811" s="143"/>
      <c r="AI811" s="158"/>
    </row>
    <row r="812" spans="1:35">
      <c r="A812" s="140"/>
      <c r="B812" s="143"/>
      <c r="C812" s="143" t="s">
        <v>2126</v>
      </c>
      <c r="D812" s="143" t="s">
        <v>501</v>
      </c>
      <c r="E812" s="143" t="s">
        <v>80</v>
      </c>
      <c r="F812" s="143" t="s">
        <v>756</v>
      </c>
      <c r="G812" s="143" t="s">
        <v>2949</v>
      </c>
      <c r="H812" s="143"/>
      <c r="I812" s="198">
        <v>31630</v>
      </c>
      <c r="J812" s="155">
        <v>1</v>
      </c>
      <c r="K812" s="155"/>
      <c r="L812" s="155">
        <v>1</v>
      </c>
      <c r="M812" s="155"/>
      <c r="N812" s="155"/>
      <c r="O812" s="155"/>
      <c r="P812" s="155"/>
      <c r="Q812" s="155"/>
      <c r="R812" s="155"/>
      <c r="S812" s="155"/>
      <c r="T812" s="155"/>
      <c r="U812" s="143" t="s">
        <v>1439</v>
      </c>
      <c r="V812" s="143" t="s">
        <v>949</v>
      </c>
      <c r="W812" s="143" t="s">
        <v>280</v>
      </c>
      <c r="X812" s="143" t="s">
        <v>227</v>
      </c>
      <c r="Y812" s="143">
        <v>9309556865</v>
      </c>
      <c r="Z812" s="143"/>
      <c r="AA812" s="143" t="s">
        <v>877</v>
      </c>
      <c r="AB812" s="143" t="s">
        <v>528</v>
      </c>
      <c r="AC812" s="155">
        <v>1</v>
      </c>
      <c r="AD812" s="155"/>
      <c r="AE812" s="155"/>
      <c r="AF812" s="155"/>
      <c r="AG812" s="155"/>
      <c r="AH812" s="143"/>
      <c r="AI812" s="158"/>
    </row>
    <row r="813" spans="1:35">
      <c r="A813" s="140"/>
      <c r="B813" s="143"/>
      <c r="C813" s="143" t="s">
        <v>2126</v>
      </c>
      <c r="D813" s="143" t="s">
        <v>501</v>
      </c>
      <c r="E813" s="143" t="s">
        <v>80</v>
      </c>
      <c r="F813" s="143" t="s">
        <v>1108</v>
      </c>
      <c r="G813" s="143" t="s">
        <v>1288</v>
      </c>
      <c r="H813" s="143"/>
      <c r="I813" s="198">
        <v>26897</v>
      </c>
      <c r="J813" s="155"/>
      <c r="K813" s="155">
        <v>1</v>
      </c>
      <c r="L813" s="155"/>
      <c r="M813" s="155"/>
      <c r="N813" s="155"/>
      <c r="O813" s="155"/>
      <c r="P813" s="155"/>
      <c r="Q813" s="155">
        <v>1</v>
      </c>
      <c r="R813" s="155" t="s">
        <v>1348</v>
      </c>
      <c r="S813" s="155"/>
      <c r="T813" s="155"/>
      <c r="U813" s="143" t="s">
        <v>859</v>
      </c>
      <c r="V813" s="143" t="s">
        <v>503</v>
      </c>
      <c r="W813" s="143" t="s">
        <v>298</v>
      </c>
      <c r="X813" s="143" t="s">
        <v>227</v>
      </c>
      <c r="Y813" s="143">
        <v>9368500335</v>
      </c>
      <c r="Z813" s="143"/>
      <c r="AA813" s="143" t="s">
        <v>877</v>
      </c>
      <c r="AB813" s="143" t="s">
        <v>528</v>
      </c>
      <c r="AC813" s="155">
        <v>1</v>
      </c>
      <c r="AD813" s="155"/>
      <c r="AE813" s="155"/>
      <c r="AF813" s="155"/>
      <c r="AG813" s="155"/>
      <c r="AH813" s="143"/>
      <c r="AI813" s="158"/>
    </row>
    <row r="814" spans="1:35">
      <c r="A814" s="140"/>
      <c r="B814" s="143"/>
      <c r="C814" s="143" t="s">
        <v>2126</v>
      </c>
      <c r="D814" s="143" t="s">
        <v>501</v>
      </c>
      <c r="E814" s="143" t="s">
        <v>80</v>
      </c>
      <c r="F814" s="143" t="s">
        <v>1350</v>
      </c>
      <c r="G814" s="143" t="s">
        <v>1299</v>
      </c>
      <c r="H814" s="143" t="s">
        <v>126</v>
      </c>
      <c r="I814" s="198"/>
      <c r="J814" s="155"/>
      <c r="K814" s="155">
        <v>1</v>
      </c>
      <c r="L814" s="155"/>
      <c r="M814" s="155"/>
      <c r="N814" s="155"/>
      <c r="O814" s="155"/>
      <c r="P814" s="155"/>
      <c r="Q814" s="155">
        <v>1</v>
      </c>
      <c r="R814" s="155" t="s">
        <v>1348</v>
      </c>
      <c r="S814" s="155"/>
      <c r="T814" s="155"/>
      <c r="U814" s="143" t="s">
        <v>295</v>
      </c>
      <c r="V814" s="143" t="s">
        <v>503</v>
      </c>
      <c r="W814" s="143" t="s">
        <v>298</v>
      </c>
      <c r="X814" s="143" t="s">
        <v>227</v>
      </c>
      <c r="Y814" s="143">
        <v>9050919009</v>
      </c>
      <c r="Z814" s="143"/>
      <c r="AA814" s="143" t="s">
        <v>877</v>
      </c>
      <c r="AB814" s="143" t="s">
        <v>528</v>
      </c>
      <c r="AC814" s="155">
        <v>1</v>
      </c>
      <c r="AD814" s="155"/>
      <c r="AE814" s="155"/>
      <c r="AF814" s="155"/>
      <c r="AG814" s="155"/>
      <c r="AH814" s="143"/>
      <c r="AI814" s="158"/>
    </row>
    <row r="815" spans="1:35">
      <c r="A815" s="140"/>
      <c r="B815" s="143"/>
      <c r="C815" s="143" t="s">
        <v>2126</v>
      </c>
      <c r="D815" s="143" t="s">
        <v>501</v>
      </c>
      <c r="E815" s="143" t="s">
        <v>80</v>
      </c>
      <c r="F815" s="143" t="s">
        <v>2950</v>
      </c>
      <c r="G815" s="143" t="s">
        <v>2951</v>
      </c>
      <c r="H815" s="143"/>
      <c r="I815" s="198">
        <v>32982</v>
      </c>
      <c r="J815" s="155"/>
      <c r="K815" s="155">
        <v>1</v>
      </c>
      <c r="L815" s="155"/>
      <c r="M815" s="155"/>
      <c r="N815" s="155"/>
      <c r="O815" s="155"/>
      <c r="P815" s="155"/>
      <c r="Q815" s="155">
        <v>1</v>
      </c>
      <c r="R815" s="155" t="s">
        <v>1730</v>
      </c>
      <c r="S815" s="155"/>
      <c r="T815" s="155"/>
      <c r="U815" s="143"/>
      <c r="V815" s="143" t="s">
        <v>503</v>
      </c>
      <c r="W815" s="143" t="s">
        <v>298</v>
      </c>
      <c r="X815" s="143" t="s">
        <v>227</v>
      </c>
      <c r="Y815" s="143">
        <v>9464867764</v>
      </c>
      <c r="Z815" s="143"/>
      <c r="AA815" s="143" t="s">
        <v>876</v>
      </c>
      <c r="AB815" s="143" t="s">
        <v>528</v>
      </c>
      <c r="AC815" s="155">
        <v>1</v>
      </c>
      <c r="AD815" s="155"/>
      <c r="AE815" s="155"/>
      <c r="AF815" s="155"/>
      <c r="AG815" s="155"/>
      <c r="AH815" s="143"/>
      <c r="AI815" s="158"/>
    </row>
    <row r="816" spans="1:35">
      <c r="A816" s="140"/>
      <c r="B816" s="143"/>
      <c r="C816" s="143" t="s">
        <v>2126</v>
      </c>
      <c r="D816" s="143" t="s">
        <v>501</v>
      </c>
      <c r="E816" s="143" t="s">
        <v>80</v>
      </c>
      <c r="F816" s="143" t="s">
        <v>2952</v>
      </c>
      <c r="G816" s="143" t="s">
        <v>2953</v>
      </c>
      <c r="H816" s="143"/>
      <c r="I816" s="198"/>
      <c r="J816" s="155">
        <v>1</v>
      </c>
      <c r="K816" s="155"/>
      <c r="L816" s="155">
        <v>1</v>
      </c>
      <c r="M816" s="155"/>
      <c r="N816" s="155"/>
      <c r="O816" s="155"/>
      <c r="P816" s="155"/>
      <c r="Q816" s="155"/>
      <c r="R816" s="155"/>
      <c r="S816" s="155"/>
      <c r="T816" s="155"/>
      <c r="U816" s="143"/>
      <c r="V816" s="143" t="s">
        <v>503</v>
      </c>
      <c r="W816" s="143" t="s">
        <v>298</v>
      </c>
      <c r="X816" s="143" t="s">
        <v>227</v>
      </c>
      <c r="Y816" s="143">
        <v>9674690503</v>
      </c>
      <c r="Z816" s="143"/>
      <c r="AA816" s="143" t="s">
        <v>877</v>
      </c>
      <c r="AB816" s="143" t="s">
        <v>528</v>
      </c>
      <c r="AC816" s="155">
        <v>1</v>
      </c>
      <c r="AD816" s="155"/>
      <c r="AE816" s="155"/>
      <c r="AF816" s="155"/>
      <c r="AG816" s="155"/>
      <c r="AH816" s="143"/>
      <c r="AI816" s="158"/>
    </row>
    <row r="817" spans="1:35">
      <c r="A817" s="140"/>
      <c r="B817" s="143"/>
      <c r="C817" s="143" t="s">
        <v>2126</v>
      </c>
      <c r="D817" s="143" t="s">
        <v>501</v>
      </c>
      <c r="E817" s="143" t="s">
        <v>80</v>
      </c>
      <c r="F817" s="143" t="s">
        <v>2954</v>
      </c>
      <c r="G817" s="143" t="s">
        <v>2955</v>
      </c>
      <c r="H817" s="143" t="s">
        <v>588</v>
      </c>
      <c r="I817" s="198">
        <v>27762</v>
      </c>
      <c r="J817" s="155">
        <v>1</v>
      </c>
      <c r="K817" s="155"/>
      <c r="L817" s="155"/>
      <c r="M817" s="155"/>
      <c r="N817" s="155"/>
      <c r="O817" s="155"/>
      <c r="P817" s="155"/>
      <c r="Q817" s="155">
        <v>1</v>
      </c>
      <c r="R817" s="155" t="s">
        <v>962</v>
      </c>
      <c r="S817" s="155"/>
      <c r="T817" s="155"/>
      <c r="U817" s="143" t="s">
        <v>856</v>
      </c>
      <c r="V817" s="143" t="s">
        <v>503</v>
      </c>
      <c r="W817" s="143" t="s">
        <v>298</v>
      </c>
      <c r="X817" s="143" t="s">
        <v>227</v>
      </c>
      <c r="Y817" s="143">
        <v>9051412265</v>
      </c>
      <c r="Z817" s="143"/>
      <c r="AA817" s="143" t="s">
        <v>1321</v>
      </c>
      <c r="AB817" s="143" t="s">
        <v>528</v>
      </c>
      <c r="AC817" s="155">
        <v>1</v>
      </c>
      <c r="AD817" s="155"/>
      <c r="AE817" s="155"/>
      <c r="AF817" s="155"/>
      <c r="AG817" s="155"/>
      <c r="AH817" s="143"/>
      <c r="AI817" s="158"/>
    </row>
    <row r="818" spans="1:35">
      <c r="A818" s="140"/>
      <c r="B818" s="143"/>
      <c r="C818" s="143" t="s">
        <v>2126</v>
      </c>
      <c r="D818" s="143" t="s">
        <v>501</v>
      </c>
      <c r="E818" s="143" t="s">
        <v>80</v>
      </c>
      <c r="F818" s="143" t="s">
        <v>719</v>
      </c>
      <c r="G818" s="143" t="s">
        <v>2956</v>
      </c>
      <c r="H818" s="143"/>
      <c r="I818" s="198"/>
      <c r="J818" s="155">
        <v>1</v>
      </c>
      <c r="K818" s="155"/>
      <c r="L818" s="155">
        <v>1</v>
      </c>
      <c r="M818" s="155"/>
      <c r="N818" s="155"/>
      <c r="O818" s="155"/>
      <c r="P818" s="155"/>
      <c r="Q818" s="155"/>
      <c r="R818" s="155"/>
      <c r="S818" s="155"/>
      <c r="T818" s="155"/>
      <c r="U818" s="143" t="s">
        <v>502</v>
      </c>
      <c r="V818" s="143" t="s">
        <v>503</v>
      </c>
      <c r="W818" s="143" t="s">
        <v>298</v>
      </c>
      <c r="X818" s="143" t="s">
        <v>227</v>
      </c>
      <c r="Y818" s="143">
        <v>9669653389</v>
      </c>
      <c r="Z818" s="143"/>
      <c r="AA818" s="143" t="s">
        <v>877</v>
      </c>
      <c r="AB818" s="143" t="s">
        <v>528</v>
      </c>
      <c r="AC818" s="155">
        <v>1</v>
      </c>
      <c r="AD818" s="155"/>
      <c r="AE818" s="155"/>
      <c r="AF818" s="155"/>
      <c r="AG818" s="155"/>
      <c r="AH818" s="143"/>
      <c r="AI818" s="158"/>
    </row>
    <row r="819" spans="1:35">
      <c r="A819" s="140"/>
      <c r="B819" s="143"/>
      <c r="C819" s="143" t="s">
        <v>2126</v>
      </c>
      <c r="D819" s="143" t="s">
        <v>501</v>
      </c>
      <c r="E819" s="143" t="s">
        <v>80</v>
      </c>
      <c r="F819" s="143" t="s">
        <v>3043</v>
      </c>
      <c r="G819" s="143" t="s">
        <v>3044</v>
      </c>
      <c r="H819" s="143" t="s">
        <v>126</v>
      </c>
      <c r="I819" s="198">
        <v>24441</v>
      </c>
      <c r="J819" s="155"/>
      <c r="K819" s="155">
        <v>1</v>
      </c>
      <c r="L819" s="155">
        <v>1</v>
      </c>
      <c r="M819" s="155"/>
      <c r="N819" s="155"/>
      <c r="O819" s="155"/>
      <c r="P819" s="155"/>
      <c r="Q819" s="155"/>
      <c r="R819" s="155"/>
      <c r="S819" s="155"/>
      <c r="T819" s="155"/>
      <c r="U819" s="143" t="s">
        <v>544</v>
      </c>
      <c r="V819" s="143" t="s">
        <v>503</v>
      </c>
      <c r="W819" s="143" t="s">
        <v>298</v>
      </c>
      <c r="X819" s="143" t="s">
        <v>227</v>
      </c>
      <c r="Y819" s="143">
        <v>9353426575</v>
      </c>
      <c r="Z819" s="143"/>
      <c r="AA819" s="143" t="s">
        <v>877</v>
      </c>
      <c r="AB819" s="143" t="s">
        <v>528</v>
      </c>
      <c r="AC819" s="155">
        <v>1</v>
      </c>
      <c r="AD819" s="155"/>
      <c r="AE819" s="155"/>
      <c r="AF819" s="155"/>
      <c r="AG819" s="155"/>
      <c r="AH819" s="143"/>
      <c r="AI819" s="158"/>
    </row>
    <row r="820" spans="1:35">
      <c r="A820" s="140"/>
      <c r="B820" s="143"/>
      <c r="C820" s="143" t="s">
        <v>2126</v>
      </c>
      <c r="D820" s="143" t="s">
        <v>501</v>
      </c>
      <c r="E820" s="143" t="s">
        <v>80</v>
      </c>
      <c r="F820" s="143" t="s">
        <v>3045</v>
      </c>
      <c r="G820" s="143" t="s">
        <v>3046</v>
      </c>
      <c r="H820" s="143"/>
      <c r="I820" s="198"/>
      <c r="J820" s="155"/>
      <c r="K820" s="155">
        <v>1</v>
      </c>
      <c r="L820" s="155">
        <v>1</v>
      </c>
      <c r="M820" s="155"/>
      <c r="N820" s="155"/>
      <c r="O820" s="155"/>
      <c r="P820" s="155"/>
      <c r="Q820" s="155"/>
      <c r="R820" s="155"/>
      <c r="S820" s="155"/>
      <c r="T820" s="155"/>
      <c r="U820" s="143" t="s">
        <v>502</v>
      </c>
      <c r="V820" s="143" t="s">
        <v>503</v>
      </c>
      <c r="W820" s="143" t="s">
        <v>298</v>
      </c>
      <c r="X820" s="143" t="s">
        <v>227</v>
      </c>
      <c r="Y820" s="143">
        <v>9109451565</v>
      </c>
      <c r="Z820" s="143"/>
      <c r="AA820" s="143" t="s">
        <v>877</v>
      </c>
      <c r="AB820" s="143" t="s">
        <v>528</v>
      </c>
      <c r="AC820" s="155">
        <v>1</v>
      </c>
      <c r="AD820" s="155"/>
      <c r="AE820" s="155"/>
      <c r="AF820" s="155"/>
      <c r="AG820" s="155"/>
      <c r="AH820" s="143"/>
      <c r="AI820" s="158"/>
    </row>
    <row r="821" spans="1:35">
      <c r="A821" s="140"/>
      <c r="B821" s="143"/>
      <c r="C821" s="143" t="s">
        <v>2126</v>
      </c>
      <c r="D821" s="143" t="s">
        <v>501</v>
      </c>
      <c r="E821" s="143" t="s">
        <v>80</v>
      </c>
      <c r="F821" s="143" t="s">
        <v>3047</v>
      </c>
      <c r="G821" s="143" t="s">
        <v>3048</v>
      </c>
      <c r="H821" s="143" t="s">
        <v>120</v>
      </c>
      <c r="I821" s="198"/>
      <c r="J821" s="155"/>
      <c r="K821" s="155">
        <v>1</v>
      </c>
      <c r="L821" s="155"/>
      <c r="M821" s="155"/>
      <c r="N821" s="155"/>
      <c r="O821" s="155"/>
      <c r="P821" s="155"/>
      <c r="Q821" s="155">
        <v>1</v>
      </c>
      <c r="R821" s="155" t="s">
        <v>1348</v>
      </c>
      <c r="S821" s="155"/>
      <c r="T821" s="155"/>
      <c r="U821" s="143" t="s">
        <v>515</v>
      </c>
      <c r="V821" s="143" t="s">
        <v>503</v>
      </c>
      <c r="W821" s="143" t="s">
        <v>298</v>
      </c>
      <c r="X821" s="143" t="s">
        <v>227</v>
      </c>
      <c r="Y821" s="143">
        <v>9366613368</v>
      </c>
      <c r="Z821" s="143"/>
      <c r="AA821" s="143" t="s">
        <v>525</v>
      </c>
      <c r="AB821" s="143" t="s">
        <v>528</v>
      </c>
      <c r="AC821" s="155">
        <v>3</v>
      </c>
      <c r="AD821" s="155"/>
      <c r="AE821" s="155"/>
      <c r="AF821" s="155"/>
      <c r="AG821" s="155"/>
      <c r="AH821" s="143"/>
      <c r="AI821" s="158"/>
    </row>
    <row r="822" spans="1:35">
      <c r="A822" s="140"/>
      <c r="B822" s="143"/>
      <c r="C822" s="143" t="s">
        <v>2126</v>
      </c>
      <c r="D822" s="143" t="s">
        <v>501</v>
      </c>
      <c r="E822" s="143" t="s">
        <v>80</v>
      </c>
      <c r="F822" s="143" t="s">
        <v>3049</v>
      </c>
      <c r="G822" s="143" t="s">
        <v>3050</v>
      </c>
      <c r="H822" s="143" t="s">
        <v>286</v>
      </c>
      <c r="I822" s="198"/>
      <c r="J822" s="155"/>
      <c r="K822" s="155">
        <v>1</v>
      </c>
      <c r="L822" s="155"/>
      <c r="M822" s="155"/>
      <c r="N822" s="155"/>
      <c r="O822" s="155"/>
      <c r="P822" s="155"/>
      <c r="Q822" s="155">
        <v>1</v>
      </c>
      <c r="R822" s="155" t="s">
        <v>1266</v>
      </c>
      <c r="S822" s="155"/>
      <c r="T822" s="155"/>
      <c r="U822" s="143" t="s">
        <v>504</v>
      </c>
      <c r="V822" s="143" t="s">
        <v>503</v>
      </c>
      <c r="W822" s="143" t="s">
        <v>298</v>
      </c>
      <c r="X822" s="143" t="s">
        <v>227</v>
      </c>
      <c r="Y822" s="143">
        <v>9487145692</v>
      </c>
      <c r="Z822" s="143"/>
      <c r="AA822" s="143" t="s">
        <v>524</v>
      </c>
      <c r="AB822" s="143" t="s">
        <v>528</v>
      </c>
      <c r="AC822" s="155">
        <v>1</v>
      </c>
      <c r="AD822" s="155"/>
      <c r="AE822" s="155"/>
      <c r="AF822" s="155"/>
      <c r="AG822" s="155"/>
      <c r="AH822" s="143"/>
      <c r="AI822" s="158"/>
    </row>
    <row r="823" spans="1:35">
      <c r="A823" s="140"/>
      <c r="B823" s="143"/>
      <c r="C823" s="143" t="s">
        <v>2126</v>
      </c>
      <c r="D823" s="143" t="s">
        <v>501</v>
      </c>
      <c r="E823" s="143" t="s">
        <v>80</v>
      </c>
      <c r="F823" s="143" t="s">
        <v>918</v>
      </c>
      <c r="G823" s="143" t="s">
        <v>919</v>
      </c>
      <c r="H823" s="143"/>
      <c r="I823" s="198"/>
      <c r="J823" s="155"/>
      <c r="K823" s="155">
        <v>1</v>
      </c>
      <c r="L823" s="155">
        <v>1</v>
      </c>
      <c r="M823" s="155"/>
      <c r="N823" s="155"/>
      <c r="O823" s="155"/>
      <c r="P823" s="155"/>
      <c r="Q823" s="155">
        <v>1</v>
      </c>
      <c r="R823" s="155" t="s">
        <v>957</v>
      </c>
      <c r="S823" s="155"/>
      <c r="T823" s="155"/>
      <c r="U823" s="143" t="s">
        <v>502</v>
      </c>
      <c r="V823" s="143" t="s">
        <v>503</v>
      </c>
      <c r="W823" s="143" t="s">
        <v>298</v>
      </c>
      <c r="X823" s="143" t="s">
        <v>227</v>
      </c>
      <c r="Y823" s="143"/>
      <c r="Z823" s="143"/>
      <c r="AA823" s="143" t="s">
        <v>525</v>
      </c>
      <c r="AB823" s="143" t="s">
        <v>528</v>
      </c>
      <c r="AC823" s="155">
        <v>1</v>
      </c>
      <c r="AD823" s="155"/>
      <c r="AE823" s="155"/>
      <c r="AF823" s="155"/>
      <c r="AG823" s="155"/>
      <c r="AH823" s="143"/>
      <c r="AI823" s="158"/>
    </row>
    <row r="824" spans="1:35">
      <c r="A824" s="140"/>
      <c r="B824" s="143"/>
      <c r="C824" s="143" t="s">
        <v>2126</v>
      </c>
      <c r="D824" s="143" t="s">
        <v>501</v>
      </c>
      <c r="E824" s="143" t="s">
        <v>80</v>
      </c>
      <c r="F824" s="143" t="s">
        <v>1687</v>
      </c>
      <c r="G824" s="143" t="s">
        <v>3051</v>
      </c>
      <c r="H824" s="143"/>
      <c r="I824" s="198"/>
      <c r="J824" s="155">
        <v>1</v>
      </c>
      <c r="K824" s="155"/>
      <c r="L824" s="155"/>
      <c r="M824" s="155"/>
      <c r="N824" s="155"/>
      <c r="O824" s="155"/>
      <c r="P824" s="155"/>
      <c r="Q824" s="155">
        <v>1</v>
      </c>
      <c r="R824" s="155" t="s">
        <v>1045</v>
      </c>
      <c r="S824" s="155"/>
      <c r="T824" s="155"/>
      <c r="U824" s="143"/>
      <c r="V824" s="143" t="s">
        <v>503</v>
      </c>
      <c r="W824" s="143" t="s">
        <v>298</v>
      </c>
      <c r="X824" s="143" t="s">
        <v>227</v>
      </c>
      <c r="Y824" s="143"/>
      <c r="Z824" s="143"/>
      <c r="AA824" s="143" t="s">
        <v>524</v>
      </c>
      <c r="AB824" s="143" t="s">
        <v>528</v>
      </c>
      <c r="AC824" s="155">
        <v>1</v>
      </c>
      <c r="AD824" s="155"/>
      <c r="AE824" s="155"/>
      <c r="AF824" s="155"/>
      <c r="AG824" s="155"/>
      <c r="AH824" s="143"/>
      <c r="AI824" s="158"/>
    </row>
    <row r="825" spans="1:35">
      <c r="A825" s="140"/>
      <c r="B825" s="143"/>
      <c r="C825" s="143" t="s">
        <v>2126</v>
      </c>
      <c r="D825" s="143" t="s">
        <v>501</v>
      </c>
      <c r="E825" s="143" t="s">
        <v>80</v>
      </c>
      <c r="F825" s="143" t="s">
        <v>378</v>
      </c>
      <c r="G825" s="143" t="s">
        <v>379</v>
      </c>
      <c r="H825" s="143" t="s">
        <v>160</v>
      </c>
      <c r="I825" s="198">
        <v>33667</v>
      </c>
      <c r="J825" s="155">
        <v>1</v>
      </c>
      <c r="K825" s="155"/>
      <c r="L825" s="155"/>
      <c r="M825" s="155"/>
      <c r="N825" s="155"/>
      <c r="O825" s="155"/>
      <c r="P825" s="155"/>
      <c r="Q825" s="155">
        <v>1</v>
      </c>
      <c r="R825" s="155" t="s">
        <v>1009</v>
      </c>
      <c r="S825" s="155"/>
      <c r="T825" s="155"/>
      <c r="U825" s="143" t="s">
        <v>504</v>
      </c>
      <c r="V825" s="143" t="s">
        <v>503</v>
      </c>
      <c r="W825" s="143" t="s">
        <v>298</v>
      </c>
      <c r="X825" s="143" t="s">
        <v>227</v>
      </c>
      <c r="Y825" s="143">
        <v>9958609000</v>
      </c>
      <c r="Z825" s="143"/>
      <c r="AA825" s="143" t="s">
        <v>877</v>
      </c>
      <c r="AB825" s="143" t="s">
        <v>528</v>
      </c>
      <c r="AC825" s="155">
        <v>1</v>
      </c>
      <c r="AD825" s="155"/>
      <c r="AE825" s="155"/>
      <c r="AF825" s="155"/>
      <c r="AG825" s="155"/>
      <c r="AH825" s="143"/>
      <c r="AI825" s="158"/>
    </row>
    <row r="826" spans="1:35">
      <c r="A826" s="140"/>
      <c r="B826" s="143"/>
      <c r="C826" s="226" t="s">
        <v>2420</v>
      </c>
      <c r="D826" s="143" t="s">
        <v>501</v>
      </c>
      <c r="E826" s="143" t="s">
        <v>80</v>
      </c>
      <c r="F826" s="143" t="s">
        <v>3052</v>
      </c>
      <c r="G826" s="143" t="s">
        <v>3053</v>
      </c>
      <c r="H826" s="143"/>
      <c r="I826" s="198"/>
      <c r="J826" s="155">
        <v>1</v>
      </c>
      <c r="K826" s="155"/>
      <c r="L826" s="155">
        <v>1</v>
      </c>
      <c r="M826" s="155"/>
      <c r="N826" s="155"/>
      <c r="O826" s="155"/>
      <c r="P826" s="155"/>
      <c r="Q826" s="155"/>
      <c r="R826" s="155"/>
      <c r="S826" s="155"/>
      <c r="T826" s="155"/>
      <c r="U826" s="143" t="s">
        <v>3054</v>
      </c>
      <c r="V826" s="143" t="s">
        <v>949</v>
      </c>
      <c r="W826" s="143" t="s">
        <v>280</v>
      </c>
      <c r="X826" s="143" t="s">
        <v>227</v>
      </c>
      <c r="Y826" s="143">
        <v>9462994106</v>
      </c>
      <c r="Z826" s="143"/>
      <c r="AA826" s="143" t="s">
        <v>525</v>
      </c>
      <c r="AB826" s="143" t="s">
        <v>528</v>
      </c>
      <c r="AC826" s="155">
        <v>1</v>
      </c>
      <c r="AD826" s="155"/>
      <c r="AE826" s="155"/>
      <c r="AF826" s="155"/>
      <c r="AG826" s="155"/>
      <c r="AH826" s="143"/>
      <c r="AI826" s="158"/>
    </row>
    <row r="827" spans="1:35">
      <c r="A827" s="140"/>
      <c r="B827" s="143"/>
      <c r="C827" s="226" t="s">
        <v>2420</v>
      </c>
      <c r="D827" s="143" t="s">
        <v>501</v>
      </c>
      <c r="E827" s="143" t="s">
        <v>80</v>
      </c>
      <c r="F827" s="143" t="s">
        <v>3055</v>
      </c>
      <c r="G827" s="143" t="s">
        <v>1274</v>
      </c>
      <c r="H827" s="143" t="s">
        <v>283</v>
      </c>
      <c r="I827" s="198" t="s">
        <v>3056</v>
      </c>
      <c r="J827" s="155">
        <v>1</v>
      </c>
      <c r="K827" s="155"/>
      <c r="L827" s="155"/>
      <c r="M827" s="155"/>
      <c r="N827" s="155"/>
      <c r="O827" s="155"/>
      <c r="P827" s="155"/>
      <c r="Q827" s="155">
        <v>1</v>
      </c>
      <c r="R827" s="155" t="s">
        <v>1348</v>
      </c>
      <c r="S827" s="155"/>
      <c r="T827" s="155"/>
      <c r="U827" s="143" t="s">
        <v>509</v>
      </c>
      <c r="V827" s="143" t="s">
        <v>503</v>
      </c>
      <c r="W827" s="143" t="s">
        <v>298</v>
      </c>
      <c r="X827" s="143" t="s">
        <v>227</v>
      </c>
      <c r="Y827" s="143">
        <v>9097578687</v>
      </c>
      <c r="Z827" s="143"/>
      <c r="AA827" s="143" t="s">
        <v>525</v>
      </c>
      <c r="AB827" s="143" t="s">
        <v>528</v>
      </c>
      <c r="AC827" s="155">
        <v>1</v>
      </c>
      <c r="AD827" s="155"/>
      <c r="AE827" s="155"/>
      <c r="AF827" s="155"/>
      <c r="AG827" s="155"/>
      <c r="AH827" s="143"/>
      <c r="AI827" s="158"/>
    </row>
    <row r="828" spans="1:35">
      <c r="A828" s="140"/>
      <c r="B828" s="143"/>
      <c r="C828" s="226" t="s">
        <v>2420</v>
      </c>
      <c r="D828" s="143" t="s">
        <v>501</v>
      </c>
      <c r="E828" s="143" t="s">
        <v>80</v>
      </c>
      <c r="F828" s="143" t="s">
        <v>532</v>
      </c>
      <c r="G828" s="143" t="s">
        <v>533</v>
      </c>
      <c r="H828" s="143"/>
      <c r="I828" s="198">
        <v>30437</v>
      </c>
      <c r="J828" s="155"/>
      <c r="K828" s="155">
        <v>1</v>
      </c>
      <c r="L828" s="155"/>
      <c r="M828" s="155"/>
      <c r="N828" s="155"/>
      <c r="O828" s="155"/>
      <c r="P828" s="155"/>
      <c r="Q828" s="155">
        <v>1</v>
      </c>
      <c r="R828" s="155" t="s">
        <v>1266</v>
      </c>
      <c r="S828" s="155"/>
      <c r="T828" s="155"/>
      <c r="U828" s="143" t="s">
        <v>515</v>
      </c>
      <c r="V828" s="143" t="s">
        <v>503</v>
      </c>
      <c r="W828" s="143" t="s">
        <v>298</v>
      </c>
      <c r="X828" s="143" t="s">
        <v>227</v>
      </c>
      <c r="Y828" s="143">
        <v>9508474670</v>
      </c>
      <c r="Z828" s="143"/>
      <c r="AA828" s="143" t="s">
        <v>524</v>
      </c>
      <c r="AB828" s="143" t="s">
        <v>528</v>
      </c>
      <c r="AC828" s="155">
        <v>1</v>
      </c>
      <c r="AD828" s="155"/>
      <c r="AE828" s="155"/>
      <c r="AF828" s="155"/>
      <c r="AG828" s="155"/>
      <c r="AH828" s="143"/>
      <c r="AI828" s="158"/>
    </row>
    <row r="829" spans="1:35">
      <c r="A829" s="140"/>
      <c r="B829" s="143"/>
      <c r="C829" s="226" t="s">
        <v>2420</v>
      </c>
      <c r="D829" s="143" t="s">
        <v>501</v>
      </c>
      <c r="E829" s="143" t="s">
        <v>80</v>
      </c>
      <c r="F829" s="143" t="s">
        <v>458</v>
      </c>
      <c r="G829" s="143" t="s">
        <v>3057</v>
      </c>
      <c r="H829" s="143"/>
      <c r="I829" s="198" t="s">
        <v>3058</v>
      </c>
      <c r="J829" s="155"/>
      <c r="K829" s="155">
        <v>1</v>
      </c>
      <c r="L829" s="155">
        <v>1</v>
      </c>
      <c r="M829" s="155"/>
      <c r="N829" s="155"/>
      <c r="O829" s="155"/>
      <c r="P829" s="155"/>
      <c r="Q829" s="155"/>
      <c r="R829" s="155"/>
      <c r="S829" s="155"/>
      <c r="T829" s="155"/>
      <c r="U829" s="143" t="s">
        <v>292</v>
      </c>
      <c r="V829" s="143" t="s">
        <v>503</v>
      </c>
      <c r="W829" s="143" t="s">
        <v>298</v>
      </c>
      <c r="X829" s="143" t="s">
        <v>227</v>
      </c>
      <c r="Y829" s="143">
        <v>9502181456</v>
      </c>
      <c r="Z829" s="143"/>
      <c r="AA829" s="143" t="s">
        <v>525</v>
      </c>
      <c r="AB829" s="143" t="s">
        <v>528</v>
      </c>
      <c r="AC829" s="155">
        <v>1</v>
      </c>
      <c r="AD829" s="155"/>
      <c r="AE829" s="155"/>
      <c r="AF829" s="155"/>
      <c r="AG829" s="155"/>
      <c r="AH829" s="143"/>
      <c r="AI829" s="158"/>
    </row>
    <row r="830" spans="1:35">
      <c r="A830" s="140"/>
      <c r="B830" s="143"/>
      <c r="C830" s="226" t="s">
        <v>2420</v>
      </c>
      <c r="D830" s="143" t="s">
        <v>501</v>
      </c>
      <c r="E830" s="143" t="s">
        <v>80</v>
      </c>
      <c r="F830" s="143" t="s">
        <v>3059</v>
      </c>
      <c r="G830" s="143" t="s">
        <v>1237</v>
      </c>
      <c r="H830" s="143"/>
      <c r="I830" s="198"/>
      <c r="J830" s="155">
        <v>1</v>
      </c>
      <c r="K830" s="155"/>
      <c r="L830" s="155"/>
      <c r="M830" s="155"/>
      <c r="N830" s="155"/>
      <c r="O830" s="155"/>
      <c r="P830" s="155"/>
      <c r="Q830" s="155">
        <v>1</v>
      </c>
      <c r="R830" s="155" t="s">
        <v>3060</v>
      </c>
      <c r="S830" s="155"/>
      <c r="T830" s="155"/>
      <c r="U830" s="143"/>
      <c r="V830" s="143"/>
      <c r="W830" s="143"/>
      <c r="X830" s="143"/>
      <c r="Y830" s="143"/>
      <c r="Z830" s="143"/>
      <c r="AA830" s="143" t="s">
        <v>524</v>
      </c>
      <c r="AB830" s="143" t="s">
        <v>528</v>
      </c>
      <c r="AC830" s="155">
        <v>1</v>
      </c>
      <c r="AD830" s="155"/>
      <c r="AE830" s="155"/>
      <c r="AF830" s="155"/>
      <c r="AG830" s="155"/>
      <c r="AH830" s="143"/>
      <c r="AI830" s="158"/>
    </row>
    <row r="831" spans="1:35">
      <c r="A831" s="140"/>
      <c r="B831" s="143"/>
      <c r="C831" s="226" t="s">
        <v>2420</v>
      </c>
      <c r="D831" s="143" t="s">
        <v>501</v>
      </c>
      <c r="E831" s="143" t="s">
        <v>80</v>
      </c>
      <c r="F831" s="143" t="s">
        <v>122</v>
      </c>
      <c r="G831" s="143" t="s">
        <v>321</v>
      </c>
      <c r="H831" s="143"/>
      <c r="I831" s="198"/>
      <c r="J831" s="155">
        <v>1</v>
      </c>
      <c r="K831" s="155"/>
      <c r="L831" s="155"/>
      <c r="M831" s="155"/>
      <c r="N831" s="155"/>
      <c r="O831" s="155"/>
      <c r="P831" s="155"/>
      <c r="Q831" s="155">
        <v>1</v>
      </c>
      <c r="R831" s="155" t="s">
        <v>3060</v>
      </c>
      <c r="S831" s="155"/>
      <c r="T831" s="155"/>
      <c r="U831" s="143"/>
      <c r="V831" s="143"/>
      <c r="W831" s="143"/>
      <c r="X831" s="143"/>
      <c r="Y831" s="143">
        <v>9614998143</v>
      </c>
      <c r="Z831" s="143"/>
      <c r="AA831" s="143" t="s">
        <v>524</v>
      </c>
      <c r="AB831" s="143" t="s">
        <v>528</v>
      </c>
      <c r="AC831" s="155">
        <v>1</v>
      </c>
      <c r="AD831" s="155"/>
      <c r="AE831" s="155"/>
      <c r="AF831" s="155"/>
      <c r="AG831" s="155"/>
      <c r="AH831" s="143"/>
      <c r="AI831" s="158"/>
    </row>
    <row r="832" spans="1:35">
      <c r="A832" s="140"/>
      <c r="B832" s="143"/>
      <c r="C832" s="226" t="s">
        <v>2420</v>
      </c>
      <c r="D832" s="143" t="s">
        <v>501</v>
      </c>
      <c r="E832" s="143" t="s">
        <v>80</v>
      </c>
      <c r="F832" s="143" t="s">
        <v>1002</v>
      </c>
      <c r="G832" s="143" t="s">
        <v>483</v>
      </c>
      <c r="H832" s="143"/>
      <c r="I832" s="198"/>
      <c r="J832" s="155">
        <v>1</v>
      </c>
      <c r="K832" s="155"/>
      <c r="L832" s="155"/>
      <c r="M832" s="155"/>
      <c r="N832" s="155"/>
      <c r="O832" s="155"/>
      <c r="P832" s="155"/>
      <c r="Q832" s="155">
        <v>1</v>
      </c>
      <c r="R832" s="155" t="s">
        <v>3060</v>
      </c>
      <c r="S832" s="155"/>
      <c r="T832" s="155"/>
      <c r="U832" s="143"/>
      <c r="V832" s="143"/>
      <c r="W832" s="143"/>
      <c r="X832" s="143"/>
      <c r="Y832" s="143"/>
      <c r="Z832" s="143"/>
      <c r="AA832" s="143" t="s">
        <v>524</v>
      </c>
      <c r="AB832" s="143" t="s">
        <v>528</v>
      </c>
      <c r="AC832" s="155">
        <v>1</v>
      </c>
      <c r="AD832" s="155"/>
      <c r="AE832" s="155"/>
      <c r="AF832" s="155"/>
      <c r="AG832" s="155"/>
      <c r="AH832" s="143"/>
      <c r="AI832" s="158"/>
    </row>
    <row r="833" spans="1:35">
      <c r="A833" s="140"/>
      <c r="B833" s="143"/>
      <c r="C833" s="226" t="s">
        <v>2420</v>
      </c>
      <c r="D833" s="143" t="s">
        <v>501</v>
      </c>
      <c r="E833" s="143" t="s">
        <v>80</v>
      </c>
      <c r="F833" s="143" t="s">
        <v>3061</v>
      </c>
      <c r="G833" s="143" t="s">
        <v>121</v>
      </c>
      <c r="H833" s="143"/>
      <c r="I833" s="198"/>
      <c r="J833" s="155">
        <v>1</v>
      </c>
      <c r="K833" s="155"/>
      <c r="L833" s="155"/>
      <c r="M833" s="155"/>
      <c r="N833" s="155"/>
      <c r="O833" s="155"/>
      <c r="P833" s="155"/>
      <c r="Q833" s="155">
        <v>1</v>
      </c>
      <c r="R833" s="155" t="s">
        <v>3060</v>
      </c>
      <c r="S833" s="155"/>
      <c r="T833" s="155"/>
      <c r="U833" s="143"/>
      <c r="V833" s="143"/>
      <c r="W833" s="143"/>
      <c r="X833" s="143"/>
      <c r="Y833" s="143"/>
      <c r="Z833" s="143"/>
      <c r="AA833" s="143" t="s">
        <v>524</v>
      </c>
      <c r="AB833" s="143" t="s">
        <v>528</v>
      </c>
      <c r="AC833" s="155">
        <v>1</v>
      </c>
      <c r="AD833" s="155"/>
      <c r="AE833" s="155"/>
      <c r="AF833" s="155"/>
      <c r="AG833" s="155"/>
      <c r="AH833" s="143"/>
      <c r="AI833" s="158"/>
    </row>
    <row r="834" spans="1:35">
      <c r="A834" s="140"/>
      <c r="B834" s="143"/>
      <c r="C834" s="226" t="s">
        <v>2420</v>
      </c>
      <c r="D834" s="143" t="s">
        <v>501</v>
      </c>
      <c r="E834" s="143" t="s">
        <v>80</v>
      </c>
      <c r="F834" s="153" t="s">
        <v>312</v>
      </c>
      <c r="G834" s="153" t="s">
        <v>840</v>
      </c>
      <c r="H834" s="153" t="s">
        <v>144</v>
      </c>
      <c r="I834" s="227">
        <v>30173</v>
      </c>
      <c r="J834" s="166"/>
      <c r="K834" s="165">
        <v>1</v>
      </c>
      <c r="L834" s="155"/>
      <c r="M834" s="155"/>
      <c r="N834" s="155"/>
      <c r="O834" s="155"/>
      <c r="P834" s="155"/>
      <c r="Q834" s="155"/>
      <c r="R834" s="155"/>
      <c r="S834" s="155"/>
      <c r="T834" s="155"/>
      <c r="U834" s="167" t="s">
        <v>859</v>
      </c>
      <c r="V834" s="153" t="s">
        <v>503</v>
      </c>
      <c r="W834" s="143" t="s">
        <v>298</v>
      </c>
      <c r="X834" s="157" t="s">
        <v>227</v>
      </c>
      <c r="Y834" s="153">
        <v>9265351990</v>
      </c>
      <c r="Z834" s="143"/>
      <c r="AA834" s="162" t="s">
        <v>524</v>
      </c>
      <c r="AB834" s="143" t="s">
        <v>528</v>
      </c>
      <c r="AC834" s="155">
        <v>1</v>
      </c>
      <c r="AD834" s="155"/>
      <c r="AE834" s="155"/>
      <c r="AF834" s="155"/>
      <c r="AG834" s="155"/>
      <c r="AH834" s="143"/>
      <c r="AI834" s="158"/>
    </row>
    <row r="835" spans="1:35">
      <c r="A835" s="140"/>
      <c r="B835" s="143"/>
      <c r="C835" s="226" t="s">
        <v>2420</v>
      </c>
      <c r="D835" s="143" t="s">
        <v>501</v>
      </c>
      <c r="E835" s="143" t="s">
        <v>80</v>
      </c>
      <c r="F835" s="143" t="s">
        <v>3062</v>
      </c>
      <c r="G835" s="143" t="s">
        <v>398</v>
      </c>
      <c r="H835" s="143"/>
      <c r="I835" s="198">
        <v>20850</v>
      </c>
      <c r="J835" s="155">
        <v>1</v>
      </c>
      <c r="K835" s="155"/>
      <c r="L835" s="155"/>
      <c r="M835" s="155"/>
      <c r="N835" s="155"/>
      <c r="O835" s="155"/>
      <c r="P835" s="155"/>
      <c r="Q835" s="155">
        <v>1</v>
      </c>
      <c r="R835" s="229" t="s">
        <v>1009</v>
      </c>
      <c r="S835" s="155"/>
      <c r="T835" s="155"/>
      <c r="U835" s="143"/>
      <c r="V835" s="230" t="s">
        <v>872</v>
      </c>
      <c r="W835" s="230" t="s">
        <v>3063</v>
      </c>
      <c r="X835" s="230" t="s">
        <v>227</v>
      </c>
      <c r="Y835" s="143">
        <v>9363624581</v>
      </c>
      <c r="Z835" s="143"/>
      <c r="AA835" s="162" t="s">
        <v>524</v>
      </c>
      <c r="AB835" s="230" t="s">
        <v>528</v>
      </c>
      <c r="AC835" s="155">
        <v>1</v>
      </c>
      <c r="AD835" s="155"/>
      <c r="AE835" s="155"/>
      <c r="AF835" s="155"/>
      <c r="AG835" s="155"/>
      <c r="AH835" s="143"/>
      <c r="AI835" s="158"/>
    </row>
    <row r="836" spans="1:35">
      <c r="A836" s="140"/>
      <c r="B836" s="143"/>
      <c r="C836" s="226" t="s">
        <v>2420</v>
      </c>
      <c r="D836" s="230" t="s">
        <v>501</v>
      </c>
      <c r="E836" s="143" t="s">
        <v>80</v>
      </c>
      <c r="F836" s="230" t="s">
        <v>826</v>
      </c>
      <c r="G836" s="230" t="s">
        <v>3064</v>
      </c>
      <c r="H836" s="143"/>
      <c r="I836" s="198"/>
      <c r="J836" s="155">
        <v>1</v>
      </c>
      <c r="K836" s="155"/>
      <c r="L836" s="155"/>
      <c r="M836" s="155"/>
      <c r="N836" s="155"/>
      <c r="O836" s="155"/>
      <c r="P836" s="155"/>
      <c r="Q836" s="155"/>
      <c r="R836" s="229" t="s">
        <v>1009</v>
      </c>
      <c r="S836" s="155"/>
      <c r="T836" s="155"/>
      <c r="U836" s="143"/>
      <c r="V836" s="230" t="s">
        <v>513</v>
      </c>
      <c r="W836" s="143" t="s">
        <v>279</v>
      </c>
      <c r="X836" s="230" t="s">
        <v>227</v>
      </c>
      <c r="Y836" s="143">
        <v>9093092577</v>
      </c>
      <c r="Z836" s="143"/>
      <c r="AA836" s="230" t="s">
        <v>877</v>
      </c>
      <c r="AB836" s="230" t="s">
        <v>528</v>
      </c>
      <c r="AC836" s="155">
        <v>1</v>
      </c>
      <c r="AD836" s="155"/>
      <c r="AE836" s="155"/>
      <c r="AF836" s="155"/>
      <c r="AG836" s="155"/>
      <c r="AH836" s="143"/>
      <c r="AI836" s="158"/>
    </row>
    <row r="837" spans="1:35">
      <c r="A837" s="140"/>
      <c r="B837" s="143"/>
      <c r="C837" s="226" t="s">
        <v>2420</v>
      </c>
      <c r="D837" s="230" t="s">
        <v>501</v>
      </c>
      <c r="E837" s="143" t="s">
        <v>80</v>
      </c>
      <c r="F837" s="230" t="s">
        <v>3065</v>
      </c>
      <c r="G837" s="230" t="s">
        <v>907</v>
      </c>
      <c r="H837" s="143"/>
      <c r="I837" s="198"/>
      <c r="J837" s="155">
        <v>1</v>
      </c>
      <c r="K837" s="155"/>
      <c r="L837" s="155"/>
      <c r="M837" s="155"/>
      <c r="N837" s="155"/>
      <c r="O837" s="155"/>
      <c r="P837" s="155"/>
      <c r="Q837" s="155"/>
      <c r="R837" s="229" t="s">
        <v>1009</v>
      </c>
      <c r="S837" s="155"/>
      <c r="T837" s="155"/>
      <c r="U837" s="143"/>
      <c r="V837" s="230" t="s">
        <v>513</v>
      </c>
      <c r="W837" s="143" t="s">
        <v>279</v>
      </c>
      <c r="X837" s="230" t="s">
        <v>227</v>
      </c>
      <c r="Y837" s="143"/>
      <c r="Z837" s="143"/>
      <c r="AA837" s="230" t="s">
        <v>877</v>
      </c>
      <c r="AB837" s="230" t="s">
        <v>528</v>
      </c>
      <c r="AC837" s="155">
        <v>1</v>
      </c>
      <c r="AD837" s="155"/>
      <c r="AE837" s="155"/>
      <c r="AF837" s="155"/>
      <c r="AG837" s="155"/>
      <c r="AH837" s="143"/>
      <c r="AI837" s="158"/>
    </row>
    <row r="838" spans="1:35">
      <c r="A838" s="140"/>
      <c r="B838" s="143"/>
      <c r="C838" s="226" t="s">
        <v>2420</v>
      </c>
      <c r="D838" s="230" t="s">
        <v>501</v>
      </c>
      <c r="E838" s="143" t="s">
        <v>80</v>
      </c>
      <c r="F838" s="230" t="s">
        <v>3066</v>
      </c>
      <c r="G838" s="230" t="s">
        <v>3067</v>
      </c>
      <c r="H838" s="143"/>
      <c r="I838" s="198"/>
      <c r="J838" s="155">
        <v>1</v>
      </c>
      <c r="K838" s="155"/>
      <c r="L838" s="155"/>
      <c r="M838" s="155"/>
      <c r="N838" s="155"/>
      <c r="O838" s="155"/>
      <c r="P838" s="155"/>
      <c r="Q838" s="155"/>
      <c r="R838" s="229" t="s">
        <v>1009</v>
      </c>
      <c r="S838" s="155"/>
      <c r="T838" s="155"/>
      <c r="U838" s="143"/>
      <c r="V838" s="230" t="s">
        <v>513</v>
      </c>
      <c r="W838" s="143" t="s">
        <v>279</v>
      </c>
      <c r="X838" s="230" t="s">
        <v>227</v>
      </c>
      <c r="Y838" s="143"/>
      <c r="Z838" s="143"/>
      <c r="AA838" s="230" t="s">
        <v>877</v>
      </c>
      <c r="AB838" s="230" t="s">
        <v>528</v>
      </c>
      <c r="AC838" s="155">
        <v>1</v>
      </c>
      <c r="AD838" s="155"/>
      <c r="AE838" s="155"/>
      <c r="AF838" s="155"/>
      <c r="AG838" s="155"/>
      <c r="AH838" s="143"/>
      <c r="AI838" s="158"/>
    </row>
    <row r="839" spans="1:35">
      <c r="A839" s="140"/>
      <c r="B839" s="143"/>
      <c r="C839" s="226" t="s">
        <v>2420</v>
      </c>
      <c r="D839" s="230" t="s">
        <v>501</v>
      </c>
      <c r="E839" s="143" t="s">
        <v>80</v>
      </c>
      <c r="F839" s="230" t="s">
        <v>3068</v>
      </c>
      <c r="G839" s="230" t="s">
        <v>3069</v>
      </c>
      <c r="H839" s="143"/>
      <c r="I839" s="198"/>
      <c r="J839" s="155">
        <v>1</v>
      </c>
      <c r="K839" s="155"/>
      <c r="L839" s="155"/>
      <c r="M839" s="155"/>
      <c r="N839" s="155"/>
      <c r="O839" s="155"/>
      <c r="P839" s="155"/>
      <c r="Q839" s="155"/>
      <c r="R839" s="229" t="s">
        <v>1009</v>
      </c>
      <c r="S839" s="155"/>
      <c r="T839" s="155"/>
      <c r="U839" s="143"/>
      <c r="V839" s="230" t="s">
        <v>513</v>
      </c>
      <c r="W839" s="143" t="s">
        <v>279</v>
      </c>
      <c r="X839" s="230" t="s">
        <v>227</v>
      </c>
      <c r="Y839" s="143"/>
      <c r="Z839" s="143"/>
      <c r="AA839" s="230" t="s">
        <v>877</v>
      </c>
      <c r="AB839" s="230" t="s">
        <v>528</v>
      </c>
      <c r="AC839" s="155">
        <v>1</v>
      </c>
      <c r="AD839" s="155"/>
      <c r="AE839" s="155"/>
      <c r="AF839" s="155"/>
      <c r="AG839" s="155"/>
      <c r="AH839" s="143"/>
      <c r="AI839" s="158"/>
    </row>
    <row r="840" spans="1:35">
      <c r="A840" s="140"/>
      <c r="B840" s="143"/>
      <c r="C840" s="226" t="s">
        <v>2420</v>
      </c>
      <c r="D840" s="143" t="s">
        <v>501</v>
      </c>
      <c r="E840" s="143" t="s">
        <v>80</v>
      </c>
      <c r="F840" s="153" t="s">
        <v>413</v>
      </c>
      <c r="G840" s="153" t="s">
        <v>414</v>
      </c>
      <c r="H840" s="153"/>
      <c r="I840" s="227">
        <v>23925</v>
      </c>
      <c r="J840" s="154"/>
      <c r="K840" s="154">
        <v>1</v>
      </c>
      <c r="L840" s="155"/>
      <c r="M840" s="155"/>
      <c r="N840" s="155"/>
      <c r="O840" s="155"/>
      <c r="P840" s="155"/>
      <c r="Q840" s="155">
        <v>1</v>
      </c>
      <c r="R840" s="155" t="s">
        <v>957</v>
      </c>
      <c r="S840" s="155"/>
      <c r="T840" s="155"/>
      <c r="U840" s="156" t="s">
        <v>295</v>
      </c>
      <c r="V840" s="153" t="s">
        <v>503</v>
      </c>
      <c r="W840" s="143" t="s">
        <v>298</v>
      </c>
      <c r="X840" s="157" t="s">
        <v>227</v>
      </c>
      <c r="Y840" s="157">
        <v>9357514235</v>
      </c>
      <c r="Z840" s="143"/>
      <c r="AA840" s="230" t="s">
        <v>877</v>
      </c>
      <c r="AB840" s="230" t="s">
        <v>528</v>
      </c>
      <c r="AC840" s="155">
        <v>2</v>
      </c>
      <c r="AD840" s="155"/>
      <c r="AE840" s="155"/>
      <c r="AF840" s="155"/>
      <c r="AG840" s="155"/>
      <c r="AH840" s="143"/>
      <c r="AI840" s="158"/>
    </row>
    <row r="841" spans="1:35">
      <c r="A841" s="140"/>
      <c r="B841" s="143"/>
      <c r="C841" s="226" t="s">
        <v>2420</v>
      </c>
      <c r="D841" s="230" t="s">
        <v>501</v>
      </c>
      <c r="E841" s="143" t="s">
        <v>80</v>
      </c>
      <c r="F841" s="143" t="s">
        <v>3094</v>
      </c>
      <c r="G841" s="143" t="s">
        <v>3095</v>
      </c>
      <c r="H841" s="143" t="s">
        <v>126</v>
      </c>
      <c r="I841" s="242" t="s">
        <v>3096</v>
      </c>
      <c r="J841" s="155">
        <v>1</v>
      </c>
      <c r="K841" s="155"/>
      <c r="L841" s="155">
        <v>1</v>
      </c>
      <c r="M841" s="155"/>
      <c r="N841" s="155"/>
      <c r="O841" s="155"/>
      <c r="P841" s="155"/>
      <c r="Q841" s="155"/>
      <c r="R841" s="155"/>
      <c r="S841" s="155"/>
      <c r="T841" s="155"/>
      <c r="U841" s="143"/>
      <c r="V841" s="153" t="s">
        <v>503</v>
      </c>
      <c r="W841" s="143" t="s">
        <v>298</v>
      </c>
      <c r="X841" s="157" t="s">
        <v>227</v>
      </c>
      <c r="Y841" s="143">
        <v>9462092759</v>
      </c>
      <c r="Z841" s="143"/>
      <c r="AA841" s="157" t="s">
        <v>525</v>
      </c>
      <c r="AB841" s="143" t="s">
        <v>528</v>
      </c>
      <c r="AC841" s="155">
        <v>1</v>
      </c>
      <c r="AD841" s="155"/>
      <c r="AE841" s="155"/>
      <c r="AF841" s="155"/>
      <c r="AG841" s="155"/>
      <c r="AH841" s="143"/>
      <c r="AI841" s="158"/>
    </row>
    <row r="842" spans="1:35">
      <c r="A842" s="140"/>
      <c r="B842" s="143"/>
      <c r="C842" s="226" t="s">
        <v>2420</v>
      </c>
      <c r="D842" s="230" t="s">
        <v>501</v>
      </c>
      <c r="E842" s="143" t="s">
        <v>80</v>
      </c>
      <c r="F842" s="143" t="s">
        <v>3097</v>
      </c>
      <c r="G842" s="143" t="s">
        <v>3098</v>
      </c>
      <c r="H842" s="143"/>
      <c r="I842" s="242" t="s">
        <v>3099</v>
      </c>
      <c r="J842" s="155"/>
      <c r="K842" s="155">
        <v>1</v>
      </c>
      <c r="L842" s="155"/>
      <c r="M842" s="155"/>
      <c r="N842" s="155"/>
      <c r="O842" s="155"/>
      <c r="P842" s="155"/>
      <c r="Q842" s="155">
        <v>1</v>
      </c>
      <c r="R842" s="155" t="s">
        <v>1009</v>
      </c>
      <c r="S842" s="155"/>
      <c r="T842" s="155"/>
      <c r="U842" s="143" t="s">
        <v>2372</v>
      </c>
      <c r="V842" s="143" t="s">
        <v>355</v>
      </c>
      <c r="W842" s="143" t="s">
        <v>280</v>
      </c>
      <c r="X842" s="143" t="s">
        <v>227</v>
      </c>
      <c r="Y842" s="143">
        <v>9478673764</v>
      </c>
      <c r="Z842" s="143"/>
      <c r="AA842" s="230" t="s">
        <v>877</v>
      </c>
      <c r="AB842" s="230" t="s">
        <v>528</v>
      </c>
      <c r="AC842" s="155">
        <v>1</v>
      </c>
      <c r="AD842" s="155"/>
      <c r="AE842" s="155"/>
      <c r="AF842" s="155"/>
      <c r="AG842" s="155"/>
      <c r="AH842" s="143"/>
      <c r="AI842" s="158"/>
    </row>
    <row r="843" spans="1:35">
      <c r="A843" s="140"/>
      <c r="B843" s="143"/>
      <c r="C843" s="226" t="s">
        <v>2420</v>
      </c>
      <c r="D843" s="143" t="s">
        <v>501</v>
      </c>
      <c r="E843" s="143" t="s">
        <v>80</v>
      </c>
      <c r="F843" s="143" t="s">
        <v>1272</v>
      </c>
      <c r="G843" s="143" t="s">
        <v>1004</v>
      </c>
      <c r="H843" s="143"/>
      <c r="I843" s="198" t="s">
        <v>3101</v>
      </c>
      <c r="J843" s="155">
        <v>1</v>
      </c>
      <c r="K843" s="155"/>
      <c r="L843" s="155" t="s">
        <v>93</v>
      </c>
      <c r="M843" s="155"/>
      <c r="N843" s="155"/>
      <c r="O843" s="155"/>
      <c r="P843" s="155"/>
      <c r="Q843" s="155">
        <v>1</v>
      </c>
      <c r="R843" s="155" t="s">
        <v>1348</v>
      </c>
      <c r="S843" s="155"/>
      <c r="T843" s="155"/>
      <c r="U843" s="143"/>
      <c r="V843" s="143" t="s">
        <v>503</v>
      </c>
      <c r="W843" s="143" t="s">
        <v>298</v>
      </c>
      <c r="X843" s="143" t="s">
        <v>227</v>
      </c>
      <c r="Y843" s="143">
        <v>9196004838</v>
      </c>
      <c r="Z843" s="143"/>
      <c r="AA843" s="157" t="s">
        <v>525</v>
      </c>
      <c r="AB843" s="143" t="s">
        <v>528</v>
      </c>
      <c r="AC843" s="155">
        <v>1</v>
      </c>
      <c r="AD843" s="155"/>
      <c r="AE843" s="155"/>
      <c r="AF843" s="155"/>
      <c r="AG843" s="155"/>
      <c r="AH843" s="143"/>
      <c r="AI843" s="158"/>
    </row>
    <row r="844" spans="1:35">
      <c r="A844" s="140"/>
      <c r="B844" s="143"/>
      <c r="C844" s="226" t="s">
        <v>2420</v>
      </c>
      <c r="D844" s="230" t="s">
        <v>501</v>
      </c>
      <c r="E844" s="143" t="s">
        <v>80</v>
      </c>
      <c r="F844" s="143" t="s">
        <v>3102</v>
      </c>
      <c r="G844" s="143" t="s">
        <v>902</v>
      </c>
      <c r="H844" s="143"/>
      <c r="I844" s="198">
        <v>26081</v>
      </c>
      <c r="J844" s="155"/>
      <c r="K844" s="155">
        <v>1</v>
      </c>
      <c r="L844" s="155">
        <v>1</v>
      </c>
      <c r="M844" s="155"/>
      <c r="N844" s="155"/>
      <c r="O844" s="155"/>
      <c r="P844" s="155"/>
      <c r="Q844" s="155"/>
      <c r="R844" s="155"/>
      <c r="S844" s="155"/>
      <c r="T844" s="155"/>
      <c r="U844" s="143"/>
      <c r="V844" s="143" t="s">
        <v>503</v>
      </c>
      <c r="W844" s="143" t="s">
        <v>298</v>
      </c>
      <c r="X844" s="143" t="s">
        <v>227</v>
      </c>
      <c r="Y844" s="143">
        <v>9089955946</v>
      </c>
      <c r="Z844" s="143"/>
      <c r="AA844" s="157" t="s">
        <v>525</v>
      </c>
      <c r="AB844" s="143" t="s">
        <v>528</v>
      </c>
      <c r="AC844" s="155">
        <v>1</v>
      </c>
      <c r="AD844" s="155"/>
      <c r="AE844" s="155"/>
      <c r="AF844" s="155"/>
      <c r="AG844" s="155"/>
      <c r="AH844" s="143"/>
      <c r="AI844" s="158"/>
    </row>
    <row r="845" spans="1:35">
      <c r="A845" s="140"/>
      <c r="B845" s="143"/>
      <c r="C845" s="226" t="s">
        <v>2420</v>
      </c>
      <c r="D845" s="230" t="s">
        <v>501</v>
      </c>
      <c r="E845" s="143" t="s">
        <v>80</v>
      </c>
      <c r="F845" s="143" t="s">
        <v>1902</v>
      </c>
      <c r="G845" s="143" t="s">
        <v>3103</v>
      </c>
      <c r="H845" s="143"/>
      <c r="I845" s="198">
        <v>30806</v>
      </c>
      <c r="J845" s="155">
        <v>1</v>
      </c>
      <c r="K845" s="155"/>
      <c r="L845" s="155">
        <v>1</v>
      </c>
      <c r="M845" s="155"/>
      <c r="N845" s="155"/>
      <c r="O845" s="155"/>
      <c r="P845" s="155"/>
      <c r="Q845" s="155"/>
      <c r="R845" s="155"/>
      <c r="S845" s="155"/>
      <c r="T845" s="155"/>
      <c r="U845" s="143"/>
      <c r="V845" s="143" t="s">
        <v>503</v>
      </c>
      <c r="W845" s="143" t="s">
        <v>298</v>
      </c>
      <c r="X845" s="143" t="s">
        <v>227</v>
      </c>
      <c r="Y845" s="143">
        <v>9154903165</v>
      </c>
      <c r="Z845" s="143"/>
      <c r="AA845" s="157" t="s">
        <v>525</v>
      </c>
      <c r="AB845" s="143" t="s">
        <v>528</v>
      </c>
      <c r="AC845" s="155">
        <v>1</v>
      </c>
      <c r="AD845" s="155"/>
      <c r="AE845" s="155"/>
      <c r="AF845" s="155"/>
      <c r="AG845" s="155"/>
      <c r="AH845" s="143"/>
      <c r="AI845" s="158"/>
    </row>
    <row r="846" spans="1:35">
      <c r="A846" s="140"/>
      <c r="B846" s="143"/>
      <c r="C846" s="226" t="s">
        <v>2420</v>
      </c>
      <c r="D846" s="143" t="s">
        <v>501</v>
      </c>
      <c r="E846" s="143" t="s">
        <v>80</v>
      </c>
      <c r="F846" s="143" t="s">
        <v>3104</v>
      </c>
      <c r="G846" s="143" t="s">
        <v>3105</v>
      </c>
      <c r="H846" s="143"/>
      <c r="I846" s="198">
        <v>32139</v>
      </c>
      <c r="J846" s="155">
        <v>1</v>
      </c>
      <c r="K846" s="155"/>
      <c r="L846" s="155"/>
      <c r="M846" s="155"/>
      <c r="N846" s="155"/>
      <c r="O846" s="155"/>
      <c r="P846" s="155"/>
      <c r="Q846" s="155">
        <v>1</v>
      </c>
      <c r="R846" s="155" t="s">
        <v>1009</v>
      </c>
      <c r="S846" s="155"/>
      <c r="T846" s="155"/>
      <c r="U846" s="143"/>
      <c r="V846" s="143" t="s">
        <v>872</v>
      </c>
      <c r="W846" s="143" t="s">
        <v>280</v>
      </c>
      <c r="X846" s="143" t="s">
        <v>227</v>
      </c>
      <c r="Y846" s="143">
        <v>9202835968</v>
      </c>
      <c r="Z846" s="143"/>
      <c r="AA846" s="230" t="s">
        <v>877</v>
      </c>
      <c r="AB846" s="230" t="s">
        <v>528</v>
      </c>
      <c r="AC846" s="155">
        <v>1</v>
      </c>
      <c r="AD846" s="155"/>
      <c r="AE846" s="155"/>
      <c r="AF846" s="155"/>
      <c r="AG846" s="155"/>
      <c r="AH846" s="143"/>
      <c r="AI846" s="158"/>
    </row>
    <row r="847" spans="1:35">
      <c r="A847" s="140"/>
      <c r="B847" s="143"/>
      <c r="C847" s="226" t="s">
        <v>2420</v>
      </c>
      <c r="D847" s="230" t="s">
        <v>501</v>
      </c>
      <c r="E847" s="143" t="s">
        <v>80</v>
      </c>
      <c r="F847" s="143" t="s">
        <v>3106</v>
      </c>
      <c r="G847" s="143" t="s">
        <v>547</v>
      </c>
      <c r="H847" s="143"/>
      <c r="I847" s="198">
        <v>23503</v>
      </c>
      <c r="J847" s="155"/>
      <c r="K847" s="155">
        <v>1</v>
      </c>
      <c r="L847" s="155"/>
      <c r="M847" s="155"/>
      <c r="N847" s="155"/>
      <c r="O847" s="155"/>
      <c r="P847" s="155"/>
      <c r="Q847" s="155">
        <v>1</v>
      </c>
      <c r="R847" s="155" t="s">
        <v>1045</v>
      </c>
      <c r="S847" s="155"/>
      <c r="T847" s="155"/>
      <c r="U847" s="143"/>
      <c r="V847" s="143" t="s">
        <v>503</v>
      </c>
      <c r="W847" s="143" t="s">
        <v>298</v>
      </c>
      <c r="X847" s="143" t="s">
        <v>227</v>
      </c>
      <c r="Y847" s="143">
        <v>9202835966</v>
      </c>
      <c r="Z847" s="143"/>
      <c r="AA847" s="230" t="s">
        <v>877</v>
      </c>
      <c r="AB847" s="230" t="s">
        <v>528</v>
      </c>
      <c r="AC847" s="155">
        <v>1</v>
      </c>
      <c r="AD847" s="155"/>
      <c r="AE847" s="155"/>
      <c r="AF847" s="155"/>
      <c r="AG847" s="155"/>
      <c r="AH847" s="143"/>
      <c r="AI847" s="158"/>
    </row>
    <row r="848" spans="1:35">
      <c r="A848" s="140"/>
      <c r="B848" s="143"/>
      <c r="C848" s="226" t="s">
        <v>2420</v>
      </c>
      <c r="D848" s="230" t="s">
        <v>501</v>
      </c>
      <c r="E848" s="143" t="s">
        <v>80</v>
      </c>
      <c r="F848" s="143" t="s">
        <v>3107</v>
      </c>
      <c r="G848" s="143" t="s">
        <v>3108</v>
      </c>
      <c r="H848" s="143"/>
      <c r="I848" s="198">
        <v>31679</v>
      </c>
      <c r="J848" s="155">
        <v>1</v>
      </c>
      <c r="K848" s="155"/>
      <c r="L848" s="155"/>
      <c r="M848" s="155"/>
      <c r="N848" s="155"/>
      <c r="O848" s="155"/>
      <c r="P848" s="155"/>
      <c r="Q848" s="155">
        <v>1</v>
      </c>
      <c r="R848" s="155" t="s">
        <v>1045</v>
      </c>
      <c r="S848" s="155"/>
      <c r="T848" s="155"/>
      <c r="U848" s="143"/>
      <c r="V848" s="143" t="s">
        <v>503</v>
      </c>
      <c r="W848" s="143" t="s">
        <v>298</v>
      </c>
      <c r="X848" s="143" t="s">
        <v>227</v>
      </c>
      <c r="Y848" s="143">
        <v>9501240571</v>
      </c>
      <c r="Z848" s="143"/>
      <c r="AA848" s="230" t="s">
        <v>877</v>
      </c>
      <c r="AB848" s="230" t="s">
        <v>528</v>
      </c>
      <c r="AC848" s="155">
        <v>1</v>
      </c>
      <c r="AD848" s="155"/>
      <c r="AE848" s="155"/>
      <c r="AF848" s="155"/>
      <c r="AG848" s="155"/>
      <c r="AH848" s="143"/>
      <c r="AI848" s="158"/>
    </row>
    <row r="849" spans="1:35">
      <c r="A849" s="140"/>
      <c r="B849" s="143"/>
      <c r="C849" s="226" t="s">
        <v>2420</v>
      </c>
      <c r="D849" s="143" t="s">
        <v>501</v>
      </c>
      <c r="E849" s="143" t="s">
        <v>80</v>
      </c>
      <c r="F849" s="143" t="s">
        <v>746</v>
      </c>
      <c r="G849" s="143" t="s">
        <v>2910</v>
      </c>
      <c r="H849" s="143"/>
      <c r="I849" s="198">
        <v>25963</v>
      </c>
      <c r="J849" s="155">
        <v>1</v>
      </c>
      <c r="K849" s="155"/>
      <c r="L849" s="155"/>
      <c r="M849" s="155"/>
      <c r="N849" s="155"/>
      <c r="O849" s="155"/>
      <c r="P849" s="155"/>
      <c r="Q849" s="155">
        <v>1</v>
      </c>
      <c r="R849" s="155" t="s">
        <v>962</v>
      </c>
      <c r="S849" s="155"/>
      <c r="T849" s="155"/>
      <c r="U849" s="143"/>
      <c r="V849" s="143" t="s">
        <v>503</v>
      </c>
      <c r="W849" s="143" t="s">
        <v>298</v>
      </c>
      <c r="X849" s="143" t="s">
        <v>227</v>
      </c>
      <c r="Y849" s="143"/>
      <c r="Z849" s="143"/>
      <c r="AA849" s="230" t="s">
        <v>877</v>
      </c>
      <c r="AB849" s="230" t="s">
        <v>528</v>
      </c>
      <c r="AC849" s="155">
        <v>1</v>
      </c>
      <c r="AD849" s="155"/>
      <c r="AE849" s="155"/>
      <c r="AF849" s="155"/>
      <c r="AG849" s="155"/>
      <c r="AH849" s="143"/>
      <c r="AI849" s="158"/>
    </row>
    <row r="850" spans="1:35">
      <c r="A850" s="140"/>
      <c r="B850" s="143"/>
      <c r="C850" s="226" t="s">
        <v>2420</v>
      </c>
      <c r="D850" s="230" t="s">
        <v>501</v>
      </c>
      <c r="E850" s="143" t="s">
        <v>80</v>
      </c>
      <c r="F850" s="143" t="s">
        <v>1077</v>
      </c>
      <c r="G850" s="143" t="s">
        <v>1078</v>
      </c>
      <c r="H850" s="143" t="s">
        <v>830</v>
      </c>
      <c r="I850" s="199">
        <v>27524</v>
      </c>
      <c r="J850" s="182"/>
      <c r="K850" s="182">
        <v>1</v>
      </c>
      <c r="L850" s="155"/>
      <c r="M850" s="155"/>
      <c r="N850" s="155"/>
      <c r="O850" s="155"/>
      <c r="P850" s="155"/>
      <c r="Q850" s="155">
        <v>1</v>
      </c>
      <c r="R850" s="155" t="s">
        <v>1348</v>
      </c>
      <c r="S850" s="155"/>
      <c r="T850" s="155"/>
      <c r="U850" s="183" t="s">
        <v>855</v>
      </c>
      <c r="V850" s="143" t="s">
        <v>503</v>
      </c>
      <c r="W850" s="143" t="s">
        <v>298</v>
      </c>
      <c r="X850" s="143" t="s">
        <v>227</v>
      </c>
      <c r="Y850" s="184">
        <v>9102099575</v>
      </c>
      <c r="Z850" s="143"/>
      <c r="AA850" s="230" t="s">
        <v>877</v>
      </c>
      <c r="AB850" s="230" t="s">
        <v>528</v>
      </c>
      <c r="AC850" s="155">
        <v>2</v>
      </c>
      <c r="AD850" s="155"/>
      <c r="AE850" s="155"/>
      <c r="AF850" s="155"/>
      <c r="AG850" s="155"/>
      <c r="AH850" s="143"/>
      <c r="AI850" s="158"/>
    </row>
    <row r="851" spans="1:35">
      <c r="A851" s="140"/>
      <c r="B851" s="143"/>
      <c r="C851" s="226" t="s">
        <v>2420</v>
      </c>
      <c r="D851" s="230" t="s">
        <v>501</v>
      </c>
      <c r="E851" s="143" t="s">
        <v>80</v>
      </c>
      <c r="F851" s="143" t="s">
        <v>666</v>
      </c>
      <c r="G851" s="143" t="s">
        <v>1150</v>
      </c>
      <c r="H851" s="143" t="s">
        <v>588</v>
      </c>
      <c r="I851" s="198">
        <v>32936</v>
      </c>
      <c r="J851" s="155">
        <v>1</v>
      </c>
      <c r="K851" s="155"/>
      <c r="L851" s="155"/>
      <c r="M851" s="155"/>
      <c r="N851" s="155"/>
      <c r="O851" s="155"/>
      <c r="P851" s="155"/>
      <c r="Q851" s="155">
        <v>1</v>
      </c>
      <c r="R851" s="155" t="s">
        <v>1009</v>
      </c>
      <c r="S851" s="155"/>
      <c r="T851" s="155"/>
      <c r="U851" s="143" t="s">
        <v>502</v>
      </c>
      <c r="V851" s="143" t="s">
        <v>503</v>
      </c>
      <c r="W851" s="143" t="s">
        <v>298</v>
      </c>
      <c r="X851" s="143" t="s">
        <v>227</v>
      </c>
      <c r="Y851" s="143">
        <v>9106002696</v>
      </c>
      <c r="Z851" s="143"/>
      <c r="AA851" s="230" t="s">
        <v>877</v>
      </c>
      <c r="AB851" s="230" t="s">
        <v>528</v>
      </c>
      <c r="AC851" s="155">
        <v>1</v>
      </c>
      <c r="AD851" s="155"/>
      <c r="AE851" s="155"/>
      <c r="AF851" s="155"/>
      <c r="AG851" s="155"/>
      <c r="AH851" s="143"/>
      <c r="AI851" s="158"/>
    </row>
    <row r="852" spans="1:35">
      <c r="A852" s="140"/>
      <c r="B852" s="143"/>
      <c r="C852" s="226" t="s">
        <v>2420</v>
      </c>
      <c r="D852" s="230" t="s">
        <v>501</v>
      </c>
      <c r="E852" s="143" t="s">
        <v>80</v>
      </c>
      <c r="F852" s="143" t="s">
        <v>3109</v>
      </c>
      <c r="G852" s="143" t="s">
        <v>3110</v>
      </c>
      <c r="H852" s="143" t="s">
        <v>144</v>
      </c>
      <c r="I852" s="198">
        <v>33207</v>
      </c>
      <c r="J852" s="155">
        <v>1</v>
      </c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43"/>
      <c r="V852" s="143" t="s">
        <v>503</v>
      </c>
      <c r="W852" s="143" t="s">
        <v>298</v>
      </c>
      <c r="X852" s="143" t="s">
        <v>227</v>
      </c>
      <c r="Y852" s="143"/>
      <c r="Z852" s="143"/>
      <c r="AA852" s="230" t="s">
        <v>877</v>
      </c>
      <c r="AB852" s="230" t="s">
        <v>528</v>
      </c>
      <c r="AC852" s="155">
        <v>1</v>
      </c>
      <c r="AD852" s="155"/>
      <c r="AE852" s="155"/>
      <c r="AF852" s="155"/>
      <c r="AG852" s="155"/>
      <c r="AH852" s="143"/>
      <c r="AI852" s="158"/>
    </row>
    <row r="853" spans="1:35">
      <c r="A853" s="140"/>
      <c r="B853" s="143"/>
      <c r="C853" s="226" t="s">
        <v>2420</v>
      </c>
      <c r="D853" s="143" t="s">
        <v>501</v>
      </c>
      <c r="E853" s="143" t="s">
        <v>80</v>
      </c>
      <c r="F853" s="143" t="s">
        <v>3111</v>
      </c>
      <c r="G853" s="143" t="s">
        <v>606</v>
      </c>
      <c r="H853" s="143"/>
      <c r="I853" s="198"/>
      <c r="J853" s="155"/>
      <c r="K853" s="155">
        <v>1</v>
      </c>
      <c r="L853" s="155">
        <v>1</v>
      </c>
      <c r="M853" s="155"/>
      <c r="N853" s="155"/>
      <c r="O853" s="155"/>
      <c r="P853" s="155"/>
      <c r="Q853" s="155"/>
      <c r="R853" s="155"/>
      <c r="S853" s="155"/>
      <c r="T853" s="155"/>
      <c r="U853" s="143"/>
      <c r="V853" s="143" t="s">
        <v>503</v>
      </c>
      <c r="W853" s="143" t="s">
        <v>298</v>
      </c>
      <c r="X853" s="143" t="s">
        <v>227</v>
      </c>
      <c r="Y853" s="143">
        <v>9460410881</v>
      </c>
      <c r="Z853" s="143"/>
      <c r="AA853" s="230" t="s">
        <v>877</v>
      </c>
      <c r="AB853" s="230" t="s">
        <v>528</v>
      </c>
      <c r="AC853" s="155">
        <v>1</v>
      </c>
      <c r="AD853" s="155"/>
      <c r="AE853" s="155"/>
      <c r="AF853" s="155"/>
      <c r="AG853" s="155"/>
      <c r="AH853" s="143"/>
      <c r="AI853" s="158"/>
    </row>
    <row r="854" spans="1:35">
      <c r="A854" s="140"/>
      <c r="B854" s="143"/>
      <c r="C854" s="226" t="s">
        <v>2420</v>
      </c>
      <c r="D854" s="230" t="s">
        <v>501</v>
      </c>
      <c r="E854" s="143" t="s">
        <v>80</v>
      </c>
      <c r="F854" s="143" t="s">
        <v>3112</v>
      </c>
      <c r="G854" s="143" t="s">
        <v>3113</v>
      </c>
      <c r="H854" s="143"/>
      <c r="I854" s="198"/>
      <c r="J854" s="155">
        <v>1</v>
      </c>
      <c r="K854" s="155"/>
      <c r="L854" s="155">
        <v>1</v>
      </c>
      <c r="M854" s="155"/>
      <c r="N854" s="155"/>
      <c r="O854" s="155"/>
      <c r="P854" s="155"/>
      <c r="Q854" s="155"/>
      <c r="R854" s="155"/>
      <c r="S854" s="155"/>
      <c r="T854" s="155"/>
      <c r="U854" s="143"/>
      <c r="V854" s="143" t="s">
        <v>503</v>
      </c>
      <c r="W854" s="143" t="s">
        <v>298</v>
      </c>
      <c r="X854" s="143" t="s">
        <v>227</v>
      </c>
      <c r="Y854" s="143">
        <v>9157888610</v>
      </c>
      <c r="Z854" s="143"/>
      <c r="AA854" s="230" t="s">
        <v>877</v>
      </c>
      <c r="AB854" s="230" t="s">
        <v>528</v>
      </c>
      <c r="AC854" s="155">
        <v>1</v>
      </c>
      <c r="AD854" s="155"/>
      <c r="AE854" s="155"/>
      <c r="AF854" s="155"/>
      <c r="AG854" s="155"/>
      <c r="AH854" s="143"/>
      <c r="AI854" s="158"/>
    </row>
    <row r="855" spans="1:35">
      <c r="A855" s="140"/>
      <c r="B855" s="143"/>
      <c r="C855" s="143" t="s">
        <v>2420</v>
      </c>
      <c r="D855" s="143" t="s">
        <v>501</v>
      </c>
      <c r="E855" s="143" t="s">
        <v>80</v>
      </c>
      <c r="F855" s="143" t="s">
        <v>1434</v>
      </c>
      <c r="G855" s="143" t="s">
        <v>1681</v>
      </c>
      <c r="H855" s="143" t="s">
        <v>160</v>
      </c>
      <c r="I855" s="199">
        <v>28378</v>
      </c>
      <c r="J855" s="182"/>
      <c r="K855" s="182">
        <v>1</v>
      </c>
      <c r="L855" s="155"/>
      <c r="M855" s="155"/>
      <c r="N855" s="155"/>
      <c r="O855" s="155"/>
      <c r="P855" s="155"/>
      <c r="Q855" s="155">
        <v>1</v>
      </c>
      <c r="R855" s="155" t="s">
        <v>1348</v>
      </c>
      <c r="S855" s="155"/>
      <c r="T855" s="155"/>
      <c r="U855" s="183" t="s">
        <v>861</v>
      </c>
      <c r="V855" s="143" t="s">
        <v>503</v>
      </c>
      <c r="W855" s="143" t="s">
        <v>298</v>
      </c>
      <c r="X855" s="143" t="s">
        <v>227</v>
      </c>
      <c r="Y855" s="184">
        <v>9122762021</v>
      </c>
      <c r="Z855" s="143"/>
      <c r="AA855" s="159" t="s">
        <v>524</v>
      </c>
      <c r="AB855" s="143" t="s">
        <v>528</v>
      </c>
      <c r="AC855" s="155">
        <v>1</v>
      </c>
      <c r="AD855" s="155"/>
      <c r="AE855" s="155"/>
      <c r="AF855" s="155"/>
      <c r="AG855" s="155"/>
      <c r="AH855" s="143"/>
      <c r="AI855" s="158"/>
    </row>
    <row r="856" spans="1:35">
      <c r="A856" s="140"/>
      <c r="B856" s="143"/>
      <c r="C856" s="226" t="s">
        <v>2420</v>
      </c>
      <c r="D856" s="143" t="s">
        <v>501</v>
      </c>
      <c r="E856" s="143" t="s">
        <v>80</v>
      </c>
      <c r="F856" s="143" t="s">
        <v>2221</v>
      </c>
      <c r="G856" s="143" t="s">
        <v>3114</v>
      </c>
      <c r="H856" s="143" t="s">
        <v>120</v>
      </c>
      <c r="I856" s="198"/>
      <c r="J856" s="155"/>
      <c r="K856" s="155">
        <v>1</v>
      </c>
      <c r="L856" s="155"/>
      <c r="M856" s="155"/>
      <c r="N856" s="155"/>
      <c r="O856" s="155"/>
      <c r="P856" s="155"/>
      <c r="Q856" s="155">
        <v>1</v>
      </c>
      <c r="R856" s="155" t="s">
        <v>1045</v>
      </c>
      <c r="S856" s="155"/>
      <c r="T856" s="155"/>
      <c r="U856" s="143"/>
      <c r="V856" s="143" t="s">
        <v>503</v>
      </c>
      <c r="W856" s="143" t="s">
        <v>298</v>
      </c>
      <c r="X856" s="143" t="s">
        <v>227</v>
      </c>
      <c r="Y856" s="143">
        <v>9351157060</v>
      </c>
      <c r="Z856" s="143"/>
      <c r="AA856" s="230" t="s">
        <v>877</v>
      </c>
      <c r="AB856" s="230" t="s">
        <v>528</v>
      </c>
      <c r="AC856" s="155">
        <v>1</v>
      </c>
      <c r="AD856" s="155"/>
      <c r="AE856" s="155"/>
      <c r="AF856" s="155"/>
      <c r="AG856" s="155"/>
      <c r="AH856" s="143"/>
      <c r="AI856" s="158"/>
    </row>
    <row r="857" spans="1:35">
      <c r="A857" s="140"/>
      <c r="B857" s="143"/>
      <c r="C857" s="226" t="s">
        <v>2420</v>
      </c>
      <c r="D857" s="230" t="s">
        <v>501</v>
      </c>
      <c r="E857" s="143" t="s">
        <v>80</v>
      </c>
      <c r="F857" s="143" t="s">
        <v>3112</v>
      </c>
      <c r="G857" s="143" t="s">
        <v>3115</v>
      </c>
      <c r="H857" s="143"/>
      <c r="I857" s="198">
        <v>26696</v>
      </c>
      <c r="J857" s="155">
        <v>1</v>
      </c>
      <c r="K857" s="155"/>
      <c r="L857" s="155"/>
      <c r="M857" s="155"/>
      <c r="N857" s="155"/>
      <c r="O857" s="155"/>
      <c r="P857" s="155"/>
      <c r="Q857" s="155">
        <v>1</v>
      </c>
      <c r="R857" s="155" t="s">
        <v>1009</v>
      </c>
      <c r="S857" s="155"/>
      <c r="T857" s="155"/>
      <c r="U857" s="143"/>
      <c r="V857" s="143" t="s">
        <v>503</v>
      </c>
      <c r="W857" s="143" t="s">
        <v>298</v>
      </c>
      <c r="X857" s="143" t="s">
        <v>227</v>
      </c>
      <c r="Y857" s="143">
        <v>9157888610</v>
      </c>
      <c r="Z857" s="143"/>
      <c r="AA857" s="230" t="s">
        <v>877</v>
      </c>
      <c r="AB857" s="230" t="s">
        <v>528</v>
      </c>
      <c r="AC857" s="155">
        <v>1</v>
      </c>
      <c r="AD857" s="155"/>
      <c r="AE857" s="155"/>
      <c r="AF857" s="155"/>
      <c r="AG857" s="155"/>
      <c r="AH857" s="143"/>
      <c r="AI857" s="158"/>
    </row>
    <row r="858" spans="1:35">
      <c r="A858" s="140"/>
      <c r="B858" s="143"/>
      <c r="C858" s="143" t="s">
        <v>2420</v>
      </c>
      <c r="D858" s="143" t="s">
        <v>501</v>
      </c>
      <c r="E858" s="143" t="s">
        <v>80</v>
      </c>
      <c r="F858" s="143" t="s">
        <v>3116</v>
      </c>
      <c r="G858" s="143" t="s">
        <v>3117</v>
      </c>
      <c r="H858" s="143" t="s">
        <v>120</v>
      </c>
      <c r="I858" s="198"/>
      <c r="J858" s="155">
        <v>1</v>
      </c>
      <c r="K858" s="155"/>
      <c r="L858" s="155"/>
      <c r="M858" s="155"/>
      <c r="N858" s="155"/>
      <c r="O858" s="155"/>
      <c r="P858" s="155"/>
      <c r="Q858" s="155">
        <v>1</v>
      </c>
      <c r="R858" s="155" t="s">
        <v>1266</v>
      </c>
      <c r="S858" s="155"/>
      <c r="T858" s="155"/>
      <c r="U858" s="143"/>
      <c r="V858" s="143" t="s">
        <v>503</v>
      </c>
      <c r="W858" s="143" t="s">
        <v>298</v>
      </c>
      <c r="X858" s="143" t="s">
        <v>227</v>
      </c>
      <c r="Y858" s="143">
        <v>9668028489</v>
      </c>
      <c r="Z858" s="143"/>
      <c r="AA858" s="159" t="s">
        <v>524</v>
      </c>
      <c r="AB858" s="230" t="s">
        <v>528</v>
      </c>
      <c r="AC858" s="155">
        <v>1</v>
      </c>
      <c r="AD858" s="155"/>
      <c r="AE858" s="155"/>
      <c r="AF858" s="155"/>
      <c r="AG858" s="155"/>
      <c r="AH858" s="143"/>
      <c r="AI858" s="158"/>
    </row>
    <row r="859" spans="1:35">
      <c r="A859" s="140"/>
      <c r="B859" s="143"/>
      <c r="C859" s="143" t="s">
        <v>2420</v>
      </c>
      <c r="D859" s="143" t="s">
        <v>501</v>
      </c>
      <c r="E859" s="143" t="s">
        <v>80</v>
      </c>
      <c r="F859" s="153" t="s">
        <v>430</v>
      </c>
      <c r="G859" s="153" t="s">
        <v>492</v>
      </c>
      <c r="H859" s="153"/>
      <c r="I859" s="227">
        <v>21829</v>
      </c>
      <c r="J859" s="154"/>
      <c r="K859" s="154">
        <v>1</v>
      </c>
      <c r="L859" s="155"/>
      <c r="M859" s="155">
        <v>1</v>
      </c>
      <c r="N859" s="155"/>
      <c r="O859" s="155"/>
      <c r="P859" s="155"/>
      <c r="Q859" s="155">
        <v>1</v>
      </c>
      <c r="R859" s="155" t="s">
        <v>1348</v>
      </c>
      <c r="S859" s="155"/>
      <c r="T859" s="155"/>
      <c r="U859" s="156" t="s">
        <v>502</v>
      </c>
      <c r="V859" s="153" t="s">
        <v>503</v>
      </c>
      <c r="W859" s="143" t="s">
        <v>298</v>
      </c>
      <c r="X859" s="157" t="s">
        <v>227</v>
      </c>
      <c r="Y859" s="157">
        <v>9474460613</v>
      </c>
      <c r="Z859" s="143"/>
      <c r="AA859" s="162" t="s">
        <v>524</v>
      </c>
      <c r="AB859" s="143" t="s">
        <v>528</v>
      </c>
      <c r="AC859" s="155">
        <v>1</v>
      </c>
      <c r="AD859" s="155"/>
      <c r="AE859" s="155"/>
      <c r="AF859" s="155"/>
      <c r="AG859" s="155"/>
      <c r="AH859" s="143"/>
      <c r="AI859" s="158"/>
    </row>
    <row r="860" spans="1:35">
      <c r="A860" s="140"/>
      <c r="B860" s="143"/>
      <c r="C860" s="226" t="s">
        <v>2420</v>
      </c>
      <c r="D860" s="230" t="s">
        <v>501</v>
      </c>
      <c r="E860" s="143" t="s">
        <v>80</v>
      </c>
      <c r="F860" s="230" t="s">
        <v>3078</v>
      </c>
      <c r="G860" s="230" t="s">
        <v>994</v>
      </c>
      <c r="H860" s="143"/>
      <c r="I860" s="198"/>
      <c r="J860" s="155">
        <v>1</v>
      </c>
      <c r="K860" s="155"/>
      <c r="L860" s="155"/>
      <c r="M860" s="155"/>
      <c r="N860" s="155"/>
      <c r="O860" s="155"/>
      <c r="P860" s="155"/>
      <c r="Q860" s="155">
        <v>1</v>
      </c>
      <c r="R860" s="229" t="s">
        <v>3079</v>
      </c>
      <c r="S860" s="155"/>
      <c r="T860" s="155"/>
      <c r="U860" s="143"/>
      <c r="V860" s="153" t="s">
        <v>503</v>
      </c>
      <c r="W860" s="143" t="s">
        <v>298</v>
      </c>
      <c r="X860" s="230" t="s">
        <v>227</v>
      </c>
      <c r="Y860" s="143">
        <v>9363464456</v>
      </c>
      <c r="Z860" s="143"/>
      <c r="AA860" s="159" t="s">
        <v>524</v>
      </c>
      <c r="AB860" s="230" t="s">
        <v>528</v>
      </c>
      <c r="AC860" s="155">
        <v>1</v>
      </c>
      <c r="AD860" s="155"/>
      <c r="AE860" s="155"/>
      <c r="AF860" s="155"/>
      <c r="AG860" s="155"/>
      <c r="AH860" s="143"/>
      <c r="AI860" s="158"/>
    </row>
    <row r="861" spans="1:35">
      <c r="A861" s="140"/>
      <c r="B861" s="143"/>
      <c r="C861" s="226" t="s">
        <v>2420</v>
      </c>
      <c r="D861" s="230" t="s">
        <v>501</v>
      </c>
      <c r="E861" s="143" t="s">
        <v>80</v>
      </c>
      <c r="F861" s="143" t="s">
        <v>1090</v>
      </c>
      <c r="G861" s="143" t="s">
        <v>385</v>
      </c>
      <c r="H861" s="143" t="s">
        <v>588</v>
      </c>
      <c r="I861" s="198">
        <v>35374</v>
      </c>
      <c r="J861" s="155">
        <v>1</v>
      </c>
      <c r="K861" s="155"/>
      <c r="L861" s="155"/>
      <c r="M861" s="155"/>
      <c r="N861" s="155"/>
      <c r="O861" s="155"/>
      <c r="P861" s="155"/>
      <c r="Q861" s="155">
        <v>1</v>
      </c>
      <c r="R861" s="155" t="s">
        <v>962</v>
      </c>
      <c r="S861" s="155"/>
      <c r="T861" s="155"/>
      <c r="U861" s="143"/>
      <c r="V861" s="143" t="s">
        <v>503</v>
      </c>
      <c r="W861" s="143" t="s">
        <v>298</v>
      </c>
      <c r="X861" s="143" t="s">
        <v>227</v>
      </c>
      <c r="Y861" s="143">
        <v>9070276913</v>
      </c>
      <c r="Z861" s="143"/>
      <c r="AA861" s="157" t="s">
        <v>525</v>
      </c>
      <c r="AB861" s="143" t="s">
        <v>528</v>
      </c>
      <c r="AC861" s="155">
        <v>1</v>
      </c>
      <c r="AD861" s="155"/>
      <c r="AE861" s="155"/>
      <c r="AF861" s="155"/>
      <c r="AG861" s="155"/>
      <c r="AH861" s="143"/>
      <c r="AI861" s="158"/>
    </row>
    <row r="862" spans="1:35">
      <c r="A862" s="140"/>
      <c r="B862" s="143"/>
      <c r="C862" s="226" t="s">
        <v>2420</v>
      </c>
      <c r="D862" s="230" t="s">
        <v>501</v>
      </c>
      <c r="E862" s="143" t="s">
        <v>80</v>
      </c>
      <c r="F862" s="143" t="s">
        <v>3118</v>
      </c>
      <c r="G862" s="143" t="s">
        <v>3119</v>
      </c>
      <c r="H862" s="143" t="s">
        <v>126</v>
      </c>
      <c r="I862" s="198">
        <v>35616</v>
      </c>
      <c r="J862" s="155">
        <v>1</v>
      </c>
      <c r="K862" s="155"/>
      <c r="L862" s="155"/>
      <c r="M862" s="155"/>
      <c r="N862" s="155"/>
      <c r="O862" s="155"/>
      <c r="P862" s="155"/>
      <c r="Q862" s="155">
        <v>1</v>
      </c>
      <c r="R862" s="155" t="s">
        <v>1009</v>
      </c>
      <c r="S862" s="155"/>
      <c r="T862" s="155"/>
      <c r="U862" s="143" t="s">
        <v>502</v>
      </c>
      <c r="V862" s="143" t="s">
        <v>503</v>
      </c>
      <c r="W862" s="143" t="s">
        <v>298</v>
      </c>
      <c r="X862" s="143" t="s">
        <v>227</v>
      </c>
      <c r="Y862" s="143">
        <v>9666441078</v>
      </c>
      <c r="Z862" s="143"/>
      <c r="AA862" s="159" t="s">
        <v>524</v>
      </c>
      <c r="AB862" s="230" t="s">
        <v>528</v>
      </c>
      <c r="AC862" s="155">
        <v>1</v>
      </c>
      <c r="AD862" s="155"/>
      <c r="AE862" s="155"/>
      <c r="AF862" s="155"/>
      <c r="AG862" s="155"/>
      <c r="AH862" s="143"/>
      <c r="AI862" s="158"/>
    </row>
    <row r="863" spans="1:35">
      <c r="A863" s="140"/>
      <c r="B863" s="143"/>
      <c r="C863" s="226" t="s">
        <v>2420</v>
      </c>
      <c r="D863" s="230" t="s">
        <v>501</v>
      </c>
      <c r="E863" s="143" t="s">
        <v>80</v>
      </c>
      <c r="F863" s="143" t="s">
        <v>3120</v>
      </c>
      <c r="G863" s="143" t="s">
        <v>3121</v>
      </c>
      <c r="H863" s="143" t="s">
        <v>113</v>
      </c>
      <c r="I863" s="198">
        <v>30624</v>
      </c>
      <c r="J863" s="155">
        <v>1</v>
      </c>
      <c r="K863" s="155"/>
      <c r="L863" s="155"/>
      <c r="M863" s="155"/>
      <c r="N863" s="155"/>
      <c r="O863" s="155"/>
      <c r="P863" s="155"/>
      <c r="Q863" s="155">
        <v>1</v>
      </c>
      <c r="R863" s="155" t="s">
        <v>1009</v>
      </c>
      <c r="S863" s="155"/>
      <c r="T863" s="155"/>
      <c r="U863" s="143" t="s">
        <v>502</v>
      </c>
      <c r="V863" s="143" t="s">
        <v>503</v>
      </c>
      <c r="W863" s="143" t="s">
        <v>298</v>
      </c>
      <c r="X863" s="143" t="s">
        <v>227</v>
      </c>
      <c r="Y863" s="143">
        <v>9263873718</v>
      </c>
      <c r="Z863" s="143"/>
      <c r="AA863" s="159" t="s">
        <v>524</v>
      </c>
      <c r="AB863" s="230" t="s">
        <v>528</v>
      </c>
      <c r="AC863" s="155">
        <v>1</v>
      </c>
      <c r="AD863" s="155"/>
      <c r="AE863" s="155"/>
      <c r="AF863" s="155"/>
      <c r="AG863" s="155"/>
      <c r="AH863" s="143"/>
      <c r="AI863" s="158"/>
    </row>
    <row r="864" spans="1:35">
      <c r="A864" s="140"/>
      <c r="B864" s="143"/>
      <c r="C864" s="226" t="s">
        <v>2420</v>
      </c>
      <c r="D864" s="230" t="s">
        <v>501</v>
      </c>
      <c r="E864" s="143" t="s">
        <v>80</v>
      </c>
      <c r="F864" s="143" t="s">
        <v>1268</v>
      </c>
      <c r="G864" s="143" t="s">
        <v>3122</v>
      </c>
      <c r="H864" s="143" t="s">
        <v>286</v>
      </c>
      <c r="I864" s="198">
        <v>23478</v>
      </c>
      <c r="J864" s="155">
        <v>1</v>
      </c>
      <c r="K864" s="155" t="s">
        <v>93</v>
      </c>
      <c r="L864" s="155">
        <v>1</v>
      </c>
      <c r="M864" s="155"/>
      <c r="N864" s="155"/>
      <c r="O864" s="155"/>
      <c r="P864" s="155"/>
      <c r="Q864" s="155"/>
      <c r="R864" s="155"/>
      <c r="S864" s="155"/>
      <c r="T864" s="155"/>
      <c r="U864" s="143" t="s">
        <v>502</v>
      </c>
      <c r="V864" s="143" t="s">
        <v>503</v>
      </c>
      <c r="W864" s="143" t="s">
        <v>298</v>
      </c>
      <c r="X864" s="143" t="s">
        <v>227</v>
      </c>
      <c r="Y864" s="143">
        <v>9366875475</v>
      </c>
      <c r="Z864" s="143"/>
      <c r="AA864" s="159" t="s">
        <v>524</v>
      </c>
      <c r="AB864" s="230" t="s">
        <v>528</v>
      </c>
      <c r="AC864" s="155">
        <v>1</v>
      </c>
      <c r="AD864" s="155"/>
      <c r="AE864" s="155"/>
      <c r="AF864" s="155"/>
      <c r="AG864" s="155"/>
      <c r="AH864" s="143"/>
      <c r="AI864" s="158"/>
    </row>
    <row r="865" spans="1:35">
      <c r="A865" s="140"/>
      <c r="B865" s="143"/>
      <c r="C865" s="226" t="s">
        <v>2420</v>
      </c>
      <c r="D865" s="230" t="s">
        <v>501</v>
      </c>
      <c r="E865" s="143" t="s">
        <v>80</v>
      </c>
      <c r="F865" s="143" t="s">
        <v>908</v>
      </c>
      <c r="G865" s="143" t="s">
        <v>2640</v>
      </c>
      <c r="H865" s="143" t="s">
        <v>126</v>
      </c>
      <c r="I865" s="198">
        <v>21932</v>
      </c>
      <c r="J865" s="155">
        <v>1</v>
      </c>
      <c r="K865" s="155"/>
      <c r="L865" s="155">
        <v>1</v>
      </c>
      <c r="M865" s="155"/>
      <c r="N865" s="155"/>
      <c r="O865" s="155"/>
      <c r="P865" s="155"/>
      <c r="Q865" s="155"/>
      <c r="R865" s="155"/>
      <c r="S865" s="155"/>
      <c r="T865" s="155"/>
      <c r="U865" s="143"/>
      <c r="V865" s="143" t="s">
        <v>503</v>
      </c>
      <c r="W865" s="143" t="s">
        <v>298</v>
      </c>
      <c r="X865" s="143" t="s">
        <v>227</v>
      </c>
      <c r="Y865" s="143"/>
      <c r="Z865" s="143"/>
      <c r="AA865" s="159" t="s">
        <v>524</v>
      </c>
      <c r="AB865" s="230" t="s">
        <v>528</v>
      </c>
      <c r="AC865" s="155">
        <v>1</v>
      </c>
      <c r="AD865" s="155"/>
      <c r="AE865" s="155"/>
      <c r="AF865" s="155"/>
      <c r="AG865" s="155"/>
      <c r="AH865" s="143"/>
      <c r="AI865" s="158"/>
    </row>
    <row r="866" spans="1:35">
      <c r="A866" s="140"/>
      <c r="B866" s="143"/>
      <c r="C866" s="226" t="s">
        <v>2420</v>
      </c>
      <c r="D866" s="230" t="s">
        <v>501</v>
      </c>
      <c r="E866" s="143" t="s">
        <v>80</v>
      </c>
      <c r="F866" s="143" t="s">
        <v>908</v>
      </c>
      <c r="G866" s="143" t="s">
        <v>683</v>
      </c>
      <c r="H866" s="143" t="s">
        <v>126</v>
      </c>
      <c r="I866" s="198">
        <v>26360</v>
      </c>
      <c r="J866" s="155">
        <v>1</v>
      </c>
      <c r="K866" s="155"/>
      <c r="L866" s="155">
        <v>1</v>
      </c>
      <c r="M866" s="155"/>
      <c r="N866" s="155"/>
      <c r="O866" s="155"/>
      <c r="P866" s="155"/>
      <c r="Q866" s="155"/>
      <c r="R866" s="155"/>
      <c r="S866" s="155"/>
      <c r="T866" s="155"/>
      <c r="U866" s="143"/>
      <c r="V866" s="143" t="s">
        <v>503</v>
      </c>
      <c r="W866" s="143" t="s">
        <v>298</v>
      </c>
      <c r="X866" s="143" t="s">
        <v>227</v>
      </c>
      <c r="Y866" s="143">
        <v>9057137664</v>
      </c>
      <c r="Z866" s="143"/>
      <c r="AA866" s="159" t="s">
        <v>524</v>
      </c>
      <c r="AB866" s="230" t="s">
        <v>528</v>
      </c>
      <c r="AC866" s="155">
        <v>1</v>
      </c>
      <c r="AD866" s="155"/>
      <c r="AE866" s="155"/>
      <c r="AF866" s="155"/>
      <c r="AG866" s="155"/>
      <c r="AH866" s="143"/>
      <c r="AI866" s="158"/>
    </row>
    <row r="867" spans="1:35">
      <c r="A867" s="140"/>
      <c r="B867" s="143"/>
      <c r="C867" s="226" t="s">
        <v>2420</v>
      </c>
      <c r="D867" s="230" t="s">
        <v>501</v>
      </c>
      <c r="E867" s="143" t="s">
        <v>80</v>
      </c>
      <c r="F867" s="143" t="s">
        <v>3123</v>
      </c>
      <c r="G867" s="143" t="s">
        <v>689</v>
      </c>
      <c r="H867" s="143" t="s">
        <v>115</v>
      </c>
      <c r="I867" s="198">
        <v>30278</v>
      </c>
      <c r="J867" s="155">
        <v>1</v>
      </c>
      <c r="K867" s="155"/>
      <c r="L867" s="155">
        <v>1</v>
      </c>
      <c r="M867" s="155"/>
      <c r="N867" s="155"/>
      <c r="O867" s="155"/>
      <c r="P867" s="155"/>
      <c r="Q867" s="155"/>
      <c r="R867" s="155"/>
      <c r="S867" s="155"/>
      <c r="T867" s="155"/>
      <c r="U867" s="143"/>
      <c r="V867" s="143" t="s">
        <v>503</v>
      </c>
      <c r="W867" s="143" t="s">
        <v>298</v>
      </c>
      <c r="X867" s="143" t="s">
        <v>227</v>
      </c>
      <c r="Y867" s="143">
        <v>9659665687</v>
      </c>
      <c r="Z867" s="143"/>
      <c r="AA867" s="159" t="s">
        <v>524</v>
      </c>
      <c r="AB867" s="230" t="s">
        <v>528</v>
      </c>
      <c r="AC867" s="155">
        <v>1</v>
      </c>
      <c r="AD867" s="155"/>
      <c r="AE867" s="155"/>
      <c r="AF867" s="155"/>
      <c r="AG867" s="155"/>
      <c r="AH867" s="143"/>
      <c r="AI867" s="158"/>
    </row>
    <row r="868" spans="1:35">
      <c r="A868" s="140"/>
      <c r="B868" s="143"/>
      <c r="C868" s="226" t="s">
        <v>2420</v>
      </c>
      <c r="D868" s="230" t="s">
        <v>501</v>
      </c>
      <c r="E868" s="143" t="s">
        <v>80</v>
      </c>
      <c r="F868" s="143" t="s">
        <v>1876</v>
      </c>
      <c r="G868" s="143" t="s">
        <v>3124</v>
      </c>
      <c r="H868" s="143" t="s">
        <v>136</v>
      </c>
      <c r="I868" s="198">
        <v>35293</v>
      </c>
      <c r="J868" s="155">
        <v>1</v>
      </c>
      <c r="K868" s="155"/>
      <c r="L868" s="155">
        <v>1</v>
      </c>
      <c r="M868" s="155"/>
      <c r="N868" s="155"/>
      <c r="O868" s="155"/>
      <c r="P868" s="155"/>
      <c r="Q868" s="155"/>
      <c r="R868" s="155"/>
      <c r="S868" s="155"/>
      <c r="T868" s="155"/>
      <c r="U868" s="143"/>
      <c r="V868" s="143" t="s">
        <v>503</v>
      </c>
      <c r="W868" s="143" t="s">
        <v>298</v>
      </c>
      <c r="X868" s="143" t="s">
        <v>227</v>
      </c>
      <c r="Y868" s="143"/>
      <c r="Z868" s="143"/>
      <c r="AA868" s="159" t="s">
        <v>524</v>
      </c>
      <c r="AB868" s="230" t="s">
        <v>528</v>
      </c>
      <c r="AC868" s="155">
        <v>1</v>
      </c>
      <c r="AD868" s="155"/>
      <c r="AE868" s="155"/>
      <c r="AF868" s="155"/>
      <c r="AG868" s="155"/>
      <c r="AH868" s="143"/>
      <c r="AI868" s="158"/>
    </row>
    <row r="869" spans="1:35">
      <c r="A869" s="140"/>
      <c r="B869" s="143"/>
      <c r="C869" s="226" t="s">
        <v>2420</v>
      </c>
      <c r="D869" s="230" t="s">
        <v>501</v>
      </c>
      <c r="E869" s="143" t="s">
        <v>80</v>
      </c>
      <c r="F869" s="143" t="s">
        <v>3125</v>
      </c>
      <c r="G869" s="143" t="s">
        <v>1085</v>
      </c>
      <c r="H869" s="143" t="s">
        <v>120</v>
      </c>
      <c r="I869" s="198"/>
      <c r="J869" s="155">
        <v>1</v>
      </c>
      <c r="K869" s="155"/>
      <c r="L869" s="155">
        <v>1</v>
      </c>
      <c r="M869" s="155"/>
      <c r="N869" s="155"/>
      <c r="O869" s="155"/>
      <c r="P869" s="155"/>
      <c r="Q869" s="155"/>
      <c r="R869" s="155"/>
      <c r="S869" s="155"/>
      <c r="T869" s="155"/>
      <c r="U869" s="143"/>
      <c r="V869" s="143" t="s">
        <v>503</v>
      </c>
      <c r="W869" s="143" t="s">
        <v>298</v>
      </c>
      <c r="X869" s="143" t="s">
        <v>227</v>
      </c>
      <c r="Y869" s="143"/>
      <c r="Z869" s="143"/>
      <c r="AA869" s="159" t="s">
        <v>524</v>
      </c>
      <c r="AB869" s="230" t="s">
        <v>528</v>
      </c>
      <c r="AC869" s="155">
        <v>1</v>
      </c>
      <c r="AD869" s="155"/>
      <c r="AE869" s="155"/>
      <c r="AF869" s="155"/>
      <c r="AG869" s="155"/>
      <c r="AH869" s="143"/>
      <c r="AI869" s="158"/>
    </row>
    <row r="870" spans="1:35">
      <c r="A870" s="140"/>
      <c r="B870" s="143"/>
      <c r="C870" s="226" t="s">
        <v>2420</v>
      </c>
      <c r="D870" s="230" t="s">
        <v>501</v>
      </c>
      <c r="E870" s="143" t="s">
        <v>80</v>
      </c>
      <c r="F870" s="143" t="s">
        <v>3070</v>
      </c>
      <c r="G870" s="143" t="s">
        <v>3126</v>
      </c>
      <c r="H870" s="143" t="s">
        <v>126</v>
      </c>
      <c r="I870" s="198"/>
      <c r="J870" s="155">
        <v>1</v>
      </c>
      <c r="K870" s="155"/>
      <c r="L870" s="155">
        <v>1</v>
      </c>
      <c r="M870" s="155"/>
      <c r="N870" s="155"/>
      <c r="O870" s="155"/>
      <c r="P870" s="155"/>
      <c r="Q870" s="155"/>
      <c r="R870" s="155"/>
      <c r="S870" s="155"/>
      <c r="T870" s="155"/>
      <c r="U870" s="143"/>
      <c r="V870" s="143" t="s">
        <v>503</v>
      </c>
      <c r="W870" s="143" t="s">
        <v>298</v>
      </c>
      <c r="X870" s="143" t="s">
        <v>227</v>
      </c>
      <c r="Y870" s="143"/>
      <c r="Z870" s="143"/>
      <c r="AA870" s="159" t="s">
        <v>524</v>
      </c>
      <c r="AB870" s="230" t="s">
        <v>528</v>
      </c>
      <c r="AC870" s="155">
        <v>1</v>
      </c>
      <c r="AD870" s="155"/>
      <c r="AE870" s="155"/>
      <c r="AF870" s="155"/>
      <c r="AG870" s="155"/>
      <c r="AH870" s="143"/>
      <c r="AI870" s="158"/>
    </row>
    <row r="871" spans="1:35">
      <c r="A871" s="140"/>
      <c r="B871" s="143"/>
      <c r="C871" s="226" t="s">
        <v>2420</v>
      </c>
      <c r="D871" s="230" t="s">
        <v>501</v>
      </c>
      <c r="E871" s="143" t="s">
        <v>80</v>
      </c>
      <c r="F871" s="143" t="s">
        <v>3070</v>
      </c>
      <c r="G871" s="143" t="s">
        <v>3127</v>
      </c>
      <c r="H871" s="143" t="s">
        <v>113</v>
      </c>
      <c r="I871" s="198">
        <v>30778</v>
      </c>
      <c r="J871" s="155">
        <v>1</v>
      </c>
      <c r="K871" s="155"/>
      <c r="L871" s="155">
        <v>1</v>
      </c>
      <c r="M871" s="155"/>
      <c r="N871" s="155"/>
      <c r="O871" s="155"/>
      <c r="P871" s="155"/>
      <c r="Q871" s="155"/>
      <c r="R871" s="155"/>
      <c r="S871" s="155"/>
      <c r="T871" s="155"/>
      <c r="U871" s="143"/>
      <c r="V871" s="143" t="s">
        <v>503</v>
      </c>
      <c r="W871" s="143" t="s">
        <v>298</v>
      </c>
      <c r="X871" s="143" t="s">
        <v>227</v>
      </c>
      <c r="Y871" s="143"/>
      <c r="Z871" s="143"/>
      <c r="AA871" s="159" t="s">
        <v>524</v>
      </c>
      <c r="AB871" s="230" t="s">
        <v>528</v>
      </c>
      <c r="AC871" s="155">
        <v>1</v>
      </c>
      <c r="AD871" s="155"/>
      <c r="AE871" s="155"/>
      <c r="AF871" s="155"/>
      <c r="AG871" s="155"/>
      <c r="AH871" s="143"/>
      <c r="AI871" s="158"/>
    </row>
    <row r="872" spans="1:35">
      <c r="A872" s="140"/>
      <c r="B872" s="143"/>
      <c r="C872" s="226" t="s">
        <v>2420</v>
      </c>
      <c r="D872" s="230" t="s">
        <v>501</v>
      </c>
      <c r="E872" s="143" t="s">
        <v>80</v>
      </c>
      <c r="F872" s="143" t="s">
        <v>312</v>
      </c>
      <c r="G872" s="143" t="s">
        <v>343</v>
      </c>
      <c r="H872" s="143" t="s">
        <v>136</v>
      </c>
      <c r="I872" s="198">
        <v>30648</v>
      </c>
      <c r="J872" s="155">
        <v>1</v>
      </c>
      <c r="K872" s="155"/>
      <c r="L872" s="155" t="s">
        <v>93</v>
      </c>
      <c r="M872" s="155"/>
      <c r="N872" s="155"/>
      <c r="O872" s="155"/>
      <c r="P872" s="155"/>
      <c r="Q872" s="155">
        <v>1</v>
      </c>
      <c r="R872" s="155" t="s">
        <v>1009</v>
      </c>
      <c r="S872" s="155"/>
      <c r="T872" s="155"/>
      <c r="U872" s="143" t="s">
        <v>868</v>
      </c>
      <c r="V872" s="143" t="s">
        <v>513</v>
      </c>
      <c r="W872" s="143" t="s">
        <v>279</v>
      </c>
      <c r="X872" s="143" t="s">
        <v>227</v>
      </c>
      <c r="Y872" s="143">
        <v>9198568748</v>
      </c>
      <c r="Z872" s="143"/>
      <c r="AA872" s="230" t="s">
        <v>877</v>
      </c>
      <c r="AB872" s="230" t="s">
        <v>528</v>
      </c>
      <c r="AC872" s="155">
        <v>1</v>
      </c>
      <c r="AD872" s="155"/>
      <c r="AE872" s="155"/>
      <c r="AF872" s="155"/>
      <c r="AG872" s="155"/>
      <c r="AH872" s="143"/>
      <c r="AI872" s="158"/>
    </row>
    <row r="873" spans="1:35">
      <c r="A873" s="140"/>
      <c r="B873" s="143"/>
      <c r="C873" s="226" t="s">
        <v>2420</v>
      </c>
      <c r="D873" s="230" t="s">
        <v>501</v>
      </c>
      <c r="E873" s="143" t="s">
        <v>80</v>
      </c>
      <c r="F873" s="143" t="s">
        <v>3128</v>
      </c>
      <c r="G873" s="143" t="s">
        <v>1104</v>
      </c>
      <c r="H873" s="143" t="s">
        <v>1040</v>
      </c>
      <c r="I873" s="198">
        <v>21742</v>
      </c>
      <c r="J873" s="155">
        <v>1</v>
      </c>
      <c r="K873" s="155"/>
      <c r="L873" s="155">
        <v>1</v>
      </c>
      <c r="M873" s="155"/>
      <c r="N873" s="155"/>
      <c r="O873" s="155"/>
      <c r="P873" s="155"/>
      <c r="Q873" s="155"/>
      <c r="R873" s="155"/>
      <c r="S873" s="155"/>
      <c r="T873" s="155"/>
      <c r="U873" s="143" t="s">
        <v>2900</v>
      </c>
      <c r="V873" s="143" t="s">
        <v>503</v>
      </c>
      <c r="W873" s="143" t="s">
        <v>298</v>
      </c>
      <c r="X873" s="143" t="s">
        <v>227</v>
      </c>
      <c r="Y873" s="143"/>
      <c r="Z873" s="143"/>
      <c r="AA873" s="143" t="s">
        <v>525</v>
      </c>
      <c r="AB873" s="143" t="s">
        <v>528</v>
      </c>
      <c r="AC873" s="155">
        <v>1</v>
      </c>
      <c r="AD873" s="155"/>
      <c r="AE873" s="155"/>
      <c r="AF873" s="155"/>
      <c r="AG873" s="155"/>
      <c r="AH873" s="143"/>
      <c r="AI873" s="158"/>
    </row>
    <row r="874" spans="1:35">
      <c r="A874" s="140"/>
      <c r="B874" s="143"/>
      <c r="C874" s="226" t="s">
        <v>2420</v>
      </c>
      <c r="D874" s="230" t="s">
        <v>501</v>
      </c>
      <c r="E874" s="143" t="s">
        <v>80</v>
      </c>
      <c r="F874" s="143" t="s">
        <v>3128</v>
      </c>
      <c r="G874" s="143" t="s">
        <v>3129</v>
      </c>
      <c r="H874" s="143" t="s">
        <v>126</v>
      </c>
      <c r="I874" s="198">
        <v>34399</v>
      </c>
      <c r="J874" s="155">
        <v>1</v>
      </c>
      <c r="K874" s="155"/>
      <c r="L874" s="155">
        <v>1</v>
      </c>
      <c r="M874" s="155"/>
      <c r="N874" s="155"/>
      <c r="O874" s="155"/>
      <c r="P874" s="155"/>
      <c r="Q874" s="155"/>
      <c r="R874" s="155"/>
      <c r="S874" s="155"/>
      <c r="T874" s="155"/>
      <c r="U874" s="143" t="s">
        <v>2900</v>
      </c>
      <c r="V874" s="143" t="s">
        <v>503</v>
      </c>
      <c r="W874" s="143" t="s">
        <v>298</v>
      </c>
      <c r="X874" s="143" t="s">
        <v>227</v>
      </c>
      <c r="Y874" s="143"/>
      <c r="Z874" s="143"/>
      <c r="AA874" s="143" t="s">
        <v>877</v>
      </c>
      <c r="AB874" s="143" t="s">
        <v>528</v>
      </c>
      <c r="AC874" s="155">
        <v>1</v>
      </c>
      <c r="AD874" s="155"/>
      <c r="AE874" s="155"/>
      <c r="AF874" s="155"/>
      <c r="AG874" s="155"/>
      <c r="AH874" s="143"/>
      <c r="AI874" s="158"/>
    </row>
    <row r="875" spans="1:35">
      <c r="A875" s="231"/>
      <c r="B875" s="230"/>
      <c r="C875" s="226" t="s">
        <v>2420</v>
      </c>
      <c r="D875" s="230" t="s">
        <v>501</v>
      </c>
      <c r="E875" s="143" t="s">
        <v>80</v>
      </c>
      <c r="F875" s="230" t="s">
        <v>445</v>
      </c>
      <c r="G875" s="230" t="s">
        <v>446</v>
      </c>
      <c r="H875" s="230"/>
      <c r="I875" s="232"/>
      <c r="J875" s="229"/>
      <c r="K875" s="229">
        <v>1</v>
      </c>
      <c r="L875" s="229">
        <v>1</v>
      </c>
      <c r="M875" s="229"/>
      <c r="N875" s="229"/>
      <c r="O875" s="229"/>
      <c r="P875" s="229"/>
      <c r="Q875" s="229"/>
      <c r="R875" s="229"/>
      <c r="S875" s="229"/>
      <c r="T875" s="229"/>
      <c r="U875" s="230"/>
      <c r="V875" s="143" t="s">
        <v>503</v>
      </c>
      <c r="W875" s="143" t="s">
        <v>298</v>
      </c>
      <c r="X875" s="143" t="s">
        <v>227</v>
      </c>
      <c r="Y875" s="230"/>
      <c r="Z875" s="230"/>
      <c r="AA875" s="230" t="s">
        <v>524</v>
      </c>
      <c r="AB875" s="230" t="s">
        <v>528</v>
      </c>
      <c r="AC875" s="229">
        <v>1</v>
      </c>
      <c r="AD875" s="229"/>
      <c r="AE875" s="229"/>
      <c r="AF875" s="229"/>
      <c r="AG875" s="229"/>
      <c r="AH875" s="230"/>
      <c r="AI875" s="233"/>
    </row>
    <row r="876" spans="1:35">
      <c r="A876" s="140"/>
      <c r="B876" s="143"/>
      <c r="C876" s="226" t="s">
        <v>2420</v>
      </c>
      <c r="D876" s="230" t="s">
        <v>501</v>
      </c>
      <c r="E876" s="143" t="s">
        <v>80</v>
      </c>
      <c r="F876" s="230" t="s">
        <v>3070</v>
      </c>
      <c r="G876" s="230" t="s">
        <v>181</v>
      </c>
      <c r="H876" s="143"/>
      <c r="I876" s="198"/>
      <c r="J876" s="155">
        <v>1</v>
      </c>
      <c r="K876" s="155"/>
      <c r="L876" s="155"/>
      <c r="M876" s="155"/>
      <c r="N876" s="155"/>
      <c r="O876" s="155"/>
      <c r="P876" s="155"/>
      <c r="Q876" s="155"/>
      <c r="R876" s="229" t="s">
        <v>3071</v>
      </c>
      <c r="S876" s="155"/>
      <c r="T876" s="155"/>
      <c r="U876" s="143"/>
      <c r="V876" s="143" t="s">
        <v>503</v>
      </c>
      <c r="W876" s="143" t="s">
        <v>298</v>
      </c>
      <c r="X876" s="230" t="s">
        <v>227</v>
      </c>
      <c r="Y876" s="143"/>
      <c r="Z876" s="143"/>
      <c r="AA876" s="143" t="s">
        <v>524</v>
      </c>
      <c r="AB876" s="143" t="s">
        <v>528</v>
      </c>
      <c r="AC876" s="155">
        <v>1</v>
      </c>
      <c r="AD876" s="155"/>
      <c r="AE876" s="155"/>
      <c r="AF876" s="155"/>
      <c r="AG876" s="155"/>
      <c r="AH876" s="143"/>
      <c r="AI876" s="158"/>
    </row>
    <row r="877" spans="1:35">
      <c r="A877" s="140"/>
      <c r="B877" s="143"/>
      <c r="C877" s="226" t="s">
        <v>2420</v>
      </c>
      <c r="D877" s="230" t="s">
        <v>501</v>
      </c>
      <c r="E877" s="143" t="s">
        <v>80</v>
      </c>
      <c r="F877" s="230" t="s">
        <v>3072</v>
      </c>
      <c r="G877" s="230" t="s">
        <v>663</v>
      </c>
      <c r="H877" s="230" t="s">
        <v>3073</v>
      </c>
      <c r="I877" s="198"/>
      <c r="J877" s="155"/>
      <c r="K877" s="155">
        <v>1</v>
      </c>
      <c r="L877" s="155"/>
      <c r="M877" s="155"/>
      <c r="N877" s="155"/>
      <c r="O877" s="155"/>
      <c r="P877" s="155"/>
      <c r="Q877" s="155"/>
      <c r="R877" s="229" t="s">
        <v>1348</v>
      </c>
      <c r="S877" s="155"/>
      <c r="T877" s="155"/>
      <c r="U877" s="143"/>
      <c r="V877" s="143" t="s">
        <v>503</v>
      </c>
      <c r="W877" s="143" t="s">
        <v>298</v>
      </c>
      <c r="X877" s="230" t="s">
        <v>227</v>
      </c>
      <c r="Y877" s="143"/>
      <c r="Z877" s="143"/>
      <c r="AA877" s="143" t="s">
        <v>525</v>
      </c>
      <c r="AB877" s="143" t="s">
        <v>528</v>
      </c>
      <c r="AC877" s="155">
        <v>1</v>
      </c>
      <c r="AD877" s="155"/>
      <c r="AE877" s="155"/>
      <c r="AF877" s="155"/>
      <c r="AG877" s="155"/>
      <c r="AH877" s="143"/>
      <c r="AI877" s="158"/>
    </row>
    <row r="878" spans="1:35">
      <c r="A878" s="140"/>
      <c r="B878" s="143"/>
      <c r="C878" s="226" t="s">
        <v>2420</v>
      </c>
      <c r="D878" s="230" t="s">
        <v>501</v>
      </c>
      <c r="E878" s="143" t="s">
        <v>80</v>
      </c>
      <c r="F878" s="230" t="s">
        <v>3074</v>
      </c>
      <c r="G878" s="230" t="s">
        <v>3075</v>
      </c>
      <c r="H878" s="143"/>
      <c r="I878" s="198"/>
      <c r="J878" s="155"/>
      <c r="K878" s="155">
        <v>1</v>
      </c>
      <c r="L878" s="155"/>
      <c r="M878" s="155"/>
      <c r="N878" s="155"/>
      <c r="O878" s="155"/>
      <c r="P878" s="155"/>
      <c r="Q878" s="155"/>
      <c r="R878" s="229" t="s">
        <v>1348</v>
      </c>
      <c r="S878" s="155"/>
      <c r="T878" s="155"/>
      <c r="U878" s="143"/>
      <c r="V878" s="143" t="s">
        <v>503</v>
      </c>
      <c r="W878" s="143" t="s">
        <v>298</v>
      </c>
      <c r="X878" s="230" t="s">
        <v>227</v>
      </c>
      <c r="Y878" s="143"/>
      <c r="Z878" s="143"/>
      <c r="AA878" s="143" t="s">
        <v>525</v>
      </c>
      <c r="AB878" s="143" t="s">
        <v>528</v>
      </c>
      <c r="AC878" s="155">
        <v>1</v>
      </c>
      <c r="AD878" s="155"/>
      <c r="AE878" s="155"/>
      <c r="AF878" s="155"/>
      <c r="AG878" s="155"/>
      <c r="AH878" s="143"/>
      <c r="AI878" s="158"/>
    </row>
    <row r="879" spans="1:35">
      <c r="A879" s="140"/>
      <c r="B879" s="143"/>
      <c r="C879" s="226" t="s">
        <v>2420</v>
      </c>
      <c r="D879" s="230" t="s">
        <v>501</v>
      </c>
      <c r="E879" s="234" t="s">
        <v>3076</v>
      </c>
      <c r="F879" s="230" t="s">
        <v>3077</v>
      </c>
      <c r="G879" s="230" t="s">
        <v>1409</v>
      </c>
      <c r="H879" s="143"/>
      <c r="I879" s="198"/>
      <c r="J879" s="155"/>
      <c r="K879" s="155">
        <v>1</v>
      </c>
      <c r="L879" s="155"/>
      <c r="M879" s="155"/>
      <c r="N879" s="155"/>
      <c r="O879" s="155"/>
      <c r="P879" s="155"/>
      <c r="Q879" s="155">
        <v>1</v>
      </c>
      <c r="R879" s="229" t="s">
        <v>1045</v>
      </c>
      <c r="S879" s="155"/>
      <c r="T879" s="155"/>
      <c r="U879" s="143"/>
      <c r="V879" s="143" t="s">
        <v>503</v>
      </c>
      <c r="W879" s="143" t="s">
        <v>298</v>
      </c>
      <c r="X879" s="230" t="s">
        <v>227</v>
      </c>
      <c r="Y879" s="143"/>
      <c r="Z879" s="143"/>
      <c r="AA879" s="143" t="s">
        <v>524</v>
      </c>
      <c r="AB879" s="143" t="s">
        <v>528</v>
      </c>
      <c r="AC879" s="155">
        <v>1</v>
      </c>
      <c r="AD879" s="155"/>
      <c r="AE879" s="155"/>
      <c r="AF879" s="155"/>
      <c r="AG879" s="155"/>
      <c r="AH879" s="143"/>
      <c r="AI879" s="158"/>
    </row>
    <row r="880" spans="1:35">
      <c r="A880" s="140"/>
      <c r="B880" s="143"/>
      <c r="C880" s="226" t="s">
        <v>2420</v>
      </c>
      <c r="D880" s="230" t="s">
        <v>501</v>
      </c>
      <c r="E880" s="143" t="s">
        <v>80</v>
      </c>
      <c r="F880" s="230" t="s">
        <v>974</v>
      </c>
      <c r="G880" s="230" t="s">
        <v>745</v>
      </c>
      <c r="H880" s="143"/>
      <c r="I880" s="198"/>
      <c r="J880" s="155">
        <v>1</v>
      </c>
      <c r="K880" s="155"/>
      <c r="L880" s="155">
        <v>1</v>
      </c>
      <c r="M880" s="155"/>
      <c r="N880" s="155"/>
      <c r="O880" s="155"/>
      <c r="P880" s="155"/>
      <c r="Q880" s="155"/>
      <c r="R880" s="229"/>
      <c r="S880" s="155"/>
      <c r="T880" s="155"/>
      <c r="U880" s="143"/>
      <c r="V880" s="143" t="s">
        <v>503</v>
      </c>
      <c r="W880" s="143" t="s">
        <v>298</v>
      </c>
      <c r="X880" s="230" t="s">
        <v>227</v>
      </c>
      <c r="Y880" s="143"/>
      <c r="Z880" s="143"/>
      <c r="AA880" s="143" t="s">
        <v>877</v>
      </c>
      <c r="AB880" s="143" t="s">
        <v>528</v>
      </c>
      <c r="AC880" s="155">
        <v>1</v>
      </c>
      <c r="AD880" s="155"/>
      <c r="AE880" s="155"/>
      <c r="AF880" s="155"/>
      <c r="AG880" s="155"/>
      <c r="AH880" s="143"/>
      <c r="AI880" s="158"/>
    </row>
    <row r="881" spans="1:35">
      <c r="A881" s="140"/>
      <c r="B881" s="143"/>
      <c r="C881" s="226" t="s">
        <v>2420</v>
      </c>
      <c r="D881" s="230" t="s">
        <v>501</v>
      </c>
      <c r="E881" s="143" t="s">
        <v>80</v>
      </c>
      <c r="F881" s="143" t="s">
        <v>3078</v>
      </c>
      <c r="G881" s="143" t="s">
        <v>994</v>
      </c>
      <c r="H881" s="143"/>
      <c r="I881" s="198"/>
      <c r="J881" s="155">
        <v>1</v>
      </c>
      <c r="K881" s="155"/>
      <c r="L881" s="155"/>
      <c r="M881" s="155"/>
      <c r="N881" s="155"/>
      <c r="O881" s="155"/>
      <c r="P881" s="155"/>
      <c r="Q881" s="155">
        <v>1</v>
      </c>
      <c r="R881" s="229" t="s">
        <v>1045</v>
      </c>
      <c r="S881" s="155"/>
      <c r="T881" s="155"/>
      <c r="U881" s="143"/>
      <c r="V881" s="143"/>
      <c r="W881" s="143"/>
      <c r="X881" s="143"/>
      <c r="Y881" s="143"/>
      <c r="Z881" s="143"/>
      <c r="AA881" s="143"/>
      <c r="AB881" s="143"/>
      <c r="AC881" s="155"/>
      <c r="AD881" s="155"/>
      <c r="AE881" s="155"/>
      <c r="AF881" s="155"/>
      <c r="AG881" s="155"/>
      <c r="AH881" s="143"/>
      <c r="AI881" s="158"/>
    </row>
    <row r="882" spans="1:35">
      <c r="A882" s="140"/>
      <c r="B882" s="143"/>
      <c r="C882" s="226" t="s">
        <v>2420</v>
      </c>
      <c r="D882" s="230" t="s">
        <v>501</v>
      </c>
      <c r="E882" s="143" t="s">
        <v>80</v>
      </c>
      <c r="F882" s="230" t="s">
        <v>3080</v>
      </c>
      <c r="G882" s="230" t="s">
        <v>3081</v>
      </c>
      <c r="H882" s="143"/>
      <c r="I882" s="198"/>
      <c r="J882" s="155"/>
      <c r="K882" s="155">
        <v>1</v>
      </c>
      <c r="L882" s="155"/>
      <c r="M882" s="155"/>
      <c r="N882" s="155"/>
      <c r="O882" s="155"/>
      <c r="P882" s="155"/>
      <c r="Q882" s="155"/>
      <c r="R882" s="155"/>
      <c r="S882" s="155"/>
      <c r="T882" s="155"/>
      <c r="U882" s="143"/>
      <c r="V882" s="143" t="s">
        <v>503</v>
      </c>
      <c r="W882" s="143" t="s">
        <v>298</v>
      </c>
      <c r="X882" s="230" t="s">
        <v>227</v>
      </c>
      <c r="Y882" s="143"/>
      <c r="Z882" s="143"/>
      <c r="AA882" s="143" t="s">
        <v>877</v>
      </c>
      <c r="AB882" s="143" t="s">
        <v>528</v>
      </c>
      <c r="AC882" s="155">
        <v>1</v>
      </c>
      <c r="AD882" s="155"/>
      <c r="AE882" s="155"/>
      <c r="AF882" s="155"/>
      <c r="AG882" s="155"/>
      <c r="AH882" s="143"/>
      <c r="AI882" s="158"/>
    </row>
    <row r="883" spans="1:35">
      <c r="A883" s="140"/>
      <c r="B883" s="143"/>
      <c r="C883" s="226" t="s">
        <v>2420</v>
      </c>
      <c r="D883" s="230" t="s">
        <v>501</v>
      </c>
      <c r="E883" s="143" t="s">
        <v>80</v>
      </c>
      <c r="F883" s="230" t="s">
        <v>3082</v>
      </c>
      <c r="G883" s="230" t="s">
        <v>446</v>
      </c>
      <c r="H883" s="143"/>
      <c r="I883" s="198"/>
      <c r="J883" s="155"/>
      <c r="K883" s="155">
        <v>1</v>
      </c>
      <c r="L883" s="155"/>
      <c r="M883" s="155"/>
      <c r="N883" s="155"/>
      <c r="O883" s="155"/>
      <c r="P883" s="155"/>
      <c r="Q883" s="155"/>
      <c r="R883" s="155"/>
      <c r="S883" s="155"/>
      <c r="T883" s="155"/>
      <c r="U883" s="143"/>
      <c r="V883" s="143" t="s">
        <v>503</v>
      </c>
      <c r="W883" s="143" t="s">
        <v>298</v>
      </c>
      <c r="X883" s="230" t="s">
        <v>227</v>
      </c>
      <c r="Y883" s="143"/>
      <c r="Z883" s="143"/>
      <c r="AA883" s="143" t="s">
        <v>877</v>
      </c>
      <c r="AB883" s="143" t="s">
        <v>528</v>
      </c>
      <c r="AC883" s="155">
        <v>1</v>
      </c>
      <c r="AD883" s="155"/>
      <c r="AE883" s="155"/>
      <c r="AF883" s="155"/>
      <c r="AG883" s="155"/>
      <c r="AH883" s="143"/>
      <c r="AI883" s="158"/>
    </row>
    <row r="884" spans="1:35">
      <c r="A884" s="140"/>
      <c r="B884" s="143"/>
      <c r="C884" s="226" t="s">
        <v>2420</v>
      </c>
      <c r="D884" s="230" t="s">
        <v>501</v>
      </c>
      <c r="E884" s="143" t="s">
        <v>80</v>
      </c>
      <c r="F884" s="230" t="s">
        <v>1722</v>
      </c>
      <c r="G884" s="230" t="s">
        <v>1749</v>
      </c>
      <c r="H884" s="230" t="s">
        <v>3083</v>
      </c>
      <c r="I884" s="198"/>
      <c r="J884" s="155"/>
      <c r="K884" s="155">
        <v>1</v>
      </c>
      <c r="L884" s="155"/>
      <c r="M884" s="155"/>
      <c r="N884" s="155"/>
      <c r="O884" s="155"/>
      <c r="P884" s="155"/>
      <c r="Q884" s="155"/>
      <c r="R884" s="155"/>
      <c r="S884" s="155"/>
      <c r="T884" s="155"/>
      <c r="U884" s="143"/>
      <c r="V884" s="143" t="s">
        <v>503</v>
      </c>
      <c r="W884" s="143" t="s">
        <v>298</v>
      </c>
      <c r="X884" s="230" t="s">
        <v>227</v>
      </c>
      <c r="Y884" s="143"/>
      <c r="Z884" s="143"/>
      <c r="AA884" s="143" t="s">
        <v>877</v>
      </c>
      <c r="AB884" s="143" t="s">
        <v>528</v>
      </c>
      <c r="AC884" s="155">
        <v>1</v>
      </c>
      <c r="AD884" s="155"/>
      <c r="AE884" s="155"/>
      <c r="AF884" s="155"/>
      <c r="AG884" s="155"/>
      <c r="AH884" s="143"/>
      <c r="AI884" s="158"/>
    </row>
    <row r="885" spans="1:35">
      <c r="A885" s="140"/>
      <c r="B885" s="143"/>
      <c r="C885" s="226" t="s">
        <v>2420</v>
      </c>
      <c r="D885" s="230" t="s">
        <v>501</v>
      </c>
      <c r="E885" s="143" t="s">
        <v>80</v>
      </c>
      <c r="F885" s="230" t="s">
        <v>3084</v>
      </c>
      <c r="G885" s="230" t="s">
        <v>1840</v>
      </c>
      <c r="H885" s="143"/>
      <c r="I885" s="198"/>
      <c r="J885" s="155"/>
      <c r="K885" s="155">
        <v>1</v>
      </c>
      <c r="L885" s="155"/>
      <c r="M885" s="155"/>
      <c r="N885" s="155"/>
      <c r="O885" s="155"/>
      <c r="P885" s="155"/>
      <c r="Q885" s="155"/>
      <c r="R885" s="155"/>
      <c r="S885" s="155"/>
      <c r="T885" s="155"/>
      <c r="U885" s="143"/>
      <c r="V885" s="143" t="s">
        <v>503</v>
      </c>
      <c r="W885" s="143" t="s">
        <v>298</v>
      </c>
      <c r="X885" s="230" t="s">
        <v>227</v>
      </c>
      <c r="Y885" s="143"/>
      <c r="Z885" s="143"/>
      <c r="AA885" s="143" t="s">
        <v>877</v>
      </c>
      <c r="AB885" s="143" t="s">
        <v>528</v>
      </c>
      <c r="AC885" s="155">
        <v>1</v>
      </c>
      <c r="AD885" s="155"/>
      <c r="AE885" s="155"/>
      <c r="AF885" s="155"/>
      <c r="AG885" s="155"/>
      <c r="AH885" s="143"/>
      <c r="AI885" s="158"/>
    </row>
    <row r="886" spans="1:35">
      <c r="A886" s="140"/>
      <c r="B886" s="143"/>
      <c r="C886" s="226" t="s">
        <v>2420</v>
      </c>
      <c r="D886" s="230" t="s">
        <v>501</v>
      </c>
      <c r="E886" s="143" t="s">
        <v>80</v>
      </c>
      <c r="F886" s="230" t="s">
        <v>719</v>
      </c>
      <c r="G886" s="230" t="s">
        <v>3085</v>
      </c>
      <c r="H886" s="143"/>
      <c r="I886" s="198"/>
      <c r="J886" s="155">
        <v>1</v>
      </c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43"/>
      <c r="V886" s="143" t="s">
        <v>503</v>
      </c>
      <c r="W886" s="143" t="s">
        <v>298</v>
      </c>
      <c r="X886" s="230" t="s">
        <v>227</v>
      </c>
      <c r="Y886" s="143"/>
      <c r="Z886" s="143"/>
      <c r="AA886" s="143" t="s">
        <v>877</v>
      </c>
      <c r="AB886" s="143" t="s">
        <v>528</v>
      </c>
      <c r="AC886" s="155">
        <v>1</v>
      </c>
      <c r="AD886" s="155"/>
      <c r="AE886" s="155"/>
      <c r="AF886" s="155"/>
      <c r="AG886" s="155"/>
      <c r="AH886" s="143"/>
      <c r="AI886" s="158"/>
    </row>
    <row r="887" spans="1:35">
      <c r="A887" s="140"/>
      <c r="B887" s="143"/>
      <c r="C887" s="226" t="s">
        <v>2420</v>
      </c>
      <c r="D887" s="230" t="s">
        <v>501</v>
      </c>
      <c r="E887" s="143" t="s">
        <v>80</v>
      </c>
      <c r="F887" s="230" t="s">
        <v>3086</v>
      </c>
      <c r="G887" s="230" t="s">
        <v>3087</v>
      </c>
      <c r="H887" s="230" t="s">
        <v>3073</v>
      </c>
      <c r="I887" s="198"/>
      <c r="J887" s="155"/>
      <c r="K887" s="155">
        <v>1</v>
      </c>
      <c r="L887" s="155"/>
      <c r="M887" s="155"/>
      <c r="N887" s="155"/>
      <c r="O887" s="155"/>
      <c r="P887" s="155"/>
      <c r="Q887" s="155"/>
      <c r="R887" s="155"/>
      <c r="S887" s="155"/>
      <c r="T887" s="155"/>
      <c r="U887" s="143"/>
      <c r="V887" s="143" t="s">
        <v>503</v>
      </c>
      <c r="W887" s="143" t="s">
        <v>298</v>
      </c>
      <c r="X887" s="230" t="s">
        <v>227</v>
      </c>
      <c r="Y887" s="143"/>
      <c r="Z887" s="143"/>
      <c r="AA887" s="143" t="s">
        <v>877</v>
      </c>
      <c r="AB887" s="143" t="s">
        <v>528</v>
      </c>
      <c r="AC887" s="155">
        <v>1</v>
      </c>
      <c r="AD887" s="155"/>
      <c r="AE887" s="155"/>
      <c r="AF887" s="155"/>
      <c r="AG887" s="155"/>
      <c r="AH887" s="143"/>
      <c r="AI887" s="158"/>
    </row>
    <row r="888" spans="1:35">
      <c r="A888" s="140"/>
      <c r="B888" s="143"/>
      <c r="C888" s="226" t="s">
        <v>2420</v>
      </c>
      <c r="D888" s="230" t="s">
        <v>501</v>
      </c>
      <c r="E888" s="143" t="s">
        <v>80</v>
      </c>
      <c r="F888" s="230" t="s">
        <v>3088</v>
      </c>
      <c r="G888" s="230" t="s">
        <v>3089</v>
      </c>
      <c r="H888" s="230" t="s">
        <v>3090</v>
      </c>
      <c r="I888" s="198"/>
      <c r="J888" s="155">
        <v>1</v>
      </c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43"/>
      <c r="V888" s="143" t="s">
        <v>503</v>
      </c>
      <c r="W888" s="143" t="s">
        <v>298</v>
      </c>
      <c r="X888" s="230" t="s">
        <v>227</v>
      </c>
      <c r="Y888" s="143"/>
      <c r="Z888" s="143"/>
      <c r="AA888" s="143" t="s">
        <v>877</v>
      </c>
      <c r="AB888" s="143" t="s">
        <v>528</v>
      </c>
      <c r="AC888" s="155">
        <v>1</v>
      </c>
      <c r="AD888" s="155"/>
      <c r="AE888" s="155"/>
      <c r="AF888" s="155"/>
      <c r="AG888" s="155"/>
      <c r="AH888" s="143"/>
      <c r="AI888" s="158"/>
    </row>
    <row r="889" spans="1:35">
      <c r="A889" s="140"/>
      <c r="B889" s="143"/>
      <c r="C889" s="226" t="s">
        <v>2420</v>
      </c>
      <c r="D889" s="230" t="s">
        <v>501</v>
      </c>
      <c r="E889" s="143" t="s">
        <v>80</v>
      </c>
      <c r="F889" s="230" t="s">
        <v>3091</v>
      </c>
      <c r="G889" s="230" t="s">
        <v>1672</v>
      </c>
      <c r="H889" s="143"/>
      <c r="I889" s="198">
        <v>36153</v>
      </c>
      <c r="J889" s="155">
        <v>1</v>
      </c>
      <c r="K889" s="155"/>
      <c r="L889" s="155"/>
      <c r="M889" s="155"/>
      <c r="N889" s="155"/>
      <c r="O889" s="155"/>
      <c r="P889" s="155"/>
      <c r="Q889" s="155">
        <v>1</v>
      </c>
      <c r="R889" s="155" t="s">
        <v>3079</v>
      </c>
      <c r="S889" s="155"/>
      <c r="T889" s="155"/>
      <c r="U889" s="143"/>
      <c r="V889" s="143" t="s">
        <v>503</v>
      </c>
      <c r="W889" s="143" t="s">
        <v>298</v>
      </c>
      <c r="X889" s="230" t="s">
        <v>227</v>
      </c>
      <c r="Y889" s="143"/>
      <c r="Z889" s="143"/>
      <c r="AA889" s="143" t="s">
        <v>877</v>
      </c>
      <c r="AB889" s="143" t="s">
        <v>528</v>
      </c>
      <c r="AC889" s="155">
        <v>1</v>
      </c>
      <c r="AD889" s="155"/>
      <c r="AE889" s="155"/>
      <c r="AF889" s="155"/>
      <c r="AG889" s="155"/>
      <c r="AH889" s="143"/>
      <c r="AI889" s="158"/>
    </row>
    <row r="890" spans="1:35">
      <c r="A890" s="140"/>
      <c r="B890" s="143"/>
      <c r="C890" s="226" t="s">
        <v>2420</v>
      </c>
      <c r="D890" s="230" t="s">
        <v>501</v>
      </c>
      <c r="E890" s="143" t="s">
        <v>80</v>
      </c>
      <c r="F890" s="230" t="s">
        <v>3092</v>
      </c>
      <c r="G890" s="230" t="s">
        <v>3093</v>
      </c>
      <c r="H890" s="143"/>
      <c r="I890" s="198"/>
      <c r="J890" s="155"/>
      <c r="K890" s="155">
        <v>1</v>
      </c>
      <c r="L890" s="155"/>
      <c r="M890" s="155"/>
      <c r="N890" s="155"/>
      <c r="O890" s="155"/>
      <c r="P890" s="155"/>
      <c r="Q890" s="155">
        <v>1</v>
      </c>
      <c r="R890" s="155" t="s">
        <v>1045</v>
      </c>
      <c r="S890" s="155"/>
      <c r="T890" s="155"/>
      <c r="U890" s="143"/>
      <c r="V890" s="143" t="s">
        <v>503</v>
      </c>
      <c r="W890" s="143" t="s">
        <v>298</v>
      </c>
      <c r="X890" s="230" t="s">
        <v>227</v>
      </c>
      <c r="Y890" s="143"/>
      <c r="Z890" s="143"/>
      <c r="AA890" s="143" t="s">
        <v>524</v>
      </c>
      <c r="AB890" s="143" t="s">
        <v>528</v>
      </c>
      <c r="AC890" s="155">
        <v>1</v>
      </c>
      <c r="AD890" s="155"/>
      <c r="AE890" s="155"/>
      <c r="AF890" s="155"/>
      <c r="AG890" s="155"/>
      <c r="AH890" s="143"/>
      <c r="AI890" s="158"/>
    </row>
    <row r="891" spans="1:35">
      <c r="A891" s="140"/>
      <c r="B891" s="143"/>
      <c r="C891" s="228" t="s">
        <v>3131</v>
      </c>
      <c r="D891" s="230" t="s">
        <v>501</v>
      </c>
      <c r="E891" s="143" t="s">
        <v>80</v>
      </c>
      <c r="F891" s="143" t="s">
        <v>3133</v>
      </c>
      <c r="G891" s="143" t="s">
        <v>3132</v>
      </c>
      <c r="H891" s="143"/>
      <c r="I891" s="198">
        <v>22557</v>
      </c>
      <c r="J891" s="155">
        <v>1</v>
      </c>
      <c r="K891" s="155"/>
      <c r="L891" s="155"/>
      <c r="M891" s="155"/>
      <c r="N891" s="155"/>
      <c r="O891" s="155"/>
      <c r="P891" s="155"/>
      <c r="Q891" s="155">
        <v>1</v>
      </c>
      <c r="R891" s="155" t="s">
        <v>1348</v>
      </c>
      <c r="S891" s="155"/>
      <c r="T891" s="155"/>
      <c r="U891" s="143"/>
      <c r="V891" s="143" t="s">
        <v>503</v>
      </c>
      <c r="W891" s="143" t="s">
        <v>298</v>
      </c>
      <c r="X891" s="230" t="s">
        <v>227</v>
      </c>
      <c r="Y891" s="143"/>
      <c r="Z891" s="143"/>
      <c r="AA891" s="143" t="s">
        <v>524</v>
      </c>
      <c r="AB891" s="143" t="s">
        <v>528</v>
      </c>
      <c r="AC891" s="155">
        <v>1</v>
      </c>
      <c r="AD891" s="155"/>
      <c r="AE891" s="155"/>
      <c r="AF891" s="155"/>
      <c r="AG891" s="155"/>
      <c r="AH891" s="143"/>
      <c r="AI891" s="158"/>
    </row>
    <row r="892" spans="1:35">
      <c r="A892" s="140"/>
      <c r="B892" s="143"/>
      <c r="C892" s="228" t="s">
        <v>3131</v>
      </c>
      <c r="D892" s="230" t="s">
        <v>501</v>
      </c>
      <c r="E892" s="143" t="s">
        <v>80</v>
      </c>
      <c r="F892" s="143" t="s">
        <v>3078</v>
      </c>
      <c r="G892" s="143" t="s">
        <v>994</v>
      </c>
      <c r="H892" s="143"/>
      <c r="I892" s="198">
        <v>31903</v>
      </c>
      <c r="J892" s="155">
        <v>1</v>
      </c>
      <c r="K892" s="155"/>
      <c r="L892" s="155"/>
      <c r="M892" s="155"/>
      <c r="N892" s="155"/>
      <c r="O892" s="155"/>
      <c r="P892" s="155"/>
      <c r="Q892" s="155">
        <v>1</v>
      </c>
      <c r="R892" s="155" t="s">
        <v>1009</v>
      </c>
      <c r="S892" s="155"/>
      <c r="T892" s="155"/>
      <c r="U892" s="143"/>
      <c r="V892" s="143" t="s">
        <v>1259</v>
      </c>
      <c r="W892" s="143" t="s">
        <v>279</v>
      </c>
      <c r="X892" s="143" t="s">
        <v>227</v>
      </c>
      <c r="Y892" s="143"/>
      <c r="Z892" s="143"/>
      <c r="AA892" s="143" t="s">
        <v>877</v>
      </c>
      <c r="AB892" s="143" t="s">
        <v>528</v>
      </c>
      <c r="AC892" s="155">
        <v>1</v>
      </c>
      <c r="AD892" s="155"/>
      <c r="AE892" s="155"/>
      <c r="AF892" s="155"/>
      <c r="AG892" s="155"/>
      <c r="AH892" s="143"/>
      <c r="AI892" s="158"/>
    </row>
    <row r="893" spans="1:35">
      <c r="A893" s="140"/>
      <c r="B893" s="143"/>
      <c r="C893" s="228" t="s">
        <v>3131</v>
      </c>
      <c r="D893" s="230" t="s">
        <v>501</v>
      </c>
      <c r="E893" s="143" t="s">
        <v>80</v>
      </c>
      <c r="F893" s="143" t="s">
        <v>3134</v>
      </c>
      <c r="G893" s="143" t="s">
        <v>634</v>
      </c>
      <c r="H893" s="143" t="s">
        <v>421</v>
      </c>
      <c r="I893" s="198">
        <v>15128</v>
      </c>
      <c r="J893" s="155"/>
      <c r="K893" s="155">
        <v>1</v>
      </c>
      <c r="L893" s="155"/>
      <c r="M893" s="155"/>
      <c r="N893" s="155"/>
      <c r="O893" s="155"/>
      <c r="P893" s="155"/>
      <c r="Q893" s="155">
        <v>1</v>
      </c>
      <c r="R893" s="155" t="s">
        <v>957</v>
      </c>
      <c r="S893" s="155"/>
      <c r="T893" s="155"/>
      <c r="U893" s="143" t="s">
        <v>508</v>
      </c>
      <c r="V893" s="143" t="s">
        <v>503</v>
      </c>
      <c r="W893" s="143" t="s">
        <v>298</v>
      </c>
      <c r="X893" s="143" t="s">
        <v>227</v>
      </c>
      <c r="Y893" s="143">
        <v>9066366562</v>
      </c>
      <c r="Z893" s="143"/>
      <c r="AA893" s="143" t="s">
        <v>524</v>
      </c>
      <c r="AB893" s="143" t="s">
        <v>528</v>
      </c>
      <c r="AC893" s="155">
        <v>1</v>
      </c>
      <c r="AD893" s="155"/>
      <c r="AE893" s="155"/>
      <c r="AF893" s="155"/>
      <c r="AG893" s="155"/>
      <c r="AH893" s="143"/>
      <c r="AI893" s="158"/>
    </row>
    <row r="894" spans="1:35">
      <c r="A894" s="140"/>
      <c r="B894" s="143"/>
      <c r="C894" s="228" t="s">
        <v>3131</v>
      </c>
      <c r="D894" s="230" t="s">
        <v>501</v>
      </c>
      <c r="E894" s="143" t="s">
        <v>80</v>
      </c>
      <c r="F894" s="143" t="s">
        <v>3134</v>
      </c>
      <c r="G894" s="143" t="s">
        <v>1239</v>
      </c>
      <c r="H894" s="143" t="s">
        <v>115</v>
      </c>
      <c r="I894" s="198"/>
      <c r="J894" s="155">
        <v>1</v>
      </c>
      <c r="K894" s="155"/>
      <c r="L894" s="155"/>
      <c r="M894" s="155"/>
      <c r="N894" s="155"/>
      <c r="O894" s="155"/>
      <c r="P894" s="155"/>
      <c r="Q894" s="155">
        <v>1</v>
      </c>
      <c r="R894" s="155" t="s">
        <v>962</v>
      </c>
      <c r="S894" s="155"/>
      <c r="T894" s="155"/>
      <c r="U894" s="143" t="s">
        <v>508</v>
      </c>
      <c r="V894" s="143" t="s">
        <v>503</v>
      </c>
      <c r="W894" s="143" t="s">
        <v>298</v>
      </c>
      <c r="X894" s="143" t="s">
        <v>227</v>
      </c>
      <c r="Y894" s="143">
        <v>9154676287</v>
      </c>
      <c r="Z894" s="143"/>
      <c r="AA894" s="143" t="s">
        <v>524</v>
      </c>
      <c r="AB894" s="143" t="s">
        <v>528</v>
      </c>
      <c r="AC894" s="155">
        <v>1</v>
      </c>
      <c r="AD894" s="155"/>
      <c r="AE894" s="155"/>
      <c r="AF894" s="155"/>
      <c r="AG894" s="155"/>
      <c r="AH894" s="143"/>
      <c r="AI894" s="158"/>
    </row>
    <row r="895" spans="1:35">
      <c r="A895" s="140"/>
      <c r="B895" s="143"/>
      <c r="C895" s="228" t="s">
        <v>3131</v>
      </c>
      <c r="D895" s="230" t="s">
        <v>501</v>
      </c>
      <c r="E895" s="143" t="s">
        <v>80</v>
      </c>
      <c r="F895" s="143" t="s">
        <v>3135</v>
      </c>
      <c r="G895" s="143" t="s">
        <v>387</v>
      </c>
      <c r="H895" s="197" t="s">
        <v>93</v>
      </c>
      <c r="I895" s="198">
        <v>29574</v>
      </c>
      <c r="J895" s="155"/>
      <c r="K895" s="155">
        <v>1</v>
      </c>
      <c r="L895" s="155"/>
      <c r="M895" s="155"/>
      <c r="N895" s="155"/>
      <c r="O895" s="155"/>
      <c r="P895" s="155"/>
      <c r="Q895" s="155">
        <v>1</v>
      </c>
      <c r="R895" s="155" t="s">
        <v>1045</v>
      </c>
      <c r="S895" s="155"/>
      <c r="T895" s="155"/>
      <c r="U895" s="143" t="s">
        <v>502</v>
      </c>
      <c r="V895" s="143" t="s">
        <v>503</v>
      </c>
      <c r="W895" s="143" t="s">
        <v>298</v>
      </c>
      <c r="X895" s="143" t="s">
        <v>227</v>
      </c>
      <c r="Y895" s="143">
        <v>9066366562</v>
      </c>
      <c r="Z895" s="143"/>
      <c r="AA895" s="143" t="s">
        <v>524</v>
      </c>
      <c r="AB895" s="143" t="s">
        <v>528</v>
      </c>
      <c r="AC895" s="155">
        <v>1</v>
      </c>
      <c r="AD895" s="155"/>
      <c r="AE895" s="155"/>
      <c r="AF895" s="155"/>
      <c r="AG895" s="155"/>
      <c r="AH895" s="143"/>
      <c r="AI895" s="158"/>
    </row>
    <row r="896" spans="1:35">
      <c r="A896" s="140"/>
      <c r="B896" s="143"/>
      <c r="C896" s="228" t="s">
        <v>3131</v>
      </c>
      <c r="D896" s="230" t="s">
        <v>501</v>
      </c>
      <c r="E896" s="143" t="s">
        <v>80</v>
      </c>
      <c r="F896" s="143" t="s">
        <v>3136</v>
      </c>
      <c r="G896" s="143" t="s">
        <v>1150</v>
      </c>
      <c r="H896" s="143" t="s">
        <v>115</v>
      </c>
      <c r="I896" s="198">
        <v>35980</v>
      </c>
      <c r="J896" s="155">
        <v>1</v>
      </c>
      <c r="K896" s="155"/>
      <c r="L896" s="155"/>
      <c r="M896" s="155"/>
      <c r="N896" s="155"/>
      <c r="O896" s="155"/>
      <c r="P896" s="155"/>
      <c r="Q896" s="155">
        <v>1</v>
      </c>
      <c r="R896" s="155" t="s">
        <v>1045</v>
      </c>
      <c r="S896" s="155"/>
      <c r="T896" s="155"/>
      <c r="U896" s="143" t="s">
        <v>506</v>
      </c>
      <c r="V896" s="143" t="s">
        <v>503</v>
      </c>
      <c r="W896" s="143" t="s">
        <v>298</v>
      </c>
      <c r="X896" s="143" t="s">
        <v>227</v>
      </c>
      <c r="Y896" s="143">
        <v>9075926451</v>
      </c>
      <c r="Z896" s="143"/>
      <c r="AA896" s="143" t="s">
        <v>524</v>
      </c>
      <c r="AB896" s="143" t="s">
        <v>528</v>
      </c>
      <c r="AC896" s="155">
        <v>1</v>
      </c>
      <c r="AD896" s="155"/>
      <c r="AE896" s="155"/>
      <c r="AF896" s="155"/>
      <c r="AG896" s="155"/>
      <c r="AH896" s="143"/>
      <c r="AI896" s="158"/>
    </row>
    <row r="897" spans="1:35">
      <c r="A897" s="140"/>
      <c r="B897" s="143"/>
      <c r="C897" s="228" t="s">
        <v>3131</v>
      </c>
      <c r="D897" s="230" t="s">
        <v>501</v>
      </c>
      <c r="E897" s="143" t="s">
        <v>80</v>
      </c>
      <c r="F897" s="143" t="s">
        <v>1377</v>
      </c>
      <c r="G897" s="143" t="s">
        <v>1378</v>
      </c>
      <c r="H897" s="143"/>
      <c r="I897" s="198"/>
      <c r="J897" s="155">
        <v>1</v>
      </c>
      <c r="K897" s="155"/>
      <c r="L897" s="155"/>
      <c r="M897" s="155"/>
      <c r="N897" s="155"/>
      <c r="O897" s="155"/>
      <c r="P897" s="155"/>
      <c r="Q897" s="155">
        <v>1</v>
      </c>
      <c r="R897" s="155" t="s">
        <v>3137</v>
      </c>
      <c r="S897" s="155"/>
      <c r="T897" s="155"/>
      <c r="U897" s="143"/>
      <c r="V897" s="143" t="s">
        <v>503</v>
      </c>
      <c r="W897" s="143" t="s">
        <v>298</v>
      </c>
      <c r="X897" s="143" t="s">
        <v>227</v>
      </c>
      <c r="Y897" s="143">
        <v>9199808918</v>
      </c>
      <c r="Z897" s="143"/>
      <c r="AA897" s="143" t="s">
        <v>3138</v>
      </c>
      <c r="AB897" s="143" t="s">
        <v>528</v>
      </c>
      <c r="AC897" s="155">
        <v>1</v>
      </c>
      <c r="AD897" s="155"/>
      <c r="AE897" s="155"/>
      <c r="AF897" s="155"/>
      <c r="AG897" s="155"/>
      <c r="AH897" s="143"/>
      <c r="AI897" s="158"/>
    </row>
    <row r="898" spans="1:35">
      <c r="A898" s="140"/>
      <c r="B898" s="143"/>
      <c r="C898" s="228" t="s">
        <v>3131</v>
      </c>
      <c r="D898" s="230" t="s">
        <v>501</v>
      </c>
      <c r="E898" s="143" t="s">
        <v>80</v>
      </c>
      <c r="F898" s="143" t="s">
        <v>3139</v>
      </c>
      <c r="G898" s="143" t="s">
        <v>3140</v>
      </c>
      <c r="H898" s="143"/>
      <c r="I898" s="198">
        <v>30337</v>
      </c>
      <c r="J898" s="155"/>
      <c r="K898" s="155">
        <v>1</v>
      </c>
      <c r="L898" s="155"/>
      <c r="M898" s="155"/>
      <c r="N898" s="155"/>
      <c r="O898" s="155"/>
      <c r="P898" s="155"/>
      <c r="Q898" s="155">
        <v>1</v>
      </c>
      <c r="R898" s="155" t="s">
        <v>1348</v>
      </c>
      <c r="S898" s="155"/>
      <c r="T898" s="155"/>
      <c r="U898" s="143"/>
      <c r="V898" s="143" t="s">
        <v>503</v>
      </c>
      <c r="W898" s="143" t="s">
        <v>298</v>
      </c>
      <c r="X898" s="143" t="s">
        <v>227</v>
      </c>
      <c r="Y898" s="143">
        <v>9355768948</v>
      </c>
      <c r="Z898" s="143"/>
      <c r="AA898" s="143" t="s">
        <v>3141</v>
      </c>
      <c r="AB898" s="143" t="s">
        <v>528</v>
      </c>
      <c r="AC898" s="155">
        <v>1</v>
      </c>
      <c r="AD898" s="155"/>
      <c r="AE898" s="155"/>
      <c r="AF898" s="155"/>
      <c r="AG898" s="155"/>
      <c r="AH898" s="143"/>
      <c r="AI898" s="158"/>
    </row>
    <row r="899" spans="1:35">
      <c r="A899" s="140"/>
      <c r="B899" s="143"/>
      <c r="C899" s="228" t="s">
        <v>3131</v>
      </c>
      <c r="D899" s="143" t="s">
        <v>501</v>
      </c>
      <c r="E899" s="143" t="s">
        <v>80</v>
      </c>
      <c r="F899" s="153" t="s">
        <v>413</v>
      </c>
      <c r="G899" s="153" t="s">
        <v>414</v>
      </c>
      <c r="H899" s="153"/>
      <c r="I899" s="227">
        <v>23925</v>
      </c>
      <c r="J899" s="154"/>
      <c r="K899" s="154">
        <v>1</v>
      </c>
      <c r="L899" s="155"/>
      <c r="M899" s="155"/>
      <c r="N899" s="155"/>
      <c r="O899" s="155"/>
      <c r="P899" s="155"/>
      <c r="Q899" s="155">
        <v>1</v>
      </c>
      <c r="R899" s="155" t="s">
        <v>1348</v>
      </c>
      <c r="S899" s="155"/>
      <c r="T899" s="155"/>
      <c r="U899" s="156" t="s">
        <v>295</v>
      </c>
      <c r="V899" s="153" t="s">
        <v>503</v>
      </c>
      <c r="W899" s="143" t="s">
        <v>298</v>
      </c>
      <c r="X899" s="157" t="s">
        <v>227</v>
      </c>
      <c r="Y899" s="157">
        <v>9357514235</v>
      </c>
      <c r="Z899" s="143"/>
      <c r="AA899" s="157" t="s">
        <v>3141</v>
      </c>
      <c r="AB899" s="143" t="s">
        <v>528</v>
      </c>
      <c r="AC899" s="155">
        <v>1</v>
      </c>
      <c r="AD899" s="155"/>
      <c r="AE899" s="155"/>
      <c r="AF899" s="155"/>
      <c r="AG899" s="155"/>
      <c r="AH899" s="143"/>
      <c r="AI899" s="158"/>
    </row>
    <row r="900" spans="1:35">
      <c r="A900" s="140"/>
      <c r="B900" s="143"/>
      <c r="C900" s="228" t="s">
        <v>3131</v>
      </c>
      <c r="D900" s="230" t="s">
        <v>501</v>
      </c>
      <c r="E900" s="143" t="s">
        <v>80</v>
      </c>
      <c r="F900" s="143" t="s">
        <v>1779</v>
      </c>
      <c r="G900" s="143" t="s">
        <v>3142</v>
      </c>
      <c r="H900" s="143"/>
      <c r="I900" s="198"/>
      <c r="J900" s="155">
        <v>1</v>
      </c>
      <c r="K900" s="155"/>
      <c r="L900" s="155">
        <v>1</v>
      </c>
      <c r="M900" s="155"/>
      <c r="N900" s="155"/>
      <c r="O900" s="155"/>
      <c r="P900" s="155"/>
      <c r="Q900" s="155"/>
      <c r="R900" s="155"/>
      <c r="S900" s="155"/>
      <c r="T900" s="155"/>
      <c r="U900" s="156" t="s">
        <v>295</v>
      </c>
      <c r="V900" s="143" t="s">
        <v>503</v>
      </c>
      <c r="W900" s="143" t="s">
        <v>298</v>
      </c>
      <c r="X900" s="143" t="s">
        <v>227</v>
      </c>
      <c r="Y900" s="157">
        <v>9357514235</v>
      </c>
      <c r="Z900" s="143"/>
      <c r="AA900" s="157" t="s">
        <v>3141</v>
      </c>
      <c r="AB900" s="143" t="s">
        <v>528</v>
      </c>
      <c r="AC900" s="155">
        <v>1</v>
      </c>
      <c r="AD900" s="155"/>
      <c r="AE900" s="155"/>
      <c r="AF900" s="155"/>
      <c r="AG900" s="155"/>
      <c r="AH900" s="143"/>
      <c r="AI900" s="158"/>
    </row>
    <row r="901" spans="1:35">
      <c r="A901" s="140"/>
      <c r="B901" s="143"/>
      <c r="C901" s="228" t="s">
        <v>3131</v>
      </c>
      <c r="D901" s="230" t="s">
        <v>501</v>
      </c>
      <c r="E901" s="143" t="s">
        <v>80</v>
      </c>
      <c r="F901" s="143" t="s">
        <v>1154</v>
      </c>
      <c r="G901" s="143" t="s">
        <v>3143</v>
      </c>
      <c r="H901" s="143"/>
      <c r="I901" s="198"/>
      <c r="J901" s="155">
        <v>1</v>
      </c>
      <c r="K901" s="155"/>
      <c r="L901" s="155"/>
      <c r="M901" s="155"/>
      <c r="N901" s="155"/>
      <c r="O901" s="155"/>
      <c r="P901" s="155"/>
      <c r="Q901" s="155">
        <v>1</v>
      </c>
      <c r="R901" s="155" t="s">
        <v>3079</v>
      </c>
      <c r="S901" s="155"/>
      <c r="T901" s="155"/>
      <c r="U901" s="143"/>
      <c r="V901" s="143" t="s">
        <v>503</v>
      </c>
      <c r="W901" s="143" t="s">
        <v>298</v>
      </c>
      <c r="X901" s="143" t="s">
        <v>227</v>
      </c>
      <c r="Y901" s="143">
        <v>9469652544</v>
      </c>
      <c r="Z901" s="143"/>
      <c r="AA901" s="143" t="s">
        <v>3149</v>
      </c>
      <c r="AB901" s="143" t="s">
        <v>528</v>
      </c>
      <c r="AC901" s="155">
        <v>1</v>
      </c>
      <c r="AD901" s="155"/>
      <c r="AE901" s="155"/>
      <c r="AF901" s="155"/>
      <c r="AG901" s="155"/>
      <c r="AH901" s="143"/>
      <c r="AI901" s="158"/>
    </row>
    <row r="902" spans="1:35">
      <c r="A902" s="140"/>
      <c r="B902" s="143"/>
      <c r="C902" s="228" t="s">
        <v>3131</v>
      </c>
      <c r="D902" s="230" t="s">
        <v>501</v>
      </c>
      <c r="E902" s="143" t="s">
        <v>80</v>
      </c>
      <c r="F902" s="143" t="s">
        <v>3144</v>
      </c>
      <c r="G902" s="143" t="s">
        <v>3145</v>
      </c>
      <c r="H902" s="143"/>
      <c r="I902" s="198">
        <v>30478</v>
      </c>
      <c r="J902" s="155">
        <v>1</v>
      </c>
      <c r="K902" s="155"/>
      <c r="L902" s="155"/>
      <c r="M902" s="155"/>
      <c r="N902" s="155"/>
      <c r="O902" s="155"/>
      <c r="P902" s="155"/>
      <c r="Q902" s="155">
        <v>1</v>
      </c>
      <c r="R902" s="155" t="s">
        <v>1045</v>
      </c>
      <c r="S902" s="155"/>
      <c r="T902" s="155"/>
      <c r="U902" s="143"/>
      <c r="V902" s="143" t="s">
        <v>503</v>
      </c>
      <c r="W902" s="143" t="s">
        <v>298</v>
      </c>
      <c r="X902" s="143" t="s">
        <v>227</v>
      </c>
      <c r="Y902" s="143">
        <v>9263113825</v>
      </c>
      <c r="Z902" s="143"/>
      <c r="AA902" s="143" t="s">
        <v>3149</v>
      </c>
      <c r="AB902" s="143" t="s">
        <v>528</v>
      </c>
      <c r="AC902" s="155">
        <v>1</v>
      </c>
      <c r="AD902" s="155"/>
      <c r="AE902" s="155"/>
      <c r="AF902" s="155"/>
      <c r="AG902" s="155"/>
      <c r="AH902" s="143"/>
      <c r="AI902" s="158"/>
    </row>
    <row r="903" spans="1:35">
      <c r="A903" s="140"/>
      <c r="B903" s="143"/>
      <c r="C903" s="228" t="s">
        <v>3131</v>
      </c>
      <c r="D903" s="230" t="s">
        <v>501</v>
      </c>
      <c r="E903" s="143" t="s">
        <v>80</v>
      </c>
      <c r="F903" s="143" t="s">
        <v>3146</v>
      </c>
      <c r="G903" s="143" t="s">
        <v>3147</v>
      </c>
      <c r="H903" s="143" t="s">
        <v>113</v>
      </c>
      <c r="I903" s="198">
        <v>26405</v>
      </c>
      <c r="J903" s="155"/>
      <c r="K903" s="155">
        <v>1</v>
      </c>
      <c r="L903" s="155">
        <v>1</v>
      </c>
      <c r="M903" s="155"/>
      <c r="N903" s="155"/>
      <c r="O903" s="155"/>
      <c r="P903" s="155"/>
      <c r="Q903" s="155"/>
      <c r="R903" s="155"/>
      <c r="S903" s="155"/>
      <c r="T903" s="155"/>
      <c r="U903" s="143"/>
      <c r="V903" s="143" t="s">
        <v>503</v>
      </c>
      <c r="W903" s="143" t="s">
        <v>298</v>
      </c>
      <c r="X903" s="143" t="s">
        <v>227</v>
      </c>
      <c r="Y903" s="143">
        <v>9491356456</v>
      </c>
      <c r="Z903" s="143"/>
      <c r="AA903" s="143" t="s">
        <v>3148</v>
      </c>
      <c r="AB903" s="143" t="s">
        <v>528</v>
      </c>
      <c r="AC903" s="155">
        <v>1</v>
      </c>
      <c r="AD903" s="155"/>
      <c r="AE903" s="155"/>
      <c r="AF903" s="155"/>
      <c r="AG903" s="155"/>
      <c r="AH903" s="143"/>
      <c r="AI903" s="158"/>
    </row>
    <row r="904" spans="1:35">
      <c r="A904" s="140"/>
      <c r="B904" s="143"/>
      <c r="C904" s="228" t="s">
        <v>3131</v>
      </c>
      <c r="D904" s="230" t="s">
        <v>501</v>
      </c>
      <c r="E904" s="143" t="s">
        <v>80</v>
      </c>
      <c r="F904" s="143" t="s">
        <v>3150</v>
      </c>
      <c r="G904" s="143" t="s">
        <v>542</v>
      </c>
      <c r="H904" s="143"/>
      <c r="I904" s="198">
        <v>24793</v>
      </c>
      <c r="J904" s="155">
        <v>1</v>
      </c>
      <c r="K904" s="155"/>
      <c r="L904" s="155">
        <v>1</v>
      </c>
      <c r="M904" s="155"/>
      <c r="N904" s="155"/>
      <c r="O904" s="155"/>
      <c r="P904" s="155"/>
      <c r="Q904" s="155"/>
      <c r="R904" s="155"/>
      <c r="S904" s="155"/>
      <c r="T904" s="155"/>
      <c r="U904" s="143"/>
      <c r="V904" s="143" t="s">
        <v>218</v>
      </c>
      <c r="W904" s="143" t="s">
        <v>279</v>
      </c>
      <c r="X904" s="143" t="s">
        <v>227</v>
      </c>
      <c r="Y904" s="143">
        <v>9677153857</v>
      </c>
      <c r="Z904" s="143"/>
      <c r="AA904" s="143" t="s">
        <v>3151</v>
      </c>
      <c r="AB904" s="143" t="s">
        <v>528</v>
      </c>
      <c r="AC904" s="155">
        <v>1</v>
      </c>
      <c r="AD904" s="155"/>
      <c r="AE904" s="155"/>
      <c r="AF904" s="155"/>
      <c r="AG904" s="155"/>
      <c r="AH904" s="143"/>
      <c r="AI904" s="158"/>
    </row>
    <row r="905" spans="1:35">
      <c r="A905" s="140"/>
      <c r="B905" s="143"/>
      <c r="C905" s="228" t="s">
        <v>3131</v>
      </c>
      <c r="D905" s="230" t="s">
        <v>501</v>
      </c>
      <c r="E905" s="143" t="s">
        <v>80</v>
      </c>
      <c r="F905" s="143" t="s">
        <v>3152</v>
      </c>
      <c r="G905" s="143" t="s">
        <v>2758</v>
      </c>
      <c r="H905" s="143"/>
      <c r="I905" s="198">
        <v>24201</v>
      </c>
      <c r="J905" s="155">
        <v>1</v>
      </c>
      <c r="K905" s="155"/>
      <c r="L905" s="155">
        <v>1</v>
      </c>
      <c r="M905" s="155"/>
      <c r="N905" s="155"/>
      <c r="O905" s="155"/>
      <c r="P905" s="155"/>
      <c r="Q905" s="155"/>
      <c r="R905" s="155"/>
      <c r="S905" s="155"/>
      <c r="T905" s="155"/>
      <c r="U905" s="143" t="s">
        <v>1437</v>
      </c>
      <c r="V905" s="143" t="s">
        <v>949</v>
      </c>
      <c r="W905" s="143" t="s">
        <v>280</v>
      </c>
      <c r="X905" s="143" t="s">
        <v>227</v>
      </c>
      <c r="Y905" s="143">
        <v>9675477870</v>
      </c>
      <c r="Z905" s="143"/>
      <c r="AA905" s="143" t="s">
        <v>3151</v>
      </c>
      <c r="AB905" s="143" t="s">
        <v>528</v>
      </c>
      <c r="AC905" s="155">
        <v>1</v>
      </c>
      <c r="AD905" s="155"/>
      <c r="AE905" s="155"/>
      <c r="AF905" s="155"/>
      <c r="AG905" s="155"/>
      <c r="AH905" s="143"/>
      <c r="AI905" s="158"/>
    </row>
    <row r="906" spans="1:35">
      <c r="A906" s="140"/>
      <c r="B906" s="143"/>
      <c r="C906" s="228" t="s">
        <v>3131</v>
      </c>
      <c r="D906" s="230" t="s">
        <v>501</v>
      </c>
      <c r="E906" s="143" t="s">
        <v>80</v>
      </c>
      <c r="F906" s="143" t="s">
        <v>1902</v>
      </c>
      <c r="G906" s="143" t="s">
        <v>3153</v>
      </c>
      <c r="H906" s="143"/>
      <c r="I906" s="198"/>
      <c r="J906" s="155"/>
      <c r="K906" s="155">
        <v>1</v>
      </c>
      <c r="L906" s="155">
        <v>1</v>
      </c>
      <c r="M906" s="155"/>
      <c r="N906" s="155"/>
      <c r="O906" s="155"/>
      <c r="P906" s="155"/>
      <c r="Q906" s="155"/>
      <c r="R906" s="155"/>
      <c r="S906" s="155"/>
      <c r="T906" s="155"/>
      <c r="U906" s="143" t="s">
        <v>504</v>
      </c>
      <c r="V906" s="143" t="s">
        <v>503</v>
      </c>
      <c r="W906" s="143" t="s">
        <v>298</v>
      </c>
      <c r="X906" s="143" t="s">
        <v>227</v>
      </c>
      <c r="Y906" s="143">
        <v>9511714450</v>
      </c>
      <c r="Z906" s="143"/>
      <c r="AA906" s="143" t="s">
        <v>3141</v>
      </c>
      <c r="AB906" s="143" t="s">
        <v>528</v>
      </c>
      <c r="AC906" s="155">
        <v>1</v>
      </c>
      <c r="AD906" s="155"/>
      <c r="AE906" s="155"/>
      <c r="AF906" s="155"/>
      <c r="AG906" s="155"/>
      <c r="AH906" s="143"/>
      <c r="AI906" s="158"/>
    </row>
    <row r="907" spans="1:35">
      <c r="A907" s="140"/>
      <c r="B907" s="143"/>
      <c r="C907" s="228" t="s">
        <v>3131</v>
      </c>
      <c r="D907" s="230" t="s">
        <v>501</v>
      </c>
      <c r="E907" s="143" t="s">
        <v>80</v>
      </c>
      <c r="F907" s="143" t="s">
        <v>3154</v>
      </c>
      <c r="G907" s="143" t="s">
        <v>3155</v>
      </c>
      <c r="H907" s="143"/>
      <c r="I907" s="198">
        <v>29861</v>
      </c>
      <c r="J907" s="155">
        <v>1</v>
      </c>
      <c r="K907" s="155"/>
      <c r="L907" s="155">
        <v>1</v>
      </c>
      <c r="M907" s="155"/>
      <c r="N907" s="155"/>
      <c r="O907" s="155"/>
      <c r="P907" s="155"/>
      <c r="Q907" s="155"/>
      <c r="R907" s="155"/>
      <c r="S907" s="155"/>
      <c r="T907" s="155"/>
      <c r="U907" s="143" t="s">
        <v>504</v>
      </c>
      <c r="V907" s="143" t="s">
        <v>503</v>
      </c>
      <c r="W907" s="143" t="s">
        <v>298</v>
      </c>
      <c r="X907" s="143" t="s">
        <v>227</v>
      </c>
      <c r="Y907" s="143">
        <v>9176749122</v>
      </c>
      <c r="Z907" s="143"/>
      <c r="AA907" s="143" t="s">
        <v>3151</v>
      </c>
      <c r="AB907" s="143" t="s">
        <v>528</v>
      </c>
      <c r="AC907" s="155">
        <v>1</v>
      </c>
      <c r="AD907" s="155"/>
      <c r="AE907" s="155"/>
      <c r="AF907" s="155"/>
      <c r="AG907" s="155"/>
      <c r="AH907" s="143"/>
      <c r="AI907" s="158"/>
    </row>
    <row r="908" spans="1:35">
      <c r="A908" s="140"/>
      <c r="B908" s="143"/>
      <c r="C908" s="228" t="s">
        <v>3131</v>
      </c>
      <c r="D908" s="230" t="s">
        <v>501</v>
      </c>
      <c r="E908" s="143" t="s">
        <v>80</v>
      </c>
      <c r="F908" s="143" t="s">
        <v>3156</v>
      </c>
      <c r="G908" s="143" t="s">
        <v>3157</v>
      </c>
      <c r="H908" s="143"/>
      <c r="I908" s="198"/>
      <c r="J908" s="155">
        <v>1</v>
      </c>
      <c r="K908" s="155"/>
      <c r="L908" s="155" t="s">
        <v>93</v>
      </c>
      <c r="M908" s="155"/>
      <c r="N908" s="155"/>
      <c r="O908" s="155"/>
      <c r="P908" s="155"/>
      <c r="Q908" s="155">
        <v>1</v>
      </c>
      <c r="R908" s="155" t="s">
        <v>1045</v>
      </c>
      <c r="S908" s="155"/>
      <c r="T908" s="155"/>
      <c r="U908" s="143"/>
      <c r="V908" s="143" t="s">
        <v>503</v>
      </c>
      <c r="W908" s="143" t="s">
        <v>298</v>
      </c>
      <c r="X908" s="143" t="s">
        <v>227</v>
      </c>
      <c r="Y908" s="143">
        <v>9478388888</v>
      </c>
      <c r="Z908" s="143"/>
      <c r="AA908" s="143" t="s">
        <v>3149</v>
      </c>
      <c r="AB908" s="143" t="s">
        <v>528</v>
      </c>
      <c r="AC908" s="155">
        <v>1</v>
      </c>
      <c r="AD908" s="155"/>
      <c r="AE908" s="155"/>
      <c r="AF908" s="155"/>
      <c r="AG908" s="155"/>
      <c r="AH908" s="143"/>
      <c r="AI908" s="158"/>
    </row>
    <row r="909" spans="1:35">
      <c r="A909" s="140"/>
      <c r="B909" s="143"/>
      <c r="C909" s="228" t="s">
        <v>3158</v>
      </c>
      <c r="D909" s="230" t="s">
        <v>501</v>
      </c>
      <c r="E909" s="143" t="s">
        <v>80</v>
      </c>
      <c r="F909" s="143" t="s">
        <v>3159</v>
      </c>
      <c r="G909" s="143" t="s">
        <v>3160</v>
      </c>
      <c r="H909" s="143"/>
      <c r="I909" s="198"/>
      <c r="J909" s="155">
        <v>1</v>
      </c>
      <c r="K909" s="155"/>
      <c r="L909" s="155">
        <v>1</v>
      </c>
      <c r="M909" s="155"/>
      <c r="N909" s="155"/>
      <c r="O909" s="155"/>
      <c r="P909" s="155"/>
      <c r="Q909" s="155"/>
      <c r="R909" s="155"/>
      <c r="S909" s="155"/>
      <c r="T909" s="155"/>
      <c r="U909" s="143"/>
      <c r="V909" s="143" t="s">
        <v>503</v>
      </c>
      <c r="W909" s="143" t="s">
        <v>298</v>
      </c>
      <c r="X909" s="143" t="s">
        <v>227</v>
      </c>
      <c r="Y909" s="143"/>
      <c r="Z909" s="143"/>
      <c r="AA909" s="143" t="s">
        <v>3151</v>
      </c>
      <c r="AB909" s="143" t="s">
        <v>528</v>
      </c>
      <c r="AC909" s="155">
        <v>1</v>
      </c>
      <c r="AD909" s="155"/>
      <c r="AE909" s="155"/>
      <c r="AF909" s="155"/>
      <c r="AG909" s="155"/>
      <c r="AH909" s="143"/>
      <c r="AI909" s="158"/>
    </row>
    <row r="910" spans="1:35">
      <c r="A910" s="140"/>
      <c r="B910" s="143"/>
      <c r="C910" s="228" t="s">
        <v>3158</v>
      </c>
      <c r="D910" s="230" t="s">
        <v>501</v>
      </c>
      <c r="E910" s="143" t="s">
        <v>80</v>
      </c>
      <c r="F910" s="143" t="s">
        <v>3161</v>
      </c>
      <c r="G910" s="143" t="s">
        <v>3162</v>
      </c>
      <c r="H910" s="143"/>
      <c r="I910" s="198">
        <v>27881</v>
      </c>
      <c r="J910" s="155"/>
      <c r="K910" s="155">
        <v>1</v>
      </c>
      <c r="L910" s="155"/>
      <c r="M910" s="155"/>
      <c r="N910" s="155"/>
      <c r="O910" s="155"/>
      <c r="P910" s="155"/>
      <c r="Q910" s="155">
        <v>1</v>
      </c>
      <c r="R910" s="155" t="s">
        <v>3163</v>
      </c>
      <c r="S910" s="155"/>
      <c r="T910" s="155"/>
      <c r="U910" s="143"/>
      <c r="V910" s="143" t="s">
        <v>503</v>
      </c>
      <c r="W910" s="143" t="s">
        <v>298</v>
      </c>
      <c r="X910" s="143" t="s">
        <v>227</v>
      </c>
      <c r="Y910" s="143">
        <v>9560368192</v>
      </c>
      <c r="Z910" s="143"/>
      <c r="AA910" s="143" t="s">
        <v>3149</v>
      </c>
      <c r="AB910" s="143" t="s">
        <v>528</v>
      </c>
      <c r="AC910" s="155">
        <v>1</v>
      </c>
      <c r="AD910" s="155"/>
      <c r="AE910" s="155"/>
      <c r="AF910" s="155"/>
      <c r="AG910" s="155"/>
      <c r="AH910" s="143"/>
      <c r="AI910" s="158"/>
    </row>
    <row r="911" spans="1:35">
      <c r="A911" s="140"/>
      <c r="B911" s="143"/>
      <c r="C911" s="228" t="s">
        <v>3158</v>
      </c>
      <c r="D911" s="230" t="s">
        <v>501</v>
      </c>
      <c r="E911" s="143" t="s">
        <v>80</v>
      </c>
      <c r="F911" s="143" t="s">
        <v>3164</v>
      </c>
      <c r="G911" s="143" t="s">
        <v>1720</v>
      </c>
      <c r="H911" s="143"/>
      <c r="I911" s="198">
        <v>16411</v>
      </c>
      <c r="J911" s="155">
        <v>1</v>
      </c>
      <c r="K911" s="155" t="s">
        <v>93</v>
      </c>
      <c r="L911" s="155"/>
      <c r="M911" s="155"/>
      <c r="N911" s="155"/>
      <c r="O911" s="155"/>
      <c r="P911" s="155"/>
      <c r="Q911" s="155">
        <v>1</v>
      </c>
      <c r="R911" s="155" t="s">
        <v>1045</v>
      </c>
      <c r="S911" s="155"/>
      <c r="T911" s="155"/>
      <c r="U911" s="143"/>
      <c r="V911" s="143" t="s">
        <v>503</v>
      </c>
      <c r="W911" s="143" t="s">
        <v>298</v>
      </c>
      <c r="X911" s="143" t="s">
        <v>227</v>
      </c>
      <c r="Y911" s="143">
        <v>9278351388</v>
      </c>
      <c r="Z911" s="143"/>
      <c r="AA911" s="143" t="s">
        <v>3149</v>
      </c>
      <c r="AB911" s="143" t="s">
        <v>528</v>
      </c>
      <c r="AC911" s="155">
        <v>1</v>
      </c>
      <c r="AD911" s="155"/>
      <c r="AE911" s="155"/>
      <c r="AF911" s="155"/>
      <c r="AG911" s="155"/>
      <c r="AH911" s="143"/>
      <c r="AI911" s="158"/>
    </row>
    <row r="912" spans="1:35">
      <c r="A912" s="140"/>
      <c r="B912" s="143"/>
      <c r="C912" s="228" t="s">
        <v>3158</v>
      </c>
      <c r="D912" s="230" t="s">
        <v>501</v>
      </c>
      <c r="E912" s="143" t="s">
        <v>80</v>
      </c>
      <c r="F912" s="143" t="s">
        <v>1090</v>
      </c>
      <c r="G912" s="143" t="s">
        <v>385</v>
      </c>
      <c r="H912" s="143" t="s">
        <v>133</v>
      </c>
      <c r="I912" s="198">
        <v>34646</v>
      </c>
      <c r="J912" s="155">
        <v>1</v>
      </c>
      <c r="K912" s="155"/>
      <c r="L912" s="155">
        <v>1</v>
      </c>
      <c r="M912" s="155"/>
      <c r="N912" s="155"/>
      <c r="O912" s="155"/>
      <c r="P912" s="155"/>
      <c r="Q912" s="155"/>
      <c r="R912" s="155"/>
      <c r="S912" s="155"/>
      <c r="T912" s="155"/>
      <c r="U912" s="143"/>
      <c r="V912" s="143" t="s">
        <v>1092</v>
      </c>
      <c r="W912" s="143" t="s">
        <v>298</v>
      </c>
      <c r="X912" s="143" t="s">
        <v>227</v>
      </c>
      <c r="Y912" s="143"/>
      <c r="Z912" s="143"/>
      <c r="AA912" s="143" t="s">
        <v>3151</v>
      </c>
      <c r="AB912" s="143" t="s">
        <v>528</v>
      </c>
      <c r="AC912" s="155">
        <v>1</v>
      </c>
      <c r="AD912" s="155"/>
      <c r="AE912" s="155"/>
      <c r="AF912" s="155"/>
      <c r="AG912" s="155"/>
      <c r="AH912" s="143"/>
      <c r="AI912" s="158"/>
    </row>
    <row r="913" spans="1:35">
      <c r="A913" s="140"/>
      <c r="B913" s="143"/>
      <c r="C913" s="228" t="s">
        <v>3158</v>
      </c>
      <c r="D913" s="230" t="s">
        <v>501</v>
      </c>
      <c r="E913" s="143" t="s">
        <v>80</v>
      </c>
      <c r="F913" s="143" t="s">
        <v>3165</v>
      </c>
      <c r="G913" s="143" t="s">
        <v>2141</v>
      </c>
      <c r="H913" s="143"/>
      <c r="I913" s="198"/>
      <c r="J913" s="155">
        <v>1</v>
      </c>
      <c r="K913" s="155"/>
      <c r="L913" s="155">
        <v>1</v>
      </c>
      <c r="M913" s="155"/>
      <c r="N913" s="155"/>
      <c r="O913" s="155"/>
      <c r="P913" s="155"/>
      <c r="Q913" s="155"/>
      <c r="R913" s="155"/>
      <c r="S913" s="155"/>
      <c r="T913" s="155"/>
      <c r="U913" s="143"/>
      <c r="V913" s="143" t="s">
        <v>503</v>
      </c>
      <c r="W913" s="143" t="s">
        <v>298</v>
      </c>
      <c r="X913" s="143" t="s">
        <v>227</v>
      </c>
      <c r="Y913" s="143">
        <v>9094440958</v>
      </c>
      <c r="Z913" s="143"/>
      <c r="AA913" s="143" t="s">
        <v>3151</v>
      </c>
      <c r="AB913" s="143" t="s">
        <v>528</v>
      </c>
      <c r="AC913" s="155">
        <v>1</v>
      </c>
      <c r="AD913" s="155"/>
      <c r="AE913" s="155"/>
      <c r="AF913" s="155"/>
      <c r="AG913" s="155"/>
      <c r="AH913" s="143"/>
      <c r="AI913" s="158"/>
    </row>
    <row r="914" spans="1:35">
      <c r="A914" s="140"/>
      <c r="B914" s="143"/>
      <c r="C914" s="228" t="s">
        <v>3158</v>
      </c>
      <c r="D914" s="230" t="s">
        <v>501</v>
      </c>
      <c r="E914" s="143" t="s">
        <v>80</v>
      </c>
      <c r="F914" s="143" t="s">
        <v>1463</v>
      </c>
      <c r="G914" s="143" t="s">
        <v>3173</v>
      </c>
      <c r="H914" s="143"/>
      <c r="I914" s="198"/>
      <c r="J914" s="155"/>
      <c r="K914" s="155">
        <v>1</v>
      </c>
      <c r="L914" s="155"/>
      <c r="M914" s="155"/>
      <c r="N914" s="155"/>
      <c r="O914" s="155"/>
      <c r="P914" s="155"/>
      <c r="Q914" s="155">
        <v>1</v>
      </c>
      <c r="R914" s="155" t="s">
        <v>1266</v>
      </c>
      <c r="S914" s="155"/>
      <c r="T914" s="155"/>
      <c r="U914" s="143"/>
      <c r="V914" s="143" t="s">
        <v>503</v>
      </c>
      <c r="W914" s="143" t="s">
        <v>298</v>
      </c>
      <c r="X914" s="143" t="s">
        <v>227</v>
      </c>
      <c r="Y914" s="143"/>
      <c r="Z914" s="143"/>
      <c r="AA914" s="143" t="s">
        <v>3149</v>
      </c>
      <c r="AB914" s="143" t="s">
        <v>528</v>
      </c>
      <c r="AC914" s="155">
        <v>1</v>
      </c>
      <c r="AD914" s="155"/>
      <c r="AE914" s="155"/>
      <c r="AF914" s="155"/>
      <c r="AG914" s="155"/>
      <c r="AH914" s="143"/>
      <c r="AI914" s="158"/>
    </row>
    <row r="915" spans="1:35">
      <c r="A915" s="140"/>
      <c r="B915" s="143"/>
      <c r="C915" s="228" t="s">
        <v>3158</v>
      </c>
      <c r="D915" s="230" t="s">
        <v>501</v>
      </c>
      <c r="E915" s="143" t="s">
        <v>80</v>
      </c>
      <c r="F915" s="143" t="s">
        <v>158</v>
      </c>
      <c r="G915" s="143" t="s">
        <v>1081</v>
      </c>
      <c r="H915" s="143" t="s">
        <v>136</v>
      </c>
      <c r="I915" s="198">
        <v>30293</v>
      </c>
      <c r="J915" s="155"/>
      <c r="K915" s="155">
        <v>1</v>
      </c>
      <c r="L915" s="155"/>
      <c r="M915" s="155"/>
      <c r="N915" s="155"/>
      <c r="O915" s="155"/>
      <c r="P915" s="155"/>
      <c r="Q915" s="155">
        <v>1</v>
      </c>
      <c r="R915" s="155" t="s">
        <v>1009</v>
      </c>
      <c r="S915" s="155"/>
      <c r="T915" s="155"/>
      <c r="U915" s="143" t="s">
        <v>222</v>
      </c>
      <c r="V915" s="143" t="s">
        <v>873</v>
      </c>
      <c r="W915" s="143" t="s">
        <v>279</v>
      </c>
      <c r="X915" s="143" t="s">
        <v>227</v>
      </c>
      <c r="Y915" s="143">
        <v>9979105666</v>
      </c>
      <c r="Z915" s="143"/>
      <c r="AA915" s="143" t="s">
        <v>3151</v>
      </c>
      <c r="AB915" s="143" t="s">
        <v>528</v>
      </c>
      <c r="AC915" s="155">
        <v>1</v>
      </c>
      <c r="AD915" s="155"/>
      <c r="AE915" s="155"/>
      <c r="AF915" s="155"/>
      <c r="AG915" s="155"/>
      <c r="AH915" s="143"/>
      <c r="AI915" s="158"/>
    </row>
    <row r="916" spans="1:35">
      <c r="A916" s="140"/>
      <c r="B916" s="143"/>
      <c r="C916" s="228" t="s">
        <v>3158</v>
      </c>
      <c r="D916" s="230" t="s">
        <v>501</v>
      </c>
      <c r="E916" s="143" t="s">
        <v>80</v>
      </c>
      <c r="F916" s="230" t="s">
        <v>3174</v>
      </c>
      <c r="G916" s="230" t="s">
        <v>3175</v>
      </c>
      <c r="H916" s="143"/>
      <c r="I916" s="198">
        <v>25678</v>
      </c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43"/>
      <c r="V916" s="143"/>
      <c r="W916" s="143"/>
      <c r="X916" s="143"/>
      <c r="Y916" s="143"/>
      <c r="Z916" s="143"/>
      <c r="AA916" s="143" t="s">
        <v>3151</v>
      </c>
      <c r="AB916" s="143" t="s">
        <v>528</v>
      </c>
      <c r="AC916" s="155">
        <v>1</v>
      </c>
      <c r="AD916" s="155"/>
      <c r="AE916" s="155"/>
      <c r="AF916" s="155"/>
      <c r="AG916" s="155"/>
      <c r="AH916" s="143"/>
      <c r="AI916" s="158"/>
    </row>
    <row r="917" spans="1:35">
      <c r="A917" s="140"/>
      <c r="B917" s="143"/>
      <c r="C917" s="228" t="s">
        <v>3158</v>
      </c>
      <c r="D917" s="230" t="s">
        <v>501</v>
      </c>
      <c r="E917" s="143" t="s">
        <v>80</v>
      </c>
      <c r="F917" s="230" t="s">
        <v>1272</v>
      </c>
      <c r="G917" s="230" t="s">
        <v>1004</v>
      </c>
      <c r="H917" s="143"/>
      <c r="I917" s="198">
        <v>24636</v>
      </c>
      <c r="J917" s="155">
        <v>1</v>
      </c>
      <c r="K917" s="155"/>
      <c r="L917" s="155">
        <v>1</v>
      </c>
      <c r="M917" s="155"/>
      <c r="N917" s="155"/>
      <c r="O917" s="155"/>
      <c r="P917" s="155"/>
      <c r="Q917" s="155"/>
      <c r="R917" s="155"/>
      <c r="S917" s="155"/>
      <c r="T917" s="155"/>
      <c r="U917" s="143" t="s">
        <v>3176</v>
      </c>
      <c r="V917" s="143" t="s">
        <v>1280</v>
      </c>
      <c r="W917" s="143" t="s">
        <v>280</v>
      </c>
      <c r="X917" s="143" t="s">
        <v>227</v>
      </c>
      <c r="Y917" s="143">
        <v>9159217989</v>
      </c>
      <c r="Z917" s="143"/>
      <c r="AA917" s="143" t="s">
        <v>3151</v>
      </c>
      <c r="AB917" s="143" t="s">
        <v>528</v>
      </c>
      <c r="AC917" s="155">
        <v>1</v>
      </c>
      <c r="AD917" s="155"/>
      <c r="AE917" s="155"/>
      <c r="AF917" s="155"/>
      <c r="AG917" s="155"/>
      <c r="AH917" s="143"/>
      <c r="AI917" s="158"/>
    </row>
    <row r="918" spans="1:35">
      <c r="A918" s="140"/>
      <c r="B918" s="143"/>
      <c r="C918" s="228" t="s">
        <v>3158</v>
      </c>
      <c r="D918" s="230" t="s">
        <v>501</v>
      </c>
      <c r="E918" s="143" t="s">
        <v>80</v>
      </c>
      <c r="F918" s="143" t="s">
        <v>1227</v>
      </c>
      <c r="G918" s="143" t="s">
        <v>3177</v>
      </c>
      <c r="H918" s="143" t="s">
        <v>117</v>
      </c>
      <c r="I918" s="198">
        <v>31330</v>
      </c>
      <c r="J918" s="155"/>
      <c r="K918" s="155">
        <v>1</v>
      </c>
      <c r="L918" s="155"/>
      <c r="M918" s="155"/>
      <c r="N918" s="155"/>
      <c r="O918" s="155"/>
      <c r="P918" s="155"/>
      <c r="Q918" s="155">
        <v>1</v>
      </c>
      <c r="R918" s="155" t="s">
        <v>1348</v>
      </c>
      <c r="S918" s="155"/>
      <c r="T918" s="155"/>
      <c r="U918" s="143" t="s">
        <v>226</v>
      </c>
      <c r="V918" s="143" t="s">
        <v>223</v>
      </c>
      <c r="W918" s="143" t="s">
        <v>279</v>
      </c>
      <c r="X918" s="143" t="s">
        <v>227</v>
      </c>
      <c r="Y918" s="143">
        <v>9633974479</v>
      </c>
      <c r="Z918" s="143"/>
      <c r="AA918" s="143" t="s">
        <v>3141</v>
      </c>
      <c r="AB918" s="143" t="s">
        <v>528</v>
      </c>
      <c r="AC918" s="155">
        <v>1</v>
      </c>
      <c r="AD918" s="155"/>
      <c r="AE918" s="155"/>
      <c r="AF918" s="155"/>
      <c r="AG918" s="155"/>
      <c r="AH918" s="143"/>
      <c r="AI918" s="158"/>
    </row>
    <row r="919" spans="1:35">
      <c r="A919" s="140"/>
      <c r="B919" s="143"/>
      <c r="C919" s="228" t="s">
        <v>3158</v>
      </c>
      <c r="D919" s="230" t="s">
        <v>501</v>
      </c>
      <c r="E919" s="143" t="s">
        <v>80</v>
      </c>
      <c r="F919" s="143" t="s">
        <v>3178</v>
      </c>
      <c r="G919" s="143" t="s">
        <v>3179</v>
      </c>
      <c r="H919" s="143" t="s">
        <v>126</v>
      </c>
      <c r="I919" s="198"/>
      <c r="J919" s="155"/>
      <c r="K919" s="155"/>
      <c r="L919" s="155">
        <v>1</v>
      </c>
      <c r="M919" s="155"/>
      <c r="N919" s="155"/>
      <c r="O919" s="155"/>
      <c r="P919" s="155"/>
      <c r="Q919" s="155"/>
      <c r="R919" s="155"/>
      <c r="S919" s="155"/>
      <c r="T919" s="155"/>
      <c r="U919" s="143" t="s">
        <v>3180</v>
      </c>
      <c r="V919" s="143" t="s">
        <v>218</v>
      </c>
      <c r="W919" s="143" t="s">
        <v>279</v>
      </c>
      <c r="X919" s="143" t="s">
        <v>227</v>
      </c>
      <c r="Y919" s="143">
        <v>9982356862</v>
      </c>
      <c r="Z919" s="143"/>
      <c r="AA919" s="143" t="s">
        <v>3151</v>
      </c>
      <c r="AB919" s="143" t="s">
        <v>528</v>
      </c>
      <c r="AC919" s="155">
        <v>1</v>
      </c>
      <c r="AD919" s="155"/>
      <c r="AE919" s="155"/>
      <c r="AF919" s="155"/>
      <c r="AG919" s="155"/>
      <c r="AH919" s="143"/>
      <c r="AI919" s="158"/>
    </row>
    <row r="920" spans="1:35">
      <c r="A920" s="140"/>
      <c r="B920" s="143"/>
      <c r="C920" s="228" t="s">
        <v>3158</v>
      </c>
      <c r="D920" s="230" t="s">
        <v>501</v>
      </c>
      <c r="E920" s="143" t="s">
        <v>80</v>
      </c>
      <c r="F920" s="143" t="s">
        <v>1512</v>
      </c>
      <c r="G920" s="143" t="s">
        <v>2895</v>
      </c>
      <c r="H920" s="143"/>
      <c r="I920" s="198">
        <v>25751</v>
      </c>
      <c r="J920" s="155">
        <v>1</v>
      </c>
      <c r="K920" s="155"/>
      <c r="L920" s="155">
        <v>1</v>
      </c>
      <c r="M920" s="155"/>
      <c r="N920" s="155"/>
      <c r="O920" s="155"/>
      <c r="P920" s="155"/>
      <c r="Q920" s="155"/>
      <c r="R920" s="155"/>
      <c r="S920" s="155"/>
      <c r="T920" s="155"/>
      <c r="U920" s="143" t="s">
        <v>3180</v>
      </c>
      <c r="V920" s="143" t="s">
        <v>218</v>
      </c>
      <c r="W920" s="143" t="s">
        <v>279</v>
      </c>
      <c r="X920" s="143" t="s">
        <v>227</v>
      </c>
      <c r="Y920" s="143">
        <v>9675147663</v>
      </c>
      <c r="Z920" s="143"/>
      <c r="AA920" s="143" t="s">
        <v>3151</v>
      </c>
      <c r="AB920" s="143" t="s">
        <v>528</v>
      </c>
      <c r="AC920" s="155">
        <v>1</v>
      </c>
      <c r="AD920" s="155"/>
      <c r="AE920" s="155"/>
      <c r="AF920" s="155"/>
      <c r="AG920" s="155"/>
      <c r="AH920" s="143"/>
      <c r="AI920" s="158"/>
    </row>
    <row r="921" spans="1:35">
      <c r="A921" s="140"/>
      <c r="B921" s="143"/>
      <c r="C921" s="228" t="s">
        <v>3158</v>
      </c>
      <c r="D921" s="230" t="s">
        <v>501</v>
      </c>
      <c r="E921" s="143" t="s">
        <v>80</v>
      </c>
      <c r="F921" s="143" t="s">
        <v>3181</v>
      </c>
      <c r="G921" s="143" t="s">
        <v>3184</v>
      </c>
      <c r="H921" s="143"/>
      <c r="I921" s="198"/>
      <c r="J921" s="155">
        <v>1</v>
      </c>
      <c r="K921" s="155"/>
      <c r="L921" s="155"/>
      <c r="M921" s="155"/>
      <c r="N921" s="155"/>
      <c r="O921" s="155"/>
      <c r="P921" s="155"/>
      <c r="Q921" s="155">
        <v>1</v>
      </c>
      <c r="R921" s="155" t="s">
        <v>1009</v>
      </c>
      <c r="S921" s="155"/>
      <c r="T921" s="155"/>
      <c r="U921" s="143"/>
      <c r="V921" s="143" t="s">
        <v>519</v>
      </c>
      <c r="W921" s="143" t="s">
        <v>280</v>
      </c>
      <c r="X921" s="143" t="s">
        <v>227</v>
      </c>
      <c r="Y921" s="143">
        <v>9088627325</v>
      </c>
      <c r="Z921" s="143"/>
      <c r="AA921" s="143" t="s">
        <v>3151</v>
      </c>
      <c r="AB921" s="143" t="s">
        <v>528</v>
      </c>
      <c r="AC921" s="155">
        <v>1</v>
      </c>
      <c r="AD921" s="155"/>
      <c r="AE921" s="155"/>
      <c r="AF921" s="155"/>
      <c r="AG921" s="155"/>
      <c r="AH921" s="143"/>
      <c r="AI921" s="158"/>
    </row>
    <row r="922" spans="1:35">
      <c r="A922" s="140"/>
      <c r="B922" s="143"/>
      <c r="C922" s="228" t="s">
        <v>3158</v>
      </c>
      <c r="D922" s="230" t="s">
        <v>501</v>
      </c>
      <c r="E922" s="143" t="s">
        <v>80</v>
      </c>
      <c r="F922" s="143" t="s">
        <v>3182</v>
      </c>
      <c r="G922" s="143" t="s">
        <v>3183</v>
      </c>
      <c r="H922" s="143"/>
      <c r="I922" s="198"/>
      <c r="J922" s="155">
        <v>1</v>
      </c>
      <c r="K922" s="155"/>
      <c r="L922" s="155"/>
      <c r="M922" s="155"/>
      <c r="N922" s="155"/>
      <c r="O922" s="155"/>
      <c r="P922" s="155"/>
      <c r="Q922" s="155">
        <v>1</v>
      </c>
      <c r="R922" s="155" t="s">
        <v>1009</v>
      </c>
      <c r="S922" s="155"/>
      <c r="T922" s="155"/>
      <c r="U922" s="143"/>
      <c r="V922" s="143" t="s">
        <v>519</v>
      </c>
      <c r="W922" s="143" t="s">
        <v>280</v>
      </c>
      <c r="X922" s="143" t="s">
        <v>227</v>
      </c>
      <c r="Y922" s="143">
        <v>9088627325</v>
      </c>
      <c r="Z922" s="143"/>
      <c r="AA922" s="143" t="s">
        <v>3151</v>
      </c>
      <c r="AB922" s="143" t="s">
        <v>528</v>
      </c>
      <c r="AC922" s="155">
        <v>1</v>
      </c>
      <c r="AD922" s="155"/>
      <c r="AE922" s="155"/>
      <c r="AF922" s="155"/>
      <c r="AG922" s="155"/>
      <c r="AH922" s="143"/>
      <c r="AI922" s="158"/>
    </row>
    <row r="923" spans="1:35">
      <c r="A923" s="140"/>
      <c r="B923" s="143"/>
      <c r="C923" s="228" t="s">
        <v>3158</v>
      </c>
      <c r="D923" s="143" t="s">
        <v>501</v>
      </c>
      <c r="E923" s="143" t="s">
        <v>80</v>
      </c>
      <c r="F923" s="143" t="s">
        <v>211</v>
      </c>
      <c r="G923" s="143" t="s">
        <v>1904</v>
      </c>
      <c r="H923" s="143"/>
      <c r="I923" s="198"/>
      <c r="J923" s="155">
        <v>1</v>
      </c>
      <c r="K923" s="155"/>
      <c r="L923" s="155"/>
      <c r="M923" s="155"/>
      <c r="N923" s="155"/>
      <c r="O923" s="155"/>
      <c r="P923" s="155"/>
      <c r="Q923" s="155">
        <v>1</v>
      </c>
      <c r="R923" s="155" t="s">
        <v>1908</v>
      </c>
      <c r="S923" s="155"/>
      <c r="T923" s="155"/>
      <c r="U923" s="143"/>
      <c r="V923" s="143" t="s">
        <v>1127</v>
      </c>
      <c r="W923" s="143"/>
      <c r="X923" s="143" t="s">
        <v>1257</v>
      </c>
      <c r="Y923" s="143"/>
      <c r="Z923" s="143"/>
      <c r="AA923" s="143" t="s">
        <v>3149</v>
      </c>
      <c r="AB923" s="143" t="s">
        <v>528</v>
      </c>
      <c r="AC923" s="155">
        <v>1</v>
      </c>
      <c r="AD923" s="155"/>
      <c r="AE923" s="155"/>
      <c r="AF923" s="155"/>
      <c r="AG923" s="155"/>
      <c r="AH923" s="143"/>
      <c r="AI923" s="158"/>
    </row>
    <row r="924" spans="1:35">
      <c r="A924" s="140"/>
      <c r="B924" s="143"/>
      <c r="C924" s="228" t="s">
        <v>3158</v>
      </c>
      <c r="D924" s="230" t="s">
        <v>501</v>
      </c>
      <c r="E924" s="143" t="s">
        <v>80</v>
      </c>
      <c r="F924" s="143" t="s">
        <v>1063</v>
      </c>
      <c r="G924" s="143" t="s">
        <v>3185</v>
      </c>
      <c r="H924" s="143"/>
      <c r="I924" s="198"/>
      <c r="J924" s="155">
        <v>1</v>
      </c>
      <c r="K924" s="155"/>
      <c r="L924" s="155">
        <v>1</v>
      </c>
      <c r="M924" s="155"/>
      <c r="N924" s="155"/>
      <c r="O924" s="155"/>
      <c r="P924" s="155"/>
      <c r="Q924" s="155"/>
      <c r="R924" s="155"/>
      <c r="S924" s="155"/>
      <c r="T924" s="155"/>
      <c r="U924" s="143" t="s">
        <v>504</v>
      </c>
      <c r="V924" s="143" t="s">
        <v>503</v>
      </c>
      <c r="W924" s="143" t="s">
        <v>298</v>
      </c>
      <c r="X924" s="143" t="s">
        <v>227</v>
      </c>
      <c r="Y924" s="143">
        <v>9363122455</v>
      </c>
      <c r="Z924" s="143"/>
      <c r="AA924" s="143" t="s">
        <v>3149</v>
      </c>
      <c r="AB924" s="143" t="s">
        <v>528</v>
      </c>
      <c r="AC924" s="155">
        <v>1</v>
      </c>
      <c r="AD924" s="155"/>
      <c r="AE924" s="155"/>
      <c r="AF924" s="155"/>
      <c r="AG924" s="155"/>
      <c r="AH924" s="143"/>
      <c r="AI924" s="158"/>
    </row>
    <row r="925" spans="1:35">
      <c r="A925" s="140"/>
      <c r="B925" s="143"/>
      <c r="C925" s="228" t="s">
        <v>3158</v>
      </c>
      <c r="D925" s="230" t="s">
        <v>501</v>
      </c>
      <c r="E925" s="143" t="s">
        <v>80</v>
      </c>
      <c r="F925" s="143" t="s">
        <v>3186</v>
      </c>
      <c r="G925" s="143" t="s">
        <v>730</v>
      </c>
      <c r="H925" s="143"/>
      <c r="I925" s="198">
        <v>30553</v>
      </c>
      <c r="J925" s="155"/>
      <c r="K925" s="155">
        <v>1</v>
      </c>
      <c r="L925" s="155">
        <v>1</v>
      </c>
      <c r="M925" s="155"/>
      <c r="N925" s="155"/>
      <c r="O925" s="155"/>
      <c r="P925" s="155"/>
      <c r="Q925" s="155"/>
      <c r="R925" s="155"/>
      <c r="S925" s="155"/>
      <c r="T925" s="155"/>
      <c r="U925" s="143" t="s">
        <v>509</v>
      </c>
      <c r="V925" s="143" t="s">
        <v>503</v>
      </c>
      <c r="W925" s="143" t="s">
        <v>298</v>
      </c>
      <c r="X925" s="143" t="s">
        <v>227</v>
      </c>
      <c r="Y925" s="143">
        <v>9387859402</v>
      </c>
      <c r="Z925" s="143"/>
      <c r="AA925" s="143" t="s">
        <v>3141</v>
      </c>
      <c r="AB925" s="143" t="s">
        <v>528</v>
      </c>
      <c r="AC925" s="155">
        <v>1</v>
      </c>
      <c r="AD925" s="155"/>
      <c r="AE925" s="155"/>
      <c r="AF925" s="155"/>
      <c r="AG925" s="155"/>
      <c r="AH925" s="143"/>
      <c r="AI925" s="158"/>
    </row>
    <row r="926" spans="1:35">
      <c r="A926" s="140"/>
      <c r="B926" s="143"/>
      <c r="C926" s="228" t="s">
        <v>3158</v>
      </c>
      <c r="D926" s="230" t="s">
        <v>501</v>
      </c>
      <c r="E926" s="143" t="s">
        <v>80</v>
      </c>
      <c r="F926" s="143" t="s">
        <v>3077</v>
      </c>
      <c r="G926" s="143" t="s">
        <v>1409</v>
      </c>
      <c r="H926" s="143"/>
      <c r="I926" s="198"/>
      <c r="J926" s="155"/>
      <c r="K926" s="155">
        <v>1</v>
      </c>
      <c r="L926" s="155">
        <v>1</v>
      </c>
      <c r="M926" s="155"/>
      <c r="N926" s="155"/>
      <c r="O926" s="155"/>
      <c r="P926" s="155"/>
      <c r="Q926" s="155"/>
      <c r="R926" s="155"/>
      <c r="S926" s="155"/>
      <c r="T926" s="155"/>
      <c r="U926" s="143"/>
      <c r="V926" s="143" t="s">
        <v>503</v>
      </c>
      <c r="W926" s="143" t="s">
        <v>298</v>
      </c>
      <c r="X926" s="143" t="s">
        <v>227</v>
      </c>
      <c r="Y926" s="143"/>
      <c r="Z926" s="143"/>
      <c r="AA926" s="143" t="s">
        <v>3149</v>
      </c>
      <c r="AB926" s="143" t="s">
        <v>528</v>
      </c>
      <c r="AC926" s="155">
        <v>1</v>
      </c>
      <c r="AD926" s="155"/>
      <c r="AE926" s="155"/>
      <c r="AF926" s="155"/>
      <c r="AG926" s="155"/>
      <c r="AH926" s="143"/>
      <c r="AI926" s="158"/>
    </row>
    <row r="927" spans="1:35">
      <c r="A927" s="140"/>
      <c r="B927" s="143"/>
      <c r="C927" s="228" t="s">
        <v>3158</v>
      </c>
      <c r="D927" s="230" t="s">
        <v>501</v>
      </c>
      <c r="E927" s="143" t="s">
        <v>80</v>
      </c>
      <c r="F927" s="143" t="s">
        <v>3187</v>
      </c>
      <c r="G927" s="143" t="s">
        <v>494</v>
      </c>
      <c r="H927" s="143"/>
      <c r="I927" s="198"/>
      <c r="J927" s="155">
        <v>1</v>
      </c>
      <c r="K927" s="155"/>
      <c r="L927" s="155"/>
      <c r="M927" s="155"/>
      <c r="N927" s="155"/>
      <c r="O927" s="155"/>
      <c r="P927" s="155"/>
      <c r="Q927" s="155">
        <v>1</v>
      </c>
      <c r="R927" s="155" t="s">
        <v>3079</v>
      </c>
      <c r="S927" s="155"/>
      <c r="T927" s="155"/>
      <c r="U927" s="143" t="s">
        <v>295</v>
      </c>
      <c r="V927" s="143" t="s">
        <v>503</v>
      </c>
      <c r="W927" s="143" t="s">
        <v>298</v>
      </c>
      <c r="X927" s="143" t="s">
        <v>227</v>
      </c>
      <c r="Y927" s="143">
        <v>9051955404</v>
      </c>
      <c r="Z927" s="143"/>
      <c r="AA927" s="143" t="s">
        <v>3149</v>
      </c>
      <c r="AB927" s="143" t="s">
        <v>528</v>
      </c>
      <c r="AC927" s="155">
        <v>1</v>
      </c>
      <c r="AD927" s="155"/>
      <c r="AE927" s="155"/>
      <c r="AF927" s="155"/>
      <c r="AG927" s="155"/>
      <c r="AH927" s="143"/>
      <c r="AI927" s="158"/>
    </row>
    <row r="928" spans="1:35">
      <c r="A928" s="140"/>
      <c r="B928" s="143"/>
      <c r="C928" s="228" t="s">
        <v>3158</v>
      </c>
      <c r="D928" s="230" t="s">
        <v>501</v>
      </c>
      <c r="E928" s="143" t="s">
        <v>80</v>
      </c>
      <c r="F928" s="143" t="s">
        <v>3188</v>
      </c>
      <c r="G928" s="143" t="s">
        <v>1569</v>
      </c>
      <c r="H928" s="143"/>
      <c r="I928" s="198"/>
      <c r="J928" s="155">
        <v>1</v>
      </c>
      <c r="K928" s="155"/>
      <c r="L928" s="155">
        <v>1</v>
      </c>
      <c r="M928" s="155"/>
      <c r="N928" s="155"/>
      <c r="O928" s="155"/>
      <c r="P928" s="155"/>
      <c r="Q928" s="155"/>
      <c r="R928" s="155"/>
      <c r="S928" s="155"/>
      <c r="T928" s="155"/>
      <c r="U928" s="143" t="s">
        <v>504</v>
      </c>
      <c r="V928" s="143" t="s">
        <v>503</v>
      </c>
      <c r="W928" s="143" t="s">
        <v>298</v>
      </c>
      <c r="X928" s="143" t="s">
        <v>227</v>
      </c>
      <c r="Y928" s="143">
        <v>9051474791</v>
      </c>
      <c r="Z928" s="143"/>
      <c r="AA928" s="143" t="s">
        <v>3141</v>
      </c>
      <c r="AB928" s="143" t="s">
        <v>528</v>
      </c>
      <c r="AC928" s="155">
        <v>1</v>
      </c>
      <c r="AD928" s="155"/>
      <c r="AE928" s="155"/>
      <c r="AF928" s="155"/>
      <c r="AG928" s="155"/>
      <c r="AH928" s="143"/>
      <c r="AI928" s="158"/>
    </row>
    <row r="929" spans="1:35">
      <c r="A929" s="140"/>
      <c r="B929" s="143"/>
      <c r="C929" s="228" t="s">
        <v>3158</v>
      </c>
      <c r="D929" s="230" t="s">
        <v>501</v>
      </c>
      <c r="E929" s="143" t="s">
        <v>80</v>
      </c>
      <c r="F929" s="143" t="s">
        <v>3189</v>
      </c>
      <c r="G929" s="143" t="s">
        <v>1299</v>
      </c>
      <c r="H929" s="143"/>
      <c r="I929" s="198"/>
      <c r="J929" s="155"/>
      <c r="K929" s="155">
        <v>1</v>
      </c>
      <c r="L929" s="155">
        <v>1</v>
      </c>
      <c r="M929" s="155"/>
      <c r="N929" s="155"/>
      <c r="O929" s="155"/>
      <c r="P929" s="155"/>
      <c r="Q929" s="155"/>
      <c r="R929" s="155"/>
      <c r="S929" s="155"/>
      <c r="T929" s="155"/>
      <c r="U929" s="143" t="s">
        <v>295</v>
      </c>
      <c r="V929" s="143" t="s">
        <v>503</v>
      </c>
      <c r="W929" s="143" t="s">
        <v>298</v>
      </c>
      <c r="X929" s="143" t="s">
        <v>227</v>
      </c>
      <c r="Y929" s="143"/>
      <c r="Z929" s="143"/>
      <c r="AA929" s="143" t="s">
        <v>3141</v>
      </c>
      <c r="AB929" s="143" t="s">
        <v>528</v>
      </c>
      <c r="AC929" s="155">
        <v>1</v>
      </c>
      <c r="AD929" s="155"/>
      <c r="AE929" s="155"/>
      <c r="AF929" s="155"/>
      <c r="AG929" s="155"/>
      <c r="AH929" s="143"/>
      <c r="AI929" s="158"/>
    </row>
    <row r="930" spans="1:35">
      <c r="A930" s="140"/>
      <c r="B930" s="143"/>
      <c r="C930" s="228" t="s">
        <v>3158</v>
      </c>
      <c r="D930" s="230" t="s">
        <v>501</v>
      </c>
      <c r="E930" s="143" t="s">
        <v>80</v>
      </c>
      <c r="F930" s="143" t="s">
        <v>719</v>
      </c>
      <c r="G930" s="143" t="s">
        <v>3190</v>
      </c>
      <c r="H930" s="143"/>
      <c r="I930" s="198"/>
      <c r="J930" s="155"/>
      <c r="K930" s="155">
        <v>1</v>
      </c>
      <c r="L930" s="155">
        <v>1</v>
      </c>
      <c r="M930" s="155"/>
      <c r="N930" s="155"/>
      <c r="O930" s="155"/>
      <c r="P930" s="155"/>
      <c r="Q930" s="155"/>
      <c r="R930" s="155"/>
      <c r="S930" s="155"/>
      <c r="T930" s="155"/>
      <c r="U930" s="143" t="s">
        <v>222</v>
      </c>
      <c r="V930" s="143" t="s">
        <v>949</v>
      </c>
      <c r="W930" s="143" t="s">
        <v>280</v>
      </c>
      <c r="X930" s="143" t="s">
        <v>227</v>
      </c>
      <c r="Y930" s="143">
        <v>9993947341</v>
      </c>
      <c r="Z930" s="143"/>
      <c r="AA930" s="143" t="s">
        <v>3141</v>
      </c>
      <c r="AB930" s="143" t="s">
        <v>528</v>
      </c>
      <c r="AC930" s="155">
        <v>1</v>
      </c>
      <c r="AD930" s="155"/>
      <c r="AE930" s="155"/>
      <c r="AF930" s="155"/>
      <c r="AG930" s="155"/>
      <c r="AH930" s="143"/>
      <c r="AI930" s="158"/>
    </row>
    <row r="931" spans="1:35">
      <c r="A931" s="140"/>
      <c r="B931" s="143"/>
      <c r="C931" s="228" t="s">
        <v>3158</v>
      </c>
      <c r="D931" s="143" t="s">
        <v>501</v>
      </c>
      <c r="E931" s="143" t="s">
        <v>80</v>
      </c>
      <c r="F931" s="153" t="s">
        <v>918</v>
      </c>
      <c r="G931" s="153" t="s">
        <v>919</v>
      </c>
      <c r="H931" s="153"/>
      <c r="I931" s="227">
        <v>24918</v>
      </c>
      <c r="J931" s="166"/>
      <c r="K931" s="165">
        <v>1</v>
      </c>
      <c r="L931" s="155"/>
      <c r="M931" s="155"/>
      <c r="N931" s="155"/>
      <c r="O931" s="155"/>
      <c r="P931" s="155"/>
      <c r="Q931" s="155"/>
      <c r="R931" s="155"/>
      <c r="S931" s="155"/>
      <c r="T931" s="155"/>
      <c r="U931" s="167" t="s">
        <v>502</v>
      </c>
      <c r="V931" s="153" t="s">
        <v>503</v>
      </c>
      <c r="W931" s="143" t="s">
        <v>298</v>
      </c>
      <c r="X931" s="157" t="s">
        <v>227</v>
      </c>
      <c r="Y931" s="153">
        <v>9109451565</v>
      </c>
      <c r="Z931" s="143"/>
      <c r="AA931" s="163" t="s">
        <v>525</v>
      </c>
      <c r="AB931" s="143" t="s">
        <v>528</v>
      </c>
      <c r="AC931" s="155">
        <v>1</v>
      </c>
      <c r="AD931" s="155"/>
      <c r="AE931" s="155"/>
      <c r="AF931" s="155"/>
      <c r="AG931" s="155"/>
      <c r="AH931" s="143"/>
      <c r="AI931" s="158"/>
    </row>
    <row r="932" spans="1:35">
      <c r="A932" s="140"/>
      <c r="B932" s="143"/>
      <c r="C932" s="228" t="s">
        <v>3158</v>
      </c>
      <c r="D932" s="230" t="s">
        <v>501</v>
      </c>
      <c r="E932" s="143" t="s">
        <v>80</v>
      </c>
      <c r="F932" s="143" t="s">
        <v>3191</v>
      </c>
      <c r="G932" s="143" t="s">
        <v>3192</v>
      </c>
      <c r="H932" s="143"/>
      <c r="I932" s="198"/>
      <c r="J932" s="155"/>
      <c r="K932" s="155">
        <v>1</v>
      </c>
      <c r="L932" s="155"/>
      <c r="M932" s="155"/>
      <c r="N932" s="155"/>
      <c r="O932" s="155"/>
      <c r="P932" s="155"/>
      <c r="Q932" s="155"/>
      <c r="R932" s="155"/>
      <c r="S932" s="155"/>
      <c r="T932" s="155"/>
      <c r="U932" s="143" t="s">
        <v>502</v>
      </c>
      <c r="V932" s="143" t="s">
        <v>503</v>
      </c>
      <c r="W932" s="143" t="s">
        <v>298</v>
      </c>
      <c r="X932" s="143" t="s">
        <v>227</v>
      </c>
      <c r="Y932" s="143">
        <v>9296419817</v>
      </c>
      <c r="Z932" s="143"/>
      <c r="AA932" s="163" t="s">
        <v>525</v>
      </c>
      <c r="AB932" s="143" t="s">
        <v>528</v>
      </c>
      <c r="AC932" s="155">
        <v>1</v>
      </c>
      <c r="AD932" s="155"/>
      <c r="AE932" s="155"/>
      <c r="AF932" s="155"/>
      <c r="AG932" s="155"/>
      <c r="AH932" s="143"/>
      <c r="AI932" s="158"/>
    </row>
    <row r="933" spans="1:35">
      <c r="A933" s="140"/>
      <c r="B933" s="143"/>
      <c r="C933" s="228" t="s">
        <v>3158</v>
      </c>
      <c r="D933" s="230" t="s">
        <v>501</v>
      </c>
      <c r="E933" s="143" t="s">
        <v>80</v>
      </c>
      <c r="F933" s="143" t="s">
        <v>3193</v>
      </c>
      <c r="G933" s="143" t="s">
        <v>3194</v>
      </c>
      <c r="H933" s="143"/>
      <c r="I933" s="198">
        <v>23419</v>
      </c>
      <c r="J933" s="155"/>
      <c r="K933" s="155">
        <v>1</v>
      </c>
      <c r="L933" s="155">
        <v>1</v>
      </c>
      <c r="M933" s="155"/>
      <c r="N933" s="155"/>
      <c r="O933" s="155"/>
      <c r="P933" s="155"/>
      <c r="Q933" s="155"/>
      <c r="R933" s="155"/>
      <c r="S933" s="155"/>
      <c r="T933" s="155"/>
      <c r="U933" s="143" t="s">
        <v>856</v>
      </c>
      <c r="V933" s="143"/>
      <c r="W933" s="143"/>
      <c r="X933" s="143"/>
      <c r="Y933" s="143"/>
      <c r="Z933" s="143"/>
      <c r="AA933" s="143"/>
      <c r="AB933" s="143"/>
      <c r="AC933" s="155"/>
      <c r="AD933" s="155"/>
      <c r="AE933" s="155"/>
      <c r="AF933" s="155"/>
      <c r="AG933" s="155"/>
      <c r="AH933" s="143"/>
      <c r="AI933" s="158"/>
    </row>
    <row r="934" spans="1:35">
      <c r="A934" s="140"/>
      <c r="B934" s="143"/>
      <c r="C934" s="228" t="s">
        <v>3158</v>
      </c>
      <c r="D934" s="230" t="s">
        <v>501</v>
      </c>
      <c r="E934" s="143" t="s">
        <v>80</v>
      </c>
      <c r="F934" s="143" t="s">
        <v>3195</v>
      </c>
      <c r="G934" s="143" t="s">
        <v>1726</v>
      </c>
      <c r="H934" s="143"/>
      <c r="I934" s="198">
        <v>25749</v>
      </c>
      <c r="J934" s="155"/>
      <c r="K934" s="155">
        <v>1</v>
      </c>
      <c r="L934" s="155">
        <v>1</v>
      </c>
      <c r="M934" s="155"/>
      <c r="N934" s="155"/>
      <c r="O934" s="155"/>
      <c r="P934" s="155"/>
      <c r="Q934" s="155"/>
      <c r="R934" s="155"/>
      <c r="S934" s="155"/>
      <c r="T934" s="155"/>
      <c r="U934" s="143" t="s">
        <v>856</v>
      </c>
      <c r="V934" s="143"/>
      <c r="W934" s="143"/>
      <c r="X934" s="143"/>
      <c r="Y934" s="143"/>
      <c r="Z934" s="143"/>
      <c r="AA934" s="143"/>
      <c r="AB934" s="143"/>
      <c r="AC934" s="155"/>
      <c r="AD934" s="155"/>
      <c r="AE934" s="155"/>
      <c r="AF934" s="155"/>
      <c r="AG934" s="155"/>
      <c r="AH934" s="143"/>
      <c r="AI934" s="158"/>
    </row>
    <row r="935" spans="1:35">
      <c r="A935" s="140"/>
      <c r="B935" s="143"/>
      <c r="C935" s="228" t="s">
        <v>3158</v>
      </c>
      <c r="D935" s="230" t="s">
        <v>501</v>
      </c>
      <c r="E935" s="143" t="s">
        <v>80</v>
      </c>
      <c r="F935" s="143" t="s">
        <v>3196</v>
      </c>
      <c r="G935" s="143" t="s">
        <v>3197</v>
      </c>
      <c r="H935" s="143"/>
      <c r="I935" s="198">
        <v>29233</v>
      </c>
      <c r="J935" s="155"/>
      <c r="K935" s="155">
        <v>1</v>
      </c>
      <c r="L935" s="155">
        <v>1</v>
      </c>
      <c r="M935" s="155"/>
      <c r="N935" s="155"/>
      <c r="O935" s="155"/>
      <c r="P935" s="155"/>
      <c r="Q935" s="155"/>
      <c r="R935" s="155"/>
      <c r="S935" s="155"/>
      <c r="T935" s="155"/>
      <c r="U935" s="143" t="s">
        <v>856</v>
      </c>
      <c r="V935" s="143"/>
      <c r="W935" s="143"/>
      <c r="X935" s="143"/>
      <c r="Y935" s="143"/>
      <c r="Z935" s="143"/>
      <c r="AA935" s="143"/>
      <c r="AB935" s="143"/>
      <c r="AC935" s="155"/>
      <c r="AD935" s="155"/>
      <c r="AE935" s="155"/>
      <c r="AF935" s="155"/>
      <c r="AG935" s="155"/>
      <c r="AH935" s="143"/>
      <c r="AI935" s="158"/>
    </row>
    <row r="936" spans="1:35">
      <c r="A936" s="140"/>
      <c r="B936" s="143"/>
      <c r="C936" s="228" t="s">
        <v>3158</v>
      </c>
      <c r="D936" s="230" t="s">
        <v>501</v>
      </c>
      <c r="E936" s="143" t="s">
        <v>80</v>
      </c>
      <c r="F936" s="143" t="s">
        <v>466</v>
      </c>
      <c r="G936" s="143" t="s">
        <v>1672</v>
      </c>
      <c r="H936" s="143" t="s">
        <v>160</v>
      </c>
      <c r="I936" s="198"/>
      <c r="J936" s="155">
        <v>1</v>
      </c>
      <c r="K936" s="155"/>
      <c r="L936" s="155"/>
      <c r="M936" s="155"/>
      <c r="N936" s="155"/>
      <c r="O936" s="155"/>
      <c r="P936" s="155"/>
      <c r="Q936" s="155">
        <v>1</v>
      </c>
      <c r="R936" s="155" t="s">
        <v>1899</v>
      </c>
      <c r="S936" s="155"/>
      <c r="T936" s="155"/>
      <c r="U936" s="143" t="s">
        <v>502</v>
      </c>
      <c r="V936" s="143" t="s">
        <v>503</v>
      </c>
      <c r="W936" s="143" t="s">
        <v>298</v>
      </c>
      <c r="X936" s="143" t="s">
        <v>227</v>
      </c>
      <c r="Y936" s="143">
        <v>9268448567</v>
      </c>
      <c r="Z936" s="143"/>
      <c r="AA936" s="143" t="s">
        <v>3149</v>
      </c>
      <c r="AB936" s="143" t="s">
        <v>528</v>
      </c>
      <c r="AC936" s="155">
        <v>1</v>
      </c>
      <c r="AD936" s="155"/>
      <c r="AE936" s="155"/>
      <c r="AF936" s="155"/>
      <c r="AG936" s="155"/>
      <c r="AH936" s="143"/>
      <c r="AI936" s="158"/>
    </row>
    <row r="937" spans="1:35">
      <c r="A937" s="140"/>
      <c r="B937" s="143"/>
      <c r="C937" s="228" t="s">
        <v>3158</v>
      </c>
      <c r="D937" s="230" t="s">
        <v>501</v>
      </c>
      <c r="E937" s="143" t="s">
        <v>80</v>
      </c>
      <c r="F937" s="143" t="s">
        <v>490</v>
      </c>
      <c r="G937" s="143" t="s">
        <v>890</v>
      </c>
      <c r="H937" s="143"/>
      <c r="I937" s="198"/>
      <c r="J937" s="155"/>
      <c r="K937" s="155">
        <v>1</v>
      </c>
      <c r="L937" s="155">
        <v>1</v>
      </c>
      <c r="M937" s="155"/>
      <c r="N937" s="155"/>
      <c r="O937" s="155"/>
      <c r="P937" s="155"/>
      <c r="Q937" s="155"/>
      <c r="R937" s="155"/>
      <c r="S937" s="155"/>
      <c r="T937" s="155"/>
      <c r="U937" s="143" t="s">
        <v>859</v>
      </c>
      <c r="V937" s="143" t="s">
        <v>503</v>
      </c>
      <c r="W937" s="143" t="s">
        <v>298</v>
      </c>
      <c r="X937" s="143" t="s">
        <v>227</v>
      </c>
      <c r="Y937" s="143">
        <v>9561100202</v>
      </c>
      <c r="Z937" s="143"/>
      <c r="AA937" s="143" t="s">
        <v>3149</v>
      </c>
      <c r="AB937" s="143" t="s">
        <v>528</v>
      </c>
      <c r="AC937" s="155">
        <v>1</v>
      </c>
      <c r="AD937" s="155"/>
      <c r="AE937" s="155"/>
      <c r="AF937" s="155"/>
      <c r="AG937" s="155"/>
      <c r="AH937" s="143"/>
      <c r="AI937" s="158"/>
    </row>
    <row r="938" spans="1:35">
      <c r="A938" s="140"/>
      <c r="B938" s="143"/>
      <c r="C938" s="228" t="s">
        <v>3158</v>
      </c>
      <c r="D938" s="230" t="s">
        <v>501</v>
      </c>
      <c r="E938" s="143" t="s">
        <v>80</v>
      </c>
      <c r="F938" s="143" t="s">
        <v>666</v>
      </c>
      <c r="G938" s="143" t="s">
        <v>3200</v>
      </c>
      <c r="H938" s="143"/>
      <c r="I938" s="198"/>
      <c r="J938" s="155">
        <v>1</v>
      </c>
      <c r="K938" s="155"/>
      <c r="L938" s="155"/>
      <c r="M938" s="155"/>
      <c r="N938" s="155"/>
      <c r="O938" s="155"/>
      <c r="P938" s="155"/>
      <c r="Q938" s="155">
        <v>1</v>
      </c>
      <c r="R938" s="155" t="s">
        <v>1045</v>
      </c>
      <c r="S938" s="155"/>
      <c r="T938" s="155"/>
      <c r="U938" s="143" t="s">
        <v>505</v>
      </c>
      <c r="V938" s="143" t="s">
        <v>503</v>
      </c>
      <c r="W938" s="143" t="s">
        <v>298</v>
      </c>
      <c r="X938" s="143" t="s">
        <v>227</v>
      </c>
      <c r="Y938" s="143">
        <v>9686052044</v>
      </c>
      <c r="Z938" s="143"/>
      <c r="AA938" s="143" t="s">
        <v>3149</v>
      </c>
      <c r="AB938" s="143" t="s">
        <v>528</v>
      </c>
      <c r="AC938" s="155">
        <v>1</v>
      </c>
      <c r="AD938" s="155"/>
      <c r="AE938" s="155"/>
      <c r="AF938" s="155"/>
      <c r="AG938" s="155"/>
      <c r="AH938" s="143"/>
      <c r="AI938" s="158"/>
    </row>
    <row r="939" spans="1:35">
      <c r="A939" s="140"/>
      <c r="B939" s="143"/>
      <c r="C939" s="228" t="s">
        <v>3158</v>
      </c>
      <c r="D939" s="230" t="s">
        <v>501</v>
      </c>
      <c r="E939" s="143" t="s">
        <v>80</v>
      </c>
      <c r="F939" s="143" t="s">
        <v>312</v>
      </c>
      <c r="G939" s="143" t="s">
        <v>432</v>
      </c>
      <c r="H939" s="143" t="s">
        <v>286</v>
      </c>
      <c r="I939" s="198">
        <v>23694</v>
      </c>
      <c r="J939" s="155"/>
      <c r="K939" s="155">
        <v>1</v>
      </c>
      <c r="L939" s="155">
        <v>1</v>
      </c>
      <c r="M939" s="155"/>
      <c r="N939" s="155"/>
      <c r="O939" s="155"/>
      <c r="P939" s="155"/>
      <c r="Q939" s="155"/>
      <c r="R939" s="155"/>
      <c r="S939" s="155"/>
      <c r="T939" s="155"/>
      <c r="U939" s="143" t="s">
        <v>509</v>
      </c>
      <c r="V939" s="143" t="s">
        <v>503</v>
      </c>
      <c r="W939" s="143" t="s">
        <v>298</v>
      </c>
      <c r="X939" s="143" t="s">
        <v>227</v>
      </c>
      <c r="Y939" s="143">
        <v>9061976785</v>
      </c>
      <c r="Z939" s="143"/>
      <c r="AA939" s="143" t="s">
        <v>3141</v>
      </c>
      <c r="AB939" s="143" t="s">
        <v>528</v>
      </c>
      <c r="AC939" s="155">
        <v>1</v>
      </c>
      <c r="AD939" s="155"/>
      <c r="AE939" s="155"/>
      <c r="AF939" s="155"/>
      <c r="AG939" s="155"/>
      <c r="AH939" s="143"/>
      <c r="AI939" s="158"/>
    </row>
    <row r="940" spans="1:35">
      <c r="A940" s="140"/>
      <c r="B940" s="143"/>
      <c r="C940" s="228" t="s">
        <v>3158</v>
      </c>
      <c r="D940" s="230" t="s">
        <v>501</v>
      </c>
      <c r="E940" s="143" t="s">
        <v>80</v>
      </c>
      <c r="F940" s="143" t="s">
        <v>565</v>
      </c>
      <c r="G940" s="143" t="s">
        <v>566</v>
      </c>
      <c r="H940" s="143" t="s">
        <v>133</v>
      </c>
      <c r="I940" s="198">
        <v>20449</v>
      </c>
      <c r="J940" s="155">
        <v>1</v>
      </c>
      <c r="K940" s="155"/>
      <c r="L940" s="155"/>
      <c r="M940" s="155">
        <v>1</v>
      </c>
      <c r="N940" s="155"/>
      <c r="O940" s="155"/>
      <c r="P940" s="155"/>
      <c r="Q940" s="155"/>
      <c r="R940" s="155"/>
      <c r="S940" s="155"/>
      <c r="T940" s="155"/>
      <c r="U940" s="143" t="s">
        <v>509</v>
      </c>
      <c r="V940" s="143" t="s">
        <v>503</v>
      </c>
      <c r="W940" s="143" t="s">
        <v>298</v>
      </c>
      <c r="X940" s="143" t="s">
        <v>227</v>
      </c>
      <c r="Y940" s="143">
        <v>9104238005</v>
      </c>
      <c r="Z940" s="143"/>
      <c r="AA940" s="143" t="s">
        <v>3151</v>
      </c>
      <c r="AB940" s="143" t="s">
        <v>528</v>
      </c>
      <c r="AC940" s="155">
        <v>1</v>
      </c>
      <c r="AD940" s="155"/>
      <c r="AE940" s="155"/>
      <c r="AF940" s="155"/>
      <c r="AG940" s="155"/>
      <c r="AH940" s="143"/>
      <c r="AI940" s="158"/>
    </row>
    <row r="941" spans="1:35">
      <c r="A941" s="140"/>
      <c r="B941" s="143"/>
      <c r="C941" s="228" t="s">
        <v>3158</v>
      </c>
      <c r="D941" s="230" t="s">
        <v>501</v>
      </c>
      <c r="E941" s="143" t="s">
        <v>80</v>
      </c>
      <c r="F941" s="143" t="s">
        <v>1203</v>
      </c>
      <c r="G941" s="143" t="s">
        <v>3201</v>
      </c>
      <c r="H941" s="143" t="s">
        <v>115</v>
      </c>
      <c r="I941" s="198">
        <v>31561</v>
      </c>
      <c r="J941" s="155">
        <v>1</v>
      </c>
      <c r="K941" s="155"/>
      <c r="L941" s="155"/>
      <c r="M941" s="155">
        <v>1</v>
      </c>
      <c r="N941" s="155"/>
      <c r="O941" s="155"/>
      <c r="P941" s="155"/>
      <c r="Q941" s="155">
        <v>1</v>
      </c>
      <c r="R941" s="155" t="s">
        <v>1045</v>
      </c>
      <c r="S941" s="155"/>
      <c r="T941" s="155"/>
      <c r="U941" s="143" t="s">
        <v>3172</v>
      </c>
      <c r="V941" s="143" t="s">
        <v>503</v>
      </c>
      <c r="W941" s="143" t="s">
        <v>298</v>
      </c>
      <c r="X941" s="143" t="s">
        <v>227</v>
      </c>
      <c r="Y941" s="143">
        <v>9176261546</v>
      </c>
      <c r="Z941" s="143"/>
      <c r="AA941" s="143" t="s">
        <v>3202</v>
      </c>
      <c r="AB941" s="143" t="s">
        <v>528</v>
      </c>
      <c r="AC941" s="155">
        <v>1</v>
      </c>
      <c r="AD941" s="155"/>
      <c r="AE941" s="155"/>
      <c r="AF941" s="155"/>
      <c r="AG941" s="155"/>
      <c r="AH941" s="143"/>
      <c r="AI941" s="158"/>
    </row>
    <row r="942" spans="1:35">
      <c r="A942" s="140"/>
      <c r="B942" s="143"/>
      <c r="C942" s="228" t="s">
        <v>3158</v>
      </c>
      <c r="D942" s="230" t="s">
        <v>501</v>
      </c>
      <c r="E942" s="143" t="s">
        <v>80</v>
      </c>
      <c r="F942" s="143" t="s">
        <v>888</v>
      </c>
      <c r="G942" s="143" t="s">
        <v>3203</v>
      </c>
      <c r="H942" s="143" t="s">
        <v>126</v>
      </c>
      <c r="I942" s="198">
        <v>33170</v>
      </c>
      <c r="J942" s="155"/>
      <c r="K942" s="155">
        <v>1</v>
      </c>
      <c r="L942" s="155"/>
      <c r="M942" s="155"/>
      <c r="N942" s="155"/>
      <c r="O942" s="155"/>
      <c r="P942" s="155"/>
      <c r="Q942" s="155"/>
      <c r="R942" s="155"/>
      <c r="S942" s="155"/>
      <c r="T942" s="155"/>
      <c r="U942" s="143" t="s">
        <v>509</v>
      </c>
      <c r="V942" s="143" t="s">
        <v>503</v>
      </c>
      <c r="W942" s="143" t="s">
        <v>298</v>
      </c>
      <c r="X942" s="143" t="s">
        <v>227</v>
      </c>
      <c r="Y942" s="143">
        <v>9783210941</v>
      </c>
      <c r="Z942" s="143"/>
      <c r="AA942" s="143" t="s">
        <v>3202</v>
      </c>
      <c r="AB942" s="143" t="s">
        <v>528</v>
      </c>
      <c r="AC942" s="155">
        <v>1</v>
      </c>
      <c r="AD942" s="155"/>
      <c r="AE942" s="155"/>
      <c r="AF942" s="155"/>
      <c r="AG942" s="155"/>
      <c r="AH942" s="143"/>
      <c r="AI942" s="158"/>
    </row>
    <row r="943" spans="1:35">
      <c r="A943" s="140"/>
      <c r="B943" s="143"/>
      <c r="C943" s="228" t="s">
        <v>3158</v>
      </c>
      <c r="D943" s="230" t="s">
        <v>501</v>
      </c>
      <c r="E943" s="143" t="s">
        <v>80</v>
      </c>
      <c r="F943" s="143" t="s">
        <v>565</v>
      </c>
      <c r="G943" s="143" t="s">
        <v>566</v>
      </c>
      <c r="H943" s="143" t="s">
        <v>133</v>
      </c>
      <c r="I943" s="198">
        <v>20449</v>
      </c>
      <c r="J943" s="155">
        <v>1</v>
      </c>
      <c r="K943" s="155"/>
      <c r="L943" s="155"/>
      <c r="M943" s="155">
        <v>1</v>
      </c>
      <c r="N943" s="155"/>
      <c r="O943" s="155"/>
      <c r="P943" s="155"/>
      <c r="Q943" s="155"/>
      <c r="R943" s="155"/>
      <c r="S943" s="155"/>
      <c r="T943" s="155"/>
      <c r="U943" s="143" t="s">
        <v>509</v>
      </c>
      <c r="V943" s="143" t="s">
        <v>503</v>
      </c>
      <c r="W943" s="143" t="s">
        <v>298</v>
      </c>
      <c r="X943" s="143" t="s">
        <v>227</v>
      </c>
      <c r="Y943" s="143">
        <v>9104238005</v>
      </c>
      <c r="Z943" s="143"/>
      <c r="AA943" s="143" t="s">
        <v>3151</v>
      </c>
      <c r="AB943" s="143" t="s">
        <v>528</v>
      </c>
      <c r="AC943" s="155">
        <v>1</v>
      </c>
      <c r="AD943" s="155"/>
      <c r="AE943" s="155"/>
      <c r="AF943" s="155"/>
      <c r="AG943" s="155"/>
      <c r="AH943" s="143"/>
      <c r="AI943" s="158"/>
    </row>
    <row r="944" spans="1:35">
      <c r="A944" s="140"/>
      <c r="B944" s="143"/>
      <c r="C944" s="228" t="s">
        <v>3158</v>
      </c>
      <c r="D944" s="230" t="s">
        <v>501</v>
      </c>
      <c r="E944" s="143" t="s">
        <v>80</v>
      </c>
      <c r="F944" s="153" t="s">
        <v>413</v>
      </c>
      <c r="G944" s="153" t="s">
        <v>414</v>
      </c>
      <c r="H944" s="153"/>
      <c r="I944" s="227">
        <v>23925</v>
      </c>
      <c r="J944" s="154"/>
      <c r="K944" s="154">
        <v>1</v>
      </c>
      <c r="L944" s="155"/>
      <c r="M944" s="155"/>
      <c r="N944" s="155"/>
      <c r="O944" s="155"/>
      <c r="P944" s="155"/>
      <c r="Q944" s="155"/>
      <c r="R944" s="155"/>
      <c r="S944" s="155"/>
      <c r="T944" s="155"/>
      <c r="U944" s="156" t="s">
        <v>295</v>
      </c>
      <c r="V944" s="153" t="s">
        <v>503</v>
      </c>
      <c r="W944" s="143" t="s">
        <v>298</v>
      </c>
      <c r="X944" s="157" t="s">
        <v>227</v>
      </c>
      <c r="Y944" s="157">
        <v>9357514235</v>
      </c>
      <c r="Z944" s="143"/>
      <c r="AA944" s="157" t="s">
        <v>525</v>
      </c>
      <c r="AB944" s="143" t="s">
        <v>528</v>
      </c>
      <c r="AC944" s="155">
        <v>2</v>
      </c>
      <c r="AD944" s="155"/>
      <c r="AE944" s="155"/>
      <c r="AF944" s="155"/>
      <c r="AG944" s="155"/>
      <c r="AH944" s="143"/>
      <c r="AI944" s="158"/>
    </row>
    <row r="945" spans="1:35">
      <c r="A945" s="140"/>
      <c r="B945" s="143"/>
      <c r="C945" s="228" t="s">
        <v>3158</v>
      </c>
      <c r="D945" s="230" t="s">
        <v>501</v>
      </c>
      <c r="E945" s="143" t="s">
        <v>80</v>
      </c>
      <c r="F945" s="153" t="s">
        <v>816</v>
      </c>
      <c r="G945" s="153" t="s">
        <v>817</v>
      </c>
      <c r="H945" s="153"/>
      <c r="I945" s="227"/>
      <c r="J945" s="165">
        <v>1</v>
      </c>
      <c r="K945" s="165"/>
      <c r="L945" s="155"/>
      <c r="M945" s="155"/>
      <c r="N945" s="155"/>
      <c r="O945" s="155"/>
      <c r="P945" s="155"/>
      <c r="Q945" s="155"/>
      <c r="R945" s="155"/>
      <c r="S945" s="155"/>
      <c r="T945" s="155"/>
      <c r="U945" s="167" t="s">
        <v>515</v>
      </c>
      <c r="V945" s="153" t="s">
        <v>503</v>
      </c>
      <c r="W945" s="143" t="s">
        <v>298</v>
      </c>
      <c r="X945" s="157" t="s">
        <v>227</v>
      </c>
      <c r="Y945" s="153">
        <v>9097797114</v>
      </c>
      <c r="Z945" s="143"/>
      <c r="AA945" s="162" t="s">
        <v>524</v>
      </c>
      <c r="AB945" s="143" t="s">
        <v>528</v>
      </c>
      <c r="AC945" s="155">
        <v>1</v>
      </c>
      <c r="AD945" s="155"/>
      <c r="AE945" s="155"/>
      <c r="AF945" s="155"/>
      <c r="AG945" s="155"/>
      <c r="AH945" s="143"/>
      <c r="AI945" s="158"/>
    </row>
    <row r="946" spans="1:35">
      <c r="A946" s="140"/>
      <c r="B946" s="143"/>
      <c r="C946" s="228" t="s">
        <v>3158</v>
      </c>
      <c r="D946" s="230" t="s">
        <v>501</v>
      </c>
      <c r="E946" s="143" t="s">
        <v>80</v>
      </c>
      <c r="F946" s="143" t="s">
        <v>3170</v>
      </c>
      <c r="G946" s="143" t="s">
        <v>3171</v>
      </c>
      <c r="H946" s="143"/>
      <c r="I946" s="198"/>
      <c r="J946" s="155">
        <v>1</v>
      </c>
      <c r="K946" s="155"/>
      <c r="L946" s="155"/>
      <c r="M946" s="155">
        <v>1</v>
      </c>
      <c r="N946" s="155"/>
      <c r="O946" s="155"/>
      <c r="P946" s="155"/>
      <c r="Q946" s="155">
        <v>1</v>
      </c>
      <c r="R946" s="155" t="s">
        <v>1045</v>
      </c>
      <c r="S946" s="155"/>
      <c r="T946" s="155"/>
      <c r="U946" s="143" t="s">
        <v>3172</v>
      </c>
      <c r="V946" s="143" t="s">
        <v>503</v>
      </c>
      <c r="W946" s="143" t="s">
        <v>298</v>
      </c>
      <c r="X946" s="143" t="s">
        <v>227</v>
      </c>
      <c r="Y946" s="143"/>
      <c r="Z946" s="143"/>
      <c r="AA946" s="162" t="s">
        <v>524</v>
      </c>
      <c r="AB946" s="143" t="s">
        <v>528</v>
      </c>
      <c r="AC946" s="155">
        <v>1</v>
      </c>
      <c r="AD946" s="155"/>
      <c r="AE946" s="155"/>
      <c r="AF946" s="155"/>
      <c r="AG946" s="155"/>
      <c r="AH946" s="143"/>
      <c r="AI946" s="158"/>
    </row>
    <row r="947" spans="1:35">
      <c r="A947" s="140"/>
      <c r="B947" s="143"/>
      <c r="C947" s="228" t="s">
        <v>3158</v>
      </c>
      <c r="D947" s="230" t="s">
        <v>501</v>
      </c>
      <c r="E947" s="143" t="s">
        <v>80</v>
      </c>
      <c r="F947" s="143" t="s">
        <v>880</v>
      </c>
      <c r="G947" s="143" t="s">
        <v>119</v>
      </c>
      <c r="H947" s="143" t="s">
        <v>126</v>
      </c>
      <c r="I947" s="198"/>
      <c r="J947" s="155">
        <v>1</v>
      </c>
      <c r="K947" s="155"/>
      <c r="L947" s="155"/>
      <c r="M947" s="155"/>
      <c r="N947" s="155"/>
      <c r="O947" s="155"/>
      <c r="P947" s="155"/>
      <c r="Q947" s="155">
        <v>1</v>
      </c>
      <c r="R947" s="155" t="s">
        <v>1009</v>
      </c>
      <c r="S947" s="155"/>
      <c r="T947" s="155"/>
      <c r="U947" s="143" t="s">
        <v>945</v>
      </c>
      <c r="V947" s="143" t="s">
        <v>218</v>
      </c>
      <c r="W947" s="143" t="s">
        <v>279</v>
      </c>
      <c r="X947" s="143" t="s">
        <v>227</v>
      </c>
      <c r="Y947" s="143"/>
      <c r="Z947" s="143"/>
      <c r="AA947" s="143" t="s">
        <v>3151</v>
      </c>
      <c r="AB947" s="143" t="s">
        <v>528</v>
      </c>
      <c r="AC947" s="155">
        <v>1</v>
      </c>
      <c r="AD947" s="155"/>
      <c r="AE947" s="155"/>
      <c r="AF947" s="155"/>
      <c r="AG947" s="155"/>
      <c r="AH947" s="143"/>
      <c r="AI947" s="158"/>
    </row>
    <row r="948" spans="1:35">
      <c r="A948" s="140"/>
      <c r="B948" s="143"/>
      <c r="C948" s="228" t="s">
        <v>3158</v>
      </c>
      <c r="D948" s="230" t="s">
        <v>501</v>
      </c>
      <c r="E948" s="143" t="s">
        <v>80</v>
      </c>
      <c r="F948" s="143" t="s">
        <v>728</v>
      </c>
      <c r="G948" s="143" t="s">
        <v>1717</v>
      </c>
      <c r="H948" s="143" t="s">
        <v>136</v>
      </c>
      <c r="I948" s="198"/>
      <c r="J948" s="155">
        <v>1</v>
      </c>
      <c r="K948" s="155"/>
      <c r="L948" s="155"/>
      <c r="M948" s="155"/>
      <c r="N948" s="155"/>
      <c r="O948" s="155"/>
      <c r="P948" s="155"/>
      <c r="Q948" s="155">
        <v>1</v>
      </c>
      <c r="R948" s="155" t="s">
        <v>1009</v>
      </c>
      <c r="S948" s="155"/>
      <c r="T948" s="155"/>
      <c r="U948" s="143" t="s">
        <v>1354</v>
      </c>
      <c r="V948" s="143" t="s">
        <v>218</v>
      </c>
      <c r="W948" s="143" t="s">
        <v>279</v>
      </c>
      <c r="X948" s="143" t="s">
        <v>227</v>
      </c>
      <c r="Y948" s="143"/>
      <c r="Z948" s="143"/>
      <c r="AA948" s="143" t="s">
        <v>3151</v>
      </c>
      <c r="AB948" s="143" t="s">
        <v>528</v>
      </c>
      <c r="AC948" s="155">
        <v>1</v>
      </c>
      <c r="AD948" s="155"/>
      <c r="AE948" s="155"/>
      <c r="AF948" s="155"/>
      <c r="AG948" s="155"/>
      <c r="AH948" s="143"/>
      <c r="AI948" s="158"/>
    </row>
    <row r="949" spans="1:35">
      <c r="A949" s="140"/>
      <c r="B949" s="143"/>
      <c r="C949" s="228" t="s">
        <v>3158</v>
      </c>
      <c r="D949" s="230" t="s">
        <v>501</v>
      </c>
      <c r="E949" s="143" t="s">
        <v>80</v>
      </c>
      <c r="F949" s="143" t="s">
        <v>885</v>
      </c>
      <c r="G949" s="143" t="s">
        <v>884</v>
      </c>
      <c r="H949" s="143" t="s">
        <v>144</v>
      </c>
      <c r="I949" s="198"/>
      <c r="J949" s="155"/>
      <c r="K949" s="155">
        <v>1</v>
      </c>
      <c r="L949" s="155"/>
      <c r="M949" s="155"/>
      <c r="N949" s="155"/>
      <c r="O949" s="155"/>
      <c r="P949" s="155"/>
      <c r="Q949" s="155">
        <v>1</v>
      </c>
      <c r="R949" s="155" t="s">
        <v>1009</v>
      </c>
      <c r="S949" s="155"/>
      <c r="T949" s="155"/>
      <c r="U949" s="143" t="s">
        <v>3204</v>
      </c>
      <c r="V949" s="143" t="s">
        <v>218</v>
      </c>
      <c r="W949" s="143" t="s">
        <v>279</v>
      </c>
      <c r="X949" s="143" t="s">
        <v>227</v>
      </c>
      <c r="Y949" s="143"/>
      <c r="Z949" s="143"/>
      <c r="AA949" s="143" t="s">
        <v>3151</v>
      </c>
      <c r="AB949" s="143" t="s">
        <v>528</v>
      </c>
      <c r="AC949" s="155">
        <v>1</v>
      </c>
      <c r="AD949" s="155"/>
      <c r="AE949" s="155"/>
      <c r="AF949" s="155"/>
      <c r="AG949" s="155"/>
      <c r="AH949" s="143"/>
      <c r="AI949" s="158"/>
    </row>
    <row r="950" spans="1:35">
      <c r="A950" s="140"/>
      <c r="B950" s="143"/>
      <c r="C950" s="228" t="s">
        <v>3312</v>
      </c>
      <c r="D950" s="230" t="s">
        <v>501</v>
      </c>
      <c r="E950" s="143" t="s">
        <v>80</v>
      </c>
      <c r="F950" s="143" t="s">
        <v>3205</v>
      </c>
      <c r="G950" s="143" t="s">
        <v>3206</v>
      </c>
      <c r="H950" s="143"/>
      <c r="I950" s="198"/>
      <c r="J950" s="155">
        <v>1</v>
      </c>
      <c r="K950" s="155"/>
      <c r="L950" s="155"/>
      <c r="M950" s="155"/>
      <c r="N950" s="155"/>
      <c r="O950" s="155"/>
      <c r="P950" s="155"/>
      <c r="Q950" s="155">
        <v>1</v>
      </c>
      <c r="R950" s="155" t="s">
        <v>1009</v>
      </c>
      <c r="S950" s="155"/>
      <c r="T950" s="155"/>
      <c r="U950" s="143"/>
      <c r="V950" s="143" t="s">
        <v>218</v>
      </c>
      <c r="W950" s="143" t="s">
        <v>279</v>
      </c>
      <c r="X950" s="143" t="s">
        <v>227</v>
      </c>
      <c r="Y950" s="143"/>
      <c r="Z950" s="143"/>
      <c r="AA950" s="143" t="s">
        <v>3151</v>
      </c>
      <c r="AB950" s="143" t="s">
        <v>528</v>
      </c>
      <c r="AC950" s="155">
        <v>1</v>
      </c>
      <c r="AD950" s="155"/>
      <c r="AE950" s="155"/>
      <c r="AF950" s="155"/>
      <c r="AG950" s="155"/>
      <c r="AH950" s="143"/>
      <c r="AI950" s="158"/>
    </row>
    <row r="951" spans="1:35">
      <c r="A951" s="140"/>
      <c r="B951" s="143"/>
      <c r="C951" s="228" t="s">
        <v>3312</v>
      </c>
      <c r="D951" s="230" t="s">
        <v>501</v>
      </c>
      <c r="E951" s="143" t="s">
        <v>80</v>
      </c>
      <c r="F951" s="143" t="s">
        <v>3213</v>
      </c>
      <c r="G951" s="143" t="s">
        <v>3214</v>
      </c>
      <c r="H951" s="143"/>
      <c r="I951" s="198"/>
      <c r="J951" s="155">
        <v>1</v>
      </c>
      <c r="K951" s="155"/>
      <c r="L951" s="155"/>
      <c r="M951" s="155"/>
      <c r="N951" s="155"/>
      <c r="O951" s="155"/>
      <c r="P951" s="155"/>
      <c r="Q951" s="155">
        <v>1</v>
      </c>
      <c r="R951" s="155" t="s">
        <v>1009</v>
      </c>
      <c r="S951" s="155"/>
      <c r="T951" s="155"/>
      <c r="U951" s="143"/>
      <c r="V951" s="143"/>
      <c r="W951" s="143"/>
      <c r="X951" s="143"/>
      <c r="Y951" s="143"/>
      <c r="Z951" s="143"/>
      <c r="AA951" s="143" t="s">
        <v>3151</v>
      </c>
      <c r="AB951" s="143" t="s">
        <v>528</v>
      </c>
      <c r="AC951" s="155">
        <v>1</v>
      </c>
      <c r="AD951" s="155"/>
      <c r="AE951" s="155"/>
      <c r="AF951" s="155"/>
      <c r="AG951" s="155"/>
      <c r="AH951" s="143"/>
      <c r="AI951" s="158"/>
    </row>
    <row r="952" spans="1:35">
      <c r="A952" s="140"/>
      <c r="B952" s="143"/>
      <c r="C952" s="228" t="s">
        <v>3312</v>
      </c>
      <c r="D952" s="230" t="s">
        <v>501</v>
      </c>
      <c r="E952" s="143" t="s">
        <v>80</v>
      </c>
      <c r="F952" s="143" t="s">
        <v>565</v>
      </c>
      <c r="G952" s="143" t="s">
        <v>566</v>
      </c>
      <c r="H952" s="143"/>
      <c r="I952" s="198"/>
      <c r="J952" s="155">
        <v>1</v>
      </c>
      <c r="K952" s="155"/>
      <c r="L952" s="155">
        <v>1</v>
      </c>
      <c r="M952" s="155"/>
      <c r="N952" s="155"/>
      <c r="O952" s="155"/>
      <c r="P952" s="155"/>
      <c r="Q952" s="155"/>
      <c r="R952" s="155"/>
      <c r="S952" s="155"/>
      <c r="T952" s="155"/>
      <c r="U952" s="143" t="s">
        <v>509</v>
      </c>
      <c r="V952" s="143" t="s">
        <v>503</v>
      </c>
      <c r="W952" s="143" t="s">
        <v>298</v>
      </c>
      <c r="X952" s="143" t="s">
        <v>227</v>
      </c>
      <c r="Y952" s="143"/>
      <c r="Z952" s="143"/>
      <c r="AA952" s="143" t="s">
        <v>3151</v>
      </c>
      <c r="AB952" s="143" t="s">
        <v>528</v>
      </c>
      <c r="AC952" s="155">
        <v>1</v>
      </c>
      <c r="AD952" s="155"/>
      <c r="AE952" s="155"/>
      <c r="AF952" s="155"/>
      <c r="AG952" s="155"/>
      <c r="AH952" s="143"/>
      <c r="AI952" s="158"/>
    </row>
    <row r="953" spans="1:35">
      <c r="A953" s="140"/>
      <c r="B953" s="143"/>
      <c r="C953" s="228" t="s">
        <v>3312</v>
      </c>
      <c r="D953" s="230" t="s">
        <v>501</v>
      </c>
      <c r="E953" s="143" t="s">
        <v>80</v>
      </c>
      <c r="F953" s="143" t="s">
        <v>2954</v>
      </c>
      <c r="G953" s="143" t="s">
        <v>2955</v>
      </c>
      <c r="H953" s="143"/>
      <c r="I953" s="198">
        <v>27762</v>
      </c>
      <c r="J953" s="155">
        <v>1</v>
      </c>
      <c r="K953" s="155"/>
      <c r="L953" s="155">
        <v>1</v>
      </c>
      <c r="M953" s="155"/>
      <c r="N953" s="155"/>
      <c r="O953" s="155"/>
      <c r="P953" s="155"/>
      <c r="Q953" s="155"/>
      <c r="R953" s="155"/>
      <c r="S953" s="155"/>
      <c r="T953" s="155"/>
      <c r="U953" s="143" t="s">
        <v>856</v>
      </c>
      <c r="V953" s="143" t="s">
        <v>503</v>
      </c>
      <c r="W953" s="143" t="s">
        <v>298</v>
      </c>
      <c r="X953" s="143" t="s">
        <v>227</v>
      </c>
      <c r="Y953" s="143"/>
      <c r="Z953" s="143"/>
      <c r="AA953" s="143" t="s">
        <v>3151</v>
      </c>
      <c r="AB953" s="143" t="s">
        <v>528</v>
      </c>
      <c r="AC953" s="155">
        <v>1</v>
      </c>
      <c r="AD953" s="155"/>
      <c r="AE953" s="155"/>
      <c r="AF953" s="155"/>
      <c r="AG953" s="155"/>
      <c r="AH953" s="143"/>
      <c r="AI953" s="158"/>
    </row>
    <row r="954" spans="1:35">
      <c r="A954" s="140"/>
      <c r="B954" s="143"/>
      <c r="C954" s="228" t="s">
        <v>3312</v>
      </c>
      <c r="D954" s="230" t="s">
        <v>501</v>
      </c>
      <c r="E954" s="143" t="s">
        <v>80</v>
      </c>
      <c r="F954" s="143" t="s">
        <v>3215</v>
      </c>
      <c r="G954" s="143" t="s">
        <v>2090</v>
      </c>
      <c r="H954" s="143" t="s">
        <v>409</v>
      </c>
      <c r="I954" s="198">
        <v>28773</v>
      </c>
      <c r="J954" s="155">
        <v>1</v>
      </c>
      <c r="K954" s="155"/>
      <c r="L954" s="155"/>
      <c r="M954" s="155"/>
      <c r="N954" s="155"/>
      <c r="O954" s="155"/>
      <c r="P954" s="155"/>
      <c r="Q954" s="155">
        <v>1</v>
      </c>
      <c r="R954" s="155" t="s">
        <v>1045</v>
      </c>
      <c r="S954" s="155"/>
      <c r="T954" s="155"/>
      <c r="U954" s="143" t="s">
        <v>505</v>
      </c>
      <c r="V954" s="143" t="s">
        <v>503</v>
      </c>
      <c r="W954" s="143" t="s">
        <v>298</v>
      </c>
      <c r="X954" s="143" t="s">
        <v>227</v>
      </c>
      <c r="Y954" s="143">
        <v>9273583191</v>
      </c>
      <c r="Z954" s="143"/>
      <c r="AA954" s="143" t="s">
        <v>3151</v>
      </c>
      <c r="AB954" s="143" t="s">
        <v>528</v>
      </c>
      <c r="AC954" s="155">
        <v>1</v>
      </c>
      <c r="AD954" s="155"/>
      <c r="AE954" s="155"/>
      <c r="AF954" s="155"/>
      <c r="AG954" s="155"/>
      <c r="AH954" s="143"/>
      <c r="AI954" s="158"/>
    </row>
    <row r="955" spans="1:35">
      <c r="A955" s="140"/>
      <c r="B955" s="143"/>
      <c r="C955" s="228" t="s">
        <v>3312</v>
      </c>
      <c r="D955" s="230" t="s">
        <v>501</v>
      </c>
      <c r="E955" s="143" t="s">
        <v>80</v>
      </c>
      <c r="F955" s="143" t="s">
        <v>940</v>
      </c>
      <c r="G955" s="143" t="s">
        <v>1313</v>
      </c>
      <c r="H955" s="143"/>
      <c r="I955" s="198">
        <v>26863</v>
      </c>
      <c r="J955" s="155"/>
      <c r="K955" s="155">
        <v>1</v>
      </c>
      <c r="L955" s="155"/>
      <c r="M955" s="155"/>
      <c r="N955" s="155"/>
      <c r="O955" s="155"/>
      <c r="P955" s="155"/>
      <c r="Q955" s="155">
        <v>1</v>
      </c>
      <c r="R955" s="155" t="s">
        <v>1348</v>
      </c>
      <c r="S955" s="155"/>
      <c r="T955" s="155"/>
      <c r="U955" s="143"/>
      <c r="V955" s="143" t="s">
        <v>949</v>
      </c>
      <c r="W955" s="143" t="s">
        <v>280</v>
      </c>
      <c r="X955" s="143" t="s">
        <v>227</v>
      </c>
      <c r="Y955" s="143">
        <v>9678630705</v>
      </c>
      <c r="Z955" s="143"/>
      <c r="AA955" s="143" t="s">
        <v>3141</v>
      </c>
      <c r="AB955" s="143" t="s">
        <v>528</v>
      </c>
      <c r="AC955" s="155">
        <v>1</v>
      </c>
      <c r="AD955" s="155"/>
      <c r="AE955" s="155"/>
      <c r="AF955" s="155"/>
      <c r="AG955" s="155"/>
      <c r="AH955" s="143"/>
      <c r="AI955" s="158"/>
    </row>
    <row r="956" spans="1:35">
      <c r="A956" s="140"/>
      <c r="B956" s="143"/>
      <c r="C956" s="228" t="s">
        <v>3312</v>
      </c>
      <c r="D956" s="230" t="s">
        <v>501</v>
      </c>
      <c r="E956" s="143" t="s">
        <v>80</v>
      </c>
      <c r="F956" s="143" t="s">
        <v>466</v>
      </c>
      <c r="G956" s="143" t="s">
        <v>1672</v>
      </c>
      <c r="H956" s="143" t="s">
        <v>160</v>
      </c>
      <c r="I956" s="198">
        <v>36153</v>
      </c>
      <c r="J956" s="155">
        <v>1</v>
      </c>
      <c r="K956" s="155"/>
      <c r="L956" s="155"/>
      <c r="M956" s="155"/>
      <c r="N956" s="155"/>
      <c r="O956" s="155"/>
      <c r="P956" s="155"/>
      <c r="Q956" s="155">
        <v>1</v>
      </c>
      <c r="R956" s="155" t="s">
        <v>1899</v>
      </c>
      <c r="S956" s="155"/>
      <c r="T956" s="155"/>
      <c r="U956" s="143" t="s">
        <v>502</v>
      </c>
      <c r="V956" s="143" t="s">
        <v>503</v>
      </c>
      <c r="W956" s="143" t="s">
        <v>298</v>
      </c>
      <c r="X956" s="143" t="s">
        <v>227</v>
      </c>
      <c r="Y956" s="143">
        <v>9768448967</v>
      </c>
      <c r="Z956" s="143"/>
      <c r="AA956" s="143" t="s">
        <v>3151</v>
      </c>
      <c r="AB956" s="143" t="s">
        <v>528</v>
      </c>
      <c r="AC956" s="155">
        <v>1</v>
      </c>
      <c r="AD956" s="155"/>
      <c r="AE956" s="155"/>
      <c r="AF956" s="155"/>
      <c r="AG956" s="155"/>
      <c r="AH956" s="143"/>
      <c r="AI956" s="158"/>
    </row>
    <row r="957" spans="1:35">
      <c r="A957" s="140"/>
      <c r="B957" s="143"/>
      <c r="C957" s="228" t="s">
        <v>3312</v>
      </c>
      <c r="D957" s="230" t="s">
        <v>501</v>
      </c>
      <c r="E957" s="143" t="s">
        <v>80</v>
      </c>
      <c r="F957" s="143" t="s">
        <v>3216</v>
      </c>
      <c r="G957" s="143" t="s">
        <v>3217</v>
      </c>
      <c r="H957" s="143"/>
      <c r="I957" s="198"/>
      <c r="J957" s="155">
        <v>1</v>
      </c>
      <c r="K957" s="155"/>
      <c r="L957" s="155"/>
      <c r="M957" s="155"/>
      <c r="N957" s="155"/>
      <c r="O957" s="155"/>
      <c r="P957" s="155"/>
      <c r="Q957" s="155">
        <v>1</v>
      </c>
      <c r="R957" s="155" t="s">
        <v>1045</v>
      </c>
      <c r="S957" s="155"/>
      <c r="T957" s="155"/>
      <c r="U957" s="143" t="s">
        <v>505</v>
      </c>
      <c r="V957" s="143" t="s">
        <v>503</v>
      </c>
      <c r="W957" s="143" t="s">
        <v>298</v>
      </c>
      <c r="X957" s="143" t="s">
        <v>227</v>
      </c>
      <c r="Y957" s="143">
        <v>9208640785</v>
      </c>
      <c r="Z957" s="143"/>
      <c r="AA957" s="162" t="s">
        <v>524</v>
      </c>
      <c r="AB957" s="143" t="s">
        <v>528</v>
      </c>
      <c r="AC957" s="155">
        <v>1</v>
      </c>
      <c r="AD957" s="155"/>
      <c r="AE957" s="155"/>
      <c r="AF957" s="155"/>
      <c r="AG957" s="155"/>
      <c r="AH957" s="143"/>
      <c r="AI957" s="158"/>
    </row>
    <row r="958" spans="1:35">
      <c r="A958" s="140"/>
      <c r="B958" s="143"/>
      <c r="C958" s="228" t="s">
        <v>3312</v>
      </c>
      <c r="D958" s="230" t="s">
        <v>501</v>
      </c>
      <c r="E958" s="143" t="s">
        <v>80</v>
      </c>
      <c r="F958" s="143" t="s">
        <v>2856</v>
      </c>
      <c r="G958" s="143" t="s">
        <v>3218</v>
      </c>
      <c r="H958" s="143"/>
      <c r="I958" s="198"/>
      <c r="J958" s="155">
        <v>1</v>
      </c>
      <c r="K958" s="155"/>
      <c r="L958" s="155"/>
      <c r="M958" s="155"/>
      <c r="N958" s="155"/>
      <c r="O958" s="155"/>
      <c r="P958" s="155"/>
      <c r="Q958" s="155">
        <v>1</v>
      </c>
      <c r="R958" s="155" t="s">
        <v>1045</v>
      </c>
      <c r="S958" s="155"/>
      <c r="T958" s="155"/>
      <c r="U958" s="143" t="s">
        <v>508</v>
      </c>
      <c r="V958" s="143" t="s">
        <v>503</v>
      </c>
      <c r="W958" s="143" t="s">
        <v>298</v>
      </c>
      <c r="X958" s="143" t="s">
        <v>227</v>
      </c>
      <c r="Y958" s="143">
        <v>9505068873</v>
      </c>
      <c r="Z958" s="143"/>
      <c r="AA958" s="162" t="s">
        <v>524</v>
      </c>
      <c r="AB958" s="143" t="s">
        <v>528</v>
      </c>
      <c r="AC958" s="155">
        <v>1</v>
      </c>
      <c r="AD958" s="155"/>
      <c r="AE958" s="155"/>
      <c r="AF958" s="155"/>
      <c r="AG958" s="155"/>
      <c r="AH958" s="143"/>
      <c r="AI958" s="158"/>
    </row>
    <row r="959" spans="1:35">
      <c r="A959" s="140"/>
      <c r="B959" s="143"/>
      <c r="C959" s="228" t="s">
        <v>3312</v>
      </c>
      <c r="D959" s="230" t="s">
        <v>501</v>
      </c>
      <c r="E959" s="143" t="s">
        <v>80</v>
      </c>
      <c r="F959" s="143" t="s">
        <v>3219</v>
      </c>
      <c r="G959" s="143" t="s">
        <v>3220</v>
      </c>
      <c r="H959" s="143"/>
      <c r="I959" s="198">
        <v>8307</v>
      </c>
      <c r="J959" s="155">
        <v>1</v>
      </c>
      <c r="K959" s="155"/>
      <c r="L959" s="155"/>
      <c r="M959" s="155"/>
      <c r="N959" s="155"/>
      <c r="O959" s="155"/>
      <c r="P959" s="155"/>
      <c r="Q959" s="155">
        <v>1</v>
      </c>
      <c r="R959" s="155" t="s">
        <v>1045</v>
      </c>
      <c r="S959" s="155"/>
      <c r="T959" s="155"/>
      <c r="U959" s="143"/>
      <c r="V959" s="143"/>
      <c r="W959" s="143"/>
      <c r="X959" s="143"/>
      <c r="Y959" s="143"/>
      <c r="Z959" s="143"/>
      <c r="AA959" s="162" t="s">
        <v>524</v>
      </c>
      <c r="AB959" s="143" t="s">
        <v>528</v>
      </c>
      <c r="AC959" s="155">
        <v>1</v>
      </c>
      <c r="AD959" s="155"/>
      <c r="AE959" s="155"/>
      <c r="AF959" s="155"/>
      <c r="AG959" s="155"/>
      <c r="AH959" s="143"/>
      <c r="AI959" s="158"/>
    </row>
    <row r="960" spans="1:35">
      <c r="A960" s="140"/>
      <c r="B960" s="143"/>
      <c r="C960" s="228" t="s">
        <v>3312</v>
      </c>
      <c r="D960" s="230" t="s">
        <v>501</v>
      </c>
      <c r="E960" s="143" t="s">
        <v>80</v>
      </c>
      <c r="F960" s="143" t="s">
        <v>1874</v>
      </c>
      <c r="G960" s="143" t="s">
        <v>3221</v>
      </c>
      <c r="H960" s="143" t="s">
        <v>1040</v>
      </c>
      <c r="I960" s="198"/>
      <c r="J960" s="155"/>
      <c r="K960" s="155">
        <v>1</v>
      </c>
      <c r="L960" s="155"/>
      <c r="M960" s="155"/>
      <c r="N960" s="155"/>
      <c r="O960" s="155"/>
      <c r="P960" s="155"/>
      <c r="Q960" s="155">
        <v>1</v>
      </c>
      <c r="R960" s="155" t="s">
        <v>1009</v>
      </c>
      <c r="S960" s="155"/>
      <c r="T960" s="155"/>
      <c r="U960" s="143"/>
      <c r="V960" s="143" t="s">
        <v>223</v>
      </c>
      <c r="W960" s="143" t="s">
        <v>279</v>
      </c>
      <c r="X960" s="143" t="s">
        <v>227</v>
      </c>
      <c r="Y960" s="143">
        <v>9386335779</v>
      </c>
      <c r="Z960" s="143"/>
      <c r="AA960" s="143" t="s">
        <v>3151</v>
      </c>
      <c r="AB960" s="143" t="s">
        <v>528</v>
      </c>
      <c r="AC960" s="155">
        <v>1</v>
      </c>
      <c r="AD960" s="155"/>
      <c r="AE960" s="155"/>
      <c r="AF960" s="155"/>
      <c r="AG960" s="155"/>
      <c r="AH960" s="143"/>
      <c r="AI960" s="158"/>
    </row>
    <row r="961" spans="1:35" ht="18" customHeight="1">
      <c r="A961" s="140"/>
      <c r="B961" s="143"/>
      <c r="C961" s="228" t="s">
        <v>3312</v>
      </c>
      <c r="D961" s="230" t="s">
        <v>501</v>
      </c>
      <c r="E961" s="143" t="s">
        <v>80</v>
      </c>
      <c r="F961" s="143" t="s">
        <v>1032</v>
      </c>
      <c r="G961" s="143" t="s">
        <v>140</v>
      </c>
      <c r="H961" s="143" t="s">
        <v>126</v>
      </c>
      <c r="I961" s="198"/>
      <c r="J961" s="155">
        <v>1</v>
      </c>
      <c r="K961" s="155"/>
      <c r="L961" s="155"/>
      <c r="M961" s="155"/>
      <c r="N961" s="155"/>
      <c r="O961" s="155"/>
      <c r="P961" s="155"/>
      <c r="Q961" s="155">
        <v>1</v>
      </c>
      <c r="R961" s="155" t="s">
        <v>3079</v>
      </c>
      <c r="S961" s="155"/>
      <c r="T961" s="155"/>
      <c r="U961" s="143" t="s">
        <v>502</v>
      </c>
      <c r="V961" s="143" t="s">
        <v>503</v>
      </c>
      <c r="W961" s="143" t="s">
        <v>298</v>
      </c>
      <c r="X961" s="143" t="s">
        <v>227</v>
      </c>
      <c r="Y961" s="143">
        <v>9095395305</v>
      </c>
      <c r="Z961" s="143"/>
      <c r="AA961" s="162" t="s">
        <v>524</v>
      </c>
      <c r="AB961" s="143" t="s">
        <v>528</v>
      </c>
      <c r="AC961" s="155">
        <v>1</v>
      </c>
      <c r="AD961" s="155"/>
      <c r="AE961" s="155"/>
      <c r="AF961" s="155"/>
      <c r="AG961" s="155"/>
      <c r="AH961" s="143"/>
      <c r="AI961" s="158"/>
    </row>
    <row r="962" spans="1:35" ht="18" customHeight="1">
      <c r="A962" s="140"/>
      <c r="B962" s="143"/>
      <c r="C962" s="228" t="s">
        <v>3312</v>
      </c>
      <c r="D962" s="143" t="s">
        <v>501</v>
      </c>
      <c r="E962" s="143" t="s">
        <v>80</v>
      </c>
      <c r="F962" s="143" t="s">
        <v>3222</v>
      </c>
      <c r="G962" s="143" t="s">
        <v>3223</v>
      </c>
      <c r="H962" s="143"/>
      <c r="I962" s="198"/>
      <c r="J962" s="155">
        <v>1</v>
      </c>
      <c r="K962" s="155"/>
      <c r="L962" s="155"/>
      <c r="M962" s="155"/>
      <c r="N962" s="155"/>
      <c r="O962" s="155"/>
      <c r="P962" s="155"/>
      <c r="Q962" s="155">
        <v>1</v>
      </c>
      <c r="R962" s="155" t="s">
        <v>1045</v>
      </c>
      <c r="S962" s="155"/>
      <c r="T962" s="155"/>
      <c r="U962" s="143"/>
      <c r="V962" s="143" t="s">
        <v>949</v>
      </c>
      <c r="W962" s="143" t="s">
        <v>280</v>
      </c>
      <c r="X962" s="143" t="s">
        <v>227</v>
      </c>
      <c r="Y962" s="143">
        <v>9555844714</v>
      </c>
      <c r="Z962" s="143"/>
      <c r="AA962" s="162" t="s">
        <v>524</v>
      </c>
      <c r="AB962" s="143" t="s">
        <v>528</v>
      </c>
      <c r="AC962" s="155">
        <v>1</v>
      </c>
      <c r="AD962" s="155"/>
      <c r="AE962" s="155"/>
      <c r="AF962" s="155"/>
      <c r="AG962" s="155"/>
      <c r="AH962" s="143"/>
      <c r="AI962" s="158"/>
    </row>
    <row r="963" spans="1:35" ht="18" customHeight="1">
      <c r="A963" s="140"/>
      <c r="B963" s="143"/>
      <c r="C963" s="228" t="s">
        <v>3312</v>
      </c>
      <c r="D963" s="143" t="s">
        <v>501</v>
      </c>
      <c r="E963" s="143" t="s">
        <v>80</v>
      </c>
      <c r="F963" s="143" t="s">
        <v>3224</v>
      </c>
      <c r="G963" s="143" t="s">
        <v>210</v>
      </c>
      <c r="H963" s="143"/>
      <c r="I963" s="198"/>
      <c r="J963" s="155">
        <v>1</v>
      </c>
      <c r="K963" s="155"/>
      <c r="L963" s="155">
        <v>1</v>
      </c>
      <c r="M963" s="155"/>
      <c r="N963" s="155"/>
      <c r="O963" s="155"/>
      <c r="P963" s="155"/>
      <c r="Q963" s="155"/>
      <c r="R963" s="155"/>
      <c r="S963" s="155"/>
      <c r="T963" s="155"/>
      <c r="U963" s="143"/>
      <c r="V963" s="143" t="s">
        <v>218</v>
      </c>
      <c r="W963" s="143" t="s">
        <v>279</v>
      </c>
      <c r="X963" s="143" t="s">
        <v>227</v>
      </c>
      <c r="Y963" s="143">
        <v>9265140416</v>
      </c>
      <c r="Z963" s="143"/>
      <c r="AA963" s="162" t="s">
        <v>524</v>
      </c>
      <c r="AB963" s="143" t="s">
        <v>528</v>
      </c>
      <c r="AC963" s="155">
        <v>1</v>
      </c>
      <c r="AD963" s="155"/>
      <c r="AE963" s="155"/>
      <c r="AF963" s="155"/>
      <c r="AG963" s="155"/>
      <c r="AH963" s="143"/>
      <c r="AI963" s="158"/>
    </row>
    <row r="964" spans="1:35" ht="18" customHeight="1">
      <c r="A964" s="140"/>
      <c r="B964" s="143"/>
      <c r="C964" s="228" t="s">
        <v>3312</v>
      </c>
      <c r="D964" s="143" t="s">
        <v>501</v>
      </c>
      <c r="E964" s="143" t="s">
        <v>80</v>
      </c>
      <c r="F964" s="143" t="s">
        <v>3225</v>
      </c>
      <c r="G964" s="143" t="s">
        <v>3226</v>
      </c>
      <c r="H964" s="143"/>
      <c r="I964" s="198"/>
      <c r="J964" s="155">
        <v>1</v>
      </c>
      <c r="K964" s="155"/>
      <c r="L964" s="155">
        <v>1</v>
      </c>
      <c r="M964" s="155"/>
      <c r="N964" s="155"/>
      <c r="O964" s="155"/>
      <c r="P964" s="155"/>
      <c r="Q964" s="155"/>
      <c r="R964" s="155"/>
      <c r="S964" s="155"/>
      <c r="T964" s="155"/>
      <c r="U964" s="143"/>
      <c r="V964" s="143" t="s">
        <v>218</v>
      </c>
      <c r="W964" s="143" t="s">
        <v>279</v>
      </c>
      <c r="X964" s="143" t="s">
        <v>227</v>
      </c>
      <c r="Y964" s="143">
        <v>9484710987</v>
      </c>
      <c r="Z964" s="143"/>
      <c r="AA964" s="162" t="s">
        <v>524</v>
      </c>
      <c r="AB964" s="143" t="s">
        <v>528</v>
      </c>
      <c r="AC964" s="155">
        <v>1</v>
      </c>
      <c r="AD964" s="155"/>
      <c r="AE964" s="155"/>
      <c r="AF964" s="155"/>
      <c r="AG964" s="155"/>
      <c r="AH964" s="143"/>
      <c r="AI964" s="158"/>
    </row>
    <row r="965" spans="1:35" ht="18" customHeight="1">
      <c r="A965" s="140"/>
      <c r="B965" s="143"/>
      <c r="C965" s="228" t="s">
        <v>3312</v>
      </c>
      <c r="D965" s="143" t="s">
        <v>501</v>
      </c>
      <c r="E965" s="143" t="s">
        <v>80</v>
      </c>
      <c r="F965" s="143" t="s">
        <v>3227</v>
      </c>
      <c r="G965" s="143" t="s">
        <v>3228</v>
      </c>
      <c r="H965" s="143"/>
      <c r="I965" s="198"/>
      <c r="J965" s="155"/>
      <c r="K965" s="155">
        <v>1</v>
      </c>
      <c r="L965" s="155"/>
      <c r="M965" s="155"/>
      <c r="N965" s="155"/>
      <c r="O965" s="155"/>
      <c r="P965" s="155"/>
      <c r="Q965" s="155">
        <v>1</v>
      </c>
      <c r="R965" s="155" t="s">
        <v>3163</v>
      </c>
      <c r="S965" s="155"/>
      <c r="T965" s="155"/>
      <c r="U965" s="143"/>
      <c r="V965" s="143" t="s">
        <v>503</v>
      </c>
      <c r="W965" s="143" t="s">
        <v>298</v>
      </c>
      <c r="X965" s="143" t="s">
        <v>227</v>
      </c>
      <c r="Y965" s="143">
        <v>9957110630</v>
      </c>
      <c r="Z965" s="143"/>
      <c r="AA965" s="162" t="s">
        <v>524</v>
      </c>
      <c r="AB965" s="143" t="s">
        <v>528</v>
      </c>
      <c r="AC965" s="155">
        <v>1</v>
      </c>
      <c r="AD965" s="155"/>
      <c r="AE965" s="155"/>
      <c r="AF965" s="155"/>
      <c r="AG965" s="155"/>
      <c r="AH965" s="143"/>
      <c r="AI965" s="158"/>
    </row>
    <row r="966" spans="1:35" ht="18" customHeight="1">
      <c r="A966" s="140"/>
      <c r="B966" s="143"/>
      <c r="C966" s="228" t="s">
        <v>3312</v>
      </c>
      <c r="D966" s="143" t="s">
        <v>501</v>
      </c>
      <c r="E966" s="143" t="s">
        <v>80</v>
      </c>
      <c r="F966" s="143" t="s">
        <v>3229</v>
      </c>
      <c r="G966" s="143" t="s">
        <v>136</v>
      </c>
      <c r="H966" s="143" t="s">
        <v>115</v>
      </c>
      <c r="I966" s="198"/>
      <c r="J966" s="155">
        <v>1</v>
      </c>
      <c r="K966" s="155"/>
      <c r="L966" s="155"/>
      <c r="M966" s="155"/>
      <c r="N966" s="155"/>
      <c r="O966" s="155"/>
      <c r="P966" s="155"/>
      <c r="Q966" s="155">
        <v>1</v>
      </c>
      <c r="R966" s="155" t="s">
        <v>3137</v>
      </c>
      <c r="S966" s="155"/>
      <c r="T966" s="155"/>
      <c r="U966" s="143" t="s">
        <v>509</v>
      </c>
      <c r="V966" s="143" t="s">
        <v>503</v>
      </c>
      <c r="W966" s="143" t="s">
        <v>298</v>
      </c>
      <c r="X966" s="143" t="s">
        <v>227</v>
      </c>
      <c r="Y966" s="143">
        <v>9166857544</v>
      </c>
      <c r="Z966" s="143"/>
      <c r="AA966" s="162" t="s">
        <v>876</v>
      </c>
      <c r="AB966" s="143" t="s">
        <v>528</v>
      </c>
      <c r="AC966" s="155">
        <v>1</v>
      </c>
      <c r="AD966" s="155"/>
      <c r="AE966" s="155"/>
      <c r="AF966" s="155"/>
      <c r="AG966" s="155"/>
      <c r="AH966" s="143"/>
      <c r="AI966" s="158"/>
    </row>
    <row r="967" spans="1:35" s="6" customFormat="1">
      <c r="A967" s="149"/>
      <c r="B967" s="150"/>
      <c r="C967" s="150" t="s">
        <v>3130</v>
      </c>
      <c r="D967" s="150"/>
      <c r="E967" s="150"/>
      <c r="F967" s="150"/>
      <c r="G967" s="150"/>
      <c r="H967" s="150"/>
      <c r="I967" s="237"/>
      <c r="J967" s="151">
        <f t="shared" ref="J967:Q967" si="3">SUM(J974:J1211)</f>
        <v>102</v>
      </c>
      <c r="K967" s="151">
        <f t="shared" si="3"/>
        <v>73</v>
      </c>
      <c r="L967" s="151">
        <f t="shared" si="3"/>
        <v>28</v>
      </c>
      <c r="M967" s="151">
        <f t="shared" si="3"/>
        <v>1</v>
      </c>
      <c r="N967" s="151">
        <f t="shared" si="3"/>
        <v>0</v>
      </c>
      <c r="O967" s="151">
        <f t="shared" si="3"/>
        <v>0</v>
      </c>
      <c r="P967" s="151">
        <f t="shared" si="3"/>
        <v>0</v>
      </c>
      <c r="Q967" s="151">
        <f t="shared" si="3"/>
        <v>152</v>
      </c>
      <c r="R967" s="151"/>
      <c r="S967" s="151">
        <f>SUM(S974:S1028)</f>
        <v>0</v>
      </c>
      <c r="T967" s="151">
        <f>SUM(T974:T1028)</f>
        <v>0</v>
      </c>
      <c r="U967" s="150"/>
      <c r="V967" s="150"/>
      <c r="W967" s="150"/>
      <c r="X967" s="150"/>
      <c r="Y967" s="150"/>
      <c r="Z967" s="150"/>
      <c r="AA967" s="150"/>
      <c r="AB967" s="150"/>
      <c r="AC967" s="151">
        <f>SUM(AC974:AC1211)</f>
        <v>188</v>
      </c>
      <c r="AD967" s="151">
        <f>SUM(AD974:AD1028)</f>
        <v>0</v>
      </c>
      <c r="AE967" s="151" t="e">
        <f>AVERAGE(AE974:AE1028)</f>
        <v>#DIV/0!</v>
      </c>
      <c r="AF967" s="151" t="e">
        <f>AVERAGE(AF974:AF1028)</f>
        <v>#DIV/0!</v>
      </c>
      <c r="AG967" s="151" t="e">
        <f>AVERAGE(AG974:AG1028)</f>
        <v>#DIV/0!</v>
      </c>
      <c r="AH967" s="150"/>
      <c r="AI967" s="152"/>
    </row>
    <row r="968" spans="1:35" ht="18" customHeight="1">
      <c r="A968" s="140"/>
      <c r="B968" s="143"/>
      <c r="C968" s="143" t="s">
        <v>3230</v>
      </c>
      <c r="D968" s="143" t="s">
        <v>501</v>
      </c>
      <c r="E968" s="143" t="s">
        <v>80</v>
      </c>
      <c r="F968" s="143" t="s">
        <v>1084</v>
      </c>
      <c r="G968" s="143" t="s">
        <v>3231</v>
      </c>
      <c r="H968" s="143"/>
      <c r="I968" s="198"/>
      <c r="J968" s="155"/>
      <c r="K968" s="155">
        <v>1</v>
      </c>
      <c r="L968" s="155">
        <v>1</v>
      </c>
      <c r="M968" s="155"/>
      <c r="N968" s="155"/>
      <c r="O968" s="155"/>
      <c r="P968" s="155"/>
      <c r="Q968" s="155"/>
      <c r="R968" s="155"/>
      <c r="S968" s="155"/>
      <c r="T968" s="155"/>
      <c r="U968" s="143"/>
      <c r="V968" s="143" t="s">
        <v>949</v>
      </c>
      <c r="W968" s="143" t="s">
        <v>280</v>
      </c>
      <c r="X968" s="143" t="s">
        <v>227</v>
      </c>
      <c r="Y968" s="143"/>
      <c r="Z968" s="143"/>
      <c r="AA968" s="143" t="s">
        <v>3141</v>
      </c>
      <c r="AB968" s="143" t="s">
        <v>528</v>
      </c>
      <c r="AC968" s="155">
        <v>1</v>
      </c>
      <c r="AD968" s="155"/>
      <c r="AE968" s="155"/>
      <c r="AF968" s="155"/>
      <c r="AG968" s="155"/>
      <c r="AH968" s="143"/>
      <c r="AI968" s="158"/>
    </row>
    <row r="969" spans="1:35">
      <c r="A969" s="140"/>
      <c r="B969" s="143"/>
      <c r="C969" s="143" t="s">
        <v>3230</v>
      </c>
      <c r="D969" s="143" t="s">
        <v>501</v>
      </c>
      <c r="E969" s="143" t="s">
        <v>80</v>
      </c>
      <c r="F969" s="143" t="s">
        <v>3232</v>
      </c>
      <c r="G969" s="143" t="s">
        <v>3233</v>
      </c>
      <c r="H969" s="143" t="s">
        <v>133</v>
      </c>
      <c r="I969" s="198"/>
      <c r="J969" s="155">
        <v>1</v>
      </c>
      <c r="K969" s="155"/>
      <c r="L969" s="155">
        <v>1</v>
      </c>
      <c r="M969" s="155"/>
      <c r="N969" s="155"/>
      <c r="O969" s="155"/>
      <c r="P969" s="155"/>
      <c r="Q969" s="155"/>
      <c r="R969" s="155"/>
      <c r="S969" s="155"/>
      <c r="T969" s="155"/>
      <c r="U969" s="143"/>
      <c r="V969" s="143" t="s">
        <v>949</v>
      </c>
      <c r="W969" s="143" t="s">
        <v>280</v>
      </c>
      <c r="X969" s="143" t="s">
        <v>227</v>
      </c>
      <c r="Y969" s="143"/>
      <c r="Z969" s="143"/>
      <c r="AA969" s="143" t="s">
        <v>3141</v>
      </c>
      <c r="AB969" s="143" t="s">
        <v>528</v>
      </c>
      <c r="AC969" s="155">
        <v>1</v>
      </c>
      <c r="AD969" s="155"/>
      <c r="AE969" s="155"/>
      <c r="AF969" s="155"/>
      <c r="AG969" s="155"/>
      <c r="AH969" s="143"/>
      <c r="AI969" s="158"/>
    </row>
    <row r="970" spans="1:35">
      <c r="A970" s="140"/>
      <c r="B970" s="143"/>
      <c r="C970" s="143" t="s">
        <v>3230</v>
      </c>
      <c r="D970" s="143" t="s">
        <v>501</v>
      </c>
      <c r="E970" s="143" t="s">
        <v>80</v>
      </c>
      <c r="F970" s="143" t="s">
        <v>769</v>
      </c>
      <c r="G970" s="143" t="s">
        <v>3234</v>
      </c>
      <c r="H970" s="143"/>
      <c r="I970" s="198"/>
      <c r="J970" s="155">
        <v>1</v>
      </c>
      <c r="K970" s="155"/>
      <c r="L970" s="155">
        <v>1</v>
      </c>
      <c r="M970" s="155"/>
      <c r="N970" s="155"/>
      <c r="O970" s="155"/>
      <c r="P970" s="155"/>
      <c r="Q970" s="155"/>
      <c r="R970" s="155"/>
      <c r="S970" s="155"/>
      <c r="T970" s="155"/>
      <c r="U970" s="143" t="s">
        <v>507</v>
      </c>
      <c r="V970" s="143" t="s">
        <v>503</v>
      </c>
      <c r="W970" s="143" t="s">
        <v>298</v>
      </c>
      <c r="X970" s="143" t="s">
        <v>227</v>
      </c>
      <c r="Y970" s="143">
        <v>9178885018</v>
      </c>
      <c r="Z970" s="143"/>
      <c r="AA970" s="143" t="s">
        <v>3149</v>
      </c>
      <c r="AB970" s="143" t="s">
        <v>528</v>
      </c>
      <c r="AC970" s="155">
        <v>1</v>
      </c>
      <c r="AD970" s="155"/>
      <c r="AE970" s="155"/>
      <c r="AF970" s="155"/>
      <c r="AG970" s="155"/>
      <c r="AH970" s="143"/>
      <c r="AI970" s="158"/>
    </row>
    <row r="971" spans="1:35">
      <c r="A971" s="140"/>
      <c r="B971" s="143"/>
      <c r="C971" s="143" t="s">
        <v>3230</v>
      </c>
      <c r="D971" s="143" t="s">
        <v>501</v>
      </c>
      <c r="E971" s="143" t="s">
        <v>80</v>
      </c>
      <c r="F971" s="143" t="s">
        <v>464</v>
      </c>
      <c r="G971" s="143" t="s">
        <v>467</v>
      </c>
      <c r="H971" s="143"/>
      <c r="I971" s="198">
        <v>35871</v>
      </c>
      <c r="J971" s="155"/>
      <c r="K971" s="155">
        <v>1</v>
      </c>
      <c r="L971" s="155">
        <v>1</v>
      </c>
      <c r="M971" s="155"/>
      <c r="N971" s="155"/>
      <c r="O971" s="155"/>
      <c r="P971" s="155"/>
      <c r="Q971" s="155"/>
      <c r="R971" s="155"/>
      <c r="S971" s="155"/>
      <c r="T971" s="155"/>
      <c r="U971" s="143" t="s">
        <v>510</v>
      </c>
      <c r="V971" s="143" t="s">
        <v>503</v>
      </c>
      <c r="W971" s="143" t="s">
        <v>298</v>
      </c>
      <c r="X971" s="143" t="s">
        <v>227</v>
      </c>
      <c r="Y971" s="143">
        <v>9100853423</v>
      </c>
      <c r="Z971" s="143"/>
      <c r="AA971" s="143" t="s">
        <v>3151</v>
      </c>
      <c r="AB971" s="143" t="s">
        <v>528</v>
      </c>
      <c r="AC971" s="155">
        <v>1</v>
      </c>
      <c r="AD971" s="155"/>
      <c r="AE971" s="155"/>
      <c r="AF971" s="155"/>
      <c r="AG971" s="155"/>
      <c r="AH971" s="143"/>
      <c r="AI971" s="158"/>
    </row>
    <row r="972" spans="1:35">
      <c r="A972" s="140"/>
      <c r="B972" s="143"/>
      <c r="C972" s="143" t="s">
        <v>3230</v>
      </c>
      <c r="D972" s="143" t="s">
        <v>501</v>
      </c>
      <c r="E972" s="143" t="s">
        <v>80</v>
      </c>
      <c r="F972" s="143" t="s">
        <v>3235</v>
      </c>
      <c r="G972" s="143" t="s">
        <v>1983</v>
      </c>
      <c r="H972" s="143"/>
      <c r="I972" s="198">
        <v>31167</v>
      </c>
      <c r="J972" s="155"/>
      <c r="K972" s="155">
        <v>1</v>
      </c>
      <c r="L972" s="155"/>
      <c r="M972" s="155"/>
      <c r="N972" s="155"/>
      <c r="O972" s="155"/>
      <c r="P972" s="155"/>
      <c r="Q972" s="155">
        <v>1</v>
      </c>
      <c r="R972" s="155" t="s">
        <v>1045</v>
      </c>
      <c r="S972" s="155"/>
      <c r="T972" s="155"/>
      <c r="U972" s="143" t="s">
        <v>1862</v>
      </c>
      <c r="V972" s="143" t="s">
        <v>503</v>
      </c>
      <c r="W972" s="143" t="s">
        <v>298</v>
      </c>
      <c r="X972" s="143" t="s">
        <v>227</v>
      </c>
      <c r="Y972" s="143">
        <v>9758414991</v>
      </c>
      <c r="Z972" s="143"/>
      <c r="AA972" s="143" t="s">
        <v>3149</v>
      </c>
      <c r="AB972" s="143" t="s">
        <v>528</v>
      </c>
      <c r="AC972" s="155">
        <v>1</v>
      </c>
      <c r="AD972" s="155"/>
      <c r="AE972" s="155"/>
      <c r="AF972" s="155"/>
      <c r="AG972" s="155"/>
      <c r="AH972" s="143"/>
      <c r="AI972" s="158"/>
    </row>
    <row r="973" spans="1:35">
      <c r="A973" s="140"/>
      <c r="B973" s="143"/>
      <c r="C973" s="143" t="s">
        <v>3230</v>
      </c>
      <c r="D973" s="143" t="s">
        <v>501</v>
      </c>
      <c r="E973" s="143" t="s">
        <v>80</v>
      </c>
      <c r="F973" s="143" t="s">
        <v>3236</v>
      </c>
      <c r="G973" s="143" t="s">
        <v>3237</v>
      </c>
      <c r="H973" s="143"/>
      <c r="I973" s="198">
        <v>36961</v>
      </c>
      <c r="J973" s="155"/>
      <c r="K973" s="155">
        <v>1</v>
      </c>
      <c r="L973" s="155"/>
      <c r="M973" s="155"/>
      <c r="N973" s="155"/>
      <c r="O973" s="155"/>
      <c r="P973" s="155"/>
      <c r="Q973" s="155">
        <v>1</v>
      </c>
      <c r="R973" s="155" t="s">
        <v>1045</v>
      </c>
      <c r="S973" s="155"/>
      <c r="T973" s="155"/>
      <c r="U973" s="143" t="s">
        <v>506</v>
      </c>
      <c r="V973" s="143" t="s">
        <v>503</v>
      </c>
      <c r="W973" s="143" t="s">
        <v>298</v>
      </c>
      <c r="X973" s="143" t="s">
        <v>227</v>
      </c>
      <c r="Y973" s="143">
        <v>9121454061</v>
      </c>
      <c r="Z973" s="143"/>
      <c r="AA973" s="143" t="s">
        <v>3149</v>
      </c>
      <c r="AB973" s="143" t="s">
        <v>528</v>
      </c>
      <c r="AC973" s="155">
        <v>1</v>
      </c>
      <c r="AD973" s="155"/>
      <c r="AE973" s="155"/>
      <c r="AF973" s="155"/>
      <c r="AG973" s="155"/>
      <c r="AH973" s="143"/>
      <c r="AI973" s="158"/>
    </row>
    <row r="974" spans="1:35">
      <c r="A974" s="140"/>
      <c r="B974" s="143"/>
      <c r="C974" s="143" t="s">
        <v>3230</v>
      </c>
      <c r="D974" s="143" t="s">
        <v>501</v>
      </c>
      <c r="E974" s="143" t="s">
        <v>80</v>
      </c>
      <c r="F974" s="143" t="s">
        <v>3047</v>
      </c>
      <c r="G974" s="143" t="s">
        <v>3048</v>
      </c>
      <c r="H974" s="143" t="s">
        <v>120</v>
      </c>
      <c r="I974" s="198">
        <v>24852</v>
      </c>
      <c r="J974" s="155"/>
      <c r="K974" s="155">
        <v>1</v>
      </c>
      <c r="L974" s="155"/>
      <c r="M974" s="155"/>
      <c r="N974" s="155"/>
      <c r="O974" s="155"/>
      <c r="P974" s="155"/>
      <c r="Q974" s="155">
        <v>1</v>
      </c>
      <c r="R974" s="155" t="s">
        <v>1045</v>
      </c>
      <c r="S974" s="155"/>
      <c r="T974" s="155"/>
      <c r="U974" s="143" t="s">
        <v>515</v>
      </c>
      <c r="V974" s="143" t="s">
        <v>503</v>
      </c>
      <c r="W974" s="143" t="s">
        <v>298</v>
      </c>
      <c r="X974" s="143" t="s">
        <v>227</v>
      </c>
      <c r="Y974" s="143">
        <v>9773539842</v>
      </c>
      <c r="Z974" s="143"/>
      <c r="AA974" s="143" t="s">
        <v>3149</v>
      </c>
      <c r="AB974" s="143" t="s">
        <v>528</v>
      </c>
      <c r="AC974" s="155">
        <v>1</v>
      </c>
      <c r="AD974" s="155"/>
      <c r="AE974" s="155"/>
      <c r="AF974" s="155"/>
      <c r="AG974" s="155"/>
      <c r="AH974" s="143"/>
      <c r="AI974" s="158"/>
    </row>
    <row r="975" spans="1:35">
      <c r="A975" s="140"/>
      <c r="B975" s="143"/>
      <c r="C975" s="143" t="s">
        <v>3230</v>
      </c>
      <c r="D975" s="143" t="s">
        <v>501</v>
      </c>
      <c r="E975" s="143" t="s">
        <v>80</v>
      </c>
      <c r="F975" s="143" t="s">
        <v>284</v>
      </c>
      <c r="G975" s="143" t="s">
        <v>3238</v>
      </c>
      <c r="H975" s="143" t="s">
        <v>120</v>
      </c>
      <c r="I975" s="198"/>
      <c r="J975" s="155">
        <v>1</v>
      </c>
      <c r="K975" s="155"/>
      <c r="L975" s="155"/>
      <c r="M975" s="155"/>
      <c r="N975" s="155"/>
      <c r="O975" s="155"/>
      <c r="P975" s="155"/>
      <c r="Q975" s="155">
        <v>1</v>
      </c>
      <c r="R975" s="155" t="s">
        <v>3060</v>
      </c>
      <c r="S975" s="155"/>
      <c r="T975" s="155"/>
      <c r="U975" s="143"/>
      <c r="V975" s="143"/>
      <c r="W975" s="143"/>
      <c r="X975" s="143" t="s">
        <v>1257</v>
      </c>
      <c r="Y975" s="143">
        <v>9170267854</v>
      </c>
      <c r="Z975" s="143"/>
      <c r="AA975" s="143" t="s">
        <v>3149</v>
      </c>
      <c r="AB975" s="143" t="s">
        <v>528</v>
      </c>
      <c r="AC975" s="155">
        <v>1</v>
      </c>
      <c r="AD975" s="155"/>
      <c r="AE975" s="155"/>
      <c r="AF975" s="155"/>
      <c r="AG975" s="155"/>
      <c r="AH975" s="143"/>
      <c r="AI975" s="158"/>
    </row>
    <row r="976" spans="1:35">
      <c r="A976" s="140"/>
      <c r="B976" s="143"/>
      <c r="C976" s="143" t="s">
        <v>3230</v>
      </c>
      <c r="D976" s="143" t="s">
        <v>501</v>
      </c>
      <c r="E976" s="143" t="s">
        <v>80</v>
      </c>
      <c r="F976" s="143" t="s">
        <v>411</v>
      </c>
      <c r="G976" s="143" t="s">
        <v>3310</v>
      </c>
      <c r="H976" s="143" t="s">
        <v>120</v>
      </c>
      <c r="I976" s="198"/>
      <c r="J976" s="155">
        <v>1</v>
      </c>
      <c r="K976" s="155"/>
      <c r="L976" s="155"/>
      <c r="M976" s="155"/>
      <c r="N976" s="155"/>
      <c r="O976" s="155"/>
      <c r="P976" s="155"/>
      <c r="Q976" s="155">
        <v>1</v>
      </c>
      <c r="R976" s="155" t="s">
        <v>1045</v>
      </c>
      <c r="S976" s="155"/>
      <c r="T976" s="155"/>
      <c r="U976" s="143"/>
      <c r="V976" s="143"/>
      <c r="W976" s="143"/>
      <c r="X976" s="143"/>
      <c r="Y976" s="143">
        <v>9756786576</v>
      </c>
      <c r="Z976" s="143"/>
      <c r="AA976" s="143" t="s">
        <v>3149</v>
      </c>
      <c r="AB976" s="143" t="s">
        <v>528</v>
      </c>
      <c r="AC976" s="155">
        <v>1</v>
      </c>
      <c r="AD976" s="155"/>
      <c r="AE976" s="155"/>
      <c r="AF976" s="155"/>
      <c r="AG976" s="155"/>
      <c r="AH976" s="143"/>
      <c r="AI976" s="158"/>
    </row>
    <row r="977" spans="1:35">
      <c r="A977" s="140"/>
      <c r="B977" s="143"/>
      <c r="C977" s="143" t="s">
        <v>3230</v>
      </c>
      <c r="D977" s="143" t="s">
        <v>501</v>
      </c>
      <c r="E977" s="143" t="s">
        <v>80</v>
      </c>
      <c r="F977" s="143" t="s">
        <v>176</v>
      </c>
      <c r="G977" s="143" t="s">
        <v>3311</v>
      </c>
      <c r="H977" s="143"/>
      <c r="I977" s="198"/>
      <c r="J977" s="155"/>
      <c r="K977" s="155"/>
      <c r="L977" s="155"/>
      <c r="M977" s="155"/>
      <c r="N977" s="155"/>
      <c r="O977" s="155"/>
      <c r="P977" s="155"/>
      <c r="Q977" s="155">
        <v>1</v>
      </c>
      <c r="R977" s="155" t="s">
        <v>962</v>
      </c>
      <c r="S977" s="155"/>
      <c r="T977" s="155"/>
      <c r="U977" s="143" t="s">
        <v>516</v>
      </c>
      <c r="V977" s="143" t="s">
        <v>503</v>
      </c>
      <c r="W977" s="143" t="s">
        <v>298</v>
      </c>
      <c r="X977" s="143" t="s">
        <v>227</v>
      </c>
      <c r="Y977" s="143"/>
      <c r="Z977" s="143"/>
      <c r="AA977" s="143" t="s">
        <v>3141</v>
      </c>
      <c r="AB977" s="143" t="s">
        <v>528</v>
      </c>
      <c r="AC977" s="155">
        <v>1</v>
      </c>
      <c r="AD977" s="155"/>
      <c r="AE977" s="155"/>
      <c r="AF977" s="155"/>
      <c r="AG977" s="155"/>
      <c r="AH977" s="143"/>
      <c r="AI977" s="158"/>
    </row>
    <row r="978" spans="1:35">
      <c r="A978" s="140"/>
      <c r="B978" s="143"/>
      <c r="C978" s="143" t="s">
        <v>3230</v>
      </c>
      <c r="D978" s="143" t="s">
        <v>501</v>
      </c>
      <c r="E978" s="143" t="s">
        <v>80</v>
      </c>
      <c r="F978" s="143" t="s">
        <v>3527</v>
      </c>
      <c r="G978" s="143" t="s">
        <v>3528</v>
      </c>
      <c r="H978" s="143"/>
      <c r="I978" s="198" t="s">
        <v>3529</v>
      </c>
      <c r="J978" s="155">
        <v>1</v>
      </c>
      <c r="K978" s="155"/>
      <c r="L978" s="155"/>
      <c r="M978" s="155"/>
      <c r="N978" s="155"/>
      <c r="O978" s="155"/>
      <c r="P978" s="155"/>
      <c r="Q978" s="155">
        <v>1</v>
      </c>
      <c r="R978" s="155" t="s">
        <v>1266</v>
      </c>
      <c r="S978" s="155"/>
      <c r="T978" s="155"/>
      <c r="U978" s="143" t="s">
        <v>507</v>
      </c>
      <c r="V978" s="143" t="s">
        <v>503</v>
      </c>
      <c r="W978" s="143" t="s">
        <v>298</v>
      </c>
      <c r="X978" s="143" t="s">
        <v>227</v>
      </c>
      <c r="Y978" s="143">
        <v>9546937276</v>
      </c>
      <c r="Z978" s="143"/>
      <c r="AA978" s="143" t="s">
        <v>3149</v>
      </c>
      <c r="AB978" s="143" t="s">
        <v>528</v>
      </c>
      <c r="AC978" s="155">
        <v>1</v>
      </c>
      <c r="AD978" s="155"/>
      <c r="AE978" s="155"/>
      <c r="AF978" s="155"/>
      <c r="AG978" s="155"/>
      <c r="AH978" s="143"/>
      <c r="AI978" s="158"/>
    </row>
    <row r="979" spans="1:35">
      <c r="A979" s="140"/>
      <c r="B979" s="143"/>
      <c r="C979" s="143" t="s">
        <v>3230</v>
      </c>
      <c r="D979" s="143" t="s">
        <v>501</v>
      </c>
      <c r="E979" s="143" t="s">
        <v>80</v>
      </c>
      <c r="F979" s="143" t="s">
        <v>411</v>
      </c>
      <c r="G979" s="143" t="s">
        <v>3142</v>
      </c>
      <c r="H979" s="143"/>
      <c r="I979" s="198" t="s">
        <v>3530</v>
      </c>
      <c r="J979" s="155">
        <v>1</v>
      </c>
      <c r="K979" s="155"/>
      <c r="L979" s="155"/>
      <c r="M979" s="155"/>
      <c r="N979" s="155"/>
      <c r="O979" s="155"/>
      <c r="P979" s="155"/>
      <c r="Q979" s="155">
        <v>1</v>
      </c>
      <c r="R979" s="155" t="s">
        <v>1266</v>
      </c>
      <c r="S979" s="155"/>
      <c r="T979" s="155"/>
      <c r="U979" s="143" t="s">
        <v>507</v>
      </c>
      <c r="V979" s="143" t="s">
        <v>503</v>
      </c>
      <c r="W979" s="143" t="s">
        <v>298</v>
      </c>
      <c r="X979" s="143" t="s">
        <v>227</v>
      </c>
      <c r="Y979" s="143">
        <v>9064383240</v>
      </c>
      <c r="Z979" s="143"/>
      <c r="AA979" s="143" t="s">
        <v>3149</v>
      </c>
      <c r="AB979" s="143" t="s">
        <v>528</v>
      </c>
      <c r="AC979" s="155">
        <v>1</v>
      </c>
      <c r="AD979" s="155"/>
      <c r="AE979" s="155"/>
      <c r="AF979" s="155"/>
      <c r="AG979" s="155"/>
      <c r="AH979" s="143"/>
      <c r="AI979" s="158"/>
    </row>
    <row r="980" spans="1:35">
      <c r="A980" s="140"/>
      <c r="B980" s="143"/>
      <c r="C980" s="143" t="s">
        <v>3230</v>
      </c>
      <c r="D980" s="143" t="s">
        <v>501</v>
      </c>
      <c r="E980" s="143" t="s">
        <v>80</v>
      </c>
      <c r="F980" s="143" t="s">
        <v>3531</v>
      </c>
      <c r="G980" s="143" t="s">
        <v>3532</v>
      </c>
      <c r="H980" s="143" t="s">
        <v>120</v>
      </c>
      <c r="I980" s="198">
        <v>35028</v>
      </c>
      <c r="J980" s="155"/>
      <c r="K980" s="155">
        <v>1</v>
      </c>
      <c r="L980" s="155"/>
      <c r="M980" s="155"/>
      <c r="N980" s="155"/>
      <c r="O980" s="155"/>
      <c r="P980" s="155"/>
      <c r="Q980" s="155">
        <v>1</v>
      </c>
      <c r="R980" s="155" t="s">
        <v>1689</v>
      </c>
      <c r="S980" s="155"/>
      <c r="T980" s="155"/>
      <c r="U980" s="143" t="s">
        <v>502</v>
      </c>
      <c r="V980" s="143" t="s">
        <v>503</v>
      </c>
      <c r="W980" s="143" t="s">
        <v>298</v>
      </c>
      <c r="X980" s="143" t="s">
        <v>227</v>
      </c>
      <c r="Y980" s="143">
        <v>9664357210</v>
      </c>
      <c r="Z980" s="143"/>
      <c r="AA980" s="143" t="s">
        <v>3149</v>
      </c>
      <c r="AB980" s="143" t="s">
        <v>528</v>
      </c>
      <c r="AC980" s="155">
        <v>1</v>
      </c>
      <c r="AD980" s="155"/>
      <c r="AE980" s="155"/>
      <c r="AF980" s="155"/>
      <c r="AG980" s="155"/>
      <c r="AH980" s="143"/>
      <c r="AI980" s="158"/>
    </row>
    <row r="981" spans="1:35">
      <c r="A981" s="140"/>
      <c r="B981" s="143"/>
      <c r="C981" s="143" t="s">
        <v>3230</v>
      </c>
      <c r="D981" s="143" t="s">
        <v>501</v>
      </c>
      <c r="E981" s="143" t="s">
        <v>80</v>
      </c>
      <c r="F981" s="143" t="s">
        <v>184</v>
      </c>
      <c r="G981" s="143" t="s">
        <v>3533</v>
      </c>
      <c r="H981" s="143"/>
      <c r="I981" s="198"/>
      <c r="J981" s="155">
        <v>1</v>
      </c>
      <c r="K981" s="155"/>
      <c r="L981" s="155"/>
      <c r="M981" s="155"/>
      <c r="N981" s="155"/>
      <c r="O981" s="155"/>
      <c r="P981" s="155"/>
      <c r="Q981" s="155">
        <v>1</v>
      </c>
      <c r="R981" s="155" t="s">
        <v>1009</v>
      </c>
      <c r="S981" s="155"/>
      <c r="T981" s="155"/>
      <c r="U981" s="143"/>
      <c r="V981" s="143" t="s">
        <v>1092</v>
      </c>
      <c r="W981" s="143" t="s">
        <v>279</v>
      </c>
      <c r="X981" s="143" t="s">
        <v>227</v>
      </c>
      <c r="Y981" s="143">
        <v>9171867704</v>
      </c>
      <c r="Z981" s="143"/>
      <c r="AA981" s="143" t="s">
        <v>3151</v>
      </c>
      <c r="AB981" s="143" t="s">
        <v>528</v>
      </c>
      <c r="AC981" s="155">
        <v>1</v>
      </c>
      <c r="AD981" s="155"/>
      <c r="AE981" s="155"/>
      <c r="AF981" s="155"/>
      <c r="AG981" s="155"/>
      <c r="AH981" s="143"/>
      <c r="AI981" s="158"/>
    </row>
    <row r="982" spans="1:35">
      <c r="A982" s="140"/>
      <c r="B982" s="143"/>
      <c r="C982" s="143" t="s">
        <v>3230</v>
      </c>
      <c r="D982" s="143" t="s">
        <v>501</v>
      </c>
      <c r="E982" s="143" t="s">
        <v>80</v>
      </c>
      <c r="F982" s="143" t="s">
        <v>3534</v>
      </c>
      <c r="G982" s="143" t="s">
        <v>3535</v>
      </c>
      <c r="H982" s="143"/>
      <c r="I982" s="198">
        <v>25051</v>
      </c>
      <c r="J982" s="155">
        <v>1</v>
      </c>
      <c r="K982" s="155"/>
      <c r="L982" s="155"/>
      <c r="M982" s="155"/>
      <c r="N982" s="155"/>
      <c r="O982" s="155"/>
      <c r="P982" s="155"/>
      <c r="Q982" s="155">
        <v>1</v>
      </c>
      <c r="R982" s="155" t="s">
        <v>1009</v>
      </c>
      <c r="S982" s="155"/>
      <c r="T982" s="155"/>
      <c r="U982" s="143"/>
      <c r="V982" s="143" t="s">
        <v>1092</v>
      </c>
      <c r="W982" s="143" t="s">
        <v>279</v>
      </c>
      <c r="X982" s="143" t="s">
        <v>227</v>
      </c>
      <c r="Y982" s="143">
        <v>9956377251</v>
      </c>
      <c r="Z982" s="143"/>
      <c r="AA982" s="143" t="s">
        <v>3151</v>
      </c>
      <c r="AB982" s="143" t="s">
        <v>528</v>
      </c>
      <c r="AC982" s="155">
        <v>1</v>
      </c>
      <c r="AD982" s="155"/>
      <c r="AE982" s="155"/>
      <c r="AF982" s="155"/>
      <c r="AG982" s="155"/>
      <c r="AH982" s="143"/>
      <c r="AI982" s="158"/>
    </row>
    <row r="983" spans="1:35">
      <c r="A983" s="140"/>
      <c r="B983" s="143"/>
      <c r="C983" s="143" t="s">
        <v>3230</v>
      </c>
      <c r="D983" s="143" t="s">
        <v>501</v>
      </c>
      <c r="E983" s="143" t="s">
        <v>80</v>
      </c>
      <c r="F983" s="143" t="s">
        <v>1241</v>
      </c>
      <c r="G983" s="143" t="s">
        <v>3536</v>
      </c>
      <c r="H983" s="143"/>
      <c r="I983" s="198">
        <v>33731</v>
      </c>
      <c r="J983" s="155">
        <v>1</v>
      </c>
      <c r="K983" s="155"/>
      <c r="L983" s="155"/>
      <c r="M983" s="155"/>
      <c r="N983" s="155"/>
      <c r="O983" s="155"/>
      <c r="P983" s="155"/>
      <c r="Q983" s="155">
        <v>1</v>
      </c>
      <c r="R983" s="155" t="s">
        <v>1009</v>
      </c>
      <c r="S983" s="155"/>
      <c r="T983" s="155"/>
      <c r="U983" s="143"/>
      <c r="V983" s="143" t="s">
        <v>1092</v>
      </c>
      <c r="W983" s="143" t="s">
        <v>279</v>
      </c>
      <c r="X983" s="143" t="s">
        <v>227</v>
      </c>
      <c r="Y983" s="143">
        <v>9559667576</v>
      </c>
      <c r="Z983" s="143"/>
      <c r="AA983" s="143" t="s">
        <v>3151</v>
      </c>
      <c r="AB983" s="143" t="s">
        <v>528</v>
      </c>
      <c r="AC983" s="155">
        <v>1</v>
      </c>
      <c r="AD983" s="155"/>
      <c r="AE983" s="155"/>
      <c r="AF983" s="155"/>
      <c r="AG983" s="155"/>
      <c r="AH983" s="143"/>
      <c r="AI983" s="158"/>
    </row>
    <row r="984" spans="1:35">
      <c r="A984" s="140"/>
      <c r="B984" s="143"/>
      <c r="C984" s="143" t="s">
        <v>3230</v>
      </c>
      <c r="D984" s="143" t="s">
        <v>501</v>
      </c>
      <c r="E984" s="143" t="s">
        <v>80</v>
      </c>
      <c r="F984" s="143" t="s">
        <v>3537</v>
      </c>
      <c r="G984" s="143" t="s">
        <v>3538</v>
      </c>
      <c r="H984" s="143"/>
      <c r="I984" s="198"/>
      <c r="J984" s="155">
        <v>1</v>
      </c>
      <c r="K984" s="155"/>
      <c r="L984" s="155"/>
      <c r="M984" s="155"/>
      <c r="N984" s="155"/>
      <c r="O984" s="155"/>
      <c r="P984" s="155"/>
      <c r="Q984" s="155">
        <v>1</v>
      </c>
      <c r="R984" s="155" t="s">
        <v>1009</v>
      </c>
      <c r="S984" s="155"/>
      <c r="T984" s="155"/>
      <c r="U984" s="143"/>
      <c r="V984" s="143" t="s">
        <v>3539</v>
      </c>
      <c r="W984" s="143" t="s">
        <v>280</v>
      </c>
      <c r="X984" s="143" t="s">
        <v>227</v>
      </c>
      <c r="Y984" s="143"/>
      <c r="Z984" s="143"/>
      <c r="AA984" s="143" t="s">
        <v>3151</v>
      </c>
      <c r="AB984" s="143" t="s">
        <v>528</v>
      </c>
      <c r="AC984" s="155">
        <v>1</v>
      </c>
      <c r="AD984" s="155"/>
      <c r="AE984" s="155"/>
      <c r="AF984" s="155"/>
      <c r="AG984" s="155"/>
      <c r="AH984" s="143"/>
      <c r="AI984" s="158"/>
    </row>
    <row r="985" spans="1:35">
      <c r="A985" s="140"/>
      <c r="B985" s="143"/>
      <c r="C985" s="143" t="s">
        <v>3230</v>
      </c>
      <c r="D985" s="143" t="s">
        <v>501</v>
      </c>
      <c r="E985" s="143" t="s">
        <v>80</v>
      </c>
      <c r="F985" s="143" t="s">
        <v>3540</v>
      </c>
      <c r="G985" s="143" t="s">
        <v>3541</v>
      </c>
      <c r="H985" s="143"/>
      <c r="I985" s="198">
        <v>26881</v>
      </c>
      <c r="J985" s="155"/>
      <c r="K985" s="155">
        <v>1</v>
      </c>
      <c r="L985" s="155"/>
      <c r="M985" s="155"/>
      <c r="N985" s="155"/>
      <c r="O985" s="155"/>
      <c r="P985" s="155"/>
      <c r="Q985" s="155">
        <v>1</v>
      </c>
      <c r="R985" s="155" t="s">
        <v>962</v>
      </c>
      <c r="S985" s="155"/>
      <c r="T985" s="155"/>
      <c r="U985" s="143" t="s">
        <v>295</v>
      </c>
      <c r="V985" s="143" t="s">
        <v>503</v>
      </c>
      <c r="W985" s="143" t="s">
        <v>298</v>
      </c>
      <c r="X985" s="143" t="s">
        <v>227</v>
      </c>
      <c r="Y985" s="143">
        <v>9268507677</v>
      </c>
      <c r="Z985" s="143"/>
      <c r="AA985" s="143" t="s">
        <v>3141</v>
      </c>
      <c r="AB985" s="143" t="s">
        <v>528</v>
      </c>
      <c r="AC985" s="155">
        <v>1</v>
      </c>
      <c r="AD985" s="155"/>
      <c r="AE985" s="155"/>
      <c r="AF985" s="155"/>
      <c r="AG985" s="155"/>
      <c r="AH985" s="143"/>
      <c r="AI985" s="158"/>
    </row>
    <row r="986" spans="1:35">
      <c r="A986" s="140"/>
      <c r="B986" s="143"/>
      <c r="C986" s="143" t="s">
        <v>3230</v>
      </c>
      <c r="D986" s="143" t="s">
        <v>501</v>
      </c>
      <c r="E986" s="143" t="s">
        <v>80</v>
      </c>
      <c r="F986" s="143" t="s">
        <v>3540</v>
      </c>
      <c r="G986" s="143" t="s">
        <v>1330</v>
      </c>
      <c r="H986" s="143"/>
      <c r="I986" s="198">
        <v>23759</v>
      </c>
      <c r="J986" s="155">
        <v>1</v>
      </c>
      <c r="K986" s="155"/>
      <c r="L986" s="155"/>
      <c r="M986" s="155"/>
      <c r="N986" s="155"/>
      <c r="O986" s="155"/>
      <c r="P986" s="155"/>
      <c r="Q986" s="155">
        <v>1</v>
      </c>
      <c r="R986" s="155" t="s">
        <v>962</v>
      </c>
      <c r="S986" s="155"/>
      <c r="T986" s="155"/>
      <c r="U986" s="143" t="s">
        <v>295</v>
      </c>
      <c r="V986" s="143" t="s">
        <v>503</v>
      </c>
      <c r="W986" s="143" t="s">
        <v>298</v>
      </c>
      <c r="X986" s="143" t="s">
        <v>227</v>
      </c>
      <c r="Y986" s="143"/>
      <c r="Z986" s="143"/>
      <c r="AA986" s="143" t="s">
        <v>3141</v>
      </c>
      <c r="AB986" s="143" t="s">
        <v>528</v>
      </c>
      <c r="AC986" s="155">
        <v>1</v>
      </c>
      <c r="AD986" s="155"/>
      <c r="AE986" s="155"/>
      <c r="AF986" s="155"/>
      <c r="AG986" s="155"/>
      <c r="AH986" s="143"/>
      <c r="AI986" s="158"/>
    </row>
    <row r="987" spans="1:35">
      <c r="A987" s="140"/>
      <c r="B987" s="143"/>
      <c r="C987" s="143" t="s">
        <v>3230</v>
      </c>
      <c r="D987" s="143" t="s">
        <v>501</v>
      </c>
      <c r="E987" s="143" t="s">
        <v>80</v>
      </c>
      <c r="F987" s="143" t="s">
        <v>3232</v>
      </c>
      <c r="G987" s="143" t="s">
        <v>3542</v>
      </c>
      <c r="H987" s="143"/>
      <c r="I987" s="198">
        <v>23047</v>
      </c>
      <c r="J987" s="155">
        <v>1</v>
      </c>
      <c r="K987" s="155"/>
      <c r="L987" s="155"/>
      <c r="M987" s="155"/>
      <c r="N987" s="155"/>
      <c r="O987" s="155"/>
      <c r="P987" s="155"/>
      <c r="Q987" s="155">
        <v>1</v>
      </c>
      <c r="R987" s="155" t="s">
        <v>962</v>
      </c>
      <c r="S987" s="155"/>
      <c r="T987" s="155"/>
      <c r="U987" s="143" t="s">
        <v>508</v>
      </c>
      <c r="V987" s="143" t="s">
        <v>503</v>
      </c>
      <c r="W987" s="143" t="s">
        <v>298</v>
      </c>
      <c r="X987" s="143" t="s">
        <v>227</v>
      </c>
      <c r="Y987" s="143">
        <v>9668396718</v>
      </c>
      <c r="Z987" s="143"/>
      <c r="AA987" s="143" t="s">
        <v>3141</v>
      </c>
      <c r="AB987" s="143" t="s">
        <v>528</v>
      </c>
      <c r="AC987" s="155">
        <v>1</v>
      </c>
      <c r="AD987" s="155"/>
      <c r="AE987" s="155"/>
      <c r="AF987" s="155"/>
      <c r="AG987" s="155"/>
      <c r="AH987" s="143"/>
      <c r="AI987" s="158"/>
    </row>
    <row r="988" spans="1:35">
      <c r="A988" s="140"/>
      <c r="B988" s="143"/>
      <c r="C988" s="143" t="s">
        <v>3230</v>
      </c>
      <c r="D988" s="143" t="s">
        <v>501</v>
      </c>
      <c r="E988" s="143" t="s">
        <v>80</v>
      </c>
      <c r="F988" s="143" t="s">
        <v>3543</v>
      </c>
      <c r="G988" s="143" t="s">
        <v>2636</v>
      </c>
      <c r="H988" s="143" t="s">
        <v>604</v>
      </c>
      <c r="I988" s="198">
        <v>20775</v>
      </c>
      <c r="J988" s="155">
        <v>1</v>
      </c>
      <c r="K988" s="155"/>
      <c r="L988" s="155"/>
      <c r="M988" s="155"/>
      <c r="N988" s="155"/>
      <c r="O988" s="155"/>
      <c r="P988" s="155"/>
      <c r="Q988" s="155">
        <v>1</v>
      </c>
      <c r="R988" s="155" t="s">
        <v>962</v>
      </c>
      <c r="S988" s="155"/>
      <c r="T988" s="155"/>
      <c r="U988" s="143"/>
      <c r="V988" s="143" t="s">
        <v>949</v>
      </c>
      <c r="W988" s="143" t="s">
        <v>280</v>
      </c>
      <c r="X988" s="143" t="s">
        <v>227</v>
      </c>
      <c r="Y988" s="143">
        <v>9896044138</v>
      </c>
      <c r="Z988" s="143"/>
      <c r="AA988" s="143" t="s">
        <v>3141</v>
      </c>
      <c r="AB988" s="143" t="s">
        <v>528</v>
      </c>
      <c r="AC988" s="155">
        <v>1</v>
      </c>
      <c r="AD988" s="155"/>
      <c r="AE988" s="155"/>
      <c r="AF988" s="155"/>
      <c r="AG988" s="155"/>
      <c r="AH988" s="143"/>
      <c r="AI988" s="158"/>
    </row>
    <row r="989" spans="1:35">
      <c r="A989" s="140"/>
      <c r="B989" s="143"/>
      <c r="C989" s="143" t="s">
        <v>3230</v>
      </c>
      <c r="D989" s="143" t="s">
        <v>501</v>
      </c>
      <c r="E989" s="143" t="s">
        <v>80</v>
      </c>
      <c r="F989" s="143" t="s">
        <v>3544</v>
      </c>
      <c r="G989" s="143" t="s">
        <v>3545</v>
      </c>
      <c r="H989" s="143" t="s">
        <v>115</v>
      </c>
      <c r="I989" s="198">
        <v>34782</v>
      </c>
      <c r="J989" s="155"/>
      <c r="K989" s="155">
        <v>1</v>
      </c>
      <c r="L989" s="155"/>
      <c r="M989" s="155"/>
      <c r="N989" s="155"/>
      <c r="O989" s="155"/>
      <c r="P989" s="155"/>
      <c r="Q989" s="155">
        <v>1</v>
      </c>
      <c r="R989" s="155" t="s">
        <v>1266</v>
      </c>
      <c r="S989" s="155"/>
      <c r="T989" s="155"/>
      <c r="U989" s="143" t="s">
        <v>505</v>
      </c>
      <c r="V989" s="143" t="s">
        <v>503</v>
      </c>
      <c r="W989" s="143" t="s">
        <v>298</v>
      </c>
      <c r="X989" s="143" t="s">
        <v>227</v>
      </c>
      <c r="Y989" s="143">
        <v>9555187445</v>
      </c>
      <c r="Z989" s="143"/>
      <c r="AA989" s="143" t="s">
        <v>3149</v>
      </c>
      <c r="AB989" s="143" t="s">
        <v>528</v>
      </c>
      <c r="AC989" s="155">
        <v>1</v>
      </c>
      <c r="AD989" s="155"/>
      <c r="AE989" s="155"/>
      <c r="AF989" s="155"/>
      <c r="AG989" s="155"/>
      <c r="AH989" s="143"/>
      <c r="AI989" s="158"/>
    </row>
    <row r="990" spans="1:35">
      <c r="A990" s="140"/>
      <c r="B990" s="143"/>
      <c r="C990" s="143" t="s">
        <v>3230</v>
      </c>
      <c r="D990" s="143" t="s">
        <v>501</v>
      </c>
      <c r="E990" s="143" t="s">
        <v>80</v>
      </c>
      <c r="F990" s="143" t="s">
        <v>413</v>
      </c>
      <c r="G990" s="143" t="s">
        <v>414</v>
      </c>
      <c r="H990" s="143"/>
      <c r="I990" s="198"/>
      <c r="J990" s="155"/>
      <c r="K990" s="155">
        <v>1</v>
      </c>
      <c r="L990" s="155">
        <v>1</v>
      </c>
      <c r="M990" s="155"/>
      <c r="N990" s="155"/>
      <c r="O990" s="155"/>
      <c r="P990" s="155"/>
      <c r="Q990" s="155">
        <v>1</v>
      </c>
      <c r="R990" s="155" t="s">
        <v>1348</v>
      </c>
      <c r="S990" s="155"/>
      <c r="T990" s="155"/>
      <c r="U990" s="143" t="s">
        <v>295</v>
      </c>
      <c r="V990" s="143" t="s">
        <v>503</v>
      </c>
      <c r="W990" s="143" t="s">
        <v>298</v>
      </c>
      <c r="X990" s="143" t="s">
        <v>227</v>
      </c>
      <c r="Y990" s="143">
        <v>9357514235</v>
      </c>
      <c r="Z990" s="143"/>
      <c r="AA990" s="143" t="s">
        <v>3141</v>
      </c>
      <c r="AB990" s="143" t="s">
        <v>528</v>
      </c>
      <c r="AC990" s="155">
        <v>1</v>
      </c>
      <c r="AD990" s="155"/>
      <c r="AE990" s="155"/>
      <c r="AF990" s="155"/>
      <c r="AG990" s="155"/>
      <c r="AH990" s="143"/>
      <c r="AI990" s="158"/>
    </row>
    <row r="991" spans="1:35">
      <c r="A991" s="140"/>
      <c r="B991" s="143"/>
      <c r="C991" s="143" t="s">
        <v>3230</v>
      </c>
      <c r="D991" s="143" t="s">
        <v>501</v>
      </c>
      <c r="E991" s="143" t="s">
        <v>80</v>
      </c>
      <c r="F991" s="143" t="s">
        <v>312</v>
      </c>
      <c r="G991" s="143" t="s">
        <v>955</v>
      </c>
      <c r="H991" s="143" t="s">
        <v>286</v>
      </c>
      <c r="I991" s="198">
        <v>23696</v>
      </c>
      <c r="J991" s="155"/>
      <c r="K991" s="155">
        <v>1</v>
      </c>
      <c r="L991" s="155"/>
      <c r="M991" s="155"/>
      <c r="N991" s="155"/>
      <c r="O991" s="155"/>
      <c r="P991" s="155"/>
      <c r="Q991" s="155">
        <v>1</v>
      </c>
      <c r="R991" s="155" t="s">
        <v>962</v>
      </c>
      <c r="S991" s="155"/>
      <c r="T991" s="155"/>
      <c r="U991" s="143" t="s">
        <v>509</v>
      </c>
      <c r="V991" s="143" t="s">
        <v>503</v>
      </c>
      <c r="W991" s="143" t="s">
        <v>298</v>
      </c>
      <c r="X991" s="143" t="s">
        <v>227</v>
      </c>
      <c r="Y991" s="143">
        <v>9061976785</v>
      </c>
      <c r="Z991" s="143"/>
      <c r="AA991" s="143" t="s">
        <v>3141</v>
      </c>
      <c r="AB991" s="143" t="s">
        <v>528</v>
      </c>
      <c r="AC991" s="155">
        <v>1</v>
      </c>
      <c r="AD991" s="155"/>
      <c r="AE991" s="155"/>
      <c r="AF991" s="155"/>
      <c r="AG991" s="155"/>
      <c r="AH991" s="143"/>
      <c r="AI991" s="158"/>
    </row>
    <row r="992" spans="1:35">
      <c r="A992" s="140"/>
      <c r="B992" s="143"/>
      <c r="C992" s="143" t="s">
        <v>3230</v>
      </c>
      <c r="D992" s="143" t="s">
        <v>501</v>
      </c>
      <c r="E992" s="143" t="s">
        <v>80</v>
      </c>
      <c r="F992" s="143" t="s">
        <v>3546</v>
      </c>
      <c r="G992" s="143" t="s">
        <v>121</v>
      </c>
      <c r="H992" s="143"/>
      <c r="I992" s="198">
        <v>34316</v>
      </c>
      <c r="J992" s="155">
        <v>1</v>
      </c>
      <c r="K992" s="155"/>
      <c r="L992" s="155"/>
      <c r="M992" s="155"/>
      <c r="N992" s="155"/>
      <c r="O992" s="155"/>
      <c r="P992" s="155"/>
      <c r="Q992" s="155">
        <v>1</v>
      </c>
      <c r="R992" s="155" t="s">
        <v>1689</v>
      </c>
      <c r="S992" s="155"/>
      <c r="T992" s="155"/>
      <c r="U992" s="143" t="s">
        <v>1862</v>
      </c>
      <c r="V992" s="143" t="s">
        <v>503</v>
      </c>
      <c r="W992" s="143" t="s">
        <v>298</v>
      </c>
      <c r="X992" s="143" t="s">
        <v>227</v>
      </c>
      <c r="Y992" s="143">
        <v>9753157873</v>
      </c>
      <c r="Z992" s="143"/>
      <c r="AA992" s="143" t="s">
        <v>3138</v>
      </c>
      <c r="AB992" s="143" t="s">
        <v>528</v>
      </c>
      <c r="AC992" s="155">
        <v>1</v>
      </c>
      <c r="AD992" s="155"/>
      <c r="AE992" s="155"/>
      <c r="AF992" s="155"/>
      <c r="AG992" s="155"/>
      <c r="AH992" s="143"/>
      <c r="AI992" s="158"/>
    </row>
    <row r="993" spans="1:35">
      <c r="A993" s="140"/>
      <c r="B993" s="143"/>
      <c r="C993" s="143" t="s">
        <v>3230</v>
      </c>
      <c r="D993" s="143" t="s">
        <v>501</v>
      </c>
      <c r="E993" s="143" t="s">
        <v>80</v>
      </c>
      <c r="F993" s="143" t="s">
        <v>3104</v>
      </c>
      <c r="G993" s="143" t="s">
        <v>3105</v>
      </c>
      <c r="H993" s="143" t="s">
        <v>115</v>
      </c>
      <c r="I993" s="198">
        <v>32139</v>
      </c>
      <c r="J993" s="155">
        <v>1</v>
      </c>
      <c r="K993" s="155"/>
      <c r="L993" s="155"/>
      <c r="M993" s="155"/>
      <c r="N993" s="155"/>
      <c r="O993" s="155"/>
      <c r="P993" s="155"/>
      <c r="Q993" s="155">
        <v>1</v>
      </c>
      <c r="R993" s="155" t="s">
        <v>1009</v>
      </c>
      <c r="S993" s="155"/>
      <c r="T993" s="155"/>
      <c r="U993" s="143" t="s">
        <v>509</v>
      </c>
      <c r="V993" s="143" t="s">
        <v>503</v>
      </c>
      <c r="W993" s="143" t="s">
        <v>298</v>
      </c>
      <c r="X993" s="143" t="s">
        <v>227</v>
      </c>
      <c r="Y993" s="143">
        <v>9061976785</v>
      </c>
      <c r="Z993" s="143"/>
      <c r="AA993" s="143" t="s">
        <v>3151</v>
      </c>
      <c r="AB993" s="143" t="s">
        <v>528</v>
      </c>
      <c r="AC993" s="155">
        <v>1</v>
      </c>
      <c r="AD993" s="155"/>
      <c r="AE993" s="155"/>
      <c r="AF993" s="155"/>
      <c r="AG993" s="155"/>
      <c r="AH993" s="143"/>
      <c r="AI993" s="158"/>
    </row>
    <row r="994" spans="1:35">
      <c r="A994" s="140"/>
      <c r="B994" s="143"/>
      <c r="C994" s="143" t="s">
        <v>3230</v>
      </c>
      <c r="D994" s="143" t="s">
        <v>501</v>
      </c>
      <c r="E994" s="143" t="s">
        <v>80</v>
      </c>
      <c r="F994" s="143" t="s">
        <v>1097</v>
      </c>
      <c r="G994" s="143" t="s">
        <v>1098</v>
      </c>
      <c r="H994" s="143" t="s">
        <v>283</v>
      </c>
      <c r="I994" s="199">
        <v>28207</v>
      </c>
      <c r="J994" s="182"/>
      <c r="K994" s="182">
        <v>1</v>
      </c>
      <c r="L994" s="155"/>
      <c r="M994" s="155"/>
      <c r="N994" s="155"/>
      <c r="O994" s="155"/>
      <c r="P994" s="155"/>
      <c r="Q994" s="155">
        <v>1</v>
      </c>
      <c r="R994" s="155" t="s">
        <v>1045</v>
      </c>
      <c r="S994" s="155"/>
      <c r="T994" s="155"/>
      <c r="U994" s="183" t="s">
        <v>508</v>
      </c>
      <c r="V994" s="143" t="s">
        <v>503</v>
      </c>
      <c r="W994" s="143" t="s">
        <v>298</v>
      </c>
      <c r="X994" s="143" t="s">
        <v>227</v>
      </c>
      <c r="Y994" s="184">
        <v>9091946261</v>
      </c>
      <c r="Z994" s="143"/>
      <c r="AA994" s="162" t="s">
        <v>3149</v>
      </c>
      <c r="AB994" s="143" t="s">
        <v>528</v>
      </c>
      <c r="AC994" s="155">
        <v>1</v>
      </c>
      <c r="AD994" s="155"/>
      <c r="AE994" s="155"/>
      <c r="AF994" s="155"/>
      <c r="AG994" s="155"/>
      <c r="AH994" s="143"/>
      <c r="AI994" s="158"/>
    </row>
    <row r="995" spans="1:35">
      <c r="A995" s="140"/>
      <c r="B995" s="143"/>
      <c r="C995" s="143" t="s">
        <v>3230</v>
      </c>
      <c r="D995" s="143" t="s">
        <v>501</v>
      </c>
      <c r="E995" s="143" t="s">
        <v>80</v>
      </c>
      <c r="F995" s="143" t="s">
        <v>3547</v>
      </c>
      <c r="G995" s="143" t="s">
        <v>3548</v>
      </c>
      <c r="H995" s="143"/>
      <c r="I995" s="198">
        <v>35021</v>
      </c>
      <c r="J995" s="155">
        <v>1</v>
      </c>
      <c r="K995" s="155"/>
      <c r="L995" s="155"/>
      <c r="M995" s="155"/>
      <c r="N995" s="155"/>
      <c r="O995" s="155"/>
      <c r="P995" s="155"/>
      <c r="Q995" s="155">
        <v>1</v>
      </c>
      <c r="R995" s="155" t="s">
        <v>1009</v>
      </c>
      <c r="S995" s="155"/>
      <c r="T995" s="155"/>
      <c r="U995" s="143" t="s">
        <v>1862</v>
      </c>
      <c r="V995" s="143" t="s">
        <v>503</v>
      </c>
      <c r="W995" s="143" t="s">
        <v>298</v>
      </c>
      <c r="X995" s="143" t="s">
        <v>227</v>
      </c>
      <c r="Y995" s="143">
        <v>9952373357</v>
      </c>
      <c r="Z995" s="143"/>
      <c r="AA995" s="143" t="s">
        <v>3149</v>
      </c>
      <c r="AB995" s="143" t="s">
        <v>528</v>
      </c>
      <c r="AC995" s="155">
        <v>1</v>
      </c>
      <c r="AD995" s="155"/>
      <c r="AE995" s="155"/>
      <c r="AF995" s="155"/>
      <c r="AG995" s="155"/>
      <c r="AH995" s="143"/>
      <c r="AI995" s="158"/>
    </row>
    <row r="996" spans="1:35">
      <c r="A996" s="140"/>
      <c r="B996" s="143"/>
      <c r="C996" s="143" t="s">
        <v>3230</v>
      </c>
      <c r="D996" s="143" t="s">
        <v>501</v>
      </c>
      <c r="E996" s="143" t="s">
        <v>80</v>
      </c>
      <c r="F996" s="143" t="s">
        <v>413</v>
      </c>
      <c r="G996" s="143" t="s">
        <v>3549</v>
      </c>
      <c r="H996" s="143"/>
      <c r="I996" s="198">
        <v>36771</v>
      </c>
      <c r="J996" s="155">
        <v>1</v>
      </c>
      <c r="K996" s="155"/>
      <c r="L996" s="155"/>
      <c r="M996" s="155"/>
      <c r="N996" s="155"/>
      <c r="O996" s="155"/>
      <c r="P996" s="155"/>
      <c r="Q996" s="155">
        <v>1</v>
      </c>
      <c r="R996" s="155" t="s">
        <v>1348</v>
      </c>
      <c r="S996" s="155"/>
      <c r="T996" s="155"/>
      <c r="U996" s="143" t="s">
        <v>295</v>
      </c>
      <c r="V996" s="143" t="s">
        <v>503</v>
      </c>
      <c r="W996" s="143" t="s">
        <v>298</v>
      </c>
      <c r="X996" s="143" t="s">
        <v>227</v>
      </c>
      <c r="Y996" s="143">
        <v>9357514235</v>
      </c>
      <c r="Z996" s="143"/>
      <c r="AA996" s="143" t="s">
        <v>3141</v>
      </c>
      <c r="AB996" s="143" t="s">
        <v>528</v>
      </c>
      <c r="AC996" s="155">
        <v>1</v>
      </c>
      <c r="AD996" s="155"/>
      <c r="AE996" s="155"/>
      <c r="AF996" s="155"/>
      <c r="AG996" s="155"/>
      <c r="AH996" s="143"/>
      <c r="AI996" s="158"/>
    </row>
    <row r="997" spans="1:35">
      <c r="A997" s="140"/>
      <c r="B997" s="143"/>
      <c r="C997" s="143" t="s">
        <v>3230</v>
      </c>
      <c r="D997" s="143" t="s">
        <v>501</v>
      </c>
      <c r="E997" s="143" t="s">
        <v>80</v>
      </c>
      <c r="F997" s="143" t="s">
        <v>3550</v>
      </c>
      <c r="G997" s="143" t="s">
        <v>3551</v>
      </c>
      <c r="H997" s="143"/>
      <c r="I997" s="198">
        <v>29313</v>
      </c>
      <c r="J997" s="155">
        <v>1</v>
      </c>
      <c r="K997" s="155"/>
      <c r="L997" s="155"/>
      <c r="M997" s="155"/>
      <c r="N997" s="155"/>
      <c r="O997" s="155"/>
      <c r="P997" s="155"/>
      <c r="Q997" s="155">
        <v>1</v>
      </c>
      <c r="R997" s="155" t="s">
        <v>962</v>
      </c>
      <c r="S997" s="155"/>
      <c r="T997" s="155"/>
      <c r="U997" s="143" t="s">
        <v>295</v>
      </c>
      <c r="V997" s="143" t="s">
        <v>503</v>
      </c>
      <c r="W997" s="143" t="s">
        <v>298</v>
      </c>
      <c r="X997" s="143" t="s">
        <v>227</v>
      </c>
      <c r="Y997" s="143">
        <v>9084941198</v>
      </c>
      <c r="Z997" s="143"/>
      <c r="AA997" s="143" t="s">
        <v>3141</v>
      </c>
      <c r="AB997" s="143" t="s">
        <v>528</v>
      </c>
      <c r="AC997" s="155">
        <v>1</v>
      </c>
      <c r="AD997" s="155"/>
      <c r="AE997" s="155"/>
      <c r="AF997" s="155"/>
      <c r="AG997" s="155"/>
      <c r="AH997" s="143"/>
      <c r="AI997" s="158"/>
    </row>
    <row r="998" spans="1:35">
      <c r="A998" s="140"/>
      <c r="B998" s="143"/>
      <c r="C998" s="143" t="s">
        <v>3230</v>
      </c>
      <c r="D998" s="143" t="s">
        <v>501</v>
      </c>
      <c r="E998" s="143" t="s">
        <v>80</v>
      </c>
      <c r="F998" s="143" t="s">
        <v>1636</v>
      </c>
      <c r="G998" s="143" t="s">
        <v>3129</v>
      </c>
      <c r="H998" s="143"/>
      <c r="I998" s="198">
        <v>37120</v>
      </c>
      <c r="J998" s="155">
        <v>1</v>
      </c>
      <c r="K998" s="155"/>
      <c r="L998" s="155">
        <v>1</v>
      </c>
      <c r="M998" s="155"/>
      <c r="N998" s="155"/>
      <c r="O998" s="155"/>
      <c r="P998" s="155"/>
      <c r="Q998" s="155"/>
      <c r="R998" s="155"/>
      <c r="S998" s="155"/>
      <c r="T998" s="155"/>
      <c r="U998" s="143"/>
      <c r="V998" s="143" t="s">
        <v>949</v>
      </c>
      <c r="W998" s="143" t="s">
        <v>280</v>
      </c>
      <c r="X998" s="143" t="s">
        <v>227</v>
      </c>
      <c r="Y998" s="143">
        <v>9973629127</v>
      </c>
      <c r="Z998" s="143"/>
      <c r="AA998" s="143" t="s">
        <v>3141</v>
      </c>
      <c r="AB998" s="143" t="s">
        <v>528</v>
      </c>
      <c r="AC998" s="155">
        <v>1</v>
      </c>
      <c r="AD998" s="155"/>
      <c r="AE998" s="155"/>
      <c r="AF998" s="155"/>
      <c r="AG998" s="155"/>
      <c r="AH998" s="143"/>
      <c r="AI998" s="158"/>
    </row>
    <row r="999" spans="1:35">
      <c r="A999" s="140"/>
      <c r="B999" s="143"/>
      <c r="C999" s="143" t="s">
        <v>3230</v>
      </c>
      <c r="D999" s="143" t="s">
        <v>501</v>
      </c>
      <c r="E999" s="143" t="s">
        <v>80</v>
      </c>
      <c r="F999" s="143" t="s">
        <v>3552</v>
      </c>
      <c r="G999" s="143" t="s">
        <v>3553</v>
      </c>
      <c r="H999" s="143" t="s">
        <v>126</v>
      </c>
      <c r="I999" s="198">
        <v>31350</v>
      </c>
      <c r="J999" s="155"/>
      <c r="K999" s="155">
        <v>1</v>
      </c>
      <c r="L999" s="155"/>
      <c r="M999" s="155"/>
      <c r="N999" s="155"/>
      <c r="O999" s="155"/>
      <c r="P999" s="155"/>
      <c r="Q999" s="155">
        <v>1</v>
      </c>
      <c r="R999" s="155" t="s">
        <v>3060</v>
      </c>
      <c r="S999" s="155"/>
      <c r="T999" s="155"/>
      <c r="U999" s="143"/>
      <c r="V999" s="143" t="s">
        <v>3554</v>
      </c>
      <c r="W999" s="143"/>
      <c r="X999" s="143" t="s">
        <v>3556</v>
      </c>
      <c r="Y999" s="143">
        <v>9664883936</v>
      </c>
      <c r="Z999" s="143"/>
      <c r="AA999" s="143" t="s">
        <v>3149</v>
      </c>
      <c r="AB999" s="143" t="s">
        <v>528</v>
      </c>
      <c r="AC999" s="155">
        <v>1</v>
      </c>
      <c r="AD999" s="155"/>
      <c r="AE999" s="155"/>
      <c r="AF999" s="155"/>
      <c r="AG999" s="155"/>
      <c r="AH999" s="143"/>
      <c r="AI999" s="158"/>
    </row>
    <row r="1000" spans="1:35">
      <c r="A1000" s="140"/>
      <c r="B1000" s="143"/>
      <c r="C1000" s="143" t="s">
        <v>3230</v>
      </c>
      <c r="D1000" s="143" t="s">
        <v>501</v>
      </c>
      <c r="E1000" s="143" t="s">
        <v>80</v>
      </c>
      <c r="F1000" s="143" t="s">
        <v>3555</v>
      </c>
      <c r="G1000" s="143" t="s">
        <v>1655</v>
      </c>
      <c r="H1000" s="143" t="s">
        <v>126</v>
      </c>
      <c r="I1000" s="198">
        <v>34245</v>
      </c>
      <c r="J1000" s="155">
        <v>1</v>
      </c>
      <c r="K1000" s="155"/>
      <c r="L1000" s="155"/>
      <c r="M1000" s="155"/>
      <c r="N1000" s="155"/>
      <c r="O1000" s="155"/>
      <c r="P1000" s="155"/>
      <c r="Q1000" s="155">
        <v>1</v>
      </c>
      <c r="R1000" s="155" t="s">
        <v>3060</v>
      </c>
      <c r="S1000" s="155"/>
      <c r="T1000" s="155"/>
      <c r="U1000" s="143"/>
      <c r="V1000" s="143" t="s">
        <v>3554</v>
      </c>
      <c r="W1000" s="143"/>
      <c r="X1000" s="143" t="s">
        <v>3556</v>
      </c>
      <c r="Y1000" s="143">
        <v>9974564398</v>
      </c>
      <c r="Z1000" s="143"/>
      <c r="AA1000" s="143" t="s">
        <v>3149</v>
      </c>
      <c r="AB1000" s="143" t="s">
        <v>528</v>
      </c>
      <c r="AC1000" s="155">
        <v>1</v>
      </c>
      <c r="AD1000" s="155"/>
      <c r="AE1000" s="155"/>
      <c r="AF1000" s="155"/>
      <c r="AG1000" s="155"/>
      <c r="AH1000" s="143"/>
      <c r="AI1000" s="158"/>
    </row>
    <row r="1001" spans="1:35">
      <c r="A1001" s="256"/>
      <c r="B1001" s="257"/>
      <c r="C1001" s="143" t="s">
        <v>3230</v>
      </c>
      <c r="D1001" s="143" t="s">
        <v>501</v>
      </c>
      <c r="E1001" s="143" t="s">
        <v>80</v>
      </c>
      <c r="F1001" s="257" t="s">
        <v>3557</v>
      </c>
      <c r="G1001" s="257" t="s">
        <v>3558</v>
      </c>
      <c r="H1001" s="257"/>
      <c r="I1001" s="258">
        <v>34897</v>
      </c>
      <c r="J1001" s="259">
        <v>1</v>
      </c>
      <c r="K1001" s="259"/>
      <c r="L1001" s="259"/>
      <c r="M1001" s="259"/>
      <c r="N1001" s="259"/>
      <c r="O1001" s="259"/>
      <c r="P1001" s="259"/>
      <c r="Q1001" s="259">
        <v>1</v>
      </c>
      <c r="R1001" s="259" t="s">
        <v>3559</v>
      </c>
      <c r="S1001" s="259"/>
      <c r="T1001" s="259"/>
      <c r="U1001" s="257"/>
      <c r="V1001" s="257" t="s">
        <v>1127</v>
      </c>
      <c r="W1001" s="257"/>
      <c r="X1001" s="257"/>
      <c r="Y1001" s="257">
        <v>9266541080</v>
      </c>
      <c r="Z1001" s="257"/>
      <c r="AA1001" s="257" t="s">
        <v>3149</v>
      </c>
      <c r="AB1001" s="257" t="s">
        <v>528</v>
      </c>
      <c r="AC1001" s="259">
        <v>1</v>
      </c>
      <c r="AD1001" s="259"/>
      <c r="AE1001" s="259"/>
      <c r="AF1001" s="259"/>
      <c r="AG1001" s="259"/>
      <c r="AH1001" s="257"/>
      <c r="AI1001" s="260"/>
    </row>
    <row r="1002" spans="1:35">
      <c r="A1002" s="256"/>
      <c r="B1002" s="257"/>
      <c r="C1002" s="143" t="s">
        <v>3230</v>
      </c>
      <c r="D1002" s="143" t="s">
        <v>501</v>
      </c>
      <c r="E1002" s="143" t="s">
        <v>80</v>
      </c>
      <c r="F1002" s="257" t="s">
        <v>852</v>
      </c>
      <c r="G1002" s="257" t="s">
        <v>1574</v>
      </c>
      <c r="H1002" s="257"/>
      <c r="I1002" s="258">
        <v>31825</v>
      </c>
      <c r="J1002" s="259"/>
      <c r="K1002" s="259">
        <v>1</v>
      </c>
      <c r="L1002" s="259"/>
      <c r="M1002" s="259"/>
      <c r="N1002" s="259"/>
      <c r="O1002" s="259"/>
      <c r="P1002" s="259"/>
      <c r="Q1002" s="259">
        <v>1</v>
      </c>
      <c r="R1002" s="259" t="s">
        <v>3559</v>
      </c>
      <c r="S1002" s="259"/>
      <c r="T1002" s="259"/>
      <c r="U1002" s="257"/>
      <c r="V1002" s="257" t="s">
        <v>1127</v>
      </c>
      <c r="W1002" s="257"/>
      <c r="X1002" s="257"/>
      <c r="Y1002" s="257">
        <v>9082160635</v>
      </c>
      <c r="Z1002" s="257"/>
      <c r="AA1002" s="257" t="s">
        <v>3149</v>
      </c>
      <c r="AB1002" s="257" t="s">
        <v>528</v>
      </c>
      <c r="AC1002" s="259">
        <v>1</v>
      </c>
      <c r="AD1002" s="259"/>
      <c r="AE1002" s="259"/>
      <c r="AF1002" s="259"/>
      <c r="AG1002" s="259"/>
      <c r="AH1002" s="257"/>
      <c r="AI1002" s="260"/>
    </row>
    <row r="1003" spans="1:35">
      <c r="A1003" s="256"/>
      <c r="B1003" s="257"/>
      <c r="C1003" s="143" t="s">
        <v>3230</v>
      </c>
      <c r="D1003" s="143" t="s">
        <v>501</v>
      </c>
      <c r="E1003" s="143" t="s">
        <v>80</v>
      </c>
      <c r="F1003" s="257" t="s">
        <v>3560</v>
      </c>
      <c r="G1003" s="257" t="s">
        <v>3561</v>
      </c>
      <c r="H1003" s="257"/>
      <c r="I1003" s="258"/>
      <c r="J1003" s="259"/>
      <c r="K1003" s="259">
        <v>1</v>
      </c>
      <c r="L1003" s="259"/>
      <c r="M1003" s="259"/>
      <c r="N1003" s="259"/>
      <c r="O1003" s="259"/>
      <c r="P1003" s="259"/>
      <c r="Q1003" s="259">
        <v>1</v>
      </c>
      <c r="R1003" s="259" t="s">
        <v>1266</v>
      </c>
      <c r="S1003" s="259"/>
      <c r="T1003" s="259"/>
      <c r="U1003" s="257" t="s">
        <v>870</v>
      </c>
      <c r="V1003" s="257" t="s">
        <v>503</v>
      </c>
      <c r="W1003" s="257" t="s">
        <v>298</v>
      </c>
      <c r="X1003" s="257" t="s">
        <v>227</v>
      </c>
      <c r="Y1003" s="257">
        <v>9388554506</v>
      </c>
      <c r="Z1003" s="257"/>
      <c r="AA1003" s="257" t="s">
        <v>3149</v>
      </c>
      <c r="AB1003" s="257" t="s">
        <v>528</v>
      </c>
      <c r="AC1003" s="259">
        <v>1</v>
      </c>
      <c r="AD1003" s="259"/>
      <c r="AE1003" s="259"/>
      <c r="AF1003" s="259"/>
      <c r="AG1003" s="259"/>
      <c r="AH1003" s="257"/>
      <c r="AI1003" s="260"/>
    </row>
    <row r="1004" spans="1:35">
      <c r="A1004" s="256"/>
      <c r="B1004" s="257"/>
      <c r="C1004" s="143" t="s">
        <v>3230</v>
      </c>
      <c r="D1004" s="143" t="s">
        <v>501</v>
      </c>
      <c r="E1004" s="143" t="s">
        <v>80</v>
      </c>
      <c r="F1004" s="257" t="s">
        <v>2925</v>
      </c>
      <c r="G1004" s="257" t="s">
        <v>3522</v>
      </c>
      <c r="H1004" s="257"/>
      <c r="I1004" s="258">
        <v>21839</v>
      </c>
      <c r="J1004" s="259"/>
      <c r="K1004" s="259">
        <v>1</v>
      </c>
      <c r="L1004" s="259"/>
      <c r="M1004" s="259"/>
      <c r="N1004" s="259"/>
      <c r="O1004" s="259"/>
      <c r="P1004" s="259"/>
      <c r="Q1004" s="259">
        <v>1</v>
      </c>
      <c r="R1004" s="259" t="s">
        <v>1045</v>
      </c>
      <c r="S1004" s="259"/>
      <c r="T1004" s="259"/>
      <c r="U1004" s="257" t="s">
        <v>3562</v>
      </c>
      <c r="V1004" s="257" t="s">
        <v>503</v>
      </c>
      <c r="W1004" s="257" t="s">
        <v>298</v>
      </c>
      <c r="X1004" s="257" t="s">
        <v>227</v>
      </c>
      <c r="Y1004" s="257">
        <v>9061463895</v>
      </c>
      <c r="Z1004" s="257"/>
      <c r="AA1004" s="257" t="s">
        <v>3149</v>
      </c>
      <c r="AB1004" s="257" t="s">
        <v>528</v>
      </c>
      <c r="AC1004" s="259">
        <v>1</v>
      </c>
      <c r="AD1004" s="259"/>
      <c r="AE1004" s="259"/>
      <c r="AF1004" s="259"/>
      <c r="AG1004" s="259"/>
      <c r="AH1004" s="257"/>
      <c r="AI1004" s="260"/>
    </row>
    <row r="1005" spans="1:35">
      <c r="A1005" s="256"/>
      <c r="B1005" s="257"/>
      <c r="C1005" s="143" t="s">
        <v>3230</v>
      </c>
      <c r="D1005" s="143" t="s">
        <v>501</v>
      </c>
      <c r="E1005" s="143" t="s">
        <v>80</v>
      </c>
      <c r="F1005" s="257" t="s">
        <v>466</v>
      </c>
      <c r="G1005" s="257" t="s">
        <v>1672</v>
      </c>
      <c r="H1005" s="257" t="s">
        <v>160</v>
      </c>
      <c r="I1005" s="258">
        <v>28848</v>
      </c>
      <c r="J1005" s="259">
        <v>1</v>
      </c>
      <c r="K1005" s="259"/>
      <c r="L1005" s="259"/>
      <c r="M1005" s="259"/>
      <c r="N1005" s="259"/>
      <c r="O1005" s="259"/>
      <c r="P1005" s="259"/>
      <c r="Q1005" s="259">
        <v>1</v>
      </c>
      <c r="R1005" s="259" t="s">
        <v>1899</v>
      </c>
      <c r="S1005" s="259"/>
      <c r="T1005" s="259"/>
      <c r="U1005" s="257" t="s">
        <v>1862</v>
      </c>
      <c r="V1005" s="257" t="s">
        <v>503</v>
      </c>
      <c r="W1005" s="257" t="s">
        <v>298</v>
      </c>
      <c r="X1005" s="257" t="s">
        <v>227</v>
      </c>
      <c r="Y1005" s="257">
        <v>9268468267</v>
      </c>
      <c r="Z1005" s="257"/>
      <c r="AA1005" s="257" t="s">
        <v>3149</v>
      </c>
      <c r="AB1005" s="257" t="s">
        <v>528</v>
      </c>
      <c r="AC1005" s="259">
        <v>1</v>
      </c>
      <c r="AD1005" s="259"/>
      <c r="AE1005" s="259"/>
      <c r="AF1005" s="259"/>
      <c r="AG1005" s="259"/>
      <c r="AH1005" s="257"/>
      <c r="AI1005" s="260"/>
    </row>
    <row r="1006" spans="1:35">
      <c r="A1006" s="256"/>
      <c r="B1006" s="257"/>
      <c r="C1006" s="143" t="s">
        <v>3230</v>
      </c>
      <c r="D1006" s="143" t="s">
        <v>501</v>
      </c>
      <c r="E1006" s="143" t="s">
        <v>80</v>
      </c>
      <c r="F1006" s="257" t="s">
        <v>3563</v>
      </c>
      <c r="G1006" s="257" t="s">
        <v>3564</v>
      </c>
      <c r="H1006" s="257" t="s">
        <v>136</v>
      </c>
      <c r="I1006" s="258">
        <v>35563</v>
      </c>
      <c r="J1006" s="259">
        <v>1</v>
      </c>
      <c r="K1006" s="259"/>
      <c r="L1006" s="259"/>
      <c r="M1006" s="259"/>
      <c r="N1006" s="259"/>
      <c r="O1006" s="259"/>
      <c r="P1006" s="259"/>
      <c r="Q1006" s="259">
        <v>1</v>
      </c>
      <c r="R1006" s="259" t="s">
        <v>1045</v>
      </c>
      <c r="S1006" s="259"/>
      <c r="T1006" s="259"/>
      <c r="U1006" s="257" t="s">
        <v>506</v>
      </c>
      <c r="V1006" s="257" t="s">
        <v>503</v>
      </c>
      <c r="W1006" s="257" t="s">
        <v>298</v>
      </c>
      <c r="X1006" s="257" t="s">
        <v>227</v>
      </c>
      <c r="Y1006" s="257">
        <v>9467425516</v>
      </c>
      <c r="Z1006" s="257"/>
      <c r="AA1006" s="257" t="s">
        <v>3149</v>
      </c>
      <c r="AB1006" s="257" t="s">
        <v>528</v>
      </c>
      <c r="AC1006" s="259">
        <v>1</v>
      </c>
      <c r="AD1006" s="259"/>
      <c r="AE1006" s="259"/>
      <c r="AF1006" s="259"/>
      <c r="AG1006" s="259"/>
      <c r="AH1006" s="257"/>
      <c r="AI1006" s="260"/>
    </row>
    <row r="1007" spans="1:35">
      <c r="A1007" s="256"/>
      <c r="B1007" s="257"/>
      <c r="C1007" s="143" t="s">
        <v>3230</v>
      </c>
      <c r="D1007" s="143" t="s">
        <v>501</v>
      </c>
      <c r="E1007" s="143" t="s">
        <v>80</v>
      </c>
      <c r="F1007" s="257" t="s">
        <v>3565</v>
      </c>
      <c r="G1007" s="257" t="s">
        <v>1226</v>
      </c>
      <c r="H1007" s="257" t="s">
        <v>144</v>
      </c>
      <c r="I1007" s="258">
        <v>31072</v>
      </c>
      <c r="J1007" s="259"/>
      <c r="K1007" s="259">
        <v>1</v>
      </c>
      <c r="L1007" s="259"/>
      <c r="M1007" s="259"/>
      <c r="N1007" s="259"/>
      <c r="O1007" s="259"/>
      <c r="P1007" s="259"/>
      <c r="Q1007" s="259">
        <v>1</v>
      </c>
      <c r="R1007" s="259" t="s">
        <v>2120</v>
      </c>
      <c r="S1007" s="259"/>
      <c r="T1007" s="259"/>
      <c r="U1007" s="257"/>
      <c r="V1007" s="257" t="s">
        <v>1429</v>
      </c>
      <c r="W1007" s="257"/>
      <c r="X1007" s="257" t="s">
        <v>2122</v>
      </c>
      <c r="Y1007" s="257"/>
      <c r="Z1007" s="257"/>
      <c r="AA1007" s="257" t="s">
        <v>3566</v>
      </c>
      <c r="AB1007" s="257" t="s">
        <v>528</v>
      </c>
      <c r="AC1007" s="259">
        <v>1</v>
      </c>
      <c r="AD1007" s="259"/>
      <c r="AE1007" s="259"/>
      <c r="AF1007" s="259"/>
      <c r="AG1007" s="259"/>
      <c r="AH1007" s="257"/>
      <c r="AI1007" s="260"/>
    </row>
    <row r="1008" spans="1:35">
      <c r="A1008" s="256"/>
      <c r="B1008" s="257"/>
      <c r="C1008" s="143" t="s">
        <v>3230</v>
      </c>
      <c r="D1008" s="143" t="s">
        <v>501</v>
      </c>
      <c r="E1008" s="143" t="s">
        <v>80</v>
      </c>
      <c r="F1008" s="257" t="s">
        <v>600</v>
      </c>
      <c r="G1008" s="257" t="s">
        <v>3567</v>
      </c>
      <c r="H1008" s="257" t="s">
        <v>115</v>
      </c>
      <c r="I1008" s="258">
        <v>28133</v>
      </c>
      <c r="J1008" s="259"/>
      <c r="K1008" s="259">
        <v>1</v>
      </c>
      <c r="L1008" s="259"/>
      <c r="M1008" s="259"/>
      <c r="N1008" s="259"/>
      <c r="O1008" s="259"/>
      <c r="P1008" s="259"/>
      <c r="Q1008" s="259">
        <v>1</v>
      </c>
      <c r="R1008" s="259" t="s">
        <v>2120</v>
      </c>
      <c r="S1008" s="259"/>
      <c r="T1008" s="259"/>
      <c r="U1008" s="257"/>
      <c r="V1008" s="257" t="s">
        <v>3568</v>
      </c>
      <c r="W1008" s="257"/>
      <c r="X1008" s="257" t="s">
        <v>3568</v>
      </c>
      <c r="Y1008" s="257"/>
      <c r="Z1008" s="257"/>
      <c r="AA1008" s="257" t="s">
        <v>3566</v>
      </c>
      <c r="AB1008" s="257" t="s">
        <v>528</v>
      </c>
      <c r="AC1008" s="259">
        <v>1</v>
      </c>
      <c r="AD1008" s="259"/>
      <c r="AE1008" s="259"/>
      <c r="AF1008" s="259"/>
      <c r="AG1008" s="259"/>
      <c r="AH1008" s="257"/>
      <c r="AI1008" s="260"/>
    </row>
    <row r="1009" spans="1:35">
      <c r="A1009" s="256"/>
      <c r="B1009" s="257"/>
      <c r="C1009" s="143" t="s">
        <v>3230</v>
      </c>
      <c r="D1009" s="143" t="s">
        <v>501</v>
      </c>
      <c r="E1009" s="143" t="s">
        <v>80</v>
      </c>
      <c r="F1009" s="257" t="s">
        <v>974</v>
      </c>
      <c r="G1009" s="257" t="s">
        <v>3569</v>
      </c>
      <c r="H1009" s="257" t="s">
        <v>115</v>
      </c>
      <c r="I1009" s="258">
        <v>32842</v>
      </c>
      <c r="J1009" s="259">
        <v>1</v>
      </c>
      <c r="K1009" s="259"/>
      <c r="L1009" s="259"/>
      <c r="M1009" s="259"/>
      <c r="N1009" s="259"/>
      <c r="O1009" s="259"/>
      <c r="P1009" s="259"/>
      <c r="Q1009" s="259">
        <v>1</v>
      </c>
      <c r="R1009" s="259" t="s">
        <v>2120</v>
      </c>
      <c r="S1009" s="259"/>
      <c r="T1009" s="259"/>
      <c r="U1009" s="257"/>
      <c r="V1009" s="257" t="s">
        <v>1429</v>
      </c>
      <c r="W1009" s="257"/>
      <c r="X1009" s="257" t="s">
        <v>2122</v>
      </c>
      <c r="Y1009" s="257"/>
      <c r="Z1009" s="257"/>
      <c r="AA1009" s="257" t="s">
        <v>3566</v>
      </c>
      <c r="AB1009" s="257" t="s">
        <v>528</v>
      </c>
      <c r="AC1009" s="259">
        <v>1</v>
      </c>
      <c r="AD1009" s="259"/>
      <c r="AE1009" s="259"/>
      <c r="AF1009" s="259"/>
      <c r="AG1009" s="259"/>
      <c r="AH1009" s="257"/>
      <c r="AI1009" s="260"/>
    </row>
    <row r="1010" spans="1:35">
      <c r="A1010" s="140"/>
      <c r="B1010" s="143"/>
      <c r="C1010" s="143" t="s">
        <v>3230</v>
      </c>
      <c r="D1010" s="143" t="s">
        <v>501</v>
      </c>
      <c r="E1010" s="143" t="s">
        <v>80</v>
      </c>
      <c r="F1010" s="143" t="s">
        <v>1833</v>
      </c>
      <c r="G1010" s="143" t="s">
        <v>1832</v>
      </c>
      <c r="H1010" s="143" t="s">
        <v>286</v>
      </c>
      <c r="I1010" s="198" t="s">
        <v>1907</v>
      </c>
      <c r="J1010" s="155"/>
      <c r="K1010" s="155">
        <v>1</v>
      </c>
      <c r="L1010" s="155">
        <v>1</v>
      </c>
      <c r="M1010" s="155"/>
      <c r="N1010" s="155"/>
      <c r="O1010" s="155"/>
      <c r="P1010" s="155"/>
      <c r="Q1010" s="155">
        <v>1</v>
      </c>
      <c r="R1010" s="155" t="s">
        <v>1348</v>
      </c>
      <c r="S1010" s="155"/>
      <c r="T1010" s="155"/>
      <c r="U1010" s="143" t="s">
        <v>859</v>
      </c>
      <c r="V1010" s="143" t="s">
        <v>503</v>
      </c>
      <c r="W1010" s="143" t="s">
        <v>298</v>
      </c>
      <c r="X1010" s="143" t="s">
        <v>227</v>
      </c>
      <c r="Y1010" s="143">
        <v>9659537816</v>
      </c>
      <c r="Z1010" s="143"/>
      <c r="AA1010" s="143" t="s">
        <v>525</v>
      </c>
      <c r="AB1010" s="143" t="s">
        <v>528</v>
      </c>
      <c r="AC1010" s="155">
        <v>1</v>
      </c>
      <c r="AD1010" s="155" t="s">
        <v>93</v>
      </c>
      <c r="AE1010" s="155"/>
      <c r="AF1010" s="155"/>
      <c r="AG1010" s="155"/>
      <c r="AH1010" s="143"/>
      <c r="AI1010" s="158"/>
    </row>
    <row r="1011" spans="1:35">
      <c r="A1011" s="256"/>
      <c r="B1011" s="257"/>
      <c r="C1011" s="143" t="s">
        <v>3230</v>
      </c>
      <c r="D1011" s="143" t="s">
        <v>501</v>
      </c>
      <c r="E1011" s="143" t="s">
        <v>80</v>
      </c>
      <c r="F1011" s="257" t="s">
        <v>1874</v>
      </c>
      <c r="G1011" s="257" t="s">
        <v>3221</v>
      </c>
      <c r="H1011" s="257"/>
      <c r="I1011" s="258">
        <v>35152</v>
      </c>
      <c r="J1011" s="259"/>
      <c r="K1011" s="259">
        <v>1</v>
      </c>
      <c r="L1011" s="259"/>
      <c r="M1011" s="259"/>
      <c r="N1011" s="259"/>
      <c r="O1011" s="259"/>
      <c r="P1011" s="259"/>
      <c r="Q1011" s="259">
        <v>1</v>
      </c>
      <c r="R1011" s="259" t="s">
        <v>1009</v>
      </c>
      <c r="S1011" s="259"/>
      <c r="T1011" s="259"/>
      <c r="U1011" s="257"/>
      <c r="V1011" s="257" t="s">
        <v>223</v>
      </c>
      <c r="W1011" s="257" t="s">
        <v>279</v>
      </c>
      <c r="X1011" s="257" t="s">
        <v>227</v>
      </c>
      <c r="Y1011" s="257">
        <v>9386335779</v>
      </c>
      <c r="Z1011" s="257"/>
      <c r="AA1011" s="257" t="s">
        <v>3151</v>
      </c>
      <c r="AB1011" s="257" t="s">
        <v>528</v>
      </c>
      <c r="AC1011" s="259">
        <v>1</v>
      </c>
      <c r="AD1011" s="259"/>
      <c r="AE1011" s="259"/>
      <c r="AF1011" s="259"/>
      <c r="AG1011" s="259"/>
      <c r="AH1011" s="257"/>
      <c r="AI1011" s="260"/>
    </row>
    <row r="1012" spans="1:35">
      <c r="A1012" s="268"/>
      <c r="B1012" s="269"/>
      <c r="C1012" s="143" t="s">
        <v>3230</v>
      </c>
      <c r="D1012" s="143" t="s">
        <v>501</v>
      </c>
      <c r="E1012" s="143" t="s">
        <v>80</v>
      </c>
      <c r="F1012" s="269" t="s">
        <v>4064</v>
      </c>
      <c r="G1012" s="269" t="s">
        <v>4065</v>
      </c>
      <c r="H1012" s="269" t="s">
        <v>126</v>
      </c>
      <c r="I1012" s="270">
        <v>25867</v>
      </c>
      <c r="J1012" s="271">
        <v>1</v>
      </c>
      <c r="K1012" s="271"/>
      <c r="L1012" s="271"/>
      <c r="M1012" s="271"/>
      <c r="N1012" s="271"/>
      <c r="O1012" s="271"/>
      <c r="P1012" s="271"/>
      <c r="Q1012" s="271">
        <v>1</v>
      </c>
      <c r="R1012" s="271" t="s">
        <v>1009</v>
      </c>
      <c r="S1012" s="271"/>
      <c r="T1012" s="271"/>
      <c r="U1012" s="269"/>
      <c r="V1012" s="269" t="s">
        <v>519</v>
      </c>
      <c r="W1012" s="269" t="s">
        <v>280</v>
      </c>
      <c r="X1012" s="269" t="s">
        <v>227</v>
      </c>
      <c r="Y1012" s="269"/>
      <c r="Z1012" s="269"/>
      <c r="AA1012" s="269" t="s">
        <v>3151</v>
      </c>
      <c r="AB1012" s="269" t="s">
        <v>528</v>
      </c>
      <c r="AC1012" s="271">
        <v>1</v>
      </c>
      <c r="AD1012" s="271"/>
      <c r="AE1012" s="271"/>
      <c r="AF1012" s="271"/>
      <c r="AG1012" s="271"/>
      <c r="AH1012" s="269"/>
      <c r="AI1012" s="272"/>
    </row>
    <row r="1013" spans="1:35">
      <c r="A1013" s="268"/>
      <c r="B1013" s="269"/>
      <c r="C1013" s="143" t="s">
        <v>3230</v>
      </c>
      <c r="D1013" s="143" t="s">
        <v>501</v>
      </c>
      <c r="E1013" s="143" t="s">
        <v>80</v>
      </c>
      <c r="F1013" s="269" t="s">
        <v>3550</v>
      </c>
      <c r="G1013" s="269" t="s">
        <v>3551</v>
      </c>
      <c r="H1013" s="269"/>
      <c r="I1013" s="270">
        <v>29313</v>
      </c>
      <c r="J1013" s="271">
        <v>1</v>
      </c>
      <c r="K1013" s="271"/>
      <c r="L1013" s="271">
        <v>1</v>
      </c>
      <c r="M1013" s="271"/>
      <c r="N1013" s="271"/>
      <c r="O1013" s="271"/>
      <c r="P1013" s="271"/>
      <c r="Q1013" s="271"/>
      <c r="R1013" s="271"/>
      <c r="S1013" s="271"/>
      <c r="T1013" s="271"/>
      <c r="U1013" s="269"/>
      <c r="V1013" s="269" t="s">
        <v>503</v>
      </c>
      <c r="W1013" s="269" t="s">
        <v>298</v>
      </c>
      <c r="X1013" s="269" t="s">
        <v>227</v>
      </c>
      <c r="Y1013" s="269">
        <v>9084941198</v>
      </c>
      <c r="Z1013" s="269"/>
      <c r="AA1013" s="269" t="s">
        <v>3149</v>
      </c>
      <c r="AB1013" s="269" t="s">
        <v>528</v>
      </c>
      <c r="AC1013" s="271">
        <v>1</v>
      </c>
      <c r="AD1013" s="271"/>
      <c r="AE1013" s="271"/>
      <c r="AF1013" s="271"/>
      <c r="AG1013" s="271"/>
      <c r="AH1013" s="269"/>
      <c r="AI1013" s="272"/>
    </row>
    <row r="1014" spans="1:35">
      <c r="A1014" s="268"/>
      <c r="B1014" s="269"/>
      <c r="C1014" s="143" t="s">
        <v>3230</v>
      </c>
      <c r="D1014" s="143" t="s">
        <v>501</v>
      </c>
      <c r="E1014" s="143" t="s">
        <v>80</v>
      </c>
      <c r="F1014" s="269" t="s">
        <v>4067</v>
      </c>
      <c r="G1014" s="269"/>
      <c r="H1014" s="269"/>
      <c r="I1014" s="270">
        <v>28288</v>
      </c>
      <c r="J1014" s="271">
        <v>1</v>
      </c>
      <c r="K1014" s="271"/>
      <c r="L1014" s="271"/>
      <c r="M1014" s="271"/>
      <c r="N1014" s="271"/>
      <c r="O1014" s="271"/>
      <c r="P1014" s="271"/>
      <c r="Q1014" s="271">
        <v>1</v>
      </c>
      <c r="R1014" s="271" t="s">
        <v>1045</v>
      </c>
      <c r="S1014" s="271"/>
      <c r="T1014" s="271"/>
      <c r="U1014" s="269"/>
      <c r="V1014" s="269" t="s">
        <v>503</v>
      </c>
      <c r="W1014" s="269" t="s">
        <v>298</v>
      </c>
      <c r="X1014" s="269" t="s">
        <v>227</v>
      </c>
      <c r="Y1014" s="269">
        <v>9654477696</v>
      </c>
      <c r="Z1014" s="269"/>
      <c r="AA1014" s="269" t="s">
        <v>3149</v>
      </c>
      <c r="AB1014" s="269" t="s">
        <v>528</v>
      </c>
      <c r="AC1014" s="271">
        <v>1</v>
      </c>
      <c r="AD1014" s="271"/>
      <c r="AE1014" s="271"/>
      <c r="AF1014" s="271"/>
      <c r="AG1014" s="271"/>
      <c r="AH1014" s="269"/>
      <c r="AI1014" s="272"/>
    </row>
    <row r="1015" spans="1:35">
      <c r="A1015" s="268"/>
      <c r="B1015" s="269"/>
      <c r="C1015" s="143" t="s">
        <v>3230</v>
      </c>
      <c r="D1015" s="143" t="s">
        <v>501</v>
      </c>
      <c r="E1015" s="143" t="s">
        <v>80</v>
      </c>
      <c r="F1015" s="269" t="s">
        <v>3196</v>
      </c>
      <c r="G1015" s="269" t="s">
        <v>4066</v>
      </c>
      <c r="H1015" s="269"/>
      <c r="I1015" s="270">
        <v>27089</v>
      </c>
      <c r="J1015" s="271"/>
      <c r="K1015" s="271">
        <v>1</v>
      </c>
      <c r="L1015" s="271"/>
      <c r="M1015" s="271"/>
      <c r="N1015" s="271"/>
      <c r="O1015" s="271"/>
      <c r="P1015" s="271"/>
      <c r="Q1015" s="271">
        <v>1</v>
      </c>
      <c r="R1015" s="271" t="s">
        <v>1045</v>
      </c>
      <c r="S1015" s="271"/>
      <c r="T1015" s="271"/>
      <c r="U1015" s="269"/>
      <c r="V1015" s="269" t="s">
        <v>503</v>
      </c>
      <c r="W1015" s="269" t="s">
        <v>298</v>
      </c>
      <c r="X1015" s="269" t="s">
        <v>227</v>
      </c>
      <c r="Y1015" s="269">
        <v>9462285806</v>
      </c>
      <c r="Z1015" s="269"/>
      <c r="AA1015" s="269" t="s">
        <v>3149</v>
      </c>
      <c r="AB1015" s="269" t="s">
        <v>528</v>
      </c>
      <c r="AC1015" s="271">
        <v>1</v>
      </c>
      <c r="AD1015" s="271"/>
      <c r="AE1015" s="271"/>
      <c r="AF1015" s="271"/>
      <c r="AG1015" s="271"/>
      <c r="AH1015" s="269"/>
      <c r="AI1015" s="272"/>
    </row>
    <row r="1016" spans="1:35">
      <c r="A1016" s="268"/>
      <c r="B1016" s="269"/>
      <c r="C1016" s="143" t="s">
        <v>3230</v>
      </c>
      <c r="D1016" s="143" t="s">
        <v>501</v>
      </c>
      <c r="E1016" s="143" t="s">
        <v>80</v>
      </c>
      <c r="F1016" s="269" t="s">
        <v>4068</v>
      </c>
      <c r="G1016" s="269" t="s">
        <v>4069</v>
      </c>
      <c r="H1016" s="269"/>
      <c r="I1016" s="270"/>
      <c r="J1016" s="271"/>
      <c r="K1016" s="271">
        <v>1</v>
      </c>
      <c r="L1016" s="271"/>
      <c r="M1016" s="271"/>
      <c r="N1016" s="271"/>
      <c r="O1016" s="271"/>
      <c r="P1016" s="271"/>
      <c r="Q1016" s="271">
        <v>1</v>
      </c>
      <c r="R1016" s="271" t="s">
        <v>3079</v>
      </c>
      <c r="S1016" s="271"/>
      <c r="T1016" s="271"/>
      <c r="U1016" s="269"/>
      <c r="V1016" s="269"/>
      <c r="W1016" s="269"/>
      <c r="X1016" s="269"/>
      <c r="Y1016" s="269"/>
      <c r="Z1016" s="269"/>
      <c r="AA1016" s="269" t="s">
        <v>3138</v>
      </c>
      <c r="AB1016" s="269" t="s">
        <v>528</v>
      </c>
      <c r="AC1016" s="271">
        <v>1</v>
      </c>
      <c r="AD1016" s="271"/>
      <c r="AE1016" s="271"/>
      <c r="AF1016" s="271"/>
      <c r="AG1016" s="271"/>
      <c r="AH1016" s="269"/>
      <c r="AI1016" s="272"/>
    </row>
    <row r="1017" spans="1:35">
      <c r="A1017" s="268"/>
      <c r="B1017" s="269"/>
      <c r="C1017" s="143" t="s">
        <v>3230</v>
      </c>
      <c r="D1017" s="143" t="s">
        <v>501</v>
      </c>
      <c r="E1017" s="143" t="s">
        <v>80</v>
      </c>
      <c r="F1017" s="269" t="s">
        <v>1729</v>
      </c>
      <c r="G1017" s="269" t="s">
        <v>138</v>
      </c>
      <c r="H1017" s="269"/>
      <c r="I1017" s="270"/>
      <c r="J1017" s="271">
        <v>1</v>
      </c>
      <c r="K1017" s="271"/>
      <c r="L1017" s="271">
        <v>1</v>
      </c>
      <c r="M1017" s="271"/>
      <c r="N1017" s="271"/>
      <c r="O1017" s="271"/>
      <c r="P1017" s="271"/>
      <c r="Q1017" s="271"/>
      <c r="R1017" s="271"/>
      <c r="S1017" s="271"/>
      <c r="T1017" s="271"/>
      <c r="U1017" s="269"/>
      <c r="V1017" s="269" t="s">
        <v>503</v>
      </c>
      <c r="W1017" s="269" t="s">
        <v>298</v>
      </c>
      <c r="X1017" s="269" t="s">
        <v>227</v>
      </c>
      <c r="Y1017" s="269">
        <v>9090293462</v>
      </c>
      <c r="Z1017" s="269"/>
      <c r="AA1017" s="269" t="s">
        <v>3202</v>
      </c>
      <c r="AB1017" s="269" t="s">
        <v>528</v>
      </c>
      <c r="AC1017" s="271">
        <v>1</v>
      </c>
      <c r="AD1017" s="271"/>
      <c r="AE1017" s="271"/>
      <c r="AF1017" s="271"/>
      <c r="AG1017" s="271"/>
      <c r="AH1017" s="269"/>
      <c r="AI1017" s="272"/>
    </row>
    <row r="1018" spans="1:35">
      <c r="A1018" s="140"/>
      <c r="B1018" s="143"/>
      <c r="C1018" s="143" t="s">
        <v>3230</v>
      </c>
      <c r="D1018" s="143" t="s">
        <v>501</v>
      </c>
      <c r="E1018" s="143" t="s">
        <v>80</v>
      </c>
      <c r="F1018" s="153" t="s">
        <v>413</v>
      </c>
      <c r="G1018" s="153" t="s">
        <v>414</v>
      </c>
      <c r="H1018" s="153"/>
      <c r="I1018" s="227">
        <v>23925</v>
      </c>
      <c r="J1018" s="154"/>
      <c r="K1018" s="154">
        <v>1</v>
      </c>
      <c r="L1018" s="155"/>
      <c r="M1018" s="155"/>
      <c r="N1018" s="155"/>
      <c r="O1018" s="155"/>
      <c r="P1018" s="155"/>
      <c r="Q1018" s="155">
        <v>1</v>
      </c>
      <c r="R1018" s="155" t="s">
        <v>1348</v>
      </c>
      <c r="S1018" s="155"/>
      <c r="T1018" s="155"/>
      <c r="U1018" s="156" t="s">
        <v>295</v>
      </c>
      <c r="V1018" s="153" t="s">
        <v>503</v>
      </c>
      <c r="W1018" s="143" t="s">
        <v>298</v>
      </c>
      <c r="X1018" s="157" t="s">
        <v>227</v>
      </c>
      <c r="Y1018" s="157">
        <v>9357514235</v>
      </c>
      <c r="Z1018" s="143"/>
      <c r="AA1018" s="157" t="s">
        <v>3141</v>
      </c>
      <c r="AB1018" s="143" t="s">
        <v>528</v>
      </c>
      <c r="AC1018" s="155">
        <v>1</v>
      </c>
      <c r="AD1018" s="155"/>
      <c r="AE1018" s="155"/>
      <c r="AF1018" s="155"/>
      <c r="AG1018" s="155"/>
      <c r="AH1018" s="143"/>
      <c r="AI1018" s="158"/>
    </row>
    <row r="1019" spans="1:35">
      <c r="A1019" s="268"/>
      <c r="B1019" s="269"/>
      <c r="C1019" s="143" t="s">
        <v>3230</v>
      </c>
      <c r="D1019" s="143" t="s">
        <v>501</v>
      </c>
      <c r="E1019" s="143" t="s">
        <v>80</v>
      </c>
      <c r="F1019" s="269" t="s">
        <v>4070</v>
      </c>
      <c r="G1019" s="269" t="s">
        <v>4071</v>
      </c>
      <c r="H1019" s="269"/>
      <c r="I1019" s="270">
        <v>35342</v>
      </c>
      <c r="J1019" s="271">
        <v>1</v>
      </c>
      <c r="K1019" s="271"/>
      <c r="L1019" s="271"/>
      <c r="M1019" s="271"/>
      <c r="N1019" s="271"/>
      <c r="O1019" s="271"/>
      <c r="P1019" s="271"/>
      <c r="Q1019" s="271">
        <v>1</v>
      </c>
      <c r="R1019" s="271" t="s">
        <v>3137</v>
      </c>
      <c r="S1019" s="271"/>
      <c r="T1019" s="271"/>
      <c r="U1019" s="269"/>
      <c r="V1019" s="269" t="s">
        <v>503</v>
      </c>
      <c r="W1019" s="269" t="s">
        <v>298</v>
      </c>
      <c r="X1019" s="269" t="s">
        <v>227</v>
      </c>
      <c r="Y1019" s="269">
        <v>9179889277</v>
      </c>
      <c r="Z1019" s="269"/>
      <c r="AA1019" s="269" t="s">
        <v>3138</v>
      </c>
      <c r="AB1019" s="269" t="s">
        <v>528</v>
      </c>
      <c r="AC1019" s="271">
        <v>1</v>
      </c>
      <c r="AD1019" s="271"/>
      <c r="AE1019" s="271"/>
      <c r="AF1019" s="271"/>
      <c r="AG1019" s="271"/>
      <c r="AH1019" s="269"/>
      <c r="AI1019" s="272"/>
    </row>
    <row r="1020" spans="1:35">
      <c r="A1020" s="268"/>
      <c r="B1020" s="269"/>
      <c r="C1020" s="143" t="s">
        <v>3230</v>
      </c>
      <c r="D1020" s="143" t="s">
        <v>501</v>
      </c>
      <c r="E1020" s="143" t="s">
        <v>80</v>
      </c>
      <c r="F1020" s="269" t="s">
        <v>4072</v>
      </c>
      <c r="G1020" s="269" t="s">
        <v>2482</v>
      </c>
      <c r="H1020" s="269" t="s">
        <v>120</v>
      </c>
      <c r="I1020" s="270"/>
      <c r="J1020" s="271"/>
      <c r="K1020" s="271">
        <v>1</v>
      </c>
      <c r="L1020" s="271"/>
      <c r="M1020" s="271"/>
      <c r="N1020" s="271"/>
      <c r="O1020" s="271"/>
      <c r="P1020" s="271"/>
      <c r="Q1020" s="271">
        <v>1</v>
      </c>
      <c r="R1020" s="271" t="s">
        <v>4073</v>
      </c>
      <c r="S1020" s="271"/>
      <c r="T1020" s="271"/>
      <c r="U1020" s="269"/>
      <c r="V1020" s="269" t="s">
        <v>4074</v>
      </c>
      <c r="W1020" s="269" t="s">
        <v>280</v>
      </c>
      <c r="X1020" s="269" t="s">
        <v>227</v>
      </c>
      <c r="Y1020" s="269">
        <v>9486805339</v>
      </c>
      <c r="Z1020" s="269"/>
      <c r="AA1020" s="269" t="s">
        <v>3151</v>
      </c>
      <c r="AB1020" s="269" t="s">
        <v>528</v>
      </c>
      <c r="AC1020" s="271">
        <v>1</v>
      </c>
      <c r="AD1020" s="271"/>
      <c r="AE1020" s="271"/>
      <c r="AF1020" s="271"/>
      <c r="AG1020" s="271"/>
      <c r="AH1020" s="269"/>
      <c r="AI1020" s="272"/>
    </row>
    <row r="1021" spans="1:35">
      <c r="A1021" s="268"/>
      <c r="B1021" s="269"/>
      <c r="C1021" s="143" t="s">
        <v>3230</v>
      </c>
      <c r="D1021" s="143" t="s">
        <v>501</v>
      </c>
      <c r="E1021" s="143" t="s">
        <v>80</v>
      </c>
      <c r="F1021" s="269" t="s">
        <v>4075</v>
      </c>
      <c r="G1021" s="269" t="s">
        <v>1304</v>
      </c>
      <c r="H1021" s="269"/>
      <c r="I1021" s="270"/>
      <c r="J1021" s="271">
        <v>1</v>
      </c>
      <c r="K1021" s="271"/>
      <c r="L1021" s="271">
        <v>1</v>
      </c>
      <c r="M1021" s="271"/>
      <c r="N1021" s="271"/>
      <c r="O1021" s="271"/>
      <c r="P1021" s="271"/>
      <c r="Q1021" s="271"/>
      <c r="R1021" s="271"/>
      <c r="S1021" s="271"/>
      <c r="T1021" s="271"/>
      <c r="U1021" s="269" t="s">
        <v>297</v>
      </c>
      <c r="V1021" s="269" t="s">
        <v>503</v>
      </c>
      <c r="W1021" s="269" t="s">
        <v>298</v>
      </c>
      <c r="X1021" s="269" t="s">
        <v>227</v>
      </c>
      <c r="Y1021" s="269">
        <v>9071860199</v>
      </c>
      <c r="Z1021" s="269"/>
      <c r="AA1021" s="269" t="s">
        <v>3149</v>
      </c>
      <c r="AB1021" s="269" t="s">
        <v>528</v>
      </c>
      <c r="AC1021" s="271">
        <v>1</v>
      </c>
      <c r="AD1021" s="271"/>
      <c r="AE1021" s="271"/>
      <c r="AF1021" s="271"/>
      <c r="AG1021" s="271"/>
      <c r="AH1021" s="269"/>
      <c r="AI1021" s="272"/>
    </row>
    <row r="1022" spans="1:35">
      <c r="A1022" s="268"/>
      <c r="B1022" s="269"/>
      <c r="C1022" s="143" t="s">
        <v>3230</v>
      </c>
      <c r="D1022" s="143" t="s">
        <v>501</v>
      </c>
      <c r="E1022" s="143" t="s">
        <v>80</v>
      </c>
      <c r="F1022" s="269" t="s">
        <v>766</v>
      </c>
      <c r="G1022" s="269" t="s">
        <v>494</v>
      </c>
      <c r="H1022" s="269" t="s">
        <v>113</v>
      </c>
      <c r="I1022" s="270">
        <v>22755</v>
      </c>
      <c r="J1022" s="271">
        <v>1</v>
      </c>
      <c r="K1022" s="271"/>
      <c r="L1022" s="271"/>
      <c r="M1022" s="271"/>
      <c r="N1022" s="271"/>
      <c r="O1022" s="271"/>
      <c r="P1022" s="271"/>
      <c r="Q1022" s="271">
        <v>1</v>
      </c>
      <c r="R1022" s="271" t="s">
        <v>1045</v>
      </c>
      <c r="S1022" s="271"/>
      <c r="T1022" s="271"/>
      <c r="U1022" s="269" t="s">
        <v>295</v>
      </c>
      <c r="V1022" s="269" t="s">
        <v>503</v>
      </c>
      <c r="W1022" s="269" t="s">
        <v>298</v>
      </c>
      <c r="X1022" s="269" t="s">
        <v>227</v>
      </c>
      <c r="Y1022" s="269">
        <v>9057955405</v>
      </c>
      <c r="Z1022" s="269"/>
      <c r="AA1022" s="269" t="s">
        <v>3149</v>
      </c>
      <c r="AB1022" s="269" t="s">
        <v>528</v>
      </c>
      <c r="AC1022" s="271">
        <v>1</v>
      </c>
      <c r="AD1022" s="271"/>
      <c r="AE1022" s="271"/>
      <c r="AF1022" s="271"/>
      <c r="AG1022" s="271"/>
      <c r="AH1022" s="269"/>
      <c r="AI1022" s="272"/>
    </row>
    <row r="1023" spans="1:35">
      <c r="A1023" s="268"/>
      <c r="B1023" s="269"/>
      <c r="C1023" s="143" t="s">
        <v>3230</v>
      </c>
      <c r="D1023" s="143" t="s">
        <v>501</v>
      </c>
      <c r="E1023" s="143" t="s">
        <v>80</v>
      </c>
      <c r="F1023" s="269" t="s">
        <v>4076</v>
      </c>
      <c r="G1023" s="269" t="s">
        <v>1409</v>
      </c>
      <c r="H1023" s="269"/>
      <c r="I1023" s="270">
        <v>44778</v>
      </c>
      <c r="J1023" s="271"/>
      <c r="K1023" s="271">
        <v>1</v>
      </c>
      <c r="L1023" s="271"/>
      <c r="M1023" s="271"/>
      <c r="N1023" s="271"/>
      <c r="O1023" s="271"/>
      <c r="P1023" s="271"/>
      <c r="Q1023" s="271">
        <v>1</v>
      </c>
      <c r="R1023" s="271" t="s">
        <v>957</v>
      </c>
      <c r="S1023" s="271"/>
      <c r="T1023" s="271"/>
      <c r="U1023" s="269" t="s">
        <v>4077</v>
      </c>
      <c r="V1023" s="269" t="s">
        <v>503</v>
      </c>
      <c r="W1023" s="269" t="s">
        <v>298</v>
      </c>
      <c r="X1023" s="269" t="s">
        <v>227</v>
      </c>
      <c r="Y1023" s="269">
        <v>9387859402</v>
      </c>
      <c r="Z1023" s="269"/>
      <c r="AA1023" s="269" t="s">
        <v>3141</v>
      </c>
      <c r="AB1023" s="269" t="s">
        <v>528</v>
      </c>
      <c r="AC1023" s="271">
        <v>1</v>
      </c>
      <c r="AD1023" s="271"/>
      <c r="AE1023" s="271"/>
      <c r="AF1023" s="271"/>
      <c r="AG1023" s="271"/>
      <c r="AH1023" s="269"/>
      <c r="AI1023" s="272"/>
    </row>
    <row r="1024" spans="1:35">
      <c r="A1024" s="268"/>
      <c r="B1024" s="269"/>
      <c r="C1024" s="143" t="s">
        <v>3230</v>
      </c>
      <c r="D1024" s="143" t="s">
        <v>501</v>
      </c>
      <c r="E1024" s="143" t="s">
        <v>80</v>
      </c>
      <c r="F1024" s="269" t="s">
        <v>4078</v>
      </c>
      <c r="G1024" s="269" t="s">
        <v>1857</v>
      </c>
      <c r="H1024" s="269"/>
      <c r="I1024" s="270"/>
      <c r="J1024" s="271">
        <v>1</v>
      </c>
      <c r="K1024" s="271"/>
      <c r="L1024" s="271"/>
      <c r="M1024" s="271"/>
      <c r="N1024" s="271"/>
      <c r="O1024" s="271"/>
      <c r="P1024" s="271"/>
      <c r="Q1024" s="271">
        <v>1</v>
      </c>
      <c r="R1024" s="271" t="s">
        <v>1045</v>
      </c>
      <c r="S1024" s="271"/>
      <c r="T1024" s="271"/>
      <c r="U1024" s="269"/>
      <c r="V1024" s="269"/>
      <c r="W1024" s="269"/>
      <c r="X1024" s="269" t="s">
        <v>227</v>
      </c>
      <c r="Y1024" s="269">
        <v>9291888536</v>
      </c>
      <c r="Z1024" s="269"/>
      <c r="AA1024" s="269" t="s">
        <v>3149</v>
      </c>
      <c r="AB1024" s="269" t="s">
        <v>528</v>
      </c>
      <c r="AC1024" s="271">
        <v>1</v>
      </c>
      <c r="AD1024" s="271"/>
      <c r="AE1024" s="271"/>
      <c r="AF1024" s="271"/>
      <c r="AG1024" s="271"/>
      <c r="AH1024" s="269"/>
      <c r="AI1024" s="272"/>
    </row>
    <row r="1025" spans="1:35">
      <c r="A1025" s="268"/>
      <c r="B1025" s="269"/>
      <c r="C1025" s="269" t="s">
        <v>4113</v>
      </c>
      <c r="D1025" s="269" t="s">
        <v>501</v>
      </c>
      <c r="E1025" s="269" t="s">
        <v>80</v>
      </c>
      <c r="F1025" s="269" t="s">
        <v>378</v>
      </c>
      <c r="G1025" s="269" t="s">
        <v>379</v>
      </c>
      <c r="H1025" s="269" t="s">
        <v>160</v>
      </c>
      <c r="I1025" s="270">
        <v>33697</v>
      </c>
      <c r="J1025" s="271">
        <v>1</v>
      </c>
      <c r="K1025" s="271">
        <v>1</v>
      </c>
      <c r="L1025" s="271"/>
      <c r="M1025" s="271"/>
      <c r="N1025" s="271"/>
      <c r="O1025" s="271"/>
      <c r="P1025" s="271"/>
      <c r="Q1025" s="271">
        <v>1</v>
      </c>
      <c r="R1025" s="271" t="s">
        <v>3060</v>
      </c>
      <c r="S1025" s="271"/>
      <c r="T1025" s="271"/>
      <c r="U1025" s="269" t="s">
        <v>504</v>
      </c>
      <c r="V1025" s="269" t="s">
        <v>503</v>
      </c>
      <c r="W1025" s="269" t="s">
        <v>298</v>
      </c>
      <c r="X1025" s="269" t="s">
        <v>227</v>
      </c>
      <c r="Y1025" s="269">
        <v>9958609000</v>
      </c>
      <c r="Z1025" s="269"/>
      <c r="AA1025" s="269" t="s">
        <v>4079</v>
      </c>
      <c r="AB1025" s="269" t="s">
        <v>528</v>
      </c>
      <c r="AC1025" s="271">
        <v>1</v>
      </c>
      <c r="AD1025" s="271"/>
      <c r="AE1025" s="271"/>
      <c r="AF1025" s="271"/>
      <c r="AG1025" s="271"/>
      <c r="AH1025" s="269"/>
      <c r="AI1025" s="272"/>
    </row>
    <row r="1026" spans="1:35">
      <c r="A1026" s="268"/>
      <c r="B1026" s="269"/>
      <c r="C1026" s="269" t="s">
        <v>4113</v>
      </c>
      <c r="D1026" s="269" t="s">
        <v>501</v>
      </c>
      <c r="E1026" s="269" t="s">
        <v>80</v>
      </c>
      <c r="F1026" s="269" t="s">
        <v>1215</v>
      </c>
      <c r="G1026" s="269" t="s">
        <v>4080</v>
      </c>
      <c r="H1026" s="269"/>
      <c r="I1026" s="270">
        <v>36460</v>
      </c>
      <c r="J1026" s="271">
        <v>1</v>
      </c>
      <c r="K1026" s="271"/>
      <c r="L1026" s="271"/>
      <c r="M1026" s="271"/>
      <c r="N1026" s="271"/>
      <c r="O1026" s="271"/>
      <c r="P1026" s="271"/>
      <c r="Q1026" s="271">
        <v>1</v>
      </c>
      <c r="R1026" s="271" t="s">
        <v>1266</v>
      </c>
      <c r="S1026" s="271"/>
      <c r="T1026" s="271"/>
      <c r="U1026" s="269" t="s">
        <v>504</v>
      </c>
      <c r="V1026" s="269" t="s">
        <v>503</v>
      </c>
      <c r="W1026" s="269" t="s">
        <v>298</v>
      </c>
      <c r="X1026" s="269" t="s">
        <v>227</v>
      </c>
      <c r="Y1026" s="269">
        <v>9216781968</v>
      </c>
      <c r="Z1026" s="269"/>
      <c r="AA1026" s="269" t="s">
        <v>3149</v>
      </c>
      <c r="AB1026" s="269" t="s">
        <v>528</v>
      </c>
      <c r="AC1026" s="271">
        <v>1</v>
      </c>
      <c r="AD1026" s="271"/>
      <c r="AE1026" s="271"/>
      <c r="AF1026" s="271"/>
      <c r="AG1026" s="271"/>
      <c r="AH1026" s="269"/>
      <c r="AI1026" s="272"/>
    </row>
    <row r="1027" spans="1:35">
      <c r="A1027" s="268"/>
      <c r="B1027" s="269"/>
      <c r="C1027" s="269" t="s">
        <v>4113</v>
      </c>
      <c r="D1027" s="269" t="s">
        <v>501</v>
      </c>
      <c r="E1027" s="269" t="s">
        <v>80</v>
      </c>
      <c r="F1027" s="269" t="s">
        <v>3118</v>
      </c>
      <c r="G1027" s="269" t="s">
        <v>4081</v>
      </c>
      <c r="H1027" s="269"/>
      <c r="I1027" s="270">
        <v>36099</v>
      </c>
      <c r="J1027" s="271">
        <v>1</v>
      </c>
      <c r="K1027" s="271"/>
      <c r="L1027" s="271"/>
      <c r="M1027" s="271"/>
      <c r="N1027" s="271"/>
      <c r="O1027" s="271"/>
      <c r="P1027" s="271"/>
      <c r="Q1027" s="271">
        <v>1</v>
      </c>
      <c r="R1027" s="271" t="s">
        <v>1266</v>
      </c>
      <c r="S1027" s="271"/>
      <c r="T1027" s="271"/>
      <c r="U1027" s="269" t="s">
        <v>507</v>
      </c>
      <c r="V1027" s="269" t="s">
        <v>503</v>
      </c>
      <c r="W1027" s="269" t="s">
        <v>298</v>
      </c>
      <c r="X1027" s="269" t="s">
        <v>227</v>
      </c>
      <c r="Y1027" s="269">
        <v>9126006241</v>
      </c>
      <c r="Z1027" s="269"/>
      <c r="AA1027" s="269" t="s">
        <v>3149</v>
      </c>
      <c r="AB1027" s="269" t="s">
        <v>528</v>
      </c>
      <c r="AC1027" s="271">
        <v>1</v>
      </c>
      <c r="AD1027" s="271"/>
      <c r="AE1027" s="271"/>
      <c r="AF1027" s="271"/>
      <c r="AG1027" s="271"/>
      <c r="AH1027" s="269"/>
      <c r="AI1027" s="272"/>
    </row>
    <row r="1028" spans="1:35">
      <c r="A1028" s="268"/>
      <c r="B1028" s="269"/>
      <c r="C1028" s="269" t="s">
        <v>4113</v>
      </c>
      <c r="D1028" s="269" t="s">
        <v>501</v>
      </c>
      <c r="E1028" s="269" t="s">
        <v>80</v>
      </c>
      <c r="F1028" s="269" t="s">
        <v>4078</v>
      </c>
      <c r="G1028" s="269" t="s">
        <v>1857</v>
      </c>
      <c r="H1028" s="269"/>
      <c r="I1028" s="270"/>
      <c r="J1028" s="271">
        <v>1</v>
      </c>
      <c r="K1028" s="271"/>
      <c r="L1028" s="271"/>
      <c r="M1028" s="271"/>
      <c r="N1028" s="271"/>
      <c r="O1028" s="271"/>
      <c r="P1028" s="271"/>
      <c r="Q1028" s="271">
        <v>1</v>
      </c>
      <c r="R1028" s="271" t="s">
        <v>1045</v>
      </c>
      <c r="S1028" s="271"/>
      <c r="T1028" s="271"/>
      <c r="U1028" s="269"/>
      <c r="V1028" s="269" t="s">
        <v>503</v>
      </c>
      <c r="W1028" s="269" t="s">
        <v>298</v>
      </c>
      <c r="X1028" s="269" t="s">
        <v>227</v>
      </c>
      <c r="Y1028" s="269">
        <v>9291888531</v>
      </c>
      <c r="Z1028" s="269"/>
      <c r="AA1028" s="269" t="s">
        <v>3149</v>
      </c>
      <c r="AB1028" s="269" t="s">
        <v>528</v>
      </c>
      <c r="AC1028" s="271">
        <v>1</v>
      </c>
      <c r="AD1028" s="271"/>
      <c r="AE1028" s="271"/>
      <c r="AF1028" s="271"/>
      <c r="AG1028" s="271"/>
      <c r="AH1028" s="269"/>
      <c r="AI1028" s="272"/>
    </row>
    <row r="1029" spans="1:35">
      <c r="A1029" s="268"/>
      <c r="B1029" s="269"/>
      <c r="C1029" s="269" t="s">
        <v>4113</v>
      </c>
      <c r="D1029" s="269" t="s">
        <v>501</v>
      </c>
      <c r="E1029" s="269" t="s">
        <v>80</v>
      </c>
      <c r="F1029" s="269" t="s">
        <v>4068</v>
      </c>
      <c r="G1029" s="269" t="s">
        <v>4069</v>
      </c>
      <c r="H1029" s="269"/>
      <c r="I1029" s="270"/>
      <c r="J1029" s="271"/>
      <c r="K1029" s="271">
        <v>1</v>
      </c>
      <c r="L1029" s="271"/>
      <c r="M1029" s="271"/>
      <c r="N1029" s="271"/>
      <c r="O1029" s="271"/>
      <c r="P1029" s="271"/>
      <c r="Q1029" s="271">
        <v>1</v>
      </c>
      <c r="R1029" s="271" t="s">
        <v>3079</v>
      </c>
      <c r="S1029" s="271"/>
      <c r="T1029" s="271"/>
      <c r="U1029" s="269"/>
      <c r="V1029" s="269" t="s">
        <v>503</v>
      </c>
      <c r="W1029" s="269" t="s">
        <v>298</v>
      </c>
      <c r="X1029" s="269" t="s">
        <v>227</v>
      </c>
      <c r="Y1029" s="269">
        <v>9753674838</v>
      </c>
      <c r="Z1029" s="269"/>
      <c r="AA1029" s="269" t="s">
        <v>3138</v>
      </c>
      <c r="AB1029" s="269" t="s">
        <v>528</v>
      </c>
      <c r="AC1029" s="271">
        <v>1</v>
      </c>
      <c r="AD1029" s="271"/>
      <c r="AE1029" s="271"/>
      <c r="AF1029" s="271"/>
      <c r="AG1029" s="271"/>
      <c r="AH1029" s="269"/>
      <c r="AI1029" s="272"/>
    </row>
    <row r="1030" spans="1:35">
      <c r="A1030" s="268"/>
      <c r="B1030" s="269"/>
      <c r="C1030" s="269" t="s">
        <v>4113</v>
      </c>
      <c r="D1030" s="269" t="s">
        <v>501</v>
      </c>
      <c r="E1030" s="269" t="s">
        <v>80</v>
      </c>
      <c r="F1030" s="269" t="s">
        <v>4082</v>
      </c>
      <c r="G1030" s="269" t="s">
        <v>4083</v>
      </c>
      <c r="H1030" s="269"/>
      <c r="I1030" s="270">
        <v>32568</v>
      </c>
      <c r="J1030" s="271">
        <v>1</v>
      </c>
      <c r="K1030" s="271"/>
      <c r="L1030" s="271"/>
      <c r="M1030" s="271"/>
      <c r="N1030" s="271"/>
      <c r="O1030" s="271"/>
      <c r="P1030" s="271"/>
      <c r="Q1030" s="271">
        <v>1</v>
      </c>
      <c r="R1030" s="271" t="s">
        <v>3079</v>
      </c>
      <c r="S1030" s="271"/>
      <c r="T1030" s="271"/>
      <c r="U1030" s="269" t="s">
        <v>516</v>
      </c>
      <c r="V1030" s="269" t="s">
        <v>503</v>
      </c>
      <c r="W1030" s="269" t="s">
        <v>298</v>
      </c>
      <c r="X1030" s="269" t="s">
        <v>227</v>
      </c>
      <c r="Y1030" s="269">
        <v>9126064887</v>
      </c>
      <c r="Z1030" s="269"/>
      <c r="AA1030" s="269" t="s">
        <v>3149</v>
      </c>
      <c r="AB1030" s="269" t="s">
        <v>528</v>
      </c>
      <c r="AC1030" s="271">
        <v>1</v>
      </c>
      <c r="AD1030" s="271"/>
      <c r="AE1030" s="271"/>
      <c r="AF1030" s="271"/>
      <c r="AG1030" s="271"/>
      <c r="AH1030" s="269"/>
      <c r="AI1030" s="272"/>
    </row>
    <row r="1031" spans="1:35">
      <c r="A1031" s="268"/>
      <c r="B1031" s="269"/>
      <c r="C1031" s="269" t="s">
        <v>4113</v>
      </c>
      <c r="D1031" s="269" t="s">
        <v>501</v>
      </c>
      <c r="E1031" s="269" t="s">
        <v>80</v>
      </c>
      <c r="F1031" s="269" t="s">
        <v>150</v>
      </c>
      <c r="G1031" s="269" t="s">
        <v>4085</v>
      </c>
      <c r="H1031" s="269" t="s">
        <v>115</v>
      </c>
      <c r="I1031" s="270">
        <v>22783</v>
      </c>
      <c r="J1031" s="271">
        <v>1</v>
      </c>
      <c r="K1031" s="271"/>
      <c r="L1031" s="271"/>
      <c r="M1031" s="271"/>
      <c r="N1031" s="271"/>
      <c r="O1031" s="271"/>
      <c r="P1031" s="271"/>
      <c r="Q1031" s="271">
        <v>1</v>
      </c>
      <c r="R1031" s="271" t="s">
        <v>962</v>
      </c>
      <c r="S1031" s="271"/>
      <c r="T1031" s="271"/>
      <c r="U1031" s="269" t="s">
        <v>504</v>
      </c>
      <c r="V1031" s="269" t="s">
        <v>503</v>
      </c>
      <c r="W1031" s="269" t="s">
        <v>298</v>
      </c>
      <c r="X1031" s="269" t="s">
        <v>227</v>
      </c>
      <c r="Y1031" s="269">
        <v>9151537576</v>
      </c>
      <c r="Z1031" s="269"/>
      <c r="AA1031" s="269" t="s">
        <v>3141</v>
      </c>
      <c r="AB1031" s="269" t="s">
        <v>528</v>
      </c>
      <c r="AC1031" s="271">
        <v>1</v>
      </c>
      <c r="AD1031" s="271"/>
      <c r="AE1031" s="271"/>
      <c r="AF1031" s="271"/>
      <c r="AG1031" s="271"/>
      <c r="AH1031" s="269"/>
      <c r="AI1031" s="272"/>
    </row>
    <row r="1032" spans="1:35">
      <c r="A1032" s="268"/>
      <c r="B1032" s="269"/>
      <c r="C1032" s="269" t="s">
        <v>4113</v>
      </c>
      <c r="D1032" s="269" t="s">
        <v>501</v>
      </c>
      <c r="E1032" s="269" t="s">
        <v>80</v>
      </c>
      <c r="F1032" s="269" t="s">
        <v>4086</v>
      </c>
      <c r="G1032" s="269" t="s">
        <v>2159</v>
      </c>
      <c r="H1032" s="269"/>
      <c r="I1032" s="270">
        <v>26792</v>
      </c>
      <c r="J1032" s="271"/>
      <c r="K1032" s="271">
        <v>1</v>
      </c>
      <c r="L1032" s="271"/>
      <c r="M1032" s="271"/>
      <c r="N1032" s="271"/>
      <c r="O1032" s="271"/>
      <c r="P1032" s="271"/>
      <c r="Q1032" s="271">
        <v>1</v>
      </c>
      <c r="R1032" s="271" t="s">
        <v>957</v>
      </c>
      <c r="S1032" s="271"/>
      <c r="T1032" s="271"/>
      <c r="U1032" s="269" t="s">
        <v>4087</v>
      </c>
      <c r="V1032" s="269" t="s">
        <v>503</v>
      </c>
      <c r="W1032" s="269" t="s">
        <v>298</v>
      </c>
      <c r="X1032" s="269" t="s">
        <v>227</v>
      </c>
      <c r="Y1032" s="269">
        <v>9268507677</v>
      </c>
      <c r="Z1032" s="269"/>
      <c r="AA1032" s="269" t="s">
        <v>3141</v>
      </c>
      <c r="AB1032" s="269" t="s">
        <v>528</v>
      </c>
      <c r="AC1032" s="271">
        <v>1</v>
      </c>
      <c r="AD1032" s="271"/>
      <c r="AE1032" s="271"/>
      <c r="AF1032" s="271"/>
      <c r="AG1032" s="271"/>
      <c r="AH1032" s="269"/>
      <c r="AI1032" s="272"/>
    </row>
    <row r="1033" spans="1:35">
      <c r="A1033" s="268"/>
      <c r="B1033" s="269"/>
      <c r="C1033" s="269" t="s">
        <v>4113</v>
      </c>
      <c r="D1033" s="269" t="s">
        <v>501</v>
      </c>
      <c r="E1033" s="269" t="s">
        <v>80</v>
      </c>
      <c r="F1033" s="269" t="s">
        <v>150</v>
      </c>
      <c r="G1033" s="269" t="s">
        <v>4085</v>
      </c>
      <c r="H1033" s="269" t="s">
        <v>115</v>
      </c>
      <c r="I1033" s="270">
        <v>22783</v>
      </c>
      <c r="J1033" s="271">
        <v>1</v>
      </c>
      <c r="K1033" s="271"/>
      <c r="L1033" s="271"/>
      <c r="M1033" s="271"/>
      <c r="N1033" s="271"/>
      <c r="O1033" s="271"/>
      <c r="P1033" s="271"/>
      <c r="Q1033" s="271">
        <v>1</v>
      </c>
      <c r="R1033" s="271" t="s">
        <v>962</v>
      </c>
      <c r="S1033" s="271"/>
      <c r="T1033" s="271"/>
      <c r="U1033" s="269" t="s">
        <v>504</v>
      </c>
      <c r="V1033" s="269" t="s">
        <v>503</v>
      </c>
      <c r="W1033" s="269" t="s">
        <v>298</v>
      </c>
      <c r="X1033" s="269" t="s">
        <v>227</v>
      </c>
      <c r="Y1033" s="269">
        <v>9151537576</v>
      </c>
      <c r="Z1033" s="269"/>
      <c r="AA1033" s="269" t="s">
        <v>3141</v>
      </c>
      <c r="AB1033" s="269" t="s">
        <v>528</v>
      </c>
      <c r="AC1033" s="271">
        <v>1</v>
      </c>
      <c r="AD1033" s="271"/>
      <c r="AE1033" s="271"/>
      <c r="AF1033" s="271"/>
      <c r="AG1033" s="271"/>
      <c r="AH1033" s="269"/>
      <c r="AI1033" s="272"/>
    </row>
    <row r="1034" spans="1:35">
      <c r="A1034" s="268"/>
      <c r="B1034" s="269"/>
      <c r="C1034" s="269" t="s">
        <v>4113</v>
      </c>
      <c r="D1034" s="269" t="s">
        <v>501</v>
      </c>
      <c r="E1034" s="269" t="s">
        <v>80</v>
      </c>
      <c r="F1034" s="269" t="s">
        <v>4084</v>
      </c>
      <c r="G1034" s="269" t="s">
        <v>1267</v>
      </c>
      <c r="H1034" s="269"/>
      <c r="I1034" s="270">
        <v>24741</v>
      </c>
      <c r="J1034" s="271">
        <v>1</v>
      </c>
      <c r="K1034" s="271"/>
      <c r="L1034" s="271"/>
      <c r="M1034" s="271"/>
      <c r="N1034" s="271"/>
      <c r="O1034" s="271"/>
      <c r="P1034" s="271"/>
      <c r="Q1034" s="271">
        <v>1</v>
      </c>
      <c r="R1034" s="271" t="s">
        <v>4088</v>
      </c>
      <c r="S1034" s="271"/>
      <c r="T1034" s="271"/>
      <c r="U1034" s="269"/>
      <c r="V1034" s="269" t="s">
        <v>519</v>
      </c>
      <c r="W1034" s="269" t="s">
        <v>280</v>
      </c>
      <c r="X1034" s="269" t="s">
        <v>227</v>
      </c>
      <c r="Y1034" s="269"/>
      <c r="Z1034" s="269"/>
      <c r="AA1034" s="269" t="s">
        <v>3151</v>
      </c>
      <c r="AB1034" s="269" t="s">
        <v>528</v>
      </c>
      <c r="AC1034" s="271">
        <v>1</v>
      </c>
      <c r="AD1034" s="271"/>
      <c r="AE1034" s="271"/>
      <c r="AF1034" s="271"/>
      <c r="AG1034" s="271"/>
      <c r="AH1034" s="269"/>
      <c r="AI1034" s="272"/>
    </row>
    <row r="1035" spans="1:35">
      <c r="A1035" s="268"/>
      <c r="B1035" s="269"/>
      <c r="C1035" s="269" t="s">
        <v>4113</v>
      </c>
      <c r="D1035" s="269" t="s">
        <v>501</v>
      </c>
      <c r="E1035" s="269" t="s">
        <v>80</v>
      </c>
      <c r="F1035" s="269" t="s">
        <v>2862</v>
      </c>
      <c r="G1035" s="269" t="s">
        <v>4089</v>
      </c>
      <c r="H1035" s="269" t="s">
        <v>286</v>
      </c>
      <c r="I1035" s="270"/>
      <c r="J1035" s="271">
        <v>1</v>
      </c>
      <c r="K1035" s="271"/>
      <c r="L1035" s="271"/>
      <c r="M1035" s="271"/>
      <c r="N1035" s="271"/>
      <c r="O1035" s="271"/>
      <c r="P1035" s="271"/>
      <c r="Q1035" s="271">
        <v>1</v>
      </c>
      <c r="R1035" s="271" t="s">
        <v>3079</v>
      </c>
      <c r="S1035" s="271"/>
      <c r="T1035" s="271"/>
      <c r="U1035" s="269"/>
      <c r="V1035" s="269" t="s">
        <v>503</v>
      </c>
      <c r="W1035" s="269" t="s">
        <v>298</v>
      </c>
      <c r="X1035" s="269" t="s">
        <v>227</v>
      </c>
      <c r="Y1035" s="269" t="s">
        <v>4090</v>
      </c>
      <c r="Z1035" s="269"/>
      <c r="AA1035" s="269" t="s">
        <v>4079</v>
      </c>
      <c r="AB1035" s="269" t="s">
        <v>528</v>
      </c>
      <c r="AC1035" s="271">
        <v>1</v>
      </c>
      <c r="AD1035" s="271"/>
      <c r="AE1035" s="271"/>
      <c r="AF1035" s="271"/>
      <c r="AG1035" s="271"/>
      <c r="AH1035" s="269"/>
      <c r="AI1035" s="272"/>
    </row>
    <row r="1036" spans="1:35">
      <c r="A1036" s="268"/>
      <c r="B1036" s="269"/>
      <c r="C1036" s="269" t="s">
        <v>4113</v>
      </c>
      <c r="D1036" s="269" t="s">
        <v>501</v>
      </c>
      <c r="E1036" s="269" t="s">
        <v>80</v>
      </c>
      <c r="F1036" s="269" t="s">
        <v>4091</v>
      </c>
      <c r="G1036" s="269" t="s">
        <v>400</v>
      </c>
      <c r="H1036" s="269"/>
      <c r="I1036" s="270"/>
      <c r="J1036" s="271"/>
      <c r="K1036" s="271"/>
      <c r="L1036" s="271"/>
      <c r="M1036" s="271"/>
      <c r="N1036" s="271"/>
      <c r="O1036" s="271"/>
      <c r="P1036" s="271"/>
      <c r="Q1036" s="271">
        <v>1</v>
      </c>
      <c r="R1036" s="271" t="s">
        <v>3079</v>
      </c>
      <c r="S1036" s="271"/>
      <c r="T1036" s="271"/>
      <c r="U1036" s="269"/>
      <c r="V1036" s="269" t="s">
        <v>503</v>
      </c>
      <c r="W1036" s="269" t="s">
        <v>298</v>
      </c>
      <c r="X1036" s="269" t="s">
        <v>227</v>
      </c>
      <c r="Y1036" s="269" t="s">
        <v>4090</v>
      </c>
      <c r="Z1036" s="269"/>
      <c r="AA1036" s="269" t="s">
        <v>4079</v>
      </c>
      <c r="AB1036" s="269" t="s">
        <v>528</v>
      </c>
      <c r="AC1036" s="271">
        <v>1</v>
      </c>
      <c r="AD1036" s="271"/>
      <c r="AE1036" s="271"/>
      <c r="AF1036" s="271"/>
      <c r="AG1036" s="271"/>
      <c r="AH1036" s="269"/>
      <c r="AI1036" s="272"/>
    </row>
    <row r="1037" spans="1:35">
      <c r="A1037" s="268"/>
      <c r="B1037" s="269"/>
      <c r="C1037" s="269" t="s">
        <v>4113</v>
      </c>
      <c r="D1037" s="269" t="s">
        <v>501</v>
      </c>
      <c r="E1037" s="269" t="s">
        <v>80</v>
      </c>
      <c r="F1037" s="269" t="s">
        <v>4093</v>
      </c>
      <c r="G1037" s="269" t="s">
        <v>4092</v>
      </c>
      <c r="H1037" s="269"/>
      <c r="I1037" s="270"/>
      <c r="J1037" s="271">
        <v>1</v>
      </c>
      <c r="K1037" s="271"/>
      <c r="L1037" s="271"/>
      <c r="M1037" s="271"/>
      <c r="N1037" s="271"/>
      <c r="O1037" s="271"/>
      <c r="P1037" s="271"/>
      <c r="Q1037" s="271">
        <v>1</v>
      </c>
      <c r="R1037" s="271" t="s">
        <v>1045</v>
      </c>
      <c r="S1037" s="271"/>
      <c r="T1037" s="271"/>
      <c r="U1037" s="269"/>
      <c r="V1037" s="269"/>
      <c r="W1037" s="269"/>
      <c r="X1037" s="269"/>
      <c r="Y1037" s="273"/>
      <c r="Z1037" s="269"/>
      <c r="AA1037" s="269" t="s">
        <v>3149</v>
      </c>
      <c r="AB1037" s="269" t="s">
        <v>528</v>
      </c>
      <c r="AC1037" s="271">
        <v>1</v>
      </c>
      <c r="AD1037" s="271"/>
      <c r="AE1037" s="271"/>
      <c r="AF1037" s="271"/>
      <c r="AG1037" s="271"/>
      <c r="AH1037" s="269"/>
      <c r="AI1037" s="272"/>
    </row>
    <row r="1038" spans="1:35">
      <c r="A1038" s="268"/>
      <c r="B1038" s="269"/>
      <c r="C1038" s="269" t="s">
        <v>4113</v>
      </c>
      <c r="D1038" s="269" t="s">
        <v>501</v>
      </c>
      <c r="E1038" s="269" t="s">
        <v>80</v>
      </c>
      <c r="F1038" s="269" t="s">
        <v>308</v>
      </c>
      <c r="G1038" s="269" t="s">
        <v>4094</v>
      </c>
      <c r="H1038" s="269"/>
      <c r="I1038" s="270"/>
      <c r="J1038" s="271">
        <v>1</v>
      </c>
      <c r="K1038" s="271"/>
      <c r="L1038" s="271"/>
      <c r="M1038" s="271"/>
      <c r="N1038" s="271"/>
      <c r="O1038" s="271"/>
      <c r="P1038" s="271"/>
      <c r="Q1038" s="271">
        <v>1</v>
      </c>
      <c r="R1038" s="271" t="s">
        <v>4088</v>
      </c>
      <c r="S1038" s="271"/>
      <c r="T1038" s="271"/>
      <c r="U1038" s="269"/>
      <c r="V1038" s="269" t="s">
        <v>519</v>
      </c>
      <c r="W1038" s="269" t="s">
        <v>280</v>
      </c>
      <c r="X1038" s="269" t="s">
        <v>227</v>
      </c>
      <c r="Y1038" s="269">
        <v>9072419545</v>
      </c>
      <c r="Z1038" s="269"/>
      <c r="AA1038" s="269" t="s">
        <v>3151</v>
      </c>
      <c r="AB1038" s="269" t="s">
        <v>528</v>
      </c>
      <c r="AC1038" s="271">
        <v>1</v>
      </c>
      <c r="AD1038" s="271"/>
      <c r="AE1038" s="271"/>
      <c r="AF1038" s="271"/>
      <c r="AG1038" s="271"/>
      <c r="AH1038" s="269"/>
      <c r="AI1038" s="272"/>
    </row>
    <row r="1039" spans="1:35">
      <c r="A1039" s="268"/>
      <c r="B1039" s="269"/>
      <c r="C1039" s="269" t="s">
        <v>4113</v>
      </c>
      <c r="D1039" s="269" t="s">
        <v>501</v>
      </c>
      <c r="E1039" s="269" t="s">
        <v>80</v>
      </c>
      <c r="F1039" s="269" t="s">
        <v>769</v>
      </c>
      <c r="G1039" s="269" t="s">
        <v>4095</v>
      </c>
      <c r="H1039" s="269" t="s">
        <v>283</v>
      </c>
      <c r="I1039" s="270"/>
      <c r="J1039" s="271">
        <v>1</v>
      </c>
      <c r="K1039" s="271"/>
      <c r="L1039" s="271"/>
      <c r="M1039" s="271"/>
      <c r="N1039" s="271"/>
      <c r="O1039" s="271"/>
      <c r="P1039" s="271"/>
      <c r="Q1039" s="271">
        <v>1</v>
      </c>
      <c r="R1039" s="271" t="s">
        <v>4088</v>
      </c>
      <c r="S1039" s="271"/>
      <c r="T1039" s="271"/>
      <c r="U1039" s="269"/>
      <c r="V1039" s="269" t="s">
        <v>519</v>
      </c>
      <c r="W1039" s="269" t="s">
        <v>280</v>
      </c>
      <c r="X1039" s="269" t="s">
        <v>227</v>
      </c>
      <c r="Y1039" s="269">
        <v>9507939611</v>
      </c>
      <c r="Z1039" s="269"/>
      <c r="AA1039" s="269" t="s">
        <v>3151</v>
      </c>
      <c r="AB1039" s="269" t="s">
        <v>528</v>
      </c>
      <c r="AC1039" s="271">
        <v>1</v>
      </c>
      <c r="AD1039" s="271"/>
      <c r="AE1039" s="271"/>
      <c r="AF1039" s="271"/>
      <c r="AG1039" s="271"/>
      <c r="AH1039" s="269"/>
      <c r="AI1039" s="272"/>
    </row>
    <row r="1040" spans="1:35">
      <c r="A1040" s="268"/>
      <c r="B1040" s="269"/>
      <c r="C1040" s="269" t="s">
        <v>4113</v>
      </c>
      <c r="D1040" s="269" t="s">
        <v>501</v>
      </c>
      <c r="E1040" s="269" t="s">
        <v>80</v>
      </c>
      <c r="F1040" s="269" t="s">
        <v>1578</v>
      </c>
      <c r="G1040" s="269" t="s">
        <v>3340</v>
      </c>
      <c r="H1040" s="269"/>
      <c r="I1040" s="270">
        <v>15238</v>
      </c>
      <c r="J1040" s="271">
        <v>1</v>
      </c>
      <c r="K1040" s="271"/>
      <c r="L1040" s="271">
        <v>1</v>
      </c>
      <c r="M1040" s="271">
        <v>1</v>
      </c>
      <c r="N1040" s="271"/>
      <c r="O1040" s="271"/>
      <c r="P1040" s="271"/>
      <c r="Q1040" s="271"/>
      <c r="R1040" s="271"/>
      <c r="S1040" s="271"/>
      <c r="T1040" s="271"/>
      <c r="U1040" s="269" t="s">
        <v>518</v>
      </c>
      <c r="V1040" s="269" t="s">
        <v>503</v>
      </c>
      <c r="W1040" s="269" t="s">
        <v>298</v>
      </c>
      <c r="X1040" s="269" t="s">
        <v>227</v>
      </c>
      <c r="Y1040" s="269">
        <v>9651896302</v>
      </c>
      <c r="Z1040" s="269"/>
      <c r="AA1040" s="269" t="s">
        <v>4079</v>
      </c>
      <c r="AB1040" s="269" t="s">
        <v>528</v>
      </c>
      <c r="AC1040" s="271">
        <v>1</v>
      </c>
      <c r="AD1040" s="271"/>
      <c r="AE1040" s="271"/>
      <c r="AF1040" s="271"/>
      <c r="AG1040" s="271"/>
      <c r="AH1040" s="269"/>
      <c r="AI1040" s="272"/>
    </row>
    <row r="1041" spans="1:35">
      <c r="A1041" s="268"/>
      <c r="B1041" s="269"/>
      <c r="C1041" s="269" t="s">
        <v>4113</v>
      </c>
      <c r="D1041" s="269" t="s">
        <v>501</v>
      </c>
      <c r="E1041" s="269" t="s">
        <v>80</v>
      </c>
      <c r="F1041" s="269" t="s">
        <v>4096</v>
      </c>
      <c r="G1041" s="269" t="s">
        <v>4097</v>
      </c>
      <c r="H1041" s="269" t="s">
        <v>604</v>
      </c>
      <c r="I1041" s="270">
        <v>35158</v>
      </c>
      <c r="J1041" s="271">
        <v>1</v>
      </c>
      <c r="K1041" s="271"/>
      <c r="L1041" s="271"/>
      <c r="M1041" s="271"/>
      <c r="N1041" s="271"/>
      <c r="O1041" s="271"/>
      <c r="P1041" s="271"/>
      <c r="Q1041" s="271">
        <v>1</v>
      </c>
      <c r="R1041" s="271" t="s">
        <v>1045</v>
      </c>
      <c r="S1041" s="271"/>
      <c r="T1041" s="271"/>
      <c r="U1041" s="269" t="s">
        <v>3889</v>
      </c>
      <c r="V1041" s="269" t="s">
        <v>503</v>
      </c>
      <c r="W1041" s="269" t="s">
        <v>298</v>
      </c>
      <c r="X1041" s="269" t="s">
        <v>227</v>
      </c>
      <c r="Y1041" s="269">
        <v>9777655139</v>
      </c>
      <c r="Z1041" s="269"/>
      <c r="AA1041" s="269" t="s">
        <v>3149</v>
      </c>
      <c r="AB1041" s="269" t="s">
        <v>528</v>
      </c>
      <c r="AC1041" s="271">
        <v>1</v>
      </c>
      <c r="AD1041" s="271"/>
      <c r="AE1041" s="271"/>
      <c r="AF1041" s="271"/>
      <c r="AG1041" s="271"/>
      <c r="AH1041" s="269"/>
      <c r="AI1041" s="272"/>
    </row>
    <row r="1042" spans="1:35">
      <c r="A1042" s="268"/>
      <c r="B1042" s="269"/>
      <c r="C1042" s="269" t="s">
        <v>4113</v>
      </c>
      <c r="D1042" s="269" t="s">
        <v>501</v>
      </c>
      <c r="E1042" s="269" t="s">
        <v>80</v>
      </c>
      <c r="F1042" s="269" t="s">
        <v>991</v>
      </c>
      <c r="G1042" s="269" t="s">
        <v>4098</v>
      </c>
      <c r="H1042" s="269"/>
      <c r="I1042" s="270">
        <v>32578</v>
      </c>
      <c r="J1042" s="271">
        <v>1</v>
      </c>
      <c r="K1042" s="271"/>
      <c r="L1042" s="271">
        <v>1</v>
      </c>
      <c r="M1042" s="271"/>
      <c r="N1042" s="271"/>
      <c r="O1042" s="271"/>
      <c r="P1042" s="271"/>
      <c r="Q1042" s="271"/>
      <c r="R1042" s="271"/>
      <c r="S1042" s="271"/>
      <c r="T1042" s="271"/>
      <c r="U1042" s="269" t="s">
        <v>518</v>
      </c>
      <c r="V1042" s="269" t="s">
        <v>503</v>
      </c>
      <c r="W1042" s="269" t="s">
        <v>298</v>
      </c>
      <c r="X1042" s="269" t="s">
        <v>227</v>
      </c>
      <c r="Y1042" s="269"/>
      <c r="Z1042" s="269"/>
      <c r="AA1042" s="269" t="s">
        <v>4079</v>
      </c>
      <c r="AB1042" s="269" t="s">
        <v>528</v>
      </c>
      <c r="AC1042" s="271">
        <v>1</v>
      </c>
      <c r="AD1042" s="271"/>
      <c r="AE1042" s="271"/>
      <c r="AF1042" s="271"/>
      <c r="AG1042" s="271"/>
      <c r="AH1042" s="269"/>
      <c r="AI1042" s="272"/>
    </row>
    <row r="1043" spans="1:35">
      <c r="A1043" s="268"/>
      <c r="B1043" s="269"/>
      <c r="C1043" s="269" t="s">
        <v>4113</v>
      </c>
      <c r="D1043" s="269" t="s">
        <v>501</v>
      </c>
      <c r="E1043" s="269" t="s">
        <v>80</v>
      </c>
      <c r="F1043" s="269" t="s">
        <v>4099</v>
      </c>
      <c r="G1043" s="269" t="s">
        <v>4100</v>
      </c>
      <c r="H1043" s="269"/>
      <c r="I1043" s="270">
        <v>32578</v>
      </c>
      <c r="J1043" s="271">
        <v>1</v>
      </c>
      <c r="K1043" s="271"/>
      <c r="L1043" s="271"/>
      <c r="M1043" s="271"/>
      <c r="N1043" s="271"/>
      <c r="O1043" s="271"/>
      <c r="P1043" s="271"/>
      <c r="Q1043" s="271">
        <v>1</v>
      </c>
      <c r="R1043" s="271" t="s">
        <v>1045</v>
      </c>
      <c r="S1043" s="271"/>
      <c r="T1043" s="271"/>
      <c r="U1043" s="269"/>
      <c r="V1043" s="269" t="s">
        <v>519</v>
      </c>
      <c r="W1043" s="269" t="s">
        <v>280</v>
      </c>
      <c r="X1043" s="269" t="s">
        <v>227</v>
      </c>
      <c r="Y1043" s="269">
        <v>9464411159</v>
      </c>
      <c r="Z1043" s="269"/>
      <c r="AA1043" s="269" t="s">
        <v>4079</v>
      </c>
      <c r="AB1043" s="269" t="s">
        <v>528</v>
      </c>
      <c r="AC1043" s="271">
        <v>1</v>
      </c>
      <c r="AD1043" s="271"/>
      <c r="AE1043" s="271"/>
      <c r="AF1043" s="271"/>
      <c r="AG1043" s="271"/>
      <c r="AH1043" s="269"/>
      <c r="AI1043" s="272"/>
    </row>
    <row r="1044" spans="1:35">
      <c r="A1044" s="268"/>
      <c r="B1044" s="269"/>
      <c r="C1044" s="269" t="s">
        <v>4113</v>
      </c>
      <c r="D1044" s="269" t="s">
        <v>501</v>
      </c>
      <c r="E1044" s="269" t="s">
        <v>80</v>
      </c>
      <c r="F1044" s="269" t="s">
        <v>4101</v>
      </c>
      <c r="G1044" s="269" t="s">
        <v>4102</v>
      </c>
      <c r="H1044" s="269" t="s">
        <v>604</v>
      </c>
      <c r="I1044" s="270">
        <v>28432</v>
      </c>
      <c r="J1044" s="271">
        <v>1</v>
      </c>
      <c r="K1044" s="271"/>
      <c r="L1044" s="271"/>
      <c r="M1044" s="271"/>
      <c r="N1044" s="271"/>
      <c r="O1044" s="271"/>
      <c r="P1044" s="271"/>
      <c r="Q1044" s="271">
        <v>1</v>
      </c>
      <c r="R1044" s="271" t="s">
        <v>962</v>
      </c>
      <c r="S1044" s="271"/>
      <c r="T1044" s="271"/>
      <c r="U1044" s="269" t="s">
        <v>504</v>
      </c>
      <c r="V1044" s="269" t="s">
        <v>503</v>
      </c>
      <c r="W1044" s="269" t="s">
        <v>298</v>
      </c>
      <c r="X1044" s="269" t="s">
        <v>227</v>
      </c>
      <c r="Y1044" s="269">
        <v>9187377309</v>
      </c>
      <c r="Z1044" s="269"/>
      <c r="AA1044" s="269" t="s">
        <v>3149</v>
      </c>
      <c r="AB1044" s="269" t="s">
        <v>528</v>
      </c>
      <c r="AC1044" s="271">
        <v>1</v>
      </c>
      <c r="AD1044" s="271"/>
      <c r="AE1044" s="271"/>
      <c r="AF1044" s="271"/>
      <c r="AG1044" s="271"/>
      <c r="AH1044" s="269"/>
      <c r="AI1044" s="272"/>
    </row>
    <row r="1045" spans="1:35">
      <c r="A1045" s="140"/>
      <c r="B1045" s="143"/>
      <c r="C1045" s="269" t="s">
        <v>4113</v>
      </c>
      <c r="D1045" s="269" t="s">
        <v>501</v>
      </c>
      <c r="E1045" s="269" t="s">
        <v>80</v>
      </c>
      <c r="F1045" s="153" t="s">
        <v>918</v>
      </c>
      <c r="G1045" s="187" t="s">
        <v>198</v>
      </c>
      <c r="H1045" s="153"/>
      <c r="I1045" s="227"/>
      <c r="J1045" s="165">
        <v>1</v>
      </c>
      <c r="K1045" s="165"/>
      <c r="L1045" s="155"/>
      <c r="M1045" s="155"/>
      <c r="N1045" s="155"/>
      <c r="O1045" s="155"/>
      <c r="P1045" s="155"/>
      <c r="Q1045" s="155">
        <v>1</v>
      </c>
      <c r="R1045" s="155" t="s">
        <v>1348</v>
      </c>
      <c r="S1045" s="155"/>
      <c r="T1045" s="155"/>
      <c r="U1045" s="188" t="s">
        <v>502</v>
      </c>
      <c r="V1045" s="143" t="s">
        <v>503</v>
      </c>
      <c r="W1045" s="143" t="s">
        <v>298</v>
      </c>
      <c r="X1045" s="143" t="s">
        <v>227</v>
      </c>
      <c r="Y1045" s="153">
        <v>9519533276</v>
      </c>
      <c r="Z1045" s="143"/>
      <c r="AA1045" s="163" t="s">
        <v>525</v>
      </c>
      <c r="AB1045" s="143" t="s">
        <v>528</v>
      </c>
      <c r="AC1045" s="155">
        <v>1</v>
      </c>
      <c r="AD1045" s="155"/>
      <c r="AE1045" s="155"/>
      <c r="AF1045" s="155"/>
      <c r="AG1045" s="155"/>
      <c r="AH1045" s="143"/>
      <c r="AI1045" s="158"/>
    </row>
    <row r="1046" spans="1:35">
      <c r="A1046" s="268"/>
      <c r="B1046" s="269"/>
      <c r="C1046" s="269" t="s">
        <v>4113</v>
      </c>
      <c r="D1046" s="269" t="s">
        <v>501</v>
      </c>
      <c r="E1046" s="269" t="s">
        <v>80</v>
      </c>
      <c r="F1046" s="269" t="s">
        <v>819</v>
      </c>
      <c r="G1046" s="269" t="s">
        <v>4103</v>
      </c>
      <c r="H1046" s="269"/>
      <c r="I1046" s="270">
        <v>34649</v>
      </c>
      <c r="J1046" s="271"/>
      <c r="K1046" s="271">
        <v>1</v>
      </c>
      <c r="L1046" s="271"/>
      <c r="M1046" s="271"/>
      <c r="N1046" s="271"/>
      <c r="O1046" s="271"/>
      <c r="P1046" s="271"/>
      <c r="Q1046" s="271">
        <v>1</v>
      </c>
      <c r="R1046" s="271" t="s">
        <v>3079</v>
      </c>
      <c r="S1046" s="271"/>
      <c r="T1046" s="271"/>
      <c r="U1046" s="269" t="s">
        <v>502</v>
      </c>
      <c r="V1046" s="269" t="s">
        <v>503</v>
      </c>
      <c r="W1046" s="269" t="s">
        <v>298</v>
      </c>
      <c r="X1046" s="269" t="s">
        <v>227</v>
      </c>
      <c r="Y1046" s="269"/>
      <c r="Z1046" s="269"/>
      <c r="AA1046" s="269" t="s">
        <v>3149</v>
      </c>
      <c r="AB1046" s="269" t="s">
        <v>528</v>
      </c>
      <c r="AC1046" s="271">
        <v>1</v>
      </c>
      <c r="AD1046" s="271"/>
      <c r="AE1046" s="271"/>
      <c r="AF1046" s="271"/>
      <c r="AG1046" s="271"/>
      <c r="AH1046" s="269"/>
      <c r="AI1046" s="272"/>
    </row>
    <row r="1047" spans="1:35">
      <c r="A1047" s="268"/>
      <c r="B1047" s="269"/>
      <c r="C1047" s="269" t="s">
        <v>4113</v>
      </c>
      <c r="D1047" s="269" t="s">
        <v>501</v>
      </c>
      <c r="E1047" s="269" t="s">
        <v>80</v>
      </c>
      <c r="F1047" s="269" t="s">
        <v>4104</v>
      </c>
      <c r="G1047" s="269" t="s">
        <v>4105</v>
      </c>
      <c r="H1047" s="269"/>
      <c r="I1047" s="270">
        <v>33542</v>
      </c>
      <c r="J1047" s="271">
        <v>1</v>
      </c>
      <c r="K1047" s="271"/>
      <c r="L1047" s="271"/>
      <c r="M1047" s="271"/>
      <c r="N1047" s="271"/>
      <c r="O1047" s="271"/>
      <c r="P1047" s="271"/>
      <c r="Q1047" s="271">
        <v>1</v>
      </c>
      <c r="R1047" s="271" t="s">
        <v>4106</v>
      </c>
      <c r="S1047" s="271"/>
      <c r="T1047" s="271"/>
      <c r="U1047" s="269"/>
      <c r="V1047" s="269" t="s">
        <v>1259</v>
      </c>
      <c r="W1047" s="269" t="s">
        <v>279</v>
      </c>
      <c r="X1047" s="269" t="s">
        <v>227</v>
      </c>
      <c r="Y1047" s="269">
        <v>9386053638</v>
      </c>
      <c r="Z1047" s="269"/>
      <c r="AA1047" s="269" t="s">
        <v>3151</v>
      </c>
      <c r="AB1047" s="269" t="s">
        <v>528</v>
      </c>
      <c r="AC1047" s="271">
        <v>1</v>
      </c>
      <c r="AD1047" s="271"/>
      <c r="AE1047" s="271"/>
      <c r="AF1047" s="271"/>
      <c r="AG1047" s="271"/>
      <c r="AH1047" s="269"/>
      <c r="AI1047" s="272"/>
    </row>
    <row r="1048" spans="1:35">
      <c r="A1048" s="268"/>
      <c r="B1048" s="269"/>
      <c r="C1048" s="269" t="s">
        <v>4113</v>
      </c>
      <c r="D1048" s="269" t="s">
        <v>501</v>
      </c>
      <c r="E1048" s="269" t="s">
        <v>80</v>
      </c>
      <c r="F1048" s="269" t="s">
        <v>719</v>
      </c>
      <c r="G1048" s="269" t="s">
        <v>389</v>
      </c>
      <c r="H1048" s="269"/>
      <c r="I1048" s="270">
        <v>26507</v>
      </c>
      <c r="J1048" s="271">
        <v>1</v>
      </c>
      <c r="K1048" s="271"/>
      <c r="L1048" s="271"/>
      <c r="M1048" s="271"/>
      <c r="N1048" s="271"/>
      <c r="O1048" s="271"/>
      <c r="P1048" s="271"/>
      <c r="Q1048" s="271">
        <v>1</v>
      </c>
      <c r="R1048" s="271" t="s">
        <v>4107</v>
      </c>
      <c r="S1048" s="271"/>
      <c r="T1048" s="271"/>
      <c r="U1048" s="269"/>
      <c r="V1048" s="269" t="s">
        <v>223</v>
      </c>
      <c r="W1048" s="269" t="s">
        <v>279</v>
      </c>
      <c r="X1048" s="269" t="s">
        <v>227</v>
      </c>
      <c r="Y1048" s="269">
        <v>9168650296</v>
      </c>
      <c r="Z1048" s="269"/>
      <c r="AA1048" s="269" t="s">
        <v>3151</v>
      </c>
      <c r="AB1048" s="269" t="s">
        <v>528</v>
      </c>
      <c r="AC1048" s="271">
        <v>1</v>
      </c>
      <c r="AD1048" s="271"/>
      <c r="AE1048" s="271"/>
      <c r="AF1048" s="271"/>
      <c r="AG1048" s="271"/>
      <c r="AH1048" s="269"/>
      <c r="AI1048" s="272"/>
    </row>
    <row r="1049" spans="1:35">
      <c r="A1049" s="268"/>
      <c r="B1049" s="269"/>
      <c r="C1049" s="269" t="s">
        <v>4113</v>
      </c>
      <c r="D1049" s="269" t="s">
        <v>501</v>
      </c>
      <c r="E1049" s="269" t="s">
        <v>80</v>
      </c>
      <c r="F1049" s="269" t="s">
        <v>4108</v>
      </c>
      <c r="G1049" s="269" t="s">
        <v>4109</v>
      </c>
      <c r="H1049" s="269"/>
      <c r="I1049" s="270"/>
      <c r="J1049" s="271"/>
      <c r="K1049" s="271">
        <v>1</v>
      </c>
      <c r="L1049" s="271"/>
      <c r="M1049" s="271"/>
      <c r="N1049" s="271"/>
      <c r="O1049" s="271"/>
      <c r="P1049" s="271"/>
      <c r="Q1049" s="271">
        <v>1</v>
      </c>
      <c r="R1049" s="271" t="s">
        <v>3079</v>
      </c>
      <c r="S1049" s="271"/>
      <c r="T1049" s="271"/>
      <c r="U1049" s="269"/>
      <c r="V1049" s="269"/>
      <c r="W1049" s="269"/>
      <c r="X1049" s="269" t="s">
        <v>227</v>
      </c>
      <c r="Y1049" s="269">
        <v>9111188741</v>
      </c>
      <c r="Z1049" s="269"/>
      <c r="AA1049" s="269" t="s">
        <v>3149</v>
      </c>
      <c r="AB1049" s="269" t="s">
        <v>528</v>
      </c>
      <c r="AC1049" s="271">
        <v>1</v>
      </c>
      <c r="AD1049" s="271"/>
      <c r="AE1049" s="271"/>
      <c r="AF1049" s="271"/>
      <c r="AG1049" s="271"/>
      <c r="AH1049" s="269"/>
      <c r="AI1049" s="272"/>
    </row>
    <row r="1050" spans="1:35">
      <c r="A1050" s="268"/>
      <c r="B1050" s="269"/>
      <c r="C1050" s="269" t="s">
        <v>4113</v>
      </c>
      <c r="D1050" s="269" t="s">
        <v>501</v>
      </c>
      <c r="E1050" s="269" t="s">
        <v>80</v>
      </c>
      <c r="F1050" s="269" t="s">
        <v>184</v>
      </c>
      <c r="G1050" s="269" t="s">
        <v>4110</v>
      </c>
      <c r="H1050" s="269"/>
      <c r="I1050" s="270">
        <v>32151</v>
      </c>
      <c r="J1050" s="271"/>
      <c r="K1050" s="271">
        <v>1</v>
      </c>
      <c r="L1050" s="271"/>
      <c r="M1050" s="271"/>
      <c r="N1050" s="271"/>
      <c r="O1050" s="271"/>
      <c r="P1050" s="271"/>
      <c r="Q1050" s="271">
        <v>1</v>
      </c>
      <c r="R1050" s="271" t="s">
        <v>957</v>
      </c>
      <c r="S1050" s="271"/>
      <c r="T1050" s="271"/>
      <c r="U1050" s="269" t="s">
        <v>505</v>
      </c>
      <c r="V1050" s="269" t="s">
        <v>503</v>
      </c>
      <c r="W1050" s="269" t="s">
        <v>298</v>
      </c>
      <c r="X1050" s="269" t="s">
        <v>227</v>
      </c>
      <c r="Y1050" s="269">
        <v>9458461976</v>
      </c>
      <c r="Z1050" s="269"/>
      <c r="AA1050" s="269" t="s">
        <v>3149</v>
      </c>
      <c r="AB1050" s="269" t="s">
        <v>528</v>
      </c>
      <c r="AC1050" s="271">
        <v>1</v>
      </c>
      <c r="AD1050" s="271"/>
      <c r="AE1050" s="271"/>
      <c r="AF1050" s="271"/>
      <c r="AG1050" s="271"/>
      <c r="AH1050" s="269"/>
      <c r="AI1050" s="272"/>
    </row>
    <row r="1051" spans="1:35">
      <c r="A1051" s="268"/>
      <c r="B1051" s="269"/>
      <c r="C1051" s="269" t="s">
        <v>4113</v>
      </c>
      <c r="D1051" s="269" t="s">
        <v>501</v>
      </c>
      <c r="E1051" s="269" t="s">
        <v>80</v>
      </c>
      <c r="F1051" s="269" t="s">
        <v>492</v>
      </c>
      <c r="G1051" s="269" t="s">
        <v>4100</v>
      </c>
      <c r="H1051" s="269" t="s">
        <v>136</v>
      </c>
      <c r="I1051" s="270">
        <v>30501</v>
      </c>
      <c r="J1051" s="271">
        <v>1</v>
      </c>
      <c r="K1051" s="271"/>
      <c r="L1051" s="271"/>
      <c r="M1051" s="271"/>
      <c r="N1051" s="271"/>
      <c r="O1051" s="271"/>
      <c r="P1051" s="271"/>
      <c r="Q1051" s="271">
        <v>1</v>
      </c>
      <c r="R1051" s="271" t="s">
        <v>3079</v>
      </c>
      <c r="S1051" s="271"/>
      <c r="T1051" s="271"/>
      <c r="U1051" s="269"/>
      <c r="V1051" s="269" t="s">
        <v>503</v>
      </c>
      <c r="W1051" s="269" t="s">
        <v>298</v>
      </c>
      <c r="X1051" s="269" t="s">
        <v>227</v>
      </c>
      <c r="Y1051" s="269">
        <v>9300453807</v>
      </c>
      <c r="Z1051" s="269"/>
      <c r="AA1051" s="269" t="s">
        <v>3149</v>
      </c>
      <c r="AB1051" s="269" t="s">
        <v>528</v>
      </c>
      <c r="AC1051" s="271">
        <v>1</v>
      </c>
      <c r="AD1051" s="271"/>
      <c r="AE1051" s="271"/>
      <c r="AF1051" s="271"/>
      <c r="AG1051" s="271"/>
      <c r="AH1051" s="269"/>
      <c r="AI1051" s="272"/>
    </row>
    <row r="1052" spans="1:35">
      <c r="A1052" s="268"/>
      <c r="B1052" s="269"/>
      <c r="C1052" s="269" t="s">
        <v>4113</v>
      </c>
      <c r="D1052" s="269" t="s">
        <v>501</v>
      </c>
      <c r="E1052" s="269" t="s">
        <v>80</v>
      </c>
      <c r="F1052" s="269" t="s">
        <v>4111</v>
      </c>
      <c r="G1052" s="269" t="s">
        <v>160</v>
      </c>
      <c r="H1052" s="269" t="s">
        <v>1957</v>
      </c>
      <c r="I1052" s="270">
        <v>19646</v>
      </c>
      <c r="J1052" s="271">
        <v>1</v>
      </c>
      <c r="K1052" s="271"/>
      <c r="L1052" s="271"/>
      <c r="M1052" s="271"/>
      <c r="N1052" s="271"/>
      <c r="O1052" s="271"/>
      <c r="P1052" s="271"/>
      <c r="Q1052" s="271">
        <v>1</v>
      </c>
      <c r="R1052" s="271" t="s">
        <v>1045</v>
      </c>
      <c r="S1052" s="271"/>
      <c r="T1052" s="271"/>
      <c r="U1052" s="269"/>
      <c r="V1052" s="269"/>
      <c r="W1052" s="269"/>
      <c r="X1052" s="269"/>
      <c r="Y1052" s="269"/>
      <c r="Z1052" s="269"/>
      <c r="AA1052" s="269" t="s">
        <v>3149</v>
      </c>
      <c r="AB1052" s="269" t="s">
        <v>528</v>
      </c>
      <c r="AC1052" s="271">
        <v>1</v>
      </c>
      <c r="AD1052" s="271"/>
      <c r="AE1052" s="271"/>
      <c r="AF1052" s="271"/>
      <c r="AG1052" s="271"/>
      <c r="AH1052" s="269"/>
      <c r="AI1052" s="272"/>
    </row>
    <row r="1053" spans="1:35">
      <c r="A1053" s="268"/>
      <c r="B1053" s="269"/>
      <c r="C1053" s="269" t="s">
        <v>4113</v>
      </c>
      <c r="D1053" s="269" t="s">
        <v>501</v>
      </c>
      <c r="E1053" s="269" t="s">
        <v>80</v>
      </c>
      <c r="F1053" s="269" t="s">
        <v>4112</v>
      </c>
      <c r="G1053" s="269" t="s">
        <v>121</v>
      </c>
      <c r="H1053" s="269" t="s">
        <v>136</v>
      </c>
      <c r="I1053" s="270">
        <v>32422</v>
      </c>
      <c r="J1053" s="271">
        <v>1</v>
      </c>
      <c r="K1053" s="271"/>
      <c r="L1053" s="271"/>
      <c r="M1053" s="271"/>
      <c r="N1053" s="271"/>
      <c r="O1053" s="271"/>
      <c r="P1053" s="271"/>
      <c r="Q1053" s="271">
        <v>1</v>
      </c>
      <c r="R1053" s="271" t="s">
        <v>1045</v>
      </c>
      <c r="S1053" s="271"/>
      <c r="T1053" s="271"/>
      <c r="U1053" s="269" t="s">
        <v>506</v>
      </c>
      <c r="V1053" s="269" t="s">
        <v>503</v>
      </c>
      <c r="W1053" s="269" t="s">
        <v>298</v>
      </c>
      <c r="X1053" s="269" t="s">
        <v>227</v>
      </c>
      <c r="Y1053" s="269">
        <v>9122256768</v>
      </c>
      <c r="Z1053" s="269"/>
      <c r="AA1053" s="269" t="s">
        <v>3149</v>
      </c>
      <c r="AB1053" s="269" t="s">
        <v>528</v>
      </c>
      <c r="AC1053" s="271">
        <v>1</v>
      </c>
      <c r="AD1053" s="271"/>
      <c r="AE1053" s="271"/>
      <c r="AF1053" s="271"/>
      <c r="AG1053" s="271"/>
      <c r="AH1053" s="269"/>
      <c r="AI1053" s="272"/>
    </row>
    <row r="1054" spans="1:35">
      <c r="A1054" s="140"/>
      <c r="B1054" s="143"/>
      <c r="C1054" s="269" t="s">
        <v>4113</v>
      </c>
      <c r="D1054" s="269" t="s">
        <v>501</v>
      </c>
      <c r="E1054" s="269" t="s">
        <v>80</v>
      </c>
      <c r="F1054" s="143" t="s">
        <v>3550</v>
      </c>
      <c r="G1054" s="143" t="s">
        <v>3551</v>
      </c>
      <c r="H1054" s="143"/>
      <c r="I1054" s="198">
        <v>29313</v>
      </c>
      <c r="J1054" s="155">
        <v>1</v>
      </c>
      <c r="K1054" s="155"/>
      <c r="L1054" s="155"/>
      <c r="M1054" s="155"/>
      <c r="N1054" s="155"/>
      <c r="O1054" s="155"/>
      <c r="P1054" s="155"/>
      <c r="Q1054" s="155">
        <v>1</v>
      </c>
      <c r="R1054" s="155" t="s">
        <v>962</v>
      </c>
      <c r="S1054" s="155"/>
      <c r="T1054" s="155"/>
      <c r="U1054" s="143" t="s">
        <v>295</v>
      </c>
      <c r="V1054" s="143" t="s">
        <v>503</v>
      </c>
      <c r="W1054" s="143" t="s">
        <v>298</v>
      </c>
      <c r="X1054" s="143" t="s">
        <v>227</v>
      </c>
      <c r="Y1054" s="143">
        <v>9084941198</v>
      </c>
      <c r="Z1054" s="143"/>
      <c r="AA1054" s="143" t="s">
        <v>3141</v>
      </c>
      <c r="AB1054" s="143" t="s">
        <v>528</v>
      </c>
      <c r="AC1054" s="155">
        <v>1</v>
      </c>
      <c r="AD1054" s="155"/>
      <c r="AE1054" s="155"/>
      <c r="AF1054" s="155"/>
      <c r="AG1054" s="155"/>
      <c r="AH1054" s="143"/>
      <c r="AI1054" s="158"/>
    </row>
    <row r="1055" spans="1:35">
      <c r="A1055" s="268"/>
      <c r="B1055" s="269"/>
      <c r="C1055" s="269" t="s">
        <v>4113</v>
      </c>
      <c r="D1055" s="269" t="s">
        <v>501</v>
      </c>
      <c r="E1055" s="269" t="s">
        <v>80</v>
      </c>
      <c r="F1055" s="269" t="s">
        <v>556</v>
      </c>
      <c r="G1055" s="269" t="s">
        <v>4114</v>
      </c>
      <c r="H1055" s="269"/>
      <c r="I1055" s="270">
        <v>26094</v>
      </c>
      <c r="J1055" s="271">
        <v>1</v>
      </c>
      <c r="K1055" s="271"/>
      <c r="L1055" s="271"/>
      <c r="M1055" s="271"/>
      <c r="N1055" s="271"/>
      <c r="O1055" s="271"/>
      <c r="P1055" s="271"/>
      <c r="Q1055" s="271">
        <v>1</v>
      </c>
      <c r="R1055" s="271" t="s">
        <v>1045</v>
      </c>
      <c r="S1055" s="271"/>
      <c r="T1055" s="271"/>
      <c r="U1055" s="269"/>
      <c r="V1055" s="269" t="s">
        <v>503</v>
      </c>
      <c r="W1055" s="269" t="s">
        <v>298</v>
      </c>
      <c r="X1055" s="269" t="s">
        <v>227</v>
      </c>
      <c r="Y1055" s="269">
        <v>9453614352</v>
      </c>
      <c r="Z1055" s="269"/>
      <c r="AA1055" s="269" t="s">
        <v>3149</v>
      </c>
      <c r="AB1055" s="269" t="s">
        <v>528</v>
      </c>
      <c r="AC1055" s="271">
        <v>1</v>
      </c>
      <c r="AD1055" s="271"/>
      <c r="AE1055" s="271"/>
      <c r="AF1055" s="271"/>
      <c r="AG1055" s="271"/>
      <c r="AH1055" s="269"/>
      <c r="AI1055" s="272"/>
    </row>
    <row r="1056" spans="1:35">
      <c r="A1056" s="268"/>
      <c r="B1056" s="269"/>
      <c r="C1056" s="269" t="s">
        <v>4113</v>
      </c>
      <c r="D1056" s="269" t="s">
        <v>501</v>
      </c>
      <c r="E1056" s="269" t="s">
        <v>80</v>
      </c>
      <c r="F1056" s="269" t="s">
        <v>4115</v>
      </c>
      <c r="G1056" s="269" t="s">
        <v>4116</v>
      </c>
      <c r="H1056" s="269"/>
      <c r="I1056" s="270" t="s">
        <v>4117</v>
      </c>
      <c r="J1056" s="271"/>
      <c r="K1056" s="271">
        <v>1</v>
      </c>
      <c r="L1056" s="271"/>
      <c r="M1056" s="271"/>
      <c r="N1056" s="271"/>
      <c r="O1056" s="271"/>
      <c r="P1056" s="271"/>
      <c r="Q1056" s="271">
        <v>1</v>
      </c>
      <c r="R1056" s="271" t="s">
        <v>1132</v>
      </c>
      <c r="S1056" s="271"/>
      <c r="T1056" s="271"/>
      <c r="U1056" s="269" t="s">
        <v>506</v>
      </c>
      <c r="V1056" s="269" t="s">
        <v>503</v>
      </c>
      <c r="W1056" s="269" t="s">
        <v>298</v>
      </c>
      <c r="X1056" s="269" t="s">
        <v>227</v>
      </c>
      <c r="Y1056" s="269">
        <v>9778378714</v>
      </c>
      <c r="Z1056" s="269"/>
      <c r="AA1056" s="269" t="s">
        <v>3138</v>
      </c>
      <c r="AB1056" s="269" t="s">
        <v>528</v>
      </c>
      <c r="AC1056" s="271">
        <v>1</v>
      </c>
      <c r="AD1056" s="271"/>
      <c r="AE1056" s="271"/>
      <c r="AF1056" s="271"/>
      <c r="AG1056" s="271"/>
      <c r="AH1056" s="269"/>
      <c r="AI1056" s="272"/>
    </row>
    <row r="1057" spans="1:35">
      <c r="A1057" s="140"/>
      <c r="B1057" s="143"/>
      <c r="C1057" s="228" t="s">
        <v>4113</v>
      </c>
      <c r="D1057" s="230" t="s">
        <v>501</v>
      </c>
      <c r="E1057" s="143" t="s">
        <v>80</v>
      </c>
      <c r="F1057" s="143" t="s">
        <v>3216</v>
      </c>
      <c r="G1057" s="143" t="s">
        <v>3217</v>
      </c>
      <c r="H1057" s="143"/>
      <c r="I1057" s="198"/>
      <c r="J1057" s="155">
        <v>1</v>
      </c>
      <c r="K1057" s="155"/>
      <c r="L1057" s="155"/>
      <c r="M1057" s="155"/>
      <c r="N1057" s="155"/>
      <c r="O1057" s="155"/>
      <c r="P1057" s="155"/>
      <c r="Q1057" s="155">
        <v>1</v>
      </c>
      <c r="R1057" s="155" t="s">
        <v>1045</v>
      </c>
      <c r="S1057" s="155"/>
      <c r="T1057" s="155"/>
      <c r="U1057" s="143" t="s">
        <v>505</v>
      </c>
      <c r="V1057" s="143" t="s">
        <v>503</v>
      </c>
      <c r="W1057" s="143" t="s">
        <v>298</v>
      </c>
      <c r="X1057" s="143" t="s">
        <v>227</v>
      </c>
      <c r="Y1057" s="143">
        <v>9208640785</v>
      </c>
      <c r="Z1057" s="143"/>
      <c r="AA1057" s="162" t="s">
        <v>524</v>
      </c>
      <c r="AB1057" s="143" t="s">
        <v>528</v>
      </c>
      <c r="AC1057" s="155">
        <v>1</v>
      </c>
      <c r="AD1057" s="155"/>
      <c r="AE1057" s="155"/>
      <c r="AF1057" s="155"/>
      <c r="AG1057" s="155"/>
      <c r="AH1057" s="143"/>
      <c r="AI1057" s="158"/>
    </row>
    <row r="1058" spans="1:35">
      <c r="A1058" s="140"/>
      <c r="B1058" s="143"/>
      <c r="C1058" s="143" t="s">
        <v>4113</v>
      </c>
      <c r="D1058" s="143" t="s">
        <v>501</v>
      </c>
      <c r="E1058" s="143" t="s">
        <v>80</v>
      </c>
      <c r="F1058" s="153" t="s">
        <v>413</v>
      </c>
      <c r="G1058" s="153" t="s">
        <v>414</v>
      </c>
      <c r="H1058" s="153"/>
      <c r="I1058" s="227">
        <v>23925</v>
      </c>
      <c r="J1058" s="154"/>
      <c r="K1058" s="154">
        <v>1</v>
      </c>
      <c r="L1058" s="155"/>
      <c r="M1058" s="155"/>
      <c r="N1058" s="155"/>
      <c r="O1058" s="155"/>
      <c r="P1058" s="155"/>
      <c r="Q1058" s="155"/>
      <c r="R1058" s="155"/>
      <c r="S1058" s="155"/>
      <c r="T1058" s="155"/>
      <c r="U1058" s="156" t="s">
        <v>295</v>
      </c>
      <c r="V1058" s="153" t="s">
        <v>503</v>
      </c>
      <c r="W1058" s="143" t="s">
        <v>298</v>
      </c>
      <c r="X1058" s="157" t="s">
        <v>227</v>
      </c>
      <c r="Y1058" s="157">
        <v>9357514235</v>
      </c>
      <c r="Z1058" s="143"/>
      <c r="AA1058" s="157" t="s">
        <v>525</v>
      </c>
      <c r="AB1058" s="143" t="s">
        <v>528</v>
      </c>
      <c r="AC1058" s="155">
        <v>2</v>
      </c>
      <c r="AD1058" s="155"/>
      <c r="AE1058" s="155"/>
      <c r="AF1058" s="155"/>
      <c r="AG1058" s="155"/>
      <c r="AH1058" s="143"/>
      <c r="AI1058" s="158"/>
    </row>
    <row r="1059" spans="1:35">
      <c r="A1059" s="140"/>
      <c r="B1059" s="143"/>
      <c r="C1059" s="143" t="s">
        <v>4113</v>
      </c>
      <c r="D1059" s="143" t="s">
        <v>501</v>
      </c>
      <c r="E1059" s="143" t="s">
        <v>80</v>
      </c>
      <c r="F1059" s="143" t="s">
        <v>4118</v>
      </c>
      <c r="G1059" s="143" t="s">
        <v>1726</v>
      </c>
      <c r="H1059" s="143" t="s">
        <v>144</v>
      </c>
      <c r="I1059" s="198"/>
      <c r="J1059" s="155">
        <v>1</v>
      </c>
      <c r="K1059" s="155"/>
      <c r="L1059" s="155"/>
      <c r="M1059" s="155"/>
      <c r="N1059" s="155"/>
      <c r="O1059" s="155"/>
      <c r="P1059" s="155"/>
      <c r="Q1059" s="155">
        <v>1</v>
      </c>
      <c r="R1059" s="155" t="s">
        <v>4119</v>
      </c>
      <c r="S1059" s="155"/>
      <c r="T1059" s="155"/>
      <c r="U1059" s="143" t="s">
        <v>504</v>
      </c>
      <c r="V1059" s="143" t="s">
        <v>503</v>
      </c>
      <c r="W1059" s="143" t="s">
        <v>298</v>
      </c>
      <c r="X1059" s="143" t="s">
        <v>227</v>
      </c>
      <c r="Y1059" s="143"/>
      <c r="Z1059" s="143"/>
      <c r="AA1059" s="143" t="s">
        <v>3151</v>
      </c>
      <c r="AB1059" s="143" t="s">
        <v>528</v>
      </c>
      <c r="AC1059" s="155">
        <v>1</v>
      </c>
      <c r="AD1059" s="155"/>
      <c r="AE1059" s="155"/>
      <c r="AF1059" s="155"/>
      <c r="AG1059" s="155"/>
      <c r="AH1059" s="143"/>
      <c r="AI1059" s="158"/>
    </row>
    <row r="1060" spans="1:35">
      <c r="A1060" s="140"/>
      <c r="B1060" s="143"/>
      <c r="C1060" s="143" t="s">
        <v>4113</v>
      </c>
      <c r="D1060" s="143" t="s">
        <v>501</v>
      </c>
      <c r="E1060" s="143" t="s">
        <v>80</v>
      </c>
      <c r="F1060" s="143" t="s">
        <v>4120</v>
      </c>
      <c r="G1060" s="143" t="s">
        <v>4121</v>
      </c>
      <c r="H1060" s="143"/>
      <c r="I1060" s="198"/>
      <c r="J1060" s="155">
        <v>1</v>
      </c>
      <c r="K1060" s="155"/>
      <c r="L1060" s="155"/>
      <c r="M1060" s="155"/>
      <c r="N1060" s="155"/>
      <c r="O1060" s="155"/>
      <c r="P1060" s="155"/>
      <c r="Q1060" s="155">
        <v>1</v>
      </c>
      <c r="R1060" s="155" t="s">
        <v>4119</v>
      </c>
      <c r="S1060" s="155"/>
      <c r="T1060" s="155"/>
      <c r="U1060" s="143"/>
      <c r="V1060" s="143"/>
      <c r="W1060" s="143"/>
      <c r="X1060" s="143"/>
      <c r="Y1060" s="143"/>
      <c r="Z1060" s="143"/>
      <c r="AA1060" s="143" t="s">
        <v>3149</v>
      </c>
      <c r="AB1060" s="143" t="s">
        <v>528</v>
      </c>
      <c r="AC1060" s="155">
        <v>1</v>
      </c>
      <c r="AD1060" s="155"/>
      <c r="AE1060" s="155"/>
      <c r="AF1060" s="155"/>
      <c r="AG1060" s="155"/>
      <c r="AH1060" s="143"/>
      <c r="AI1060" s="158"/>
    </row>
    <row r="1061" spans="1:35">
      <c r="A1061" s="140"/>
      <c r="B1061" s="143"/>
      <c r="C1061" s="143" t="s">
        <v>4113</v>
      </c>
      <c r="D1061" s="143" t="s">
        <v>501</v>
      </c>
      <c r="E1061" s="143" t="s">
        <v>80</v>
      </c>
      <c r="F1061" s="143" t="s">
        <v>4122</v>
      </c>
      <c r="G1061" s="143" t="s">
        <v>4123</v>
      </c>
      <c r="H1061" s="143" t="s">
        <v>136</v>
      </c>
      <c r="I1061" s="198"/>
      <c r="J1061" s="155"/>
      <c r="K1061" s="155">
        <v>1</v>
      </c>
      <c r="L1061" s="155"/>
      <c r="M1061" s="155"/>
      <c r="N1061" s="155"/>
      <c r="O1061" s="155"/>
      <c r="P1061" s="155"/>
      <c r="Q1061" s="155">
        <v>1</v>
      </c>
      <c r="R1061" s="155" t="s">
        <v>4119</v>
      </c>
      <c r="S1061" s="155"/>
      <c r="T1061" s="155"/>
      <c r="U1061" s="143" t="s">
        <v>504</v>
      </c>
      <c r="V1061" s="143" t="s">
        <v>956</v>
      </c>
      <c r="W1061" s="143" t="s">
        <v>298</v>
      </c>
      <c r="X1061" s="143" t="s">
        <v>227</v>
      </c>
      <c r="Y1061" s="143">
        <v>9063462145</v>
      </c>
      <c r="Z1061" s="143"/>
      <c r="AA1061" s="143" t="s">
        <v>3149</v>
      </c>
      <c r="AB1061" s="143" t="s">
        <v>528</v>
      </c>
      <c r="AC1061" s="155">
        <v>1</v>
      </c>
      <c r="AD1061" s="155"/>
      <c r="AE1061" s="155"/>
      <c r="AF1061" s="155"/>
      <c r="AG1061" s="155"/>
      <c r="AH1061" s="143"/>
      <c r="AI1061" s="158"/>
    </row>
    <row r="1062" spans="1:35">
      <c r="A1062" s="140"/>
      <c r="B1062" s="143"/>
      <c r="C1062" s="143" t="s">
        <v>4113</v>
      </c>
      <c r="D1062" s="143" t="s">
        <v>501</v>
      </c>
      <c r="E1062" s="143" t="s">
        <v>80</v>
      </c>
      <c r="F1062" s="143" t="s">
        <v>4124</v>
      </c>
      <c r="G1062" s="143" t="s">
        <v>4125</v>
      </c>
      <c r="H1062" s="143" t="s">
        <v>120</v>
      </c>
      <c r="I1062" s="198">
        <v>32703</v>
      </c>
      <c r="J1062" s="155">
        <v>1</v>
      </c>
      <c r="K1062" s="155"/>
      <c r="L1062" s="155">
        <v>1</v>
      </c>
      <c r="M1062" s="155"/>
      <c r="N1062" s="155"/>
      <c r="O1062" s="155"/>
      <c r="P1062" s="155"/>
      <c r="Q1062" s="155"/>
      <c r="R1062" s="155"/>
      <c r="S1062" s="155"/>
      <c r="T1062" s="155"/>
      <c r="U1062" s="143" t="s">
        <v>864</v>
      </c>
      <c r="V1062" s="143" t="s">
        <v>956</v>
      </c>
      <c r="W1062" s="143" t="s">
        <v>298</v>
      </c>
      <c r="X1062" s="143" t="s">
        <v>227</v>
      </c>
      <c r="Y1062" s="143">
        <v>9460701312</v>
      </c>
      <c r="Z1062" s="143"/>
      <c r="AA1062" s="143" t="s">
        <v>3151</v>
      </c>
      <c r="AB1062" s="143" t="s">
        <v>528</v>
      </c>
      <c r="AC1062" s="155">
        <v>1</v>
      </c>
      <c r="AD1062" s="155"/>
      <c r="AE1062" s="155"/>
      <c r="AF1062" s="155"/>
      <c r="AG1062" s="155"/>
      <c r="AH1062" s="143"/>
      <c r="AI1062" s="158"/>
    </row>
    <row r="1063" spans="1:35">
      <c r="A1063" s="140"/>
      <c r="B1063" s="143"/>
      <c r="C1063" s="143" t="s">
        <v>4113</v>
      </c>
      <c r="D1063" s="143" t="s">
        <v>501</v>
      </c>
      <c r="E1063" s="143" t="s">
        <v>80</v>
      </c>
      <c r="F1063" s="143" t="s">
        <v>4126</v>
      </c>
      <c r="G1063" s="143" t="s">
        <v>3055</v>
      </c>
      <c r="H1063" s="143"/>
      <c r="I1063" s="198">
        <v>23700</v>
      </c>
      <c r="J1063" s="155">
        <v>1</v>
      </c>
      <c r="K1063" s="155"/>
      <c r="L1063" s="155"/>
      <c r="M1063" s="155"/>
      <c r="N1063" s="155"/>
      <c r="O1063" s="155"/>
      <c r="P1063" s="155"/>
      <c r="Q1063" s="155">
        <v>1</v>
      </c>
      <c r="R1063" s="155" t="s">
        <v>4119</v>
      </c>
      <c r="S1063" s="155"/>
      <c r="T1063" s="155"/>
      <c r="U1063" s="255" t="s">
        <v>509</v>
      </c>
      <c r="V1063" s="255" t="s">
        <v>956</v>
      </c>
      <c r="W1063" s="255" t="s">
        <v>298</v>
      </c>
      <c r="X1063" s="255" t="s">
        <v>227</v>
      </c>
      <c r="Y1063" s="7">
        <v>94061916783</v>
      </c>
      <c r="Z1063" s="143"/>
      <c r="AA1063" s="143" t="s">
        <v>3141</v>
      </c>
      <c r="AB1063" s="143" t="s">
        <v>528</v>
      </c>
      <c r="AC1063" s="155">
        <v>1</v>
      </c>
      <c r="AD1063" s="155"/>
      <c r="AE1063" s="155"/>
      <c r="AF1063" s="155"/>
      <c r="AG1063" s="155"/>
      <c r="AH1063" s="143"/>
      <c r="AI1063" s="158"/>
    </row>
    <row r="1064" spans="1:35">
      <c r="A1064" s="140"/>
      <c r="B1064" s="143"/>
      <c r="C1064" s="143" t="s">
        <v>4113</v>
      </c>
      <c r="D1064" s="143" t="s">
        <v>501</v>
      </c>
      <c r="E1064" s="143" t="s">
        <v>80</v>
      </c>
      <c r="F1064" s="143" t="s">
        <v>4122</v>
      </c>
      <c r="G1064" s="143" t="s">
        <v>4123</v>
      </c>
      <c r="H1064" s="143" t="s">
        <v>136</v>
      </c>
      <c r="I1064" s="198"/>
      <c r="J1064" s="155"/>
      <c r="K1064" s="155">
        <v>1</v>
      </c>
      <c r="L1064" s="155"/>
      <c r="M1064" s="155"/>
      <c r="N1064" s="155"/>
      <c r="O1064" s="155"/>
      <c r="P1064" s="155"/>
      <c r="Q1064" s="155">
        <v>1</v>
      </c>
      <c r="R1064" s="155" t="s">
        <v>4119</v>
      </c>
      <c r="S1064" s="155"/>
      <c r="T1064" s="155"/>
      <c r="U1064" s="143" t="s">
        <v>504</v>
      </c>
      <c r="V1064" s="143" t="s">
        <v>956</v>
      </c>
      <c r="W1064" s="143" t="s">
        <v>298</v>
      </c>
      <c r="X1064" s="143" t="s">
        <v>227</v>
      </c>
      <c r="Y1064" s="143">
        <v>9063462145</v>
      </c>
      <c r="Z1064" s="143"/>
      <c r="AA1064" s="143" t="s">
        <v>3149</v>
      </c>
      <c r="AB1064" s="143" t="s">
        <v>528</v>
      </c>
      <c r="AC1064" s="155">
        <v>1</v>
      </c>
      <c r="AD1064" s="155"/>
      <c r="AE1064" s="155"/>
      <c r="AF1064" s="155"/>
      <c r="AG1064" s="155"/>
      <c r="AH1064" s="143"/>
      <c r="AI1064" s="158"/>
    </row>
    <row r="1065" spans="1:35">
      <c r="A1065" s="140"/>
      <c r="B1065" s="143"/>
      <c r="C1065" s="143" t="s">
        <v>4113</v>
      </c>
      <c r="D1065" s="143" t="s">
        <v>501</v>
      </c>
      <c r="E1065" s="143" t="s">
        <v>80</v>
      </c>
      <c r="F1065" s="143" t="s">
        <v>4127</v>
      </c>
      <c r="G1065" s="143" t="s">
        <v>2912</v>
      </c>
      <c r="H1065" s="143"/>
      <c r="I1065" s="198"/>
      <c r="J1065" s="155"/>
      <c r="K1065" s="155">
        <v>1</v>
      </c>
      <c r="L1065" s="155"/>
      <c r="M1065" s="155"/>
      <c r="N1065" s="155"/>
      <c r="O1065" s="155"/>
      <c r="P1065" s="155"/>
      <c r="Q1065" s="155">
        <v>1</v>
      </c>
      <c r="R1065" s="155" t="s">
        <v>4128</v>
      </c>
      <c r="S1065" s="155"/>
      <c r="T1065" s="155"/>
      <c r="U1065" s="143"/>
      <c r="V1065" s="143"/>
      <c r="W1065" s="143"/>
      <c r="X1065" s="143"/>
      <c r="Y1065" s="143"/>
      <c r="Z1065" s="143"/>
      <c r="AA1065" s="143" t="s">
        <v>3149</v>
      </c>
      <c r="AB1065" s="143" t="s">
        <v>528</v>
      </c>
      <c r="AC1065" s="155">
        <v>1</v>
      </c>
      <c r="AD1065" s="155"/>
      <c r="AE1065" s="155"/>
      <c r="AF1065" s="155"/>
      <c r="AG1065" s="155"/>
      <c r="AH1065" s="143"/>
      <c r="AI1065" s="158"/>
    </row>
    <row r="1066" spans="1:35">
      <c r="A1066" s="140"/>
      <c r="B1066" s="143"/>
      <c r="C1066" s="143" t="s">
        <v>4113</v>
      </c>
      <c r="D1066" s="143" t="s">
        <v>501</v>
      </c>
      <c r="E1066" s="143" t="s">
        <v>80</v>
      </c>
      <c r="F1066" s="143" t="s">
        <v>4129</v>
      </c>
      <c r="G1066" s="143" t="s">
        <v>1288</v>
      </c>
      <c r="H1066" s="143" t="s">
        <v>115</v>
      </c>
      <c r="I1066" s="198"/>
      <c r="J1066" s="155"/>
      <c r="K1066" s="155">
        <v>1</v>
      </c>
      <c r="L1066" s="155"/>
      <c r="M1066" s="155"/>
      <c r="N1066" s="155"/>
      <c r="O1066" s="155"/>
      <c r="P1066" s="155"/>
      <c r="Q1066" s="155">
        <v>1</v>
      </c>
      <c r="R1066" s="155" t="s">
        <v>4119</v>
      </c>
      <c r="S1066" s="155"/>
      <c r="T1066" s="155"/>
      <c r="U1066" s="143" t="s">
        <v>859</v>
      </c>
      <c r="V1066" s="143" t="s">
        <v>4130</v>
      </c>
      <c r="W1066" s="143" t="s">
        <v>298</v>
      </c>
      <c r="X1066" s="143" t="s">
        <v>227</v>
      </c>
      <c r="Y1066" s="143">
        <v>9368500335</v>
      </c>
      <c r="Z1066" s="143"/>
      <c r="AA1066" s="143" t="s">
        <v>3141</v>
      </c>
      <c r="AB1066" s="143" t="s">
        <v>528</v>
      </c>
      <c r="AC1066" s="155">
        <v>1</v>
      </c>
      <c r="AD1066" s="155"/>
      <c r="AE1066" s="155"/>
      <c r="AF1066" s="155"/>
      <c r="AG1066" s="155"/>
      <c r="AH1066" s="143"/>
      <c r="AI1066" s="158"/>
    </row>
    <row r="1067" spans="1:35">
      <c r="A1067" s="140"/>
      <c r="B1067" s="143"/>
      <c r="C1067" s="143" t="s">
        <v>4113</v>
      </c>
      <c r="D1067" s="143" t="s">
        <v>501</v>
      </c>
      <c r="E1067" s="143" t="s">
        <v>80</v>
      </c>
      <c r="F1067" s="143" t="s">
        <v>4122</v>
      </c>
      <c r="G1067" s="143" t="s">
        <v>4123</v>
      </c>
      <c r="H1067" s="143" t="s">
        <v>136</v>
      </c>
      <c r="I1067" s="198"/>
      <c r="J1067" s="155"/>
      <c r="K1067" s="155">
        <v>1</v>
      </c>
      <c r="L1067" s="155"/>
      <c r="M1067" s="155"/>
      <c r="N1067" s="155"/>
      <c r="O1067" s="155"/>
      <c r="P1067" s="155"/>
      <c r="Q1067" s="155">
        <v>1</v>
      </c>
      <c r="R1067" s="155" t="s">
        <v>4119</v>
      </c>
      <c r="S1067" s="155"/>
      <c r="T1067" s="155"/>
      <c r="U1067" s="143" t="s">
        <v>504</v>
      </c>
      <c r="V1067" s="143" t="s">
        <v>956</v>
      </c>
      <c r="W1067" s="143" t="s">
        <v>298</v>
      </c>
      <c r="X1067" s="143" t="s">
        <v>227</v>
      </c>
      <c r="Y1067" s="143">
        <v>9063462145</v>
      </c>
      <c r="Z1067" s="143"/>
      <c r="AA1067" s="143" t="s">
        <v>3149</v>
      </c>
      <c r="AB1067" s="143" t="s">
        <v>528</v>
      </c>
      <c r="AC1067" s="155">
        <v>1</v>
      </c>
      <c r="AD1067" s="155"/>
      <c r="AE1067" s="155"/>
      <c r="AF1067" s="155"/>
      <c r="AG1067" s="155"/>
      <c r="AH1067" s="143"/>
      <c r="AI1067" s="158"/>
    </row>
    <row r="1068" spans="1:35">
      <c r="A1068" s="140"/>
      <c r="B1068" s="143"/>
      <c r="C1068" s="143" t="s">
        <v>4113</v>
      </c>
      <c r="D1068" s="143" t="s">
        <v>501</v>
      </c>
      <c r="E1068" s="143" t="s">
        <v>80</v>
      </c>
      <c r="F1068" s="143"/>
      <c r="G1068" s="143" t="s">
        <v>4131</v>
      </c>
      <c r="H1068" s="143" t="s">
        <v>604</v>
      </c>
      <c r="I1068" s="198"/>
      <c r="J1068" s="155"/>
      <c r="K1068" s="155">
        <v>1</v>
      </c>
      <c r="L1068" s="155"/>
      <c r="M1068" s="155"/>
      <c r="N1068" s="155"/>
      <c r="O1068" s="155"/>
      <c r="P1068" s="155"/>
      <c r="Q1068" s="155">
        <v>1</v>
      </c>
      <c r="R1068" s="155" t="s">
        <v>3060</v>
      </c>
      <c r="S1068" s="155"/>
      <c r="T1068" s="155"/>
      <c r="U1068" s="143"/>
      <c r="V1068" s="143" t="s">
        <v>1127</v>
      </c>
      <c r="W1068" s="143"/>
      <c r="X1068" s="143"/>
      <c r="Y1068" s="143">
        <v>9065758718</v>
      </c>
      <c r="Z1068" s="143"/>
      <c r="AA1068" s="143" t="s">
        <v>4132</v>
      </c>
      <c r="AB1068" s="143" t="s">
        <v>528</v>
      </c>
      <c r="AC1068" s="155">
        <v>1</v>
      </c>
      <c r="AD1068" s="155"/>
      <c r="AE1068" s="155"/>
      <c r="AF1068" s="155"/>
      <c r="AG1068" s="155"/>
      <c r="AH1068" s="143"/>
      <c r="AI1068" s="158"/>
    </row>
    <row r="1069" spans="1:35">
      <c r="A1069" s="140"/>
      <c r="B1069" s="143"/>
      <c r="C1069" s="143" t="s">
        <v>4113</v>
      </c>
      <c r="D1069" s="143" t="s">
        <v>501</v>
      </c>
      <c r="E1069" s="143" t="s">
        <v>80</v>
      </c>
      <c r="F1069" s="153" t="s">
        <v>413</v>
      </c>
      <c r="G1069" s="153" t="s">
        <v>414</v>
      </c>
      <c r="H1069" s="153"/>
      <c r="I1069" s="227">
        <v>23925</v>
      </c>
      <c r="J1069" s="154"/>
      <c r="K1069" s="154">
        <v>1</v>
      </c>
      <c r="L1069" s="155"/>
      <c r="M1069" s="155"/>
      <c r="N1069" s="155"/>
      <c r="O1069" s="155"/>
      <c r="P1069" s="155"/>
      <c r="Q1069" s="155"/>
      <c r="R1069" s="155"/>
      <c r="S1069" s="155"/>
      <c r="T1069" s="155"/>
      <c r="U1069" s="156" t="s">
        <v>295</v>
      </c>
      <c r="V1069" s="153" t="s">
        <v>503</v>
      </c>
      <c r="W1069" s="143" t="s">
        <v>298</v>
      </c>
      <c r="X1069" s="157" t="s">
        <v>227</v>
      </c>
      <c r="Y1069" s="157">
        <v>9357514235</v>
      </c>
      <c r="Z1069" s="143"/>
      <c r="AA1069" s="157" t="s">
        <v>525</v>
      </c>
      <c r="AB1069" s="143" t="s">
        <v>528</v>
      </c>
      <c r="AC1069" s="155">
        <v>1</v>
      </c>
      <c r="AD1069" s="155"/>
      <c r="AE1069" s="155"/>
      <c r="AF1069" s="155"/>
      <c r="AG1069" s="155"/>
      <c r="AH1069" s="143"/>
      <c r="AI1069" s="158"/>
    </row>
    <row r="1070" spans="1:35">
      <c r="A1070" s="140"/>
      <c r="B1070" s="143"/>
      <c r="C1070" s="143" t="s">
        <v>4113</v>
      </c>
      <c r="D1070" s="143" t="s">
        <v>501</v>
      </c>
      <c r="E1070" s="143" t="s">
        <v>80</v>
      </c>
      <c r="F1070" s="143" t="s">
        <v>4133</v>
      </c>
      <c r="G1070" s="143" t="s">
        <v>3115</v>
      </c>
      <c r="H1070" s="143" t="s">
        <v>81</v>
      </c>
      <c r="I1070" s="198">
        <v>26704</v>
      </c>
      <c r="J1070" s="155">
        <v>1</v>
      </c>
      <c r="K1070" s="155"/>
      <c r="L1070" s="155"/>
      <c r="M1070" s="155"/>
      <c r="N1070" s="155"/>
      <c r="O1070" s="155"/>
      <c r="P1070" s="155"/>
      <c r="Q1070" s="155">
        <v>1</v>
      </c>
      <c r="R1070" s="155" t="s">
        <v>4128</v>
      </c>
      <c r="S1070" s="155"/>
      <c r="T1070" s="155"/>
      <c r="U1070" s="143"/>
      <c r="V1070" s="143" t="s">
        <v>350</v>
      </c>
      <c r="W1070" s="143" t="s">
        <v>279</v>
      </c>
      <c r="X1070" s="143" t="s">
        <v>227</v>
      </c>
      <c r="Y1070" s="143">
        <v>9157888610</v>
      </c>
      <c r="Z1070" s="143"/>
      <c r="AA1070" s="143" t="s">
        <v>3151</v>
      </c>
      <c r="AB1070" s="143" t="s">
        <v>528</v>
      </c>
      <c r="AC1070" s="155">
        <v>1</v>
      </c>
      <c r="AD1070" s="155"/>
      <c r="AE1070" s="155"/>
      <c r="AF1070" s="155"/>
      <c r="AG1070" s="155"/>
      <c r="AH1070" s="143"/>
      <c r="AI1070" s="158"/>
    </row>
    <row r="1071" spans="1:35">
      <c r="A1071" s="140"/>
      <c r="B1071" s="143"/>
      <c r="C1071" s="143" t="s">
        <v>4113</v>
      </c>
      <c r="D1071" s="143" t="s">
        <v>501</v>
      </c>
      <c r="E1071" s="143" t="s">
        <v>80</v>
      </c>
      <c r="F1071" s="143" t="s">
        <v>4134</v>
      </c>
      <c r="G1071" s="143" t="s">
        <v>140</v>
      </c>
      <c r="H1071" s="143"/>
      <c r="I1071" s="198">
        <v>28466</v>
      </c>
      <c r="J1071" s="155">
        <v>1</v>
      </c>
      <c r="K1071" s="155"/>
      <c r="L1071" s="155">
        <v>1</v>
      </c>
      <c r="M1071" s="155"/>
      <c r="N1071" s="155"/>
      <c r="O1071" s="155"/>
      <c r="P1071" s="155"/>
      <c r="Q1071" s="155">
        <v>1</v>
      </c>
      <c r="R1071" s="155" t="s">
        <v>4119</v>
      </c>
      <c r="S1071" s="155"/>
      <c r="T1071" s="155"/>
      <c r="U1071" s="143" t="s">
        <v>1369</v>
      </c>
      <c r="V1071" s="143" t="s">
        <v>4135</v>
      </c>
      <c r="W1071" s="143" t="s">
        <v>280</v>
      </c>
      <c r="X1071" s="143" t="s">
        <v>227</v>
      </c>
      <c r="Y1071" s="143">
        <v>9677153856</v>
      </c>
      <c r="Z1071" s="143"/>
      <c r="AA1071" s="143" t="s">
        <v>3149</v>
      </c>
      <c r="AB1071" s="143" t="s">
        <v>528</v>
      </c>
      <c r="AC1071" s="155">
        <v>1</v>
      </c>
      <c r="AD1071" s="155"/>
      <c r="AE1071" s="155"/>
      <c r="AF1071" s="155"/>
      <c r="AG1071" s="155"/>
      <c r="AH1071" s="143"/>
      <c r="AI1071" s="158"/>
    </row>
    <row r="1072" spans="1:35">
      <c r="A1072" s="140"/>
      <c r="B1072" s="143"/>
      <c r="C1072" s="143" t="s">
        <v>4113</v>
      </c>
      <c r="D1072" s="143" t="s">
        <v>501</v>
      </c>
      <c r="E1072" s="143" t="s">
        <v>80</v>
      </c>
      <c r="F1072" s="143" t="s">
        <v>4136</v>
      </c>
      <c r="G1072" s="143" t="s">
        <v>542</v>
      </c>
      <c r="H1072" s="143" t="s">
        <v>126</v>
      </c>
      <c r="I1072" s="198">
        <v>24793</v>
      </c>
      <c r="J1072" s="155" t="s">
        <v>4137</v>
      </c>
      <c r="K1072" s="155"/>
      <c r="L1072" s="155"/>
      <c r="M1072" s="155"/>
      <c r="N1072" s="155"/>
      <c r="O1072" s="155"/>
      <c r="P1072" s="155"/>
      <c r="Q1072" s="155">
        <v>1</v>
      </c>
      <c r="R1072" s="155" t="s">
        <v>4119</v>
      </c>
      <c r="S1072" s="155"/>
      <c r="T1072" s="155"/>
      <c r="U1072" s="143" t="s">
        <v>1369</v>
      </c>
      <c r="V1072" s="143" t="s">
        <v>4135</v>
      </c>
      <c r="W1072" s="143" t="s">
        <v>280</v>
      </c>
      <c r="X1072" s="143" t="s">
        <v>227</v>
      </c>
      <c r="Y1072" s="143">
        <v>9677153856</v>
      </c>
      <c r="Z1072" s="143"/>
      <c r="AA1072" s="143" t="s">
        <v>3149</v>
      </c>
      <c r="AB1072" s="143" t="s">
        <v>528</v>
      </c>
      <c r="AC1072" s="155">
        <v>1</v>
      </c>
      <c r="AD1072" s="155"/>
      <c r="AE1072" s="155"/>
      <c r="AF1072" s="155"/>
      <c r="AG1072" s="155"/>
      <c r="AH1072" s="143"/>
      <c r="AI1072" s="158"/>
    </row>
    <row r="1073" spans="1:35">
      <c r="A1073" s="140"/>
      <c r="B1073" s="143"/>
      <c r="C1073" s="143" t="s">
        <v>4113</v>
      </c>
      <c r="D1073" s="143" t="s">
        <v>501</v>
      </c>
      <c r="E1073" s="143" t="s">
        <v>80</v>
      </c>
      <c r="F1073" s="153" t="s">
        <v>413</v>
      </c>
      <c r="G1073" s="153" t="s">
        <v>414</v>
      </c>
      <c r="H1073" s="153"/>
      <c r="I1073" s="227">
        <v>23925</v>
      </c>
      <c r="J1073" s="154"/>
      <c r="K1073" s="154">
        <v>1</v>
      </c>
      <c r="L1073" s="155"/>
      <c r="M1073" s="155"/>
      <c r="N1073" s="155"/>
      <c r="O1073" s="155"/>
      <c r="P1073" s="155"/>
      <c r="Q1073" s="155"/>
      <c r="R1073" s="155"/>
      <c r="S1073" s="155"/>
      <c r="T1073" s="155"/>
      <c r="U1073" s="156" t="s">
        <v>295</v>
      </c>
      <c r="V1073" s="153" t="s">
        <v>503</v>
      </c>
      <c r="W1073" s="143" t="s">
        <v>298</v>
      </c>
      <c r="X1073" s="157" t="s">
        <v>227</v>
      </c>
      <c r="Y1073" s="157">
        <v>9357514235</v>
      </c>
      <c r="Z1073" s="143"/>
      <c r="AA1073" s="157" t="s">
        <v>525</v>
      </c>
      <c r="AB1073" s="143" t="s">
        <v>528</v>
      </c>
      <c r="AC1073" s="155">
        <v>1</v>
      </c>
      <c r="AD1073" s="155"/>
      <c r="AE1073" s="155"/>
      <c r="AF1073" s="155"/>
      <c r="AG1073" s="155"/>
      <c r="AH1073" s="143"/>
      <c r="AI1073" s="158"/>
    </row>
    <row r="1074" spans="1:35">
      <c r="A1074" s="140"/>
      <c r="B1074" s="143"/>
      <c r="C1074" s="143" t="s">
        <v>4113</v>
      </c>
      <c r="D1074" s="143" t="s">
        <v>501</v>
      </c>
      <c r="E1074" s="143" t="s">
        <v>80</v>
      </c>
      <c r="F1074" s="143" t="s">
        <v>1002</v>
      </c>
      <c r="G1074" s="143" t="s">
        <v>169</v>
      </c>
      <c r="H1074" s="143"/>
      <c r="I1074" s="198"/>
      <c r="J1074" s="155"/>
      <c r="K1074" s="155"/>
      <c r="L1074" s="155"/>
      <c r="M1074" s="155"/>
      <c r="N1074" s="155"/>
      <c r="O1074" s="155"/>
      <c r="P1074" s="155"/>
      <c r="Q1074" s="155"/>
      <c r="R1074" s="155"/>
      <c r="S1074" s="155"/>
      <c r="T1074" s="155"/>
      <c r="U1074" s="143"/>
      <c r="V1074" s="143"/>
      <c r="W1074" s="143"/>
      <c r="X1074" s="143"/>
      <c r="Y1074" s="143">
        <v>9504945456</v>
      </c>
      <c r="Z1074" s="143"/>
      <c r="AA1074" s="143" t="s">
        <v>3141</v>
      </c>
      <c r="AB1074" s="143" t="s">
        <v>528</v>
      </c>
      <c r="AC1074" s="155">
        <v>1</v>
      </c>
      <c r="AD1074" s="155"/>
      <c r="AE1074" s="155"/>
      <c r="AF1074" s="155"/>
      <c r="AG1074" s="155"/>
      <c r="AH1074" s="143"/>
      <c r="AI1074" s="158"/>
    </row>
    <row r="1075" spans="1:35">
      <c r="A1075" s="140"/>
      <c r="B1075" s="143"/>
      <c r="C1075" s="143" t="s">
        <v>4113</v>
      </c>
      <c r="D1075" s="143" t="s">
        <v>501</v>
      </c>
      <c r="E1075" s="143" t="s">
        <v>80</v>
      </c>
      <c r="F1075" s="143" t="s">
        <v>4138</v>
      </c>
      <c r="G1075" s="143" t="s">
        <v>4139</v>
      </c>
      <c r="H1075" s="143"/>
      <c r="I1075" s="198"/>
      <c r="J1075" s="155">
        <v>1</v>
      </c>
      <c r="K1075" s="155"/>
      <c r="L1075" s="155"/>
      <c r="M1075" s="155"/>
      <c r="N1075" s="155"/>
      <c r="O1075" s="155"/>
      <c r="P1075" s="155"/>
      <c r="Q1075" s="155">
        <v>1</v>
      </c>
      <c r="R1075" s="155" t="s">
        <v>4119</v>
      </c>
      <c r="S1075" s="155"/>
      <c r="T1075" s="155"/>
      <c r="U1075" s="143"/>
      <c r="V1075" s="143"/>
      <c r="W1075" s="143"/>
      <c r="X1075" s="143"/>
      <c r="Y1075" s="143">
        <v>9108808488</v>
      </c>
      <c r="Z1075" s="143"/>
      <c r="AA1075" s="143" t="s">
        <v>3149</v>
      </c>
      <c r="AB1075" s="143" t="s">
        <v>528</v>
      </c>
      <c r="AC1075" s="155">
        <v>1</v>
      </c>
      <c r="AD1075" s="155"/>
      <c r="AE1075" s="155"/>
      <c r="AF1075" s="155"/>
      <c r="AG1075" s="155"/>
      <c r="AH1075" s="143"/>
      <c r="AI1075" s="158"/>
    </row>
    <row r="1076" spans="1:35">
      <c r="A1076" s="140"/>
      <c r="B1076" s="143"/>
      <c r="C1076" s="143" t="s">
        <v>4113</v>
      </c>
      <c r="D1076" s="143" t="s">
        <v>501</v>
      </c>
      <c r="E1076" s="143" t="s">
        <v>80</v>
      </c>
      <c r="F1076" s="143" t="s">
        <v>565</v>
      </c>
      <c r="G1076" s="143" t="s">
        <v>159</v>
      </c>
      <c r="H1076" s="143"/>
      <c r="I1076" s="198"/>
      <c r="J1076" s="155">
        <v>1</v>
      </c>
      <c r="K1076" s="155"/>
      <c r="L1076" s="155"/>
      <c r="M1076" s="155"/>
      <c r="N1076" s="155"/>
      <c r="O1076" s="155"/>
      <c r="P1076" s="155"/>
      <c r="Q1076" s="155">
        <v>1</v>
      </c>
      <c r="R1076" s="155" t="s">
        <v>4119</v>
      </c>
      <c r="S1076" s="155"/>
      <c r="T1076" s="155"/>
      <c r="U1076" s="143"/>
      <c r="V1076" s="143"/>
      <c r="W1076" s="143"/>
      <c r="X1076" s="143"/>
      <c r="Y1076" s="143">
        <v>9701609117</v>
      </c>
      <c r="Z1076" s="143"/>
      <c r="AA1076" s="143" t="s">
        <v>3149</v>
      </c>
      <c r="AB1076" s="143" t="s">
        <v>528</v>
      </c>
      <c r="AC1076" s="155">
        <v>1</v>
      </c>
      <c r="AD1076" s="155"/>
      <c r="AE1076" s="155"/>
      <c r="AF1076" s="155"/>
      <c r="AG1076" s="155"/>
      <c r="AH1076" s="143"/>
      <c r="AI1076" s="158"/>
    </row>
    <row r="1077" spans="1:35">
      <c r="A1077" s="140"/>
      <c r="B1077" s="143"/>
      <c r="C1077" s="143" t="s">
        <v>4113</v>
      </c>
      <c r="D1077" s="143" t="s">
        <v>501</v>
      </c>
      <c r="E1077" s="143" t="s">
        <v>80</v>
      </c>
      <c r="F1077" s="143" t="s">
        <v>4140</v>
      </c>
      <c r="G1077" s="143" t="s">
        <v>4141</v>
      </c>
      <c r="H1077" s="143"/>
      <c r="I1077" s="198">
        <v>34905</v>
      </c>
      <c r="J1077" s="155">
        <v>1</v>
      </c>
      <c r="K1077" s="155"/>
      <c r="L1077" s="155"/>
      <c r="M1077" s="155"/>
      <c r="N1077" s="155"/>
      <c r="O1077" s="155"/>
      <c r="P1077" s="155"/>
      <c r="Q1077" s="155">
        <v>1</v>
      </c>
      <c r="R1077" s="155" t="s">
        <v>4119</v>
      </c>
      <c r="S1077" s="155"/>
      <c r="T1077" s="155"/>
      <c r="U1077" s="143"/>
      <c r="V1077" s="143"/>
      <c r="W1077" s="143"/>
      <c r="X1077" s="143"/>
      <c r="Y1077" s="143">
        <v>9308973743</v>
      </c>
      <c r="Z1077" s="143"/>
      <c r="AA1077" s="143" t="s">
        <v>3149</v>
      </c>
      <c r="AB1077" s="143" t="s">
        <v>528</v>
      </c>
      <c r="AC1077" s="155">
        <v>1</v>
      </c>
      <c r="AD1077" s="155"/>
      <c r="AE1077" s="155"/>
      <c r="AF1077" s="155"/>
      <c r="AG1077" s="155"/>
      <c r="AH1077" s="143"/>
      <c r="AI1077" s="158"/>
    </row>
    <row r="1078" spans="1:35">
      <c r="A1078" s="140"/>
      <c r="B1078" s="143"/>
      <c r="C1078" s="143" t="s">
        <v>4113</v>
      </c>
      <c r="D1078" s="143" t="s">
        <v>501</v>
      </c>
      <c r="E1078" s="143" t="s">
        <v>80</v>
      </c>
      <c r="F1078" s="143" t="s">
        <v>4142</v>
      </c>
      <c r="G1078" s="143" t="s">
        <v>4143</v>
      </c>
      <c r="H1078" s="143"/>
      <c r="I1078" s="198"/>
      <c r="J1078" s="155"/>
      <c r="K1078" s="155"/>
      <c r="L1078" s="155"/>
      <c r="M1078" s="155"/>
      <c r="N1078" s="155"/>
      <c r="O1078" s="155"/>
      <c r="P1078" s="155"/>
      <c r="Q1078" s="155">
        <v>1</v>
      </c>
      <c r="R1078" s="155" t="s">
        <v>4119</v>
      </c>
      <c r="S1078" s="155"/>
      <c r="T1078" s="155"/>
      <c r="U1078" s="143"/>
      <c r="V1078" s="143"/>
      <c r="W1078" s="143"/>
      <c r="X1078" s="143"/>
      <c r="Y1078" s="143">
        <v>9461349154</v>
      </c>
      <c r="Z1078" s="143"/>
      <c r="AA1078" s="143" t="s">
        <v>3149</v>
      </c>
      <c r="AB1078" s="143" t="s">
        <v>528</v>
      </c>
      <c r="AC1078" s="155">
        <v>1</v>
      </c>
      <c r="AD1078" s="155"/>
      <c r="AE1078" s="155"/>
      <c r="AF1078" s="155"/>
      <c r="AG1078" s="155"/>
      <c r="AH1078" s="143"/>
      <c r="AI1078" s="158"/>
    </row>
    <row r="1079" spans="1:35">
      <c r="A1079" s="140"/>
      <c r="B1079" s="143"/>
      <c r="C1079" s="143" t="s">
        <v>4113</v>
      </c>
      <c r="D1079" s="143" t="s">
        <v>501</v>
      </c>
      <c r="E1079" s="143" t="s">
        <v>80</v>
      </c>
      <c r="F1079" s="274" t="s">
        <v>4086</v>
      </c>
      <c r="G1079" s="274" t="s">
        <v>2159</v>
      </c>
      <c r="H1079" s="274"/>
      <c r="I1079" s="275">
        <v>26792</v>
      </c>
      <c r="J1079" s="276"/>
      <c r="K1079" s="276">
        <v>1</v>
      </c>
      <c r="L1079" s="276"/>
      <c r="M1079" s="276"/>
      <c r="N1079" s="276"/>
      <c r="O1079" s="276"/>
      <c r="P1079" s="276"/>
      <c r="Q1079" s="276">
        <v>1</v>
      </c>
      <c r="R1079" s="276" t="s">
        <v>957</v>
      </c>
      <c r="S1079" s="276"/>
      <c r="T1079" s="276"/>
      <c r="U1079" s="274" t="s">
        <v>4087</v>
      </c>
      <c r="V1079" s="274" t="s">
        <v>503</v>
      </c>
      <c r="W1079" s="274" t="s">
        <v>298</v>
      </c>
      <c r="X1079" s="274" t="s">
        <v>227</v>
      </c>
      <c r="Y1079" s="274">
        <v>9268507677</v>
      </c>
      <c r="Z1079" s="274"/>
      <c r="AA1079" s="274" t="s">
        <v>3141</v>
      </c>
      <c r="AB1079" s="274" t="s">
        <v>528</v>
      </c>
      <c r="AC1079" s="276">
        <v>1</v>
      </c>
      <c r="AD1079" s="276"/>
      <c r="AE1079" s="276"/>
      <c r="AF1079" s="276"/>
      <c r="AG1079" s="276"/>
      <c r="AH1079" s="274"/>
      <c r="AI1079" s="277"/>
    </row>
    <row r="1080" spans="1:35">
      <c r="A1080" s="140"/>
      <c r="B1080" s="143"/>
      <c r="C1080" s="143" t="s">
        <v>4113</v>
      </c>
      <c r="D1080" s="143" t="s">
        <v>501</v>
      </c>
      <c r="E1080" s="143" t="s">
        <v>80</v>
      </c>
      <c r="F1080" s="278" t="s">
        <v>1833</v>
      </c>
      <c r="G1080" s="278" t="s">
        <v>1832</v>
      </c>
      <c r="H1080" s="278" t="s">
        <v>286</v>
      </c>
      <c r="I1080" s="279" t="s">
        <v>1907</v>
      </c>
      <c r="J1080" s="280"/>
      <c r="K1080" s="280">
        <v>1</v>
      </c>
      <c r="L1080" s="280">
        <v>1</v>
      </c>
      <c r="M1080" s="280"/>
      <c r="N1080" s="280"/>
      <c r="O1080" s="280"/>
      <c r="P1080" s="280"/>
      <c r="Q1080" s="280">
        <v>1</v>
      </c>
      <c r="R1080" s="280" t="s">
        <v>1348</v>
      </c>
      <c r="S1080" s="280"/>
      <c r="T1080" s="280"/>
      <c r="U1080" s="278" t="s">
        <v>859</v>
      </c>
      <c r="V1080" s="278" t="s">
        <v>503</v>
      </c>
      <c r="W1080" s="278" t="s">
        <v>298</v>
      </c>
      <c r="X1080" s="278" t="s">
        <v>227</v>
      </c>
      <c r="Y1080" s="278">
        <v>9659537816</v>
      </c>
      <c r="Z1080" s="278"/>
      <c r="AA1080" s="278" t="s">
        <v>525</v>
      </c>
      <c r="AB1080" s="278" t="s">
        <v>528</v>
      </c>
      <c r="AC1080" s="280">
        <v>1</v>
      </c>
      <c r="AD1080" s="155"/>
      <c r="AE1080" s="155"/>
      <c r="AF1080" s="155"/>
      <c r="AG1080" s="155"/>
      <c r="AH1080" s="143"/>
      <c r="AI1080" s="158"/>
    </row>
    <row r="1081" spans="1:35">
      <c r="A1081" s="140"/>
      <c r="B1081" s="143"/>
      <c r="C1081" s="143" t="s">
        <v>4113</v>
      </c>
      <c r="D1081" s="143" t="s">
        <v>501</v>
      </c>
      <c r="E1081" s="143" t="s">
        <v>80</v>
      </c>
      <c r="F1081" s="143" t="s">
        <v>4144</v>
      </c>
      <c r="G1081" s="143" t="s">
        <v>776</v>
      </c>
      <c r="H1081" s="143" t="s">
        <v>136</v>
      </c>
      <c r="I1081" s="198"/>
      <c r="J1081" s="155"/>
      <c r="K1081" s="155"/>
      <c r="L1081" s="155"/>
      <c r="M1081" s="155"/>
      <c r="N1081" s="155"/>
      <c r="O1081" s="155"/>
      <c r="P1081" s="155"/>
      <c r="Q1081" s="155">
        <v>1</v>
      </c>
      <c r="R1081" s="155" t="s">
        <v>4128</v>
      </c>
      <c r="S1081" s="155"/>
      <c r="T1081" s="155"/>
      <c r="U1081" s="143"/>
      <c r="V1081" s="143" t="s">
        <v>223</v>
      </c>
      <c r="W1081" s="143" t="s">
        <v>279</v>
      </c>
      <c r="X1081" s="143" t="s">
        <v>227</v>
      </c>
      <c r="Y1081" s="143">
        <v>9106511121</v>
      </c>
      <c r="AA1081" s="143" t="s">
        <v>3151</v>
      </c>
      <c r="AB1081" s="143" t="s">
        <v>528</v>
      </c>
      <c r="AC1081" s="155">
        <v>1</v>
      </c>
      <c r="AD1081" s="155"/>
      <c r="AE1081" s="155"/>
      <c r="AF1081" s="155"/>
      <c r="AG1081" s="155"/>
      <c r="AH1081" s="143"/>
      <c r="AI1081" s="158"/>
    </row>
    <row r="1082" spans="1:35">
      <c r="A1082" s="140"/>
      <c r="B1082" s="143"/>
      <c r="C1082" s="143" t="s">
        <v>4113</v>
      </c>
      <c r="D1082" s="143" t="s">
        <v>501</v>
      </c>
      <c r="E1082" s="143" t="s">
        <v>80</v>
      </c>
      <c r="F1082" s="153" t="s">
        <v>312</v>
      </c>
      <c r="G1082" s="153" t="s">
        <v>840</v>
      </c>
      <c r="H1082" s="153" t="s">
        <v>144</v>
      </c>
      <c r="I1082" s="227">
        <v>30173</v>
      </c>
      <c r="J1082" s="166"/>
      <c r="K1082" s="165">
        <v>1</v>
      </c>
      <c r="L1082" s="155">
        <v>1</v>
      </c>
      <c r="M1082" s="155"/>
      <c r="N1082" s="155"/>
      <c r="O1082" s="155"/>
      <c r="P1082" s="155"/>
      <c r="Q1082" s="155">
        <v>1</v>
      </c>
      <c r="R1082" s="155" t="s">
        <v>1348</v>
      </c>
      <c r="S1082" s="155"/>
      <c r="T1082" s="155"/>
      <c r="U1082" s="167" t="s">
        <v>502</v>
      </c>
      <c r="V1082" s="153" t="s">
        <v>503</v>
      </c>
      <c r="W1082" s="143" t="s">
        <v>298</v>
      </c>
      <c r="X1082" s="157" t="s">
        <v>227</v>
      </c>
      <c r="Y1082" s="153">
        <v>9265351990</v>
      </c>
      <c r="Z1082" s="143"/>
      <c r="AA1082" s="162" t="s">
        <v>1074</v>
      </c>
      <c r="AB1082" s="143" t="s">
        <v>528</v>
      </c>
      <c r="AC1082" s="155">
        <v>1</v>
      </c>
      <c r="AD1082" s="155"/>
      <c r="AE1082" s="155"/>
      <c r="AF1082" s="155"/>
      <c r="AG1082" s="155"/>
      <c r="AH1082" s="143"/>
      <c r="AI1082" s="158"/>
    </row>
    <row r="1083" spans="1:35">
      <c r="A1083" s="140"/>
      <c r="B1083" s="143"/>
      <c r="C1083" s="143" t="s">
        <v>4113</v>
      </c>
      <c r="D1083" s="143" t="s">
        <v>501</v>
      </c>
      <c r="E1083" s="143" t="s">
        <v>80</v>
      </c>
      <c r="F1083" s="143" t="s">
        <v>147</v>
      </c>
      <c r="G1083" s="143" t="s">
        <v>3129</v>
      </c>
      <c r="H1083" s="143"/>
      <c r="I1083" s="198"/>
      <c r="J1083" s="155"/>
      <c r="K1083" s="155"/>
      <c r="L1083" s="155"/>
      <c r="M1083" s="155"/>
      <c r="N1083" s="155"/>
      <c r="O1083" s="155"/>
      <c r="P1083" s="155"/>
      <c r="Q1083" s="155"/>
      <c r="R1083" s="155"/>
      <c r="S1083" s="155"/>
      <c r="T1083" s="155"/>
      <c r="U1083" s="143"/>
      <c r="V1083" s="143"/>
      <c r="W1083" s="143"/>
      <c r="X1083" s="143"/>
      <c r="Y1083" s="143"/>
      <c r="Z1083" s="143"/>
      <c r="AA1083" s="143"/>
      <c r="AB1083" s="143"/>
      <c r="AC1083" s="155"/>
      <c r="AD1083" s="155"/>
      <c r="AE1083" s="155"/>
      <c r="AF1083" s="155"/>
      <c r="AG1083" s="155"/>
      <c r="AH1083" s="143"/>
      <c r="AI1083" s="158"/>
    </row>
    <row r="1084" spans="1:35">
      <c r="A1084" s="140"/>
      <c r="B1084" s="143"/>
      <c r="C1084" s="143" t="s">
        <v>4113</v>
      </c>
      <c r="D1084" s="143" t="s">
        <v>501</v>
      </c>
      <c r="E1084" s="143" t="s">
        <v>80</v>
      </c>
      <c r="F1084" s="143" t="s">
        <v>411</v>
      </c>
      <c r="G1084" s="143" t="s">
        <v>3310</v>
      </c>
      <c r="H1084" s="143" t="s">
        <v>120</v>
      </c>
      <c r="I1084" s="198">
        <v>31496</v>
      </c>
      <c r="J1084" s="155"/>
      <c r="K1084" s="155">
        <v>1</v>
      </c>
      <c r="L1084" s="155"/>
      <c r="M1084" s="155"/>
      <c r="N1084" s="155"/>
      <c r="O1084" s="155"/>
      <c r="P1084" s="155"/>
      <c r="Q1084" s="155">
        <v>1</v>
      </c>
      <c r="R1084" s="155" t="s">
        <v>4119</v>
      </c>
      <c r="S1084" s="155"/>
      <c r="T1084" s="155"/>
      <c r="U1084" s="143"/>
      <c r="V1084" s="143"/>
      <c r="W1084" s="143"/>
      <c r="X1084" s="143"/>
      <c r="Y1084" s="143">
        <v>9756786576</v>
      </c>
      <c r="Z1084" s="143"/>
      <c r="AA1084" s="143" t="s">
        <v>3149</v>
      </c>
      <c r="AB1084" s="143" t="s">
        <v>528</v>
      </c>
      <c r="AC1084" s="155">
        <v>1</v>
      </c>
      <c r="AD1084" s="155"/>
      <c r="AE1084" s="155"/>
      <c r="AF1084" s="155"/>
      <c r="AG1084" s="155"/>
      <c r="AH1084" s="143"/>
      <c r="AI1084" s="158"/>
    </row>
    <row r="1085" spans="1:35">
      <c r="A1085" s="140"/>
      <c r="B1085" s="143"/>
      <c r="C1085" s="143" t="s">
        <v>4113</v>
      </c>
      <c r="D1085" s="143" t="s">
        <v>501</v>
      </c>
      <c r="E1085" s="143" t="s">
        <v>80</v>
      </c>
      <c r="F1085" s="143" t="s">
        <v>4145</v>
      </c>
      <c r="G1085" s="143" t="s">
        <v>2883</v>
      </c>
      <c r="H1085" s="143"/>
      <c r="I1085" s="198"/>
      <c r="J1085" s="155">
        <v>1</v>
      </c>
      <c r="K1085" s="155"/>
      <c r="L1085" s="155">
        <v>1</v>
      </c>
      <c r="M1085" s="155"/>
      <c r="N1085" s="155"/>
      <c r="O1085" s="155"/>
      <c r="P1085" s="155"/>
      <c r="Q1085" s="155"/>
      <c r="R1085" s="155"/>
      <c r="S1085" s="155"/>
      <c r="T1085" s="155"/>
      <c r="U1085" s="143" t="s">
        <v>4146</v>
      </c>
      <c r="V1085" s="143" t="s">
        <v>218</v>
      </c>
      <c r="W1085" s="143" t="s">
        <v>279</v>
      </c>
      <c r="X1085" s="143" t="s">
        <v>227</v>
      </c>
      <c r="Y1085" s="143">
        <v>9099637979</v>
      </c>
      <c r="Z1085" s="143"/>
      <c r="AA1085" s="143" t="s">
        <v>3141</v>
      </c>
      <c r="AB1085" s="143" t="s">
        <v>528</v>
      </c>
      <c r="AC1085" s="155">
        <v>1</v>
      </c>
      <c r="AD1085" s="155"/>
      <c r="AE1085" s="155"/>
      <c r="AF1085" s="155"/>
      <c r="AG1085" s="155"/>
      <c r="AH1085" s="143"/>
      <c r="AI1085" s="158"/>
    </row>
    <row r="1086" spans="1:35" ht="17.25" customHeight="1">
      <c r="A1086" s="140"/>
      <c r="B1086" s="143"/>
      <c r="C1086" s="143" t="s">
        <v>4149</v>
      </c>
      <c r="D1086" s="143" t="s">
        <v>501</v>
      </c>
      <c r="E1086" s="143" t="s">
        <v>80</v>
      </c>
      <c r="F1086" s="143" t="s">
        <v>4147</v>
      </c>
      <c r="G1086" s="143" t="s">
        <v>4148</v>
      </c>
      <c r="H1086" s="143" t="s">
        <v>283</v>
      </c>
      <c r="I1086" s="198">
        <v>35382</v>
      </c>
      <c r="J1086" s="155">
        <v>1</v>
      </c>
      <c r="K1086" s="155"/>
      <c r="L1086" s="155">
        <v>1</v>
      </c>
      <c r="M1086" s="155"/>
      <c r="N1086" s="155"/>
      <c r="O1086" s="155"/>
      <c r="P1086" s="155"/>
      <c r="Q1086" s="155"/>
      <c r="R1086" s="155"/>
      <c r="S1086" s="155"/>
      <c r="T1086" s="155"/>
      <c r="U1086" s="143"/>
      <c r="V1086" s="143"/>
      <c r="W1086" s="143"/>
      <c r="X1086" s="143"/>
      <c r="Y1086" s="143"/>
      <c r="Z1086" s="143"/>
      <c r="AA1086" s="143"/>
      <c r="AB1086" s="143"/>
      <c r="AC1086" s="155"/>
      <c r="AD1086" s="155"/>
      <c r="AE1086" s="155"/>
      <c r="AF1086" s="155"/>
      <c r="AG1086" s="155"/>
      <c r="AH1086" s="143"/>
      <c r="AI1086" s="158"/>
    </row>
    <row r="1087" spans="1:35">
      <c r="A1087" s="140"/>
      <c r="B1087" s="143"/>
      <c r="C1087" s="143" t="s">
        <v>4149</v>
      </c>
      <c r="D1087" s="143" t="s">
        <v>501</v>
      </c>
      <c r="E1087" s="143" t="s">
        <v>80</v>
      </c>
      <c r="F1087" s="153" t="s">
        <v>312</v>
      </c>
      <c r="G1087" s="153" t="s">
        <v>955</v>
      </c>
      <c r="H1087" s="153" t="s">
        <v>286</v>
      </c>
      <c r="I1087" s="227">
        <v>23696</v>
      </c>
      <c r="J1087" s="165"/>
      <c r="K1087" s="165">
        <v>1</v>
      </c>
      <c r="L1087" s="155"/>
      <c r="M1087" s="155"/>
      <c r="N1087" s="155"/>
      <c r="O1087" s="155"/>
      <c r="P1087" s="155"/>
      <c r="Q1087" s="155"/>
      <c r="R1087" s="155"/>
      <c r="S1087" s="155"/>
      <c r="T1087" s="155"/>
      <c r="U1087" s="167" t="s">
        <v>509</v>
      </c>
      <c r="V1087" s="153" t="s">
        <v>503</v>
      </c>
      <c r="W1087" s="143" t="s">
        <v>298</v>
      </c>
      <c r="X1087" s="157" t="s">
        <v>227</v>
      </c>
      <c r="Y1087" s="153"/>
      <c r="Z1087" s="143"/>
      <c r="AA1087" s="143" t="s">
        <v>3141</v>
      </c>
      <c r="AB1087" s="143" t="s">
        <v>528</v>
      </c>
      <c r="AC1087" s="155">
        <v>1</v>
      </c>
      <c r="AD1087" s="155"/>
      <c r="AE1087" s="155"/>
      <c r="AF1087" s="155"/>
      <c r="AG1087" s="155"/>
      <c r="AH1087" s="143"/>
      <c r="AI1087" s="158"/>
    </row>
    <row r="1088" spans="1:35">
      <c r="A1088" s="140"/>
      <c r="B1088" s="143"/>
      <c r="C1088" s="143" t="s">
        <v>4149</v>
      </c>
      <c r="D1088" s="143" t="s">
        <v>501</v>
      </c>
      <c r="E1088" s="143" t="s">
        <v>80</v>
      </c>
      <c r="F1088" s="143" t="s">
        <v>3157</v>
      </c>
      <c r="G1088" s="143" t="s">
        <v>1381</v>
      </c>
      <c r="H1088" s="143"/>
      <c r="I1088" s="198"/>
      <c r="J1088" s="155"/>
      <c r="K1088" s="155"/>
      <c r="L1088" s="155">
        <v>1</v>
      </c>
      <c r="M1088" s="155"/>
      <c r="N1088" s="155"/>
      <c r="O1088" s="155"/>
      <c r="P1088" s="155"/>
      <c r="Q1088" s="155"/>
      <c r="R1088" s="155"/>
      <c r="S1088" s="155"/>
      <c r="T1088" s="155"/>
      <c r="U1088" s="143" t="s">
        <v>4077</v>
      </c>
      <c r="V1088" s="143" t="s">
        <v>293</v>
      </c>
      <c r="W1088" s="143" t="s">
        <v>298</v>
      </c>
      <c r="X1088" s="143" t="s">
        <v>227</v>
      </c>
      <c r="Y1088" s="143">
        <v>9061976785</v>
      </c>
      <c r="Z1088" s="143"/>
      <c r="AA1088" s="143" t="s">
        <v>3141</v>
      </c>
      <c r="AB1088" s="143" t="s">
        <v>528</v>
      </c>
      <c r="AC1088" s="155">
        <v>1</v>
      </c>
      <c r="AD1088" s="155"/>
      <c r="AE1088" s="155"/>
      <c r="AF1088" s="155"/>
      <c r="AG1088" s="155"/>
      <c r="AH1088" s="143"/>
      <c r="AI1088" s="158"/>
    </row>
    <row r="1089" spans="1:35">
      <c r="A1089" s="140"/>
      <c r="B1089" s="143"/>
      <c r="C1089" s="143" t="s">
        <v>4149</v>
      </c>
      <c r="D1089" s="143" t="s">
        <v>501</v>
      </c>
      <c r="E1089" s="143" t="s">
        <v>80</v>
      </c>
      <c r="F1089" s="143" t="s">
        <v>4150</v>
      </c>
      <c r="G1089" s="143" t="s">
        <v>1121</v>
      </c>
      <c r="H1089" s="143"/>
      <c r="I1089" s="198">
        <v>32905</v>
      </c>
      <c r="J1089" s="155"/>
      <c r="K1089" s="155">
        <v>1</v>
      </c>
      <c r="L1089" s="155"/>
      <c r="M1089" s="155"/>
      <c r="N1089" s="155"/>
      <c r="O1089" s="155"/>
      <c r="P1089" s="155"/>
      <c r="Q1089" s="155"/>
      <c r="R1089" s="155"/>
      <c r="S1089" s="155"/>
      <c r="T1089" s="155"/>
      <c r="U1089" s="143"/>
      <c r="V1089" s="143"/>
      <c r="W1089" s="143"/>
      <c r="X1089" s="143"/>
      <c r="Y1089" s="143"/>
      <c r="Z1089" s="143"/>
      <c r="AA1089" s="143"/>
      <c r="AB1089" s="143"/>
      <c r="AC1089" s="155"/>
      <c r="AD1089" s="155"/>
      <c r="AE1089" s="155"/>
      <c r="AF1089" s="155"/>
      <c r="AG1089" s="155"/>
      <c r="AH1089" s="143"/>
      <c r="AI1089" s="158"/>
    </row>
    <row r="1090" spans="1:35">
      <c r="A1090" s="140"/>
      <c r="B1090" s="143"/>
      <c r="C1090" s="143" t="s">
        <v>4149</v>
      </c>
      <c r="D1090" s="143" t="s">
        <v>501</v>
      </c>
      <c r="E1090" s="143" t="s">
        <v>80</v>
      </c>
      <c r="F1090" s="159" t="s">
        <v>445</v>
      </c>
      <c r="G1090" s="159" t="s">
        <v>446</v>
      </c>
      <c r="H1090" s="159" t="s">
        <v>115</v>
      </c>
      <c r="I1090" s="238">
        <v>33127</v>
      </c>
      <c r="J1090" s="170"/>
      <c r="K1090" s="168">
        <v>1</v>
      </c>
      <c r="L1090" s="155"/>
      <c r="M1090" s="155"/>
      <c r="N1090" s="155"/>
      <c r="O1090" s="155"/>
      <c r="P1090" s="155"/>
      <c r="Q1090" s="155"/>
      <c r="R1090" s="155"/>
      <c r="S1090" s="155"/>
      <c r="T1090" s="155"/>
      <c r="U1090" s="169" t="s">
        <v>295</v>
      </c>
      <c r="V1090" s="159" t="s">
        <v>503</v>
      </c>
      <c r="W1090" s="143" t="s">
        <v>298</v>
      </c>
      <c r="X1090" s="157" t="s">
        <v>227</v>
      </c>
      <c r="Y1090" s="159">
        <v>9759439905</v>
      </c>
      <c r="Z1090" s="143"/>
      <c r="AA1090" s="143" t="s">
        <v>3141</v>
      </c>
      <c r="AB1090" s="143" t="s">
        <v>528</v>
      </c>
      <c r="AC1090" s="155">
        <v>1</v>
      </c>
      <c r="AD1090" s="155"/>
      <c r="AE1090" s="155"/>
      <c r="AF1090" s="155"/>
      <c r="AG1090" s="155"/>
      <c r="AH1090" s="143"/>
      <c r="AI1090" s="158"/>
    </row>
    <row r="1091" spans="1:35">
      <c r="A1091" s="140"/>
      <c r="B1091" s="143"/>
      <c r="C1091" s="143" t="s">
        <v>4149</v>
      </c>
      <c r="D1091" s="143" t="s">
        <v>501</v>
      </c>
      <c r="E1091" s="143" t="s">
        <v>80</v>
      </c>
      <c r="F1091" s="143" t="s">
        <v>4151</v>
      </c>
      <c r="G1091" s="143" t="s">
        <v>4152</v>
      </c>
      <c r="H1091" s="143"/>
      <c r="I1091" s="198"/>
      <c r="J1091" s="155"/>
      <c r="K1091" s="155">
        <v>1</v>
      </c>
      <c r="L1091" s="155"/>
      <c r="M1091" s="155"/>
      <c r="N1091" s="155"/>
      <c r="O1091" s="155"/>
      <c r="P1091" s="155"/>
      <c r="Q1091" s="155"/>
      <c r="R1091" s="155"/>
      <c r="S1091" s="155"/>
      <c r="T1091" s="155"/>
      <c r="U1091" s="143" t="s">
        <v>502</v>
      </c>
      <c r="V1091" s="143" t="s">
        <v>503</v>
      </c>
      <c r="W1091" s="143" t="s">
        <v>298</v>
      </c>
      <c r="X1091" s="143" t="s">
        <v>227</v>
      </c>
      <c r="Y1091" s="143">
        <v>9367401124</v>
      </c>
      <c r="Z1091" s="143"/>
      <c r="AA1091" s="143" t="s">
        <v>3141</v>
      </c>
      <c r="AB1091" s="143" t="s">
        <v>528</v>
      </c>
      <c r="AC1091" s="155">
        <v>1</v>
      </c>
      <c r="AD1091" s="155"/>
      <c r="AE1091" s="155"/>
      <c r="AF1091" s="155"/>
      <c r="AG1091" s="155"/>
      <c r="AH1091" s="143"/>
      <c r="AI1091" s="158"/>
    </row>
    <row r="1092" spans="1:35">
      <c r="A1092" s="140"/>
      <c r="B1092" s="143"/>
      <c r="C1092" s="143" t="s">
        <v>4149</v>
      </c>
      <c r="D1092" s="143" t="s">
        <v>501</v>
      </c>
      <c r="E1092" s="143" t="s">
        <v>80</v>
      </c>
      <c r="F1092" s="143" t="s">
        <v>3118</v>
      </c>
      <c r="G1092" s="143" t="s">
        <v>1996</v>
      </c>
      <c r="H1092" s="143"/>
      <c r="I1092" s="198"/>
      <c r="J1092" s="155">
        <v>1</v>
      </c>
      <c r="K1092" s="155"/>
      <c r="L1092" s="155"/>
      <c r="M1092" s="155"/>
      <c r="N1092" s="155"/>
      <c r="O1092" s="155"/>
      <c r="P1092" s="155"/>
      <c r="Q1092" s="155">
        <v>1</v>
      </c>
      <c r="R1092" s="155" t="s">
        <v>1266</v>
      </c>
      <c r="S1092" s="155"/>
      <c r="T1092" s="155"/>
      <c r="U1092" s="143" t="s">
        <v>4153</v>
      </c>
      <c r="V1092" s="143" t="s">
        <v>503</v>
      </c>
      <c r="W1092" s="143" t="s">
        <v>298</v>
      </c>
      <c r="X1092" s="143" t="s">
        <v>227</v>
      </c>
      <c r="Y1092" s="143"/>
      <c r="Z1092" s="143"/>
      <c r="AA1092" s="143" t="s">
        <v>4079</v>
      </c>
      <c r="AB1092" s="143" t="s">
        <v>528</v>
      </c>
      <c r="AC1092" s="155">
        <v>1</v>
      </c>
      <c r="AD1092" s="155"/>
      <c r="AE1092" s="155"/>
      <c r="AF1092" s="155"/>
      <c r="AG1092" s="155"/>
      <c r="AH1092" s="143"/>
      <c r="AI1092" s="158"/>
    </row>
    <row r="1093" spans="1:35">
      <c r="A1093" s="140"/>
      <c r="B1093" s="143"/>
      <c r="C1093" s="143" t="s">
        <v>4149</v>
      </c>
      <c r="D1093" s="143" t="s">
        <v>501</v>
      </c>
      <c r="E1093" s="143" t="s">
        <v>80</v>
      </c>
      <c r="F1093" s="143" t="s">
        <v>4154</v>
      </c>
      <c r="G1093" s="143" t="s">
        <v>800</v>
      </c>
      <c r="H1093" s="143"/>
      <c r="I1093" s="198">
        <v>33250</v>
      </c>
      <c r="J1093" s="155">
        <v>1</v>
      </c>
      <c r="K1093" s="155"/>
      <c r="L1093" s="155">
        <v>1</v>
      </c>
      <c r="M1093" s="155"/>
      <c r="N1093" s="155"/>
      <c r="O1093" s="155"/>
      <c r="P1093" s="155"/>
      <c r="Q1093" s="155"/>
      <c r="R1093" s="155"/>
      <c r="S1093" s="155"/>
      <c r="T1093" s="155"/>
      <c r="U1093" s="143" t="s">
        <v>4153</v>
      </c>
      <c r="V1093" s="143" t="s">
        <v>503</v>
      </c>
      <c r="W1093" s="143" t="s">
        <v>298</v>
      </c>
      <c r="X1093" s="143" t="s">
        <v>227</v>
      </c>
      <c r="Y1093" s="143">
        <v>9169663776</v>
      </c>
      <c r="Z1093" s="143"/>
      <c r="AA1093" s="143" t="s">
        <v>4079</v>
      </c>
      <c r="AB1093" s="143" t="s">
        <v>528</v>
      </c>
      <c r="AC1093" s="155">
        <v>1</v>
      </c>
      <c r="AD1093" s="155"/>
      <c r="AE1093" s="155"/>
      <c r="AF1093" s="155"/>
      <c r="AG1093" s="155"/>
      <c r="AH1093" s="143"/>
      <c r="AI1093" s="158"/>
    </row>
    <row r="1094" spans="1:35">
      <c r="A1094" s="140"/>
      <c r="B1094" s="143"/>
      <c r="C1094" s="143" t="s">
        <v>4149</v>
      </c>
      <c r="D1094" s="143" t="s">
        <v>501</v>
      </c>
      <c r="E1094" s="143" t="s">
        <v>80</v>
      </c>
      <c r="F1094" s="143" t="s">
        <v>4155</v>
      </c>
      <c r="G1094" s="143" t="s">
        <v>4156</v>
      </c>
      <c r="H1094" s="143" t="s">
        <v>830</v>
      </c>
      <c r="I1094" s="198">
        <v>36521</v>
      </c>
      <c r="J1094" s="155">
        <v>1</v>
      </c>
      <c r="K1094" s="155"/>
      <c r="L1094" s="155"/>
      <c r="M1094" s="155"/>
      <c r="N1094" s="155"/>
      <c r="O1094" s="155"/>
      <c r="P1094" s="155"/>
      <c r="Q1094" s="155">
        <v>1</v>
      </c>
      <c r="R1094" s="155" t="s">
        <v>1266</v>
      </c>
      <c r="S1094" s="155"/>
      <c r="T1094" s="155"/>
      <c r="U1094" s="143" t="s">
        <v>4153</v>
      </c>
      <c r="V1094" s="143" t="s">
        <v>503</v>
      </c>
      <c r="W1094" s="143" t="s">
        <v>298</v>
      </c>
      <c r="X1094" s="143" t="s">
        <v>227</v>
      </c>
      <c r="Y1094" s="143"/>
      <c r="Z1094" s="143"/>
      <c r="AA1094" s="143" t="s">
        <v>4079</v>
      </c>
      <c r="AB1094" s="143" t="s">
        <v>528</v>
      </c>
      <c r="AC1094" s="155">
        <v>1</v>
      </c>
      <c r="AD1094" s="155"/>
      <c r="AE1094" s="155"/>
      <c r="AF1094" s="155"/>
      <c r="AG1094" s="155"/>
      <c r="AH1094" s="143"/>
      <c r="AI1094" s="158"/>
    </row>
    <row r="1095" spans="1:35">
      <c r="A1095" s="140"/>
      <c r="B1095" s="143"/>
      <c r="C1095" s="143" t="s">
        <v>4149</v>
      </c>
      <c r="D1095" s="143" t="s">
        <v>501</v>
      </c>
      <c r="E1095" s="143" t="s">
        <v>80</v>
      </c>
      <c r="F1095" s="143" t="s">
        <v>4157</v>
      </c>
      <c r="G1095" s="143" t="s">
        <v>4158</v>
      </c>
      <c r="H1095" s="143"/>
      <c r="I1095" s="198"/>
      <c r="J1095" s="155">
        <v>1</v>
      </c>
      <c r="K1095" s="155"/>
      <c r="L1095" s="155"/>
      <c r="M1095" s="155"/>
      <c r="N1095" s="155"/>
      <c r="O1095" s="155"/>
      <c r="P1095" s="155"/>
      <c r="Q1095" s="155">
        <v>1</v>
      </c>
      <c r="R1095" s="155" t="s">
        <v>4119</v>
      </c>
      <c r="S1095" s="155"/>
      <c r="T1095" s="155"/>
      <c r="U1095" s="143"/>
      <c r="V1095" s="143"/>
      <c r="W1095" s="143"/>
      <c r="X1095" s="143"/>
      <c r="Y1095" s="143">
        <v>9652492955</v>
      </c>
      <c r="Z1095" s="143"/>
      <c r="AA1095" s="143" t="s">
        <v>3149</v>
      </c>
      <c r="AB1095" s="143" t="s">
        <v>528</v>
      </c>
      <c r="AC1095" s="155">
        <v>1</v>
      </c>
      <c r="AD1095" s="155"/>
      <c r="AE1095" s="155"/>
      <c r="AF1095" s="155"/>
      <c r="AG1095" s="155"/>
      <c r="AH1095" s="143"/>
      <c r="AI1095" s="158"/>
    </row>
    <row r="1096" spans="1:35">
      <c r="A1096" s="256"/>
      <c r="B1096" s="257"/>
      <c r="C1096" s="143" t="s">
        <v>4149</v>
      </c>
      <c r="D1096" s="143" t="s">
        <v>501</v>
      </c>
      <c r="E1096" s="143" t="s">
        <v>80</v>
      </c>
      <c r="F1096" s="257" t="s">
        <v>3560</v>
      </c>
      <c r="G1096" s="257" t="s">
        <v>3561</v>
      </c>
      <c r="H1096" s="257"/>
      <c r="I1096" s="258"/>
      <c r="J1096" s="259"/>
      <c r="K1096" s="259">
        <v>1</v>
      </c>
      <c r="L1096" s="259"/>
      <c r="M1096" s="259"/>
      <c r="N1096" s="259"/>
      <c r="O1096" s="259"/>
      <c r="P1096" s="259"/>
      <c r="Q1096" s="259">
        <v>1</v>
      </c>
      <c r="R1096" s="259" t="s">
        <v>1266</v>
      </c>
      <c r="S1096" s="259"/>
      <c r="T1096" s="259"/>
      <c r="U1096" s="257" t="s">
        <v>870</v>
      </c>
      <c r="V1096" s="257" t="s">
        <v>503</v>
      </c>
      <c r="W1096" s="257" t="s">
        <v>298</v>
      </c>
      <c r="X1096" s="257" t="s">
        <v>227</v>
      </c>
      <c r="Y1096" s="257">
        <v>9388554506</v>
      </c>
      <c r="Z1096" s="257"/>
      <c r="AA1096" s="257" t="s">
        <v>3149</v>
      </c>
      <c r="AB1096" s="257" t="s">
        <v>528</v>
      </c>
      <c r="AC1096" s="259">
        <v>1</v>
      </c>
      <c r="AD1096" s="259"/>
      <c r="AE1096" s="259"/>
      <c r="AF1096" s="259"/>
      <c r="AG1096" s="259"/>
      <c r="AH1096" s="257"/>
      <c r="AI1096" s="260"/>
    </row>
    <row r="1097" spans="1:35">
      <c r="A1097" s="140"/>
      <c r="B1097" s="143"/>
      <c r="C1097" s="143" t="s">
        <v>4149</v>
      </c>
      <c r="D1097" s="143" t="s">
        <v>501</v>
      </c>
      <c r="E1097" s="143" t="s">
        <v>80</v>
      </c>
      <c r="F1097" s="153" t="s">
        <v>312</v>
      </c>
      <c r="G1097" s="153" t="s">
        <v>955</v>
      </c>
      <c r="H1097" s="153" t="s">
        <v>286</v>
      </c>
      <c r="I1097" s="227">
        <v>23696</v>
      </c>
      <c r="J1097" s="165"/>
      <c r="K1097" s="165">
        <v>1</v>
      </c>
      <c r="L1097" s="155"/>
      <c r="M1097" s="155"/>
      <c r="N1097" s="155"/>
      <c r="O1097" s="155"/>
      <c r="P1097" s="155"/>
      <c r="Q1097" s="155"/>
      <c r="R1097" s="155"/>
      <c r="S1097" s="155"/>
      <c r="T1097" s="155"/>
      <c r="U1097" s="167" t="s">
        <v>509</v>
      </c>
      <c r="V1097" s="153" t="s">
        <v>503</v>
      </c>
      <c r="W1097" s="143" t="s">
        <v>298</v>
      </c>
      <c r="X1097" s="157" t="s">
        <v>227</v>
      </c>
      <c r="Y1097" s="153"/>
      <c r="Z1097" s="143"/>
      <c r="AA1097" s="163" t="s">
        <v>525</v>
      </c>
      <c r="AB1097" s="143" t="s">
        <v>528</v>
      </c>
      <c r="AC1097" s="155">
        <v>1</v>
      </c>
      <c r="AD1097" s="155"/>
      <c r="AE1097" s="155"/>
      <c r="AF1097" s="155"/>
      <c r="AG1097" s="155"/>
      <c r="AH1097" s="143"/>
      <c r="AI1097" s="158"/>
    </row>
    <row r="1098" spans="1:35">
      <c r="A1098" s="140"/>
      <c r="B1098" s="143"/>
      <c r="C1098" s="143" t="s">
        <v>4149</v>
      </c>
      <c r="D1098" s="143" t="s">
        <v>501</v>
      </c>
      <c r="E1098" s="143" t="s">
        <v>80</v>
      </c>
      <c r="F1098" s="143" t="s">
        <v>4159</v>
      </c>
      <c r="G1098" s="143" t="s">
        <v>4160</v>
      </c>
      <c r="H1098" s="143" t="s">
        <v>115</v>
      </c>
      <c r="I1098" s="198">
        <v>27375</v>
      </c>
      <c r="J1098" s="155">
        <v>1</v>
      </c>
      <c r="K1098" s="155"/>
      <c r="L1098" s="155">
        <v>1</v>
      </c>
      <c r="M1098" s="155"/>
      <c r="N1098" s="155"/>
      <c r="O1098" s="155"/>
      <c r="P1098" s="155"/>
      <c r="Q1098" s="155"/>
      <c r="R1098" s="155"/>
      <c r="S1098" s="155"/>
      <c r="T1098" s="155"/>
      <c r="U1098" s="143" t="s">
        <v>2781</v>
      </c>
      <c r="V1098" s="143" t="s">
        <v>873</v>
      </c>
      <c r="W1098" s="143" t="s">
        <v>279</v>
      </c>
      <c r="X1098" s="143" t="s">
        <v>227</v>
      </c>
      <c r="Y1098" s="143">
        <v>9651897795</v>
      </c>
      <c r="Z1098" s="143"/>
      <c r="AA1098" s="143" t="s">
        <v>3149</v>
      </c>
      <c r="AB1098" s="143" t="s">
        <v>528</v>
      </c>
      <c r="AC1098" s="155">
        <v>1</v>
      </c>
      <c r="AD1098" s="155"/>
      <c r="AE1098" s="155"/>
      <c r="AF1098" s="155"/>
      <c r="AG1098" s="155"/>
      <c r="AH1098" s="143"/>
      <c r="AI1098" s="158"/>
    </row>
    <row r="1099" spans="1:35">
      <c r="A1099" s="140"/>
      <c r="B1099" s="143"/>
      <c r="C1099" s="143" t="s">
        <v>4149</v>
      </c>
      <c r="D1099" s="143" t="s">
        <v>501</v>
      </c>
      <c r="E1099" s="143" t="s">
        <v>80</v>
      </c>
      <c r="F1099" s="153" t="s">
        <v>464</v>
      </c>
      <c r="G1099" s="153" t="s">
        <v>465</v>
      </c>
      <c r="H1099" s="153" t="s">
        <v>115</v>
      </c>
      <c r="I1099" s="227">
        <v>29959</v>
      </c>
      <c r="J1099" s="154"/>
      <c r="K1099" s="154">
        <v>1</v>
      </c>
      <c r="L1099" s="155"/>
      <c r="M1099" s="155"/>
      <c r="N1099" s="155"/>
      <c r="O1099" s="155"/>
      <c r="P1099" s="155"/>
      <c r="Q1099" s="155"/>
      <c r="R1099" s="155"/>
      <c r="S1099" s="155"/>
      <c r="T1099" s="155"/>
      <c r="U1099" s="156" t="s">
        <v>292</v>
      </c>
      <c r="V1099" s="153" t="s">
        <v>503</v>
      </c>
      <c r="W1099" s="143" t="s">
        <v>298</v>
      </c>
      <c r="X1099" s="157" t="s">
        <v>227</v>
      </c>
      <c r="Y1099" s="157">
        <v>9771363474</v>
      </c>
      <c r="Z1099" s="143"/>
      <c r="AA1099" s="157" t="s">
        <v>3149</v>
      </c>
      <c r="AB1099" s="143" t="s">
        <v>528</v>
      </c>
      <c r="AC1099" s="155">
        <v>1</v>
      </c>
      <c r="AD1099" s="155"/>
      <c r="AE1099" s="155"/>
      <c r="AF1099" s="155"/>
      <c r="AG1099" s="155"/>
      <c r="AH1099" s="143"/>
      <c r="AI1099" s="158"/>
    </row>
    <row r="1100" spans="1:35" ht="16.5" customHeight="1">
      <c r="A1100" s="140"/>
      <c r="B1100" s="143"/>
      <c r="C1100" s="143" t="s">
        <v>4149</v>
      </c>
      <c r="D1100" s="143" t="s">
        <v>501</v>
      </c>
      <c r="E1100" s="143" t="s">
        <v>80</v>
      </c>
      <c r="F1100" s="143" t="s">
        <v>4161</v>
      </c>
      <c r="G1100" s="143" t="s">
        <v>2261</v>
      </c>
      <c r="H1100" s="143"/>
      <c r="I1100" s="198"/>
      <c r="J1100" s="155">
        <v>1</v>
      </c>
      <c r="K1100" s="155"/>
      <c r="L1100" s="155"/>
      <c r="M1100" s="155"/>
      <c r="N1100" s="155"/>
      <c r="O1100" s="155"/>
      <c r="P1100" s="155"/>
      <c r="Q1100" s="155">
        <v>1</v>
      </c>
      <c r="R1100" s="155" t="s">
        <v>3079</v>
      </c>
      <c r="S1100" s="155"/>
      <c r="T1100" s="155"/>
      <c r="U1100" s="143"/>
      <c r="V1100" s="143" t="s">
        <v>503</v>
      </c>
      <c r="W1100" s="143" t="s">
        <v>298</v>
      </c>
      <c r="X1100" s="143" t="s">
        <v>227</v>
      </c>
      <c r="Y1100" s="143">
        <v>9097488302</v>
      </c>
      <c r="Z1100" s="143"/>
      <c r="AA1100" s="143" t="s">
        <v>3151</v>
      </c>
      <c r="AB1100" s="143" t="s">
        <v>528</v>
      </c>
      <c r="AC1100" s="155">
        <v>1</v>
      </c>
      <c r="AD1100" s="155"/>
      <c r="AE1100" s="155"/>
      <c r="AF1100" s="155"/>
      <c r="AG1100" s="155"/>
      <c r="AH1100" s="143"/>
      <c r="AI1100" s="158"/>
    </row>
    <row r="1101" spans="1:35">
      <c r="A1101" s="140"/>
      <c r="B1101" s="143"/>
      <c r="C1101" s="143" t="s">
        <v>4149</v>
      </c>
      <c r="D1101" s="143" t="s">
        <v>501</v>
      </c>
      <c r="E1101" s="143" t="s">
        <v>80</v>
      </c>
      <c r="F1101" s="143" t="s">
        <v>466</v>
      </c>
      <c r="G1101" s="143" t="s">
        <v>1672</v>
      </c>
      <c r="H1101" s="143" t="s">
        <v>160</v>
      </c>
      <c r="I1101" s="199" t="s">
        <v>1671</v>
      </c>
      <c r="J1101" s="182">
        <v>1</v>
      </c>
      <c r="K1101" s="182"/>
      <c r="L1101" s="155"/>
      <c r="M1101" s="155"/>
      <c r="N1101" s="155"/>
      <c r="O1101" s="155"/>
      <c r="P1101" s="155"/>
      <c r="Q1101" s="155">
        <v>1</v>
      </c>
      <c r="R1101" s="155" t="s">
        <v>1009</v>
      </c>
      <c r="S1101" s="155"/>
      <c r="T1101" s="155"/>
      <c r="U1101" s="183" t="s">
        <v>502</v>
      </c>
      <c r="V1101" s="143" t="s">
        <v>503</v>
      </c>
      <c r="W1101" s="143" t="s">
        <v>298</v>
      </c>
      <c r="X1101" s="143" t="s">
        <v>227</v>
      </c>
      <c r="Y1101" s="184">
        <v>9268448967</v>
      </c>
      <c r="Z1101" s="143"/>
      <c r="AA1101" s="159" t="s">
        <v>524</v>
      </c>
      <c r="AB1101" s="143" t="s">
        <v>528</v>
      </c>
      <c r="AC1101" s="155">
        <v>1</v>
      </c>
      <c r="AD1101" s="155"/>
      <c r="AE1101" s="155"/>
      <c r="AF1101" s="155"/>
      <c r="AG1101" s="155"/>
      <c r="AH1101" s="143"/>
      <c r="AI1101" s="158"/>
    </row>
    <row r="1102" spans="1:35">
      <c r="A1102" s="140"/>
      <c r="B1102" s="143"/>
      <c r="C1102" s="143" t="s">
        <v>4149</v>
      </c>
      <c r="D1102" s="143" t="s">
        <v>501</v>
      </c>
      <c r="E1102" s="143" t="s">
        <v>80</v>
      </c>
      <c r="F1102" s="143" t="s">
        <v>178</v>
      </c>
      <c r="G1102" s="143" t="s">
        <v>3372</v>
      </c>
      <c r="H1102" s="143" t="s">
        <v>604</v>
      </c>
      <c r="I1102" s="198"/>
      <c r="J1102" s="155"/>
      <c r="K1102" s="155"/>
      <c r="L1102" s="155"/>
      <c r="M1102" s="155"/>
      <c r="N1102" s="155"/>
      <c r="O1102" s="155"/>
      <c r="P1102" s="155"/>
      <c r="Q1102" s="155"/>
      <c r="R1102" s="155"/>
      <c r="S1102" s="155"/>
      <c r="T1102" s="155"/>
      <c r="U1102" s="143"/>
      <c r="V1102" s="143" t="s">
        <v>503</v>
      </c>
      <c r="W1102" s="143" t="s">
        <v>298</v>
      </c>
      <c r="X1102" s="143" t="s">
        <v>227</v>
      </c>
      <c r="Y1102" s="143"/>
      <c r="Z1102" s="143"/>
      <c r="AA1102" s="143" t="s">
        <v>3149</v>
      </c>
      <c r="AB1102" s="143" t="s">
        <v>528</v>
      </c>
      <c r="AC1102" s="155">
        <v>1</v>
      </c>
      <c r="AD1102" s="155"/>
      <c r="AE1102" s="155"/>
      <c r="AF1102" s="155"/>
      <c r="AG1102" s="155"/>
      <c r="AH1102" s="143"/>
      <c r="AI1102" s="158"/>
    </row>
    <row r="1103" spans="1:35">
      <c r="A1103" s="140"/>
      <c r="B1103" s="143"/>
      <c r="C1103" s="143" t="s">
        <v>4149</v>
      </c>
      <c r="D1103" s="143" t="s">
        <v>501</v>
      </c>
      <c r="E1103" s="143" t="s">
        <v>80</v>
      </c>
      <c r="F1103" s="143" t="s">
        <v>4192</v>
      </c>
      <c r="G1103" s="143" t="s">
        <v>4193</v>
      </c>
      <c r="H1103" s="143"/>
      <c r="I1103" s="198"/>
      <c r="J1103" s="155"/>
      <c r="K1103" s="155"/>
      <c r="L1103" s="155"/>
      <c r="M1103" s="155"/>
      <c r="N1103" s="155"/>
      <c r="O1103" s="155"/>
      <c r="P1103" s="155"/>
      <c r="Q1103" s="155">
        <v>1</v>
      </c>
      <c r="R1103" s="155" t="s">
        <v>1009</v>
      </c>
      <c r="S1103" s="155"/>
      <c r="T1103" s="155"/>
      <c r="U1103" s="143"/>
      <c r="V1103" s="143" t="s">
        <v>503</v>
      </c>
      <c r="W1103" s="143" t="s">
        <v>298</v>
      </c>
      <c r="X1103" s="143" t="s">
        <v>227</v>
      </c>
      <c r="Y1103" s="143">
        <v>90645942588</v>
      </c>
      <c r="Z1103" s="143"/>
      <c r="AA1103" s="143" t="s">
        <v>3151</v>
      </c>
      <c r="AB1103" s="143" t="s">
        <v>528</v>
      </c>
      <c r="AC1103" s="155">
        <v>1</v>
      </c>
      <c r="AD1103" s="155"/>
      <c r="AE1103" s="155"/>
      <c r="AF1103" s="155"/>
      <c r="AG1103" s="155"/>
      <c r="AH1103" s="143"/>
      <c r="AI1103" s="158"/>
    </row>
    <row r="1104" spans="1:35">
      <c r="A1104" s="140"/>
      <c r="B1104" s="143"/>
      <c r="C1104" s="143" t="s">
        <v>4149</v>
      </c>
      <c r="D1104" s="143" t="s">
        <v>501</v>
      </c>
      <c r="E1104" s="143" t="s">
        <v>80</v>
      </c>
      <c r="F1104" s="143" t="s">
        <v>4162</v>
      </c>
      <c r="G1104" s="143" t="s">
        <v>135</v>
      </c>
      <c r="H1104" s="143"/>
      <c r="I1104" s="198">
        <v>33820</v>
      </c>
      <c r="J1104" s="155">
        <v>1</v>
      </c>
      <c r="K1104" s="155"/>
      <c r="L1104" s="155">
        <v>1</v>
      </c>
      <c r="M1104" s="155"/>
      <c r="N1104" s="155"/>
      <c r="O1104" s="155"/>
      <c r="P1104" s="155"/>
      <c r="Q1104" s="155"/>
      <c r="R1104" s="155"/>
      <c r="S1104" s="155"/>
      <c r="T1104" s="155"/>
      <c r="U1104" s="143"/>
      <c r="V1104" s="143" t="s">
        <v>503</v>
      </c>
      <c r="W1104" s="143" t="s">
        <v>298</v>
      </c>
      <c r="X1104" s="143" t="s">
        <v>227</v>
      </c>
      <c r="Y1104" s="143">
        <v>9178417880</v>
      </c>
      <c r="Z1104" s="143"/>
      <c r="AA1104" s="143" t="s">
        <v>3149</v>
      </c>
      <c r="AB1104" s="143" t="s">
        <v>528</v>
      </c>
      <c r="AC1104" s="155">
        <v>1</v>
      </c>
      <c r="AD1104" s="155"/>
      <c r="AE1104" s="155"/>
      <c r="AF1104" s="155"/>
      <c r="AG1104" s="155"/>
      <c r="AH1104" s="143"/>
      <c r="AI1104" s="158"/>
    </row>
    <row r="1105" spans="1:35">
      <c r="A1105" s="140"/>
      <c r="B1105" s="143"/>
      <c r="C1105" s="143" t="s">
        <v>4149</v>
      </c>
      <c r="D1105" s="143" t="s">
        <v>501</v>
      </c>
      <c r="E1105" s="143" t="s">
        <v>80</v>
      </c>
      <c r="F1105" s="143" t="s">
        <v>1982</v>
      </c>
      <c r="G1105" s="143" t="s">
        <v>4163</v>
      </c>
      <c r="H1105" s="143"/>
      <c r="I1105" s="198"/>
      <c r="J1105" s="155">
        <v>1</v>
      </c>
      <c r="K1105" s="155"/>
      <c r="L1105" s="155">
        <v>1</v>
      </c>
      <c r="M1105" s="155"/>
      <c r="N1105" s="155"/>
      <c r="O1105" s="155"/>
      <c r="P1105" s="155"/>
      <c r="Q1105" s="155"/>
      <c r="R1105" s="155"/>
      <c r="S1105" s="155"/>
      <c r="T1105" s="155"/>
      <c r="U1105" s="143" t="s">
        <v>508</v>
      </c>
      <c r="V1105" s="143" t="s">
        <v>503</v>
      </c>
      <c r="W1105" s="143" t="s">
        <v>298</v>
      </c>
      <c r="X1105" s="143" t="s">
        <v>227</v>
      </c>
      <c r="Y1105" s="143">
        <v>9778355557</v>
      </c>
      <c r="Z1105" s="143"/>
      <c r="AA1105" s="143" t="s">
        <v>3149</v>
      </c>
      <c r="AB1105" s="143" t="s">
        <v>528</v>
      </c>
      <c r="AC1105" s="155">
        <v>1</v>
      </c>
      <c r="AD1105" s="155"/>
      <c r="AE1105" s="155"/>
      <c r="AF1105" s="155"/>
      <c r="AG1105" s="155"/>
      <c r="AH1105" s="143"/>
      <c r="AI1105" s="158"/>
    </row>
    <row r="1106" spans="1:35">
      <c r="A1106" s="140"/>
      <c r="B1106" s="143"/>
      <c r="C1106" s="143" t="s">
        <v>4149</v>
      </c>
      <c r="D1106" s="143" t="s">
        <v>501</v>
      </c>
      <c r="E1106" s="143" t="s">
        <v>80</v>
      </c>
      <c r="F1106" s="143" t="s">
        <v>4164</v>
      </c>
      <c r="G1106" s="143" t="s">
        <v>4165</v>
      </c>
      <c r="H1106" s="143"/>
      <c r="I1106" s="198"/>
      <c r="J1106" s="155">
        <v>1</v>
      </c>
      <c r="K1106" s="155"/>
      <c r="L1106" s="155"/>
      <c r="M1106" s="155"/>
      <c r="N1106" s="155"/>
      <c r="O1106" s="155"/>
      <c r="P1106" s="155"/>
      <c r="Q1106" s="155">
        <v>1</v>
      </c>
      <c r="R1106" s="155" t="s">
        <v>3079</v>
      </c>
      <c r="S1106" s="155"/>
      <c r="T1106" s="155"/>
      <c r="U1106" s="143" t="s">
        <v>502</v>
      </c>
      <c r="V1106" s="143" t="s">
        <v>503</v>
      </c>
      <c r="W1106" s="143" t="s">
        <v>298</v>
      </c>
      <c r="X1106" s="143" t="s">
        <v>227</v>
      </c>
      <c r="Y1106" s="143">
        <v>9451281499</v>
      </c>
      <c r="Z1106" s="143"/>
      <c r="AA1106" s="143" t="s">
        <v>3151</v>
      </c>
      <c r="AB1106" s="143" t="s">
        <v>528</v>
      </c>
      <c r="AC1106" s="155">
        <v>1</v>
      </c>
      <c r="AD1106" s="155"/>
      <c r="AE1106" s="155"/>
      <c r="AF1106" s="155"/>
      <c r="AG1106" s="155"/>
      <c r="AH1106" s="143"/>
      <c r="AI1106" s="158"/>
    </row>
    <row r="1107" spans="1:35">
      <c r="A1107" s="140"/>
      <c r="B1107" s="143"/>
      <c r="C1107" s="143" t="s">
        <v>4149</v>
      </c>
      <c r="D1107" s="143" t="s">
        <v>501</v>
      </c>
      <c r="E1107" s="143" t="s">
        <v>80</v>
      </c>
      <c r="F1107" s="143" t="s">
        <v>918</v>
      </c>
      <c r="G1107" s="143" t="s">
        <v>919</v>
      </c>
      <c r="H1107" s="143"/>
      <c r="I1107" s="198">
        <v>24918</v>
      </c>
      <c r="J1107" s="155"/>
      <c r="K1107" s="155">
        <v>1</v>
      </c>
      <c r="L1107" s="155">
        <v>1</v>
      </c>
      <c r="M1107" s="155"/>
      <c r="N1107" s="155"/>
      <c r="O1107" s="155"/>
      <c r="P1107" s="155"/>
      <c r="Q1107" s="155"/>
      <c r="R1107" s="155"/>
      <c r="S1107" s="155"/>
      <c r="T1107" s="155"/>
      <c r="U1107" s="143" t="s">
        <v>502</v>
      </c>
      <c r="V1107" s="143" t="s">
        <v>503</v>
      </c>
      <c r="W1107" s="143" t="s">
        <v>298</v>
      </c>
      <c r="X1107" s="143" t="s">
        <v>227</v>
      </c>
      <c r="Y1107" s="143">
        <v>9109451565</v>
      </c>
      <c r="Z1107" s="143"/>
      <c r="AA1107" s="143" t="s">
        <v>3141</v>
      </c>
      <c r="AB1107" s="143" t="s">
        <v>528</v>
      </c>
      <c r="AC1107" s="155">
        <v>1</v>
      </c>
      <c r="AD1107" s="155"/>
      <c r="AE1107" s="155"/>
      <c r="AF1107" s="155"/>
      <c r="AG1107" s="155"/>
      <c r="AH1107" s="143"/>
      <c r="AI1107" s="158"/>
    </row>
    <row r="1108" spans="1:35">
      <c r="A1108" s="140"/>
      <c r="B1108" s="143"/>
      <c r="C1108" s="143" t="s">
        <v>4149</v>
      </c>
      <c r="D1108" s="143" t="s">
        <v>501</v>
      </c>
      <c r="E1108" s="143" t="s">
        <v>80</v>
      </c>
      <c r="F1108" s="143" t="s">
        <v>4166</v>
      </c>
      <c r="G1108" s="143" t="s">
        <v>4167</v>
      </c>
      <c r="H1108" s="143"/>
      <c r="I1108" s="198">
        <v>37209</v>
      </c>
      <c r="J1108" s="155"/>
      <c r="K1108" s="155">
        <v>1</v>
      </c>
      <c r="L1108" s="155"/>
      <c r="M1108" s="155"/>
      <c r="N1108" s="155"/>
      <c r="O1108" s="155"/>
      <c r="P1108" s="155"/>
      <c r="Q1108" s="155">
        <v>1</v>
      </c>
      <c r="R1108" s="155" t="s">
        <v>1266</v>
      </c>
      <c r="S1108" s="155"/>
      <c r="T1108" s="155"/>
      <c r="U1108" s="143" t="s">
        <v>502</v>
      </c>
      <c r="V1108" s="143" t="s">
        <v>503</v>
      </c>
      <c r="W1108" s="143" t="s">
        <v>298</v>
      </c>
      <c r="X1108" s="143" t="s">
        <v>227</v>
      </c>
      <c r="Y1108" s="143">
        <v>9679444454</v>
      </c>
      <c r="Z1108" s="143"/>
      <c r="AA1108" s="143" t="s">
        <v>3149</v>
      </c>
      <c r="AB1108" s="143" t="s">
        <v>528</v>
      </c>
      <c r="AC1108" s="155">
        <v>1</v>
      </c>
      <c r="AD1108" s="155"/>
      <c r="AE1108" s="155"/>
      <c r="AF1108" s="155"/>
      <c r="AG1108" s="155"/>
      <c r="AH1108" s="143"/>
      <c r="AI1108" s="158"/>
    </row>
    <row r="1109" spans="1:35">
      <c r="A1109" s="140"/>
      <c r="B1109" s="143"/>
      <c r="C1109" s="143" t="s">
        <v>4149</v>
      </c>
      <c r="D1109" s="143" t="s">
        <v>501</v>
      </c>
      <c r="E1109" s="143" t="s">
        <v>80</v>
      </c>
      <c r="F1109" s="143" t="s">
        <v>4168</v>
      </c>
      <c r="G1109" s="143" t="s">
        <v>4169</v>
      </c>
      <c r="H1109" s="143" t="s">
        <v>283</v>
      </c>
      <c r="I1109" s="198">
        <v>37561</v>
      </c>
      <c r="J1109" s="155"/>
      <c r="K1109" s="155">
        <v>1</v>
      </c>
      <c r="L1109" s="155"/>
      <c r="M1109" s="155"/>
      <c r="N1109" s="155"/>
      <c r="O1109" s="155"/>
      <c r="P1109" s="155"/>
      <c r="Q1109" s="155">
        <v>1</v>
      </c>
      <c r="R1109" s="155" t="s">
        <v>1266</v>
      </c>
      <c r="S1109" s="155"/>
      <c r="T1109" s="155"/>
      <c r="U1109" s="143" t="s">
        <v>507</v>
      </c>
      <c r="V1109" s="143" t="s">
        <v>503</v>
      </c>
      <c r="W1109" s="143" t="s">
        <v>298</v>
      </c>
      <c r="X1109" s="143" t="s">
        <v>227</v>
      </c>
      <c r="Y1109" s="143">
        <v>9752681238</v>
      </c>
      <c r="Z1109" s="143"/>
      <c r="AA1109" s="143" t="s">
        <v>3149</v>
      </c>
      <c r="AB1109" s="143" t="s">
        <v>528</v>
      </c>
      <c r="AC1109" s="155">
        <v>1</v>
      </c>
      <c r="AD1109" s="155"/>
      <c r="AE1109" s="155"/>
      <c r="AF1109" s="155"/>
      <c r="AG1109" s="155"/>
      <c r="AH1109" s="143"/>
      <c r="AI1109" s="158"/>
    </row>
    <row r="1110" spans="1:35">
      <c r="A1110" s="140"/>
      <c r="B1110" s="143"/>
      <c r="C1110" s="143" t="s">
        <v>4149</v>
      </c>
      <c r="D1110" s="143" t="s">
        <v>501</v>
      </c>
      <c r="E1110" s="143" t="s">
        <v>80</v>
      </c>
      <c r="F1110" s="143" t="s">
        <v>4170</v>
      </c>
      <c r="G1110" s="143" t="s">
        <v>4171</v>
      </c>
      <c r="H1110" s="143" t="s">
        <v>120</v>
      </c>
      <c r="I1110" s="198"/>
      <c r="J1110" s="155"/>
      <c r="K1110" s="155">
        <v>1</v>
      </c>
      <c r="L1110" s="155"/>
      <c r="M1110" s="155"/>
      <c r="N1110" s="155"/>
      <c r="O1110" s="155"/>
      <c r="P1110" s="155"/>
      <c r="Q1110" s="155">
        <v>1</v>
      </c>
      <c r="R1110" s="155" t="s">
        <v>1266</v>
      </c>
      <c r="S1110" s="155"/>
      <c r="T1110" s="155"/>
      <c r="U1110" s="143" t="s">
        <v>506</v>
      </c>
      <c r="V1110" s="143" t="s">
        <v>503</v>
      </c>
      <c r="W1110" s="143" t="s">
        <v>298</v>
      </c>
      <c r="X1110" s="143" t="s">
        <v>227</v>
      </c>
      <c r="Y1110" s="143">
        <v>9540448041</v>
      </c>
      <c r="Z1110" s="143"/>
      <c r="AA1110" s="143" t="s">
        <v>3149</v>
      </c>
      <c r="AB1110" s="143" t="s">
        <v>528</v>
      </c>
      <c r="AC1110" s="155">
        <v>1</v>
      </c>
      <c r="AD1110" s="155"/>
      <c r="AE1110" s="155"/>
      <c r="AF1110" s="155"/>
      <c r="AG1110" s="155"/>
      <c r="AH1110" s="143"/>
      <c r="AI1110" s="158"/>
    </row>
    <row r="1111" spans="1:35">
      <c r="A1111" s="140"/>
      <c r="B1111" s="143"/>
      <c r="C1111" s="143" t="s">
        <v>4203</v>
      </c>
      <c r="D1111" s="143" t="s">
        <v>501</v>
      </c>
      <c r="E1111" s="143" t="s">
        <v>80</v>
      </c>
      <c r="F1111" s="143" t="s">
        <v>4172</v>
      </c>
      <c r="G1111" s="143" t="s">
        <v>1076</v>
      </c>
      <c r="H1111" s="143" t="s">
        <v>144</v>
      </c>
      <c r="I1111" s="198">
        <v>30657</v>
      </c>
      <c r="J1111" s="155">
        <v>1</v>
      </c>
      <c r="K1111" s="155"/>
      <c r="L1111" s="155">
        <v>1</v>
      </c>
      <c r="M1111" s="155"/>
      <c r="N1111" s="155"/>
      <c r="O1111" s="155"/>
      <c r="P1111" s="155"/>
      <c r="Q1111" s="155"/>
      <c r="R1111" s="155"/>
      <c r="S1111" s="155"/>
      <c r="T1111" s="155"/>
      <c r="U1111" s="143"/>
      <c r="V1111" s="143" t="s">
        <v>873</v>
      </c>
      <c r="W1111" s="143" t="s">
        <v>279</v>
      </c>
      <c r="X1111" s="143" t="s">
        <v>227</v>
      </c>
      <c r="Y1111" s="143">
        <v>9059721315</v>
      </c>
      <c r="Z1111" s="143"/>
      <c r="AA1111" s="143" t="s">
        <v>3149</v>
      </c>
      <c r="AB1111" s="143" t="s">
        <v>528</v>
      </c>
      <c r="AC1111" s="155">
        <v>1</v>
      </c>
      <c r="AD1111" s="155"/>
      <c r="AE1111" s="155"/>
      <c r="AF1111" s="155"/>
      <c r="AG1111" s="155"/>
      <c r="AH1111" s="143"/>
      <c r="AI1111" s="158"/>
    </row>
    <row r="1112" spans="1:35">
      <c r="A1112" s="140"/>
      <c r="B1112" s="143"/>
      <c r="C1112" s="143" t="s">
        <v>4203</v>
      </c>
      <c r="D1112" s="143" t="s">
        <v>501</v>
      </c>
      <c r="E1112" s="143" t="s">
        <v>80</v>
      </c>
      <c r="F1112" s="143" t="s">
        <v>1694</v>
      </c>
      <c r="G1112" s="143" t="s">
        <v>1606</v>
      </c>
      <c r="H1112" s="143"/>
      <c r="I1112" s="198"/>
      <c r="J1112" s="155"/>
      <c r="K1112" s="155">
        <v>1</v>
      </c>
      <c r="L1112" s="155"/>
      <c r="M1112" s="155"/>
      <c r="N1112" s="155"/>
      <c r="O1112" s="155"/>
      <c r="P1112" s="155"/>
      <c r="Q1112" s="155">
        <v>1</v>
      </c>
      <c r="R1112" s="155" t="s">
        <v>3079</v>
      </c>
      <c r="S1112" s="155"/>
      <c r="T1112" s="155"/>
      <c r="U1112" s="143"/>
      <c r="V1112" s="143"/>
      <c r="W1112" s="143"/>
      <c r="X1112" s="143" t="s">
        <v>227</v>
      </c>
      <c r="Y1112" s="143">
        <v>9197047807</v>
      </c>
      <c r="Z1112" s="143"/>
      <c r="AA1112" s="143" t="s">
        <v>3149</v>
      </c>
      <c r="AB1112" s="143" t="s">
        <v>528</v>
      </c>
      <c r="AC1112" s="155">
        <v>1</v>
      </c>
      <c r="AD1112" s="155"/>
      <c r="AE1112" s="155"/>
      <c r="AF1112" s="155"/>
      <c r="AG1112" s="155"/>
      <c r="AH1112" s="143"/>
      <c r="AI1112" s="158"/>
    </row>
    <row r="1113" spans="1:35">
      <c r="A1113" s="140"/>
      <c r="B1113" s="143"/>
      <c r="C1113" s="143" t="s">
        <v>4203</v>
      </c>
      <c r="D1113" s="143" t="s">
        <v>501</v>
      </c>
      <c r="E1113" s="143" t="s">
        <v>80</v>
      </c>
      <c r="F1113" s="143" t="s">
        <v>4173</v>
      </c>
      <c r="G1113" s="143" t="s">
        <v>4174</v>
      </c>
      <c r="H1113" s="143"/>
      <c r="I1113" s="198">
        <v>37216</v>
      </c>
      <c r="J1113" s="155">
        <v>1</v>
      </c>
      <c r="K1113" s="155"/>
      <c r="L1113" s="155"/>
      <c r="M1113" s="155"/>
      <c r="N1113" s="155"/>
      <c r="O1113" s="155"/>
      <c r="P1113" s="155"/>
      <c r="Q1113" s="155">
        <v>1</v>
      </c>
      <c r="R1113" s="155" t="s">
        <v>3079</v>
      </c>
      <c r="S1113" s="155"/>
      <c r="T1113" s="155"/>
      <c r="U1113" s="143"/>
      <c r="V1113" s="143" t="s">
        <v>873</v>
      </c>
      <c r="W1113" s="143" t="s">
        <v>279</v>
      </c>
      <c r="X1113" s="143" t="s">
        <v>227</v>
      </c>
      <c r="Y1113" s="143">
        <v>9533754124</v>
      </c>
      <c r="Z1113" s="143"/>
      <c r="AA1113" s="143" t="s">
        <v>3151</v>
      </c>
      <c r="AB1113" s="143" t="s">
        <v>528</v>
      </c>
      <c r="AC1113" s="155">
        <v>1</v>
      </c>
      <c r="AD1113" s="155"/>
      <c r="AE1113" s="155"/>
      <c r="AF1113" s="155"/>
      <c r="AG1113" s="155"/>
      <c r="AH1113" s="143"/>
      <c r="AI1113" s="158"/>
    </row>
    <row r="1114" spans="1:35">
      <c r="A1114" s="140"/>
      <c r="B1114" s="143"/>
      <c r="C1114" s="143" t="s">
        <v>4203</v>
      </c>
      <c r="D1114" s="143" t="s">
        <v>501</v>
      </c>
      <c r="E1114" s="143" t="s">
        <v>80</v>
      </c>
      <c r="F1114" s="143" t="s">
        <v>1095</v>
      </c>
      <c r="G1114" s="143" t="s">
        <v>4175</v>
      </c>
      <c r="H1114" s="143"/>
      <c r="I1114" s="198">
        <v>36814</v>
      </c>
      <c r="J1114" s="155"/>
      <c r="K1114" s="155">
        <v>1</v>
      </c>
      <c r="L1114" s="155"/>
      <c r="M1114" s="155"/>
      <c r="N1114" s="155"/>
      <c r="O1114" s="155"/>
      <c r="P1114" s="155"/>
      <c r="Q1114" s="155">
        <v>1</v>
      </c>
      <c r="R1114" s="155" t="s">
        <v>1266</v>
      </c>
      <c r="S1114" s="155"/>
      <c r="T1114" s="155"/>
      <c r="U1114" s="143" t="s">
        <v>870</v>
      </c>
      <c r="V1114" s="143" t="s">
        <v>873</v>
      </c>
      <c r="W1114" s="143" t="s">
        <v>279</v>
      </c>
      <c r="X1114" s="143" t="s">
        <v>227</v>
      </c>
      <c r="Y1114" s="143">
        <v>9569186410</v>
      </c>
      <c r="AA1114" s="143" t="s">
        <v>3149</v>
      </c>
      <c r="AB1114" s="143" t="s">
        <v>528</v>
      </c>
      <c r="AC1114" s="155">
        <v>1</v>
      </c>
      <c r="AD1114" s="155"/>
      <c r="AE1114" s="155"/>
      <c r="AF1114" s="155"/>
      <c r="AG1114" s="155"/>
      <c r="AH1114" s="143"/>
      <c r="AI1114" s="158"/>
    </row>
    <row r="1115" spans="1:35">
      <c r="A1115" s="140"/>
      <c r="B1115" s="143"/>
      <c r="C1115" s="143" t="s">
        <v>4203</v>
      </c>
      <c r="D1115" s="143" t="s">
        <v>501</v>
      </c>
      <c r="E1115" s="143" t="s">
        <v>80</v>
      </c>
      <c r="F1115" s="143" t="s">
        <v>1735</v>
      </c>
      <c r="G1115" s="143" t="s">
        <v>181</v>
      </c>
      <c r="H1115" s="143" t="s">
        <v>160</v>
      </c>
      <c r="I1115" s="198">
        <v>31341</v>
      </c>
      <c r="J1115" s="155">
        <v>1</v>
      </c>
      <c r="K1115" s="155"/>
      <c r="L1115" s="155"/>
      <c r="M1115" s="155"/>
      <c r="N1115" s="155"/>
      <c r="O1115" s="155"/>
      <c r="P1115" s="155"/>
      <c r="Q1115" s="155">
        <v>1</v>
      </c>
      <c r="R1115" s="155" t="s">
        <v>3079</v>
      </c>
      <c r="S1115" s="155"/>
      <c r="T1115" s="155"/>
      <c r="U1115" s="143" t="s">
        <v>518</v>
      </c>
      <c r="V1115" s="143" t="s">
        <v>503</v>
      </c>
      <c r="W1115" s="143" t="s">
        <v>298</v>
      </c>
      <c r="X1115" s="143" t="s">
        <v>227</v>
      </c>
      <c r="Y1115" s="143">
        <v>9976344845</v>
      </c>
      <c r="Z1115" s="143"/>
      <c r="AA1115" s="143" t="s">
        <v>3149</v>
      </c>
      <c r="AB1115" s="143" t="s">
        <v>528</v>
      </c>
      <c r="AC1115" s="155">
        <v>1</v>
      </c>
      <c r="AD1115" s="155"/>
      <c r="AE1115" s="155"/>
      <c r="AF1115" s="155"/>
      <c r="AG1115" s="155"/>
      <c r="AH1115" s="143"/>
      <c r="AI1115" s="158"/>
    </row>
    <row r="1116" spans="1:35">
      <c r="A1116" s="140"/>
      <c r="B1116" s="143"/>
      <c r="C1116" s="143" t="s">
        <v>4203</v>
      </c>
      <c r="D1116" s="143" t="s">
        <v>501</v>
      </c>
      <c r="E1116" s="143" t="s">
        <v>80</v>
      </c>
      <c r="F1116" s="143" t="s">
        <v>4176</v>
      </c>
      <c r="G1116" s="143" t="s">
        <v>4177</v>
      </c>
      <c r="H1116" s="143" t="s">
        <v>588</v>
      </c>
      <c r="I1116" s="198">
        <v>29029</v>
      </c>
      <c r="J1116" s="155">
        <v>1</v>
      </c>
      <c r="K1116" s="155"/>
      <c r="L1116" s="155"/>
      <c r="M1116" s="155"/>
      <c r="N1116" s="155"/>
      <c r="O1116" s="155"/>
      <c r="P1116" s="155"/>
      <c r="Q1116" s="155">
        <v>1</v>
      </c>
      <c r="R1116" s="155" t="s">
        <v>3079</v>
      </c>
      <c r="S1116" s="155"/>
      <c r="T1116" s="155"/>
      <c r="U1116" s="143" t="s">
        <v>4178</v>
      </c>
      <c r="V1116" s="143" t="s">
        <v>1092</v>
      </c>
      <c r="W1116" s="143" t="s">
        <v>279</v>
      </c>
      <c r="X1116" s="143" t="s">
        <v>227</v>
      </c>
      <c r="Y1116" s="143">
        <v>9058650448</v>
      </c>
      <c r="Z1116" s="143"/>
      <c r="AA1116" s="143" t="s">
        <v>3151</v>
      </c>
      <c r="AB1116" s="143" t="s">
        <v>528</v>
      </c>
      <c r="AC1116" s="155">
        <v>1</v>
      </c>
      <c r="AD1116" s="155"/>
      <c r="AE1116" s="155"/>
      <c r="AF1116" s="155"/>
      <c r="AG1116" s="155"/>
      <c r="AH1116" s="143"/>
      <c r="AI1116" s="158"/>
    </row>
    <row r="1117" spans="1:35">
      <c r="A1117" s="140"/>
      <c r="B1117" s="143"/>
      <c r="C1117" s="143" t="s">
        <v>4203</v>
      </c>
      <c r="D1117" s="143" t="s">
        <v>501</v>
      </c>
      <c r="E1117" s="143" t="s">
        <v>80</v>
      </c>
      <c r="F1117" s="153" t="s">
        <v>312</v>
      </c>
      <c r="G1117" s="153" t="s">
        <v>840</v>
      </c>
      <c r="H1117" s="153" t="s">
        <v>144</v>
      </c>
      <c r="I1117" s="227">
        <v>30173</v>
      </c>
      <c r="J1117" s="166"/>
      <c r="K1117" s="165">
        <v>1</v>
      </c>
      <c r="L1117" s="155"/>
      <c r="M1117" s="155"/>
      <c r="N1117" s="155"/>
      <c r="O1117" s="155"/>
      <c r="P1117" s="155"/>
      <c r="Q1117" s="155"/>
      <c r="R1117" s="155"/>
      <c r="S1117" s="155"/>
      <c r="T1117" s="155"/>
      <c r="U1117" s="167" t="s">
        <v>859</v>
      </c>
      <c r="V1117" s="153" t="s">
        <v>503</v>
      </c>
      <c r="W1117" s="143" t="s">
        <v>298</v>
      </c>
      <c r="X1117" s="157" t="s">
        <v>227</v>
      </c>
      <c r="Y1117" s="153">
        <v>9265351990</v>
      </c>
      <c r="Z1117" s="143"/>
      <c r="AA1117" s="162" t="s">
        <v>3141</v>
      </c>
      <c r="AB1117" s="143" t="s">
        <v>528</v>
      </c>
      <c r="AC1117" s="155">
        <v>1</v>
      </c>
      <c r="AD1117" s="155"/>
      <c r="AE1117" s="155"/>
      <c r="AF1117" s="155"/>
      <c r="AG1117" s="155"/>
      <c r="AH1117" s="143"/>
      <c r="AI1117" s="158"/>
    </row>
    <row r="1118" spans="1:35">
      <c r="A1118" s="140"/>
      <c r="B1118" s="143"/>
      <c r="C1118" s="143" t="s">
        <v>4203</v>
      </c>
      <c r="D1118" s="143" t="s">
        <v>501</v>
      </c>
      <c r="E1118" s="143" t="s">
        <v>80</v>
      </c>
      <c r="F1118" s="143" t="s">
        <v>4179</v>
      </c>
      <c r="G1118" s="143" t="s">
        <v>4180</v>
      </c>
      <c r="H1118" s="143" t="s">
        <v>421</v>
      </c>
      <c r="I1118" s="198">
        <v>36454</v>
      </c>
      <c r="J1118" s="155"/>
      <c r="K1118" s="155">
        <v>1</v>
      </c>
      <c r="L1118" s="155"/>
      <c r="M1118" s="155"/>
      <c r="N1118" s="155"/>
      <c r="O1118" s="155"/>
      <c r="P1118" s="155"/>
      <c r="Q1118" s="155">
        <v>1</v>
      </c>
      <c r="R1118" s="155" t="s">
        <v>4119</v>
      </c>
      <c r="S1118" s="155"/>
      <c r="T1118" s="155"/>
      <c r="U1118" s="143" t="s">
        <v>505</v>
      </c>
      <c r="V1118" s="143" t="s">
        <v>503</v>
      </c>
      <c r="W1118" s="143" t="s">
        <v>298</v>
      </c>
      <c r="X1118" s="143" t="s">
        <v>227</v>
      </c>
      <c r="Y1118" s="143">
        <v>9455123520</v>
      </c>
      <c r="Z1118" s="143"/>
      <c r="AA1118" s="143" t="s">
        <v>3149</v>
      </c>
      <c r="AB1118" s="143" t="s">
        <v>528</v>
      </c>
      <c r="AC1118" s="155">
        <v>1</v>
      </c>
      <c r="AD1118" s="155"/>
      <c r="AE1118" s="155"/>
      <c r="AF1118" s="155"/>
      <c r="AG1118" s="155"/>
      <c r="AH1118" s="143"/>
      <c r="AI1118" s="158"/>
    </row>
    <row r="1119" spans="1:35">
      <c r="A1119" s="140"/>
      <c r="B1119" s="143"/>
      <c r="C1119" s="143" t="s">
        <v>4203</v>
      </c>
      <c r="D1119" s="143" t="s">
        <v>501</v>
      </c>
      <c r="E1119" s="143" t="s">
        <v>80</v>
      </c>
      <c r="F1119" s="143" t="s">
        <v>4181</v>
      </c>
      <c r="G1119" s="143" t="s">
        <v>4182</v>
      </c>
      <c r="H1119" s="143" t="s">
        <v>136</v>
      </c>
      <c r="I1119" s="198">
        <v>22120</v>
      </c>
      <c r="J1119" s="155"/>
      <c r="K1119" s="155">
        <v>1</v>
      </c>
      <c r="L1119" s="155"/>
      <c r="M1119" s="155"/>
      <c r="N1119" s="155"/>
      <c r="O1119" s="155"/>
      <c r="P1119" s="155"/>
      <c r="Q1119" s="155">
        <v>1</v>
      </c>
      <c r="R1119" s="155" t="s">
        <v>4119</v>
      </c>
      <c r="S1119" s="155"/>
      <c r="T1119" s="155"/>
      <c r="U1119" s="143" t="s">
        <v>516</v>
      </c>
      <c r="V1119" s="143" t="s">
        <v>503</v>
      </c>
      <c r="W1119" s="143" t="s">
        <v>298</v>
      </c>
      <c r="X1119" s="143" t="s">
        <v>227</v>
      </c>
      <c r="Y1119" s="143">
        <v>9503298845</v>
      </c>
      <c r="Z1119" s="143"/>
      <c r="AA1119" s="143" t="s">
        <v>3149</v>
      </c>
      <c r="AB1119" s="143" t="s">
        <v>528</v>
      </c>
      <c r="AC1119" s="155">
        <v>1</v>
      </c>
      <c r="AD1119" s="155"/>
      <c r="AE1119" s="155"/>
      <c r="AF1119" s="155"/>
      <c r="AG1119" s="155"/>
      <c r="AH1119" s="143"/>
      <c r="AI1119" s="158"/>
    </row>
    <row r="1120" spans="1:35">
      <c r="A1120" s="140"/>
      <c r="B1120" s="143"/>
      <c r="C1120" s="143" t="s">
        <v>4203</v>
      </c>
      <c r="D1120" s="143" t="s">
        <v>501</v>
      </c>
      <c r="E1120" s="143" t="s">
        <v>80</v>
      </c>
      <c r="F1120" s="143" t="s">
        <v>4183</v>
      </c>
      <c r="G1120" s="143" t="s">
        <v>776</v>
      </c>
      <c r="H1120" s="143"/>
      <c r="I1120" s="198"/>
      <c r="J1120" s="155">
        <v>1</v>
      </c>
      <c r="K1120" s="155"/>
      <c r="L1120" s="155"/>
      <c r="M1120" s="155"/>
      <c r="N1120" s="155"/>
      <c r="O1120" s="155"/>
      <c r="P1120" s="155"/>
      <c r="Q1120" s="155">
        <v>1</v>
      </c>
      <c r="R1120" s="155" t="s">
        <v>4119</v>
      </c>
      <c r="S1120" s="155"/>
      <c r="T1120" s="155"/>
      <c r="U1120" s="143"/>
      <c r="V1120" s="143"/>
      <c r="W1120" s="143"/>
      <c r="X1120" s="143"/>
      <c r="Y1120" s="143">
        <v>9175417989</v>
      </c>
      <c r="Z1120" s="143"/>
      <c r="AA1120" s="143" t="s">
        <v>3149</v>
      </c>
      <c r="AB1120" s="143" t="s">
        <v>528</v>
      </c>
      <c r="AC1120" s="155">
        <v>1</v>
      </c>
      <c r="AD1120" s="155"/>
      <c r="AE1120" s="155"/>
      <c r="AF1120" s="155"/>
      <c r="AG1120" s="155"/>
      <c r="AH1120" s="143"/>
      <c r="AI1120" s="158"/>
    </row>
    <row r="1121" spans="1:35">
      <c r="A1121" s="140"/>
      <c r="B1121" s="143"/>
      <c r="C1121" s="143" t="s">
        <v>4203</v>
      </c>
      <c r="D1121" s="143" t="s">
        <v>501</v>
      </c>
      <c r="E1121" s="143" t="s">
        <v>80</v>
      </c>
      <c r="F1121" s="143" t="s">
        <v>4151</v>
      </c>
      <c r="G1121" s="143" t="s">
        <v>4152</v>
      </c>
      <c r="H1121" s="143"/>
      <c r="I1121" s="198"/>
      <c r="J1121" s="155"/>
      <c r="K1121" s="155">
        <v>1</v>
      </c>
      <c r="L1121" s="155"/>
      <c r="M1121" s="155"/>
      <c r="N1121" s="155"/>
      <c r="O1121" s="155"/>
      <c r="P1121" s="155"/>
      <c r="Q1121" s="155"/>
      <c r="R1121" s="155"/>
      <c r="S1121" s="155"/>
      <c r="T1121" s="155"/>
      <c r="U1121" s="143" t="s">
        <v>502</v>
      </c>
      <c r="V1121" s="143" t="s">
        <v>503</v>
      </c>
      <c r="W1121" s="143" t="s">
        <v>298</v>
      </c>
      <c r="X1121" s="143" t="s">
        <v>227</v>
      </c>
      <c r="Y1121" s="143">
        <v>9367401124</v>
      </c>
      <c r="Z1121" s="143"/>
      <c r="AA1121" s="143" t="s">
        <v>3141</v>
      </c>
      <c r="AB1121" s="143" t="s">
        <v>528</v>
      </c>
      <c r="AC1121" s="155">
        <v>1</v>
      </c>
      <c r="AD1121" s="155"/>
      <c r="AE1121" s="155"/>
      <c r="AF1121" s="155"/>
      <c r="AG1121" s="155"/>
      <c r="AH1121" s="143"/>
      <c r="AI1121" s="158"/>
    </row>
    <row r="1122" spans="1:35">
      <c r="A1122" s="140"/>
      <c r="B1122" s="143"/>
      <c r="C1122" s="143" t="s">
        <v>4203</v>
      </c>
      <c r="D1122" s="143" t="s">
        <v>501</v>
      </c>
      <c r="E1122" s="143" t="s">
        <v>80</v>
      </c>
      <c r="F1122" s="143" t="s">
        <v>4184</v>
      </c>
      <c r="G1122" s="143" t="s">
        <v>4185</v>
      </c>
      <c r="H1122" s="143" t="s">
        <v>588</v>
      </c>
      <c r="I1122" s="198"/>
      <c r="J1122" s="155"/>
      <c r="K1122" s="155">
        <v>1</v>
      </c>
      <c r="L1122" s="155"/>
      <c r="M1122" s="155"/>
      <c r="N1122" s="155"/>
      <c r="O1122" s="155"/>
      <c r="P1122" s="155"/>
      <c r="Q1122" s="155">
        <v>1</v>
      </c>
      <c r="R1122" s="155" t="s">
        <v>3060</v>
      </c>
      <c r="S1122" s="155"/>
      <c r="T1122" s="155"/>
      <c r="U1122" s="143"/>
      <c r="V1122" s="143"/>
      <c r="W1122" s="143"/>
      <c r="X1122" s="143" t="s">
        <v>949</v>
      </c>
      <c r="Y1122" s="143"/>
      <c r="Z1122" s="143"/>
      <c r="AA1122" s="143" t="s">
        <v>4079</v>
      </c>
      <c r="AB1122" s="143" t="s">
        <v>528</v>
      </c>
      <c r="AC1122" s="155">
        <v>1</v>
      </c>
      <c r="AD1122" s="155"/>
      <c r="AE1122" s="155"/>
      <c r="AF1122" s="155"/>
      <c r="AG1122" s="155"/>
      <c r="AH1122" s="143"/>
      <c r="AI1122" s="158"/>
    </row>
    <row r="1123" spans="1:35">
      <c r="A1123" s="140"/>
      <c r="B1123" s="143"/>
      <c r="C1123" s="143" t="s">
        <v>4203</v>
      </c>
      <c r="D1123" s="143" t="s">
        <v>501</v>
      </c>
      <c r="E1123" s="143" t="s">
        <v>80</v>
      </c>
      <c r="F1123" s="143" t="s">
        <v>4186</v>
      </c>
      <c r="G1123" s="143" t="s">
        <v>1121</v>
      </c>
      <c r="H1123" s="143" t="s">
        <v>126</v>
      </c>
      <c r="I1123" s="198"/>
      <c r="J1123" s="155"/>
      <c r="K1123" s="155">
        <v>1</v>
      </c>
      <c r="L1123" s="155"/>
      <c r="M1123" s="155"/>
      <c r="N1123" s="155"/>
      <c r="O1123" s="155"/>
      <c r="P1123" s="155"/>
      <c r="Q1123" s="155">
        <v>1</v>
      </c>
      <c r="R1123" s="155" t="s">
        <v>3060</v>
      </c>
      <c r="S1123" s="155"/>
      <c r="T1123" s="155"/>
      <c r="U1123" s="143"/>
      <c r="V1123" s="143"/>
      <c r="W1123" s="143"/>
      <c r="X1123" s="143" t="s">
        <v>949</v>
      </c>
      <c r="Y1123" s="143"/>
      <c r="Z1123" s="143"/>
      <c r="AA1123" s="143" t="s">
        <v>4079</v>
      </c>
      <c r="AB1123" s="143" t="s">
        <v>528</v>
      </c>
      <c r="AC1123" s="155">
        <v>1</v>
      </c>
      <c r="AD1123" s="155"/>
      <c r="AE1123" s="155"/>
      <c r="AF1123" s="155"/>
      <c r="AG1123" s="155"/>
      <c r="AH1123" s="143"/>
      <c r="AI1123" s="158"/>
    </row>
    <row r="1124" spans="1:35">
      <c r="A1124" s="140"/>
      <c r="B1124" s="143"/>
      <c r="C1124" s="143" t="s">
        <v>4203</v>
      </c>
      <c r="D1124" s="143" t="s">
        <v>501</v>
      </c>
      <c r="E1124" s="143" t="s">
        <v>80</v>
      </c>
      <c r="F1124" s="143" t="s">
        <v>4187</v>
      </c>
      <c r="G1124" s="143" t="s">
        <v>4188</v>
      </c>
      <c r="H1124" s="143" t="s">
        <v>283</v>
      </c>
      <c r="I1124" s="198"/>
      <c r="J1124" s="155"/>
      <c r="K1124" s="155">
        <v>1</v>
      </c>
      <c r="L1124" s="155"/>
      <c r="M1124" s="155"/>
      <c r="N1124" s="155"/>
      <c r="O1124" s="155"/>
      <c r="P1124" s="155"/>
      <c r="Q1124" s="155">
        <v>1</v>
      </c>
      <c r="R1124" s="155" t="s">
        <v>3060</v>
      </c>
      <c r="S1124" s="155"/>
      <c r="T1124" s="155"/>
      <c r="U1124" s="143"/>
      <c r="V1124" s="143"/>
      <c r="W1124" s="143"/>
      <c r="X1124" s="143" t="s">
        <v>949</v>
      </c>
      <c r="Y1124" s="143"/>
      <c r="Z1124" s="143"/>
      <c r="AA1124" s="143" t="s">
        <v>4079</v>
      </c>
      <c r="AB1124" s="143" t="s">
        <v>528</v>
      </c>
      <c r="AC1124" s="155">
        <v>1</v>
      </c>
      <c r="AD1124" s="155"/>
      <c r="AE1124" s="155"/>
      <c r="AF1124" s="155"/>
      <c r="AG1124" s="155"/>
      <c r="AH1124" s="143"/>
      <c r="AI1124" s="158"/>
    </row>
    <row r="1125" spans="1:35">
      <c r="A1125" s="140"/>
      <c r="B1125" s="143"/>
      <c r="C1125" s="143" t="s">
        <v>4203</v>
      </c>
      <c r="D1125" s="143" t="s">
        <v>501</v>
      </c>
      <c r="E1125" s="143" t="s">
        <v>80</v>
      </c>
      <c r="F1125" s="143" t="s">
        <v>4189</v>
      </c>
      <c r="G1125" s="143" t="s">
        <v>4190</v>
      </c>
      <c r="H1125" s="143"/>
      <c r="I1125" s="198"/>
      <c r="J1125" s="155"/>
      <c r="K1125" s="155">
        <v>1</v>
      </c>
      <c r="L1125" s="155"/>
      <c r="M1125" s="155"/>
      <c r="N1125" s="155"/>
      <c r="O1125" s="155"/>
      <c r="P1125" s="155"/>
      <c r="Q1125" s="155">
        <v>1</v>
      </c>
      <c r="R1125" s="155" t="s">
        <v>3079</v>
      </c>
      <c r="S1125" s="155"/>
      <c r="T1125" s="155"/>
      <c r="U1125" s="143"/>
      <c r="V1125" s="143" t="s">
        <v>503</v>
      </c>
      <c r="W1125" s="143" t="s">
        <v>298</v>
      </c>
      <c r="X1125" s="143" t="s">
        <v>227</v>
      </c>
      <c r="Y1125" s="143"/>
      <c r="Z1125" s="143"/>
      <c r="AA1125" s="143" t="s">
        <v>3149</v>
      </c>
      <c r="AB1125" s="143" t="s">
        <v>528</v>
      </c>
      <c r="AC1125" s="155">
        <v>1</v>
      </c>
      <c r="AD1125" s="155"/>
      <c r="AE1125" s="155"/>
      <c r="AF1125" s="155"/>
      <c r="AG1125" s="155"/>
      <c r="AH1125" s="143"/>
      <c r="AI1125" s="158"/>
    </row>
    <row r="1126" spans="1:35">
      <c r="A1126" s="256"/>
      <c r="B1126" s="257"/>
      <c r="C1126" s="143" t="s">
        <v>4203</v>
      </c>
      <c r="D1126" s="143" t="s">
        <v>501</v>
      </c>
      <c r="E1126" s="143" t="s">
        <v>80</v>
      </c>
      <c r="F1126" s="257" t="s">
        <v>3560</v>
      </c>
      <c r="G1126" s="257" t="s">
        <v>3561</v>
      </c>
      <c r="H1126" s="257"/>
      <c r="I1126" s="258"/>
      <c r="J1126" s="259"/>
      <c r="K1126" s="259">
        <v>1</v>
      </c>
      <c r="L1126" s="259"/>
      <c r="M1126" s="259"/>
      <c r="N1126" s="259"/>
      <c r="O1126" s="259"/>
      <c r="P1126" s="259"/>
      <c r="Q1126" s="259">
        <v>1</v>
      </c>
      <c r="R1126" s="259" t="s">
        <v>1266</v>
      </c>
      <c r="S1126" s="259"/>
      <c r="T1126" s="259"/>
      <c r="U1126" s="257" t="s">
        <v>870</v>
      </c>
      <c r="V1126" s="257" t="s">
        <v>503</v>
      </c>
      <c r="W1126" s="257" t="s">
        <v>298</v>
      </c>
      <c r="X1126" s="257" t="s">
        <v>227</v>
      </c>
      <c r="Y1126" s="257">
        <v>9388554506</v>
      </c>
      <c r="Z1126" s="257"/>
      <c r="AA1126" s="257" t="s">
        <v>3149</v>
      </c>
      <c r="AB1126" s="257" t="s">
        <v>528</v>
      </c>
      <c r="AC1126" s="259">
        <v>1</v>
      </c>
      <c r="AD1126" s="259"/>
      <c r="AE1126" s="259"/>
      <c r="AF1126" s="259"/>
      <c r="AG1126" s="259"/>
      <c r="AH1126" s="257"/>
      <c r="AI1126" s="260"/>
    </row>
    <row r="1127" spans="1:35">
      <c r="A1127" s="140"/>
      <c r="B1127" s="143"/>
      <c r="C1127" s="143" t="s">
        <v>4203</v>
      </c>
      <c r="D1127" s="143" t="s">
        <v>501</v>
      </c>
      <c r="E1127" s="143" t="s">
        <v>80</v>
      </c>
      <c r="F1127" s="143" t="s">
        <v>3104</v>
      </c>
      <c r="G1127" s="143" t="s">
        <v>3105</v>
      </c>
      <c r="H1127" s="143"/>
      <c r="I1127" s="198">
        <v>32139</v>
      </c>
      <c r="J1127" s="155">
        <v>1</v>
      </c>
      <c r="K1127" s="155"/>
      <c r="L1127" s="155"/>
      <c r="M1127" s="155"/>
      <c r="N1127" s="155"/>
      <c r="O1127" s="155"/>
      <c r="P1127" s="155"/>
      <c r="Q1127" s="155">
        <v>1</v>
      </c>
      <c r="R1127" s="155" t="s">
        <v>1009</v>
      </c>
      <c r="S1127" s="155"/>
      <c r="T1127" s="155"/>
      <c r="U1127" s="143"/>
      <c r="V1127" s="143" t="s">
        <v>872</v>
      </c>
      <c r="W1127" s="143" t="s">
        <v>280</v>
      </c>
      <c r="X1127" s="143" t="s">
        <v>227</v>
      </c>
      <c r="Y1127" s="143">
        <v>9202835968</v>
      </c>
      <c r="Z1127" s="143"/>
      <c r="AA1127" s="230" t="s">
        <v>877</v>
      </c>
      <c r="AB1127" s="230" t="s">
        <v>528</v>
      </c>
      <c r="AC1127" s="155">
        <v>1</v>
      </c>
      <c r="AD1127" s="155"/>
      <c r="AE1127" s="155"/>
      <c r="AF1127" s="155"/>
      <c r="AG1127" s="155"/>
      <c r="AH1127" s="143"/>
      <c r="AI1127" s="158"/>
    </row>
    <row r="1128" spans="1:35">
      <c r="A1128" s="140"/>
      <c r="B1128" s="143"/>
      <c r="C1128" s="143" t="s">
        <v>4203</v>
      </c>
      <c r="D1128" s="143" t="s">
        <v>501</v>
      </c>
      <c r="E1128" s="143" t="s">
        <v>80</v>
      </c>
      <c r="F1128" s="143" t="s">
        <v>2971</v>
      </c>
      <c r="G1128" s="143" t="s">
        <v>4191</v>
      </c>
      <c r="H1128" s="143" t="s">
        <v>120</v>
      </c>
      <c r="I1128" s="198"/>
      <c r="J1128" s="155"/>
      <c r="K1128" s="155"/>
      <c r="L1128" s="155">
        <v>1</v>
      </c>
      <c r="M1128" s="155"/>
      <c r="N1128" s="155"/>
      <c r="O1128" s="155"/>
      <c r="P1128" s="155"/>
      <c r="Q1128" s="155"/>
      <c r="R1128" s="155"/>
      <c r="S1128" s="155"/>
      <c r="T1128" s="155"/>
      <c r="U1128" s="143" t="s">
        <v>512</v>
      </c>
      <c r="V1128" s="143" t="s">
        <v>513</v>
      </c>
      <c r="W1128" s="143" t="s">
        <v>279</v>
      </c>
      <c r="X1128" s="143" t="s">
        <v>227</v>
      </c>
      <c r="Y1128" s="143"/>
      <c r="Z1128" s="143"/>
      <c r="AA1128" s="143" t="s">
        <v>3149</v>
      </c>
      <c r="AB1128" s="143" t="s">
        <v>528</v>
      </c>
      <c r="AC1128" s="155">
        <v>1</v>
      </c>
      <c r="AD1128" s="155"/>
      <c r="AE1128" s="155"/>
      <c r="AF1128" s="155"/>
      <c r="AG1128" s="155"/>
      <c r="AH1128" s="143"/>
      <c r="AI1128" s="158"/>
    </row>
    <row r="1129" spans="1:35">
      <c r="A1129" s="140"/>
      <c r="B1129" s="143"/>
      <c r="C1129" s="143" t="s">
        <v>4203</v>
      </c>
      <c r="D1129" s="143" t="s">
        <v>501</v>
      </c>
      <c r="E1129" s="143" t="s">
        <v>80</v>
      </c>
      <c r="F1129" s="143" t="s">
        <v>4194</v>
      </c>
      <c r="G1129" s="143" t="s">
        <v>4195</v>
      </c>
      <c r="H1129" s="143" t="s">
        <v>126</v>
      </c>
      <c r="I1129" s="198"/>
      <c r="J1129" s="155">
        <v>1</v>
      </c>
      <c r="K1129" s="155"/>
      <c r="L1129" s="155">
        <v>1</v>
      </c>
      <c r="M1129" s="155"/>
      <c r="N1129" s="155"/>
      <c r="O1129" s="155"/>
      <c r="P1129" s="155"/>
      <c r="Q1129" s="155"/>
      <c r="R1129" s="155"/>
      <c r="S1129" s="155"/>
      <c r="T1129" s="155"/>
      <c r="U1129" s="143" t="s">
        <v>512</v>
      </c>
      <c r="V1129" s="143" t="s">
        <v>513</v>
      </c>
      <c r="W1129" s="143" t="s">
        <v>279</v>
      </c>
      <c r="X1129" s="143" t="s">
        <v>227</v>
      </c>
      <c r="Y1129" s="143"/>
      <c r="Z1129" s="143"/>
      <c r="AA1129" s="143" t="s">
        <v>3149</v>
      </c>
      <c r="AB1129" s="143" t="s">
        <v>528</v>
      </c>
      <c r="AC1129" s="155">
        <v>1</v>
      </c>
      <c r="AD1129" s="155"/>
      <c r="AE1129" s="155"/>
      <c r="AF1129" s="155"/>
      <c r="AG1129" s="155"/>
      <c r="AH1129" s="143"/>
      <c r="AI1129" s="158"/>
    </row>
    <row r="1130" spans="1:35">
      <c r="A1130" s="140"/>
      <c r="B1130" s="143"/>
      <c r="C1130" s="143" t="s">
        <v>4203</v>
      </c>
      <c r="D1130" s="143" t="s">
        <v>501</v>
      </c>
      <c r="E1130" s="143" t="s">
        <v>80</v>
      </c>
      <c r="F1130" s="143" t="s">
        <v>158</v>
      </c>
      <c r="G1130" s="143" t="s">
        <v>1081</v>
      </c>
      <c r="H1130" s="143"/>
      <c r="I1130" s="198"/>
      <c r="J1130" s="155"/>
      <c r="K1130" s="155">
        <v>1</v>
      </c>
      <c r="L1130" s="155"/>
      <c r="M1130" s="155"/>
      <c r="N1130" s="155"/>
      <c r="O1130" s="155"/>
      <c r="P1130" s="155"/>
      <c r="Q1130" s="155">
        <v>1</v>
      </c>
      <c r="R1130" s="155" t="s">
        <v>1009</v>
      </c>
      <c r="S1130" s="155"/>
      <c r="T1130" s="155"/>
      <c r="U1130" s="143"/>
      <c r="V1130" s="143" t="s">
        <v>873</v>
      </c>
      <c r="W1130" s="143" t="s">
        <v>279</v>
      </c>
      <c r="X1130" s="143" t="s">
        <v>227</v>
      </c>
      <c r="Y1130" s="143">
        <v>9979105666</v>
      </c>
      <c r="Z1130" s="143"/>
      <c r="AA1130" s="143" t="s">
        <v>4079</v>
      </c>
      <c r="AB1130" s="143" t="s">
        <v>528</v>
      </c>
      <c r="AC1130" s="155">
        <v>1</v>
      </c>
      <c r="AD1130" s="155"/>
      <c r="AE1130" s="155"/>
      <c r="AF1130" s="155"/>
      <c r="AG1130" s="155"/>
      <c r="AH1130" s="143"/>
      <c r="AI1130" s="158"/>
    </row>
    <row r="1131" spans="1:35">
      <c r="A1131" s="140"/>
      <c r="B1131" s="143"/>
      <c r="C1131" s="143" t="s">
        <v>4203</v>
      </c>
      <c r="D1131" s="143" t="s">
        <v>501</v>
      </c>
      <c r="E1131" s="143" t="s">
        <v>80</v>
      </c>
      <c r="F1131" s="143" t="s">
        <v>4196</v>
      </c>
      <c r="G1131" s="143" t="s">
        <v>4197</v>
      </c>
      <c r="H1131" s="143"/>
      <c r="I1131" s="198"/>
      <c r="J1131" s="155">
        <v>1</v>
      </c>
      <c r="K1131" s="155"/>
      <c r="L1131" s="155"/>
      <c r="M1131" s="155"/>
      <c r="N1131" s="155"/>
      <c r="O1131" s="155"/>
      <c r="P1131" s="155"/>
      <c r="Q1131" s="155">
        <v>1</v>
      </c>
      <c r="R1131" s="155" t="s">
        <v>4198</v>
      </c>
      <c r="S1131" s="155"/>
      <c r="T1131" s="155"/>
      <c r="U1131" s="143"/>
      <c r="V1131" s="143" t="s">
        <v>503</v>
      </c>
      <c r="W1131" s="143" t="s">
        <v>298</v>
      </c>
      <c r="X1131" s="143" t="s">
        <v>227</v>
      </c>
      <c r="Y1131" s="143">
        <v>9751152588</v>
      </c>
      <c r="Z1131" s="143"/>
      <c r="AA1131" s="143" t="s">
        <v>3149</v>
      </c>
      <c r="AB1131" s="143" t="s">
        <v>528</v>
      </c>
      <c r="AC1131" s="155">
        <v>1</v>
      </c>
      <c r="AD1131" s="155"/>
      <c r="AE1131" s="155"/>
      <c r="AF1131" s="155"/>
      <c r="AG1131" s="155"/>
      <c r="AH1131" s="143"/>
      <c r="AI1131" s="158"/>
    </row>
    <row r="1132" spans="1:35">
      <c r="A1132" s="140"/>
      <c r="B1132" s="143"/>
      <c r="C1132" s="143" t="s">
        <v>4203</v>
      </c>
      <c r="D1132" s="143" t="s">
        <v>501</v>
      </c>
      <c r="E1132" s="143" t="s">
        <v>80</v>
      </c>
      <c r="F1132" s="143" t="s">
        <v>4199</v>
      </c>
      <c r="G1132" s="143" t="s">
        <v>2883</v>
      </c>
      <c r="H1132" s="143" t="s">
        <v>126</v>
      </c>
      <c r="I1132" s="198">
        <v>27537</v>
      </c>
      <c r="J1132" s="155">
        <v>1</v>
      </c>
      <c r="K1132" s="155"/>
      <c r="L1132" s="155"/>
      <c r="M1132" s="155"/>
      <c r="N1132" s="155"/>
      <c r="O1132" s="155"/>
      <c r="P1132" s="155"/>
      <c r="Q1132" s="155">
        <v>1</v>
      </c>
      <c r="R1132" s="155" t="s">
        <v>4119</v>
      </c>
      <c r="S1132" s="155"/>
      <c r="T1132" s="155"/>
      <c r="U1132" s="143"/>
      <c r="V1132" s="143" t="s">
        <v>4200</v>
      </c>
      <c r="W1132" s="143" t="s">
        <v>280</v>
      </c>
      <c r="X1132" s="143" t="s">
        <v>227</v>
      </c>
      <c r="Y1132" s="143">
        <v>9261150992</v>
      </c>
      <c r="Z1132" s="143"/>
      <c r="AA1132" s="143" t="s">
        <v>3149</v>
      </c>
      <c r="AB1132" s="143" t="s">
        <v>528</v>
      </c>
      <c r="AC1132" s="155">
        <v>1</v>
      </c>
      <c r="AD1132" s="155"/>
      <c r="AE1132" s="155"/>
      <c r="AF1132" s="155"/>
      <c r="AG1132" s="155"/>
      <c r="AH1132" s="143"/>
      <c r="AI1132" s="158"/>
    </row>
    <row r="1133" spans="1:35">
      <c r="A1133" s="140"/>
      <c r="B1133" s="143"/>
      <c r="C1133" s="143" t="s">
        <v>4203</v>
      </c>
      <c r="D1133" s="143" t="s">
        <v>501</v>
      </c>
      <c r="E1133" s="143" t="s">
        <v>80</v>
      </c>
      <c r="F1133" s="143" t="s">
        <v>4201</v>
      </c>
      <c r="G1133" s="143"/>
      <c r="H1133" s="143"/>
      <c r="I1133" s="198"/>
      <c r="J1133" s="155"/>
      <c r="K1133" s="155">
        <v>1</v>
      </c>
      <c r="L1133" s="155"/>
      <c r="M1133" s="155"/>
      <c r="N1133" s="155"/>
      <c r="O1133" s="155"/>
      <c r="P1133" s="155"/>
      <c r="Q1133" s="155">
        <v>1</v>
      </c>
      <c r="R1133" s="155" t="s">
        <v>4119</v>
      </c>
      <c r="S1133" s="155"/>
      <c r="T1133" s="155"/>
      <c r="U1133" s="143"/>
      <c r="V1133" s="143" t="s">
        <v>503</v>
      </c>
      <c r="W1133" s="143" t="s">
        <v>298</v>
      </c>
      <c r="X1133" s="143" t="s">
        <v>227</v>
      </c>
      <c r="Y1133" s="143"/>
      <c r="Z1133" s="143"/>
      <c r="AA1133" s="143" t="s">
        <v>3149</v>
      </c>
      <c r="AB1133" s="143" t="s">
        <v>528</v>
      </c>
      <c r="AC1133" s="155">
        <v>1</v>
      </c>
      <c r="AD1133" s="155"/>
      <c r="AE1133" s="155"/>
      <c r="AF1133" s="155"/>
      <c r="AG1133" s="155"/>
      <c r="AH1133" s="143"/>
      <c r="AI1133" s="158"/>
    </row>
    <row r="1134" spans="1:35">
      <c r="A1134" s="140"/>
      <c r="B1134" s="143"/>
      <c r="C1134" s="143" t="s">
        <v>4203</v>
      </c>
      <c r="D1134" s="143" t="s">
        <v>501</v>
      </c>
      <c r="E1134" s="143" t="s">
        <v>80</v>
      </c>
      <c r="F1134" s="143" t="s">
        <v>4202</v>
      </c>
      <c r="G1134" s="143"/>
      <c r="H1134" s="143"/>
      <c r="I1134" s="198"/>
      <c r="J1134" s="155"/>
      <c r="K1134" s="155"/>
      <c r="L1134" s="155"/>
      <c r="M1134" s="155"/>
      <c r="N1134" s="155"/>
      <c r="O1134" s="155"/>
      <c r="P1134" s="155"/>
      <c r="Q1134" s="155">
        <v>1</v>
      </c>
      <c r="R1134" s="155" t="s">
        <v>4119</v>
      </c>
      <c r="S1134" s="155"/>
      <c r="T1134" s="155"/>
      <c r="U1134" s="143"/>
      <c r="V1134" s="143" t="s">
        <v>503</v>
      </c>
      <c r="W1134" s="143" t="s">
        <v>298</v>
      </c>
      <c r="X1134" s="143" t="s">
        <v>227</v>
      </c>
      <c r="Y1134" s="143">
        <v>9187949709</v>
      </c>
      <c r="Z1134" s="143"/>
      <c r="AA1134" s="143" t="s">
        <v>3149</v>
      </c>
      <c r="AB1134" s="143" t="s">
        <v>528</v>
      </c>
      <c r="AC1134" s="155">
        <v>1</v>
      </c>
      <c r="AD1134" s="155"/>
      <c r="AE1134" s="155"/>
      <c r="AF1134" s="155"/>
      <c r="AG1134" s="155"/>
      <c r="AH1134" s="143"/>
      <c r="AI1134" s="158"/>
    </row>
    <row r="1135" spans="1:35">
      <c r="A1135" s="140"/>
      <c r="B1135" s="143"/>
      <c r="C1135" s="143"/>
      <c r="D1135" s="143"/>
      <c r="E1135" s="143"/>
      <c r="F1135" s="143" t="s">
        <v>3537</v>
      </c>
      <c r="G1135" s="143" t="s">
        <v>3538</v>
      </c>
      <c r="H1135" s="143"/>
      <c r="I1135" s="198"/>
      <c r="J1135" s="155">
        <v>1</v>
      </c>
      <c r="K1135" s="155"/>
      <c r="L1135" s="155"/>
      <c r="M1135" s="155"/>
      <c r="N1135" s="155"/>
      <c r="O1135" s="155"/>
      <c r="P1135" s="155"/>
      <c r="Q1135" s="155">
        <v>1</v>
      </c>
      <c r="R1135" s="155" t="s">
        <v>1009</v>
      </c>
      <c r="S1135" s="155"/>
      <c r="T1135" s="155"/>
      <c r="U1135" s="143"/>
      <c r="V1135" s="143" t="s">
        <v>3539</v>
      </c>
      <c r="W1135" s="143" t="s">
        <v>280</v>
      </c>
      <c r="X1135" s="143" t="s">
        <v>227</v>
      </c>
      <c r="Y1135" s="143">
        <v>9187800113</v>
      </c>
      <c r="Z1135" s="143"/>
      <c r="AA1135" s="143" t="s">
        <v>3151</v>
      </c>
      <c r="AB1135" s="143" t="s">
        <v>528</v>
      </c>
      <c r="AC1135" s="155">
        <v>1</v>
      </c>
      <c r="AD1135" s="155"/>
      <c r="AE1135" s="155"/>
      <c r="AF1135" s="155"/>
      <c r="AG1135" s="155"/>
      <c r="AH1135" s="143"/>
      <c r="AI1135" s="158"/>
    </row>
    <row r="1136" spans="1:35">
      <c r="A1136" s="140"/>
      <c r="B1136" s="143"/>
      <c r="C1136" s="143"/>
      <c r="D1136" s="143"/>
      <c r="E1136" s="143"/>
      <c r="F1136" s="143" t="s">
        <v>4341</v>
      </c>
      <c r="G1136" s="143" t="s">
        <v>907</v>
      </c>
      <c r="H1136" s="143"/>
      <c r="I1136" s="198">
        <v>33440</v>
      </c>
      <c r="J1136" s="155">
        <v>1</v>
      </c>
      <c r="K1136" s="155"/>
      <c r="L1136" s="155"/>
      <c r="M1136" s="155"/>
      <c r="N1136" s="155"/>
      <c r="O1136" s="155"/>
      <c r="P1136" s="155"/>
      <c r="Q1136" s="155">
        <v>1</v>
      </c>
      <c r="R1136" s="155" t="s">
        <v>4119</v>
      </c>
      <c r="S1136" s="155"/>
      <c r="T1136" s="155"/>
      <c r="U1136" s="143"/>
      <c r="V1136" s="143"/>
      <c r="W1136" s="143"/>
      <c r="X1136" s="143"/>
      <c r="Y1136" s="143">
        <v>9507371914</v>
      </c>
      <c r="Z1136" s="143"/>
      <c r="AA1136" s="143" t="s">
        <v>3141</v>
      </c>
      <c r="AB1136" s="143" t="s">
        <v>528</v>
      </c>
      <c r="AC1136" s="155">
        <v>1</v>
      </c>
      <c r="AD1136" s="155"/>
      <c r="AE1136" s="155"/>
      <c r="AF1136" s="155"/>
      <c r="AG1136" s="155"/>
      <c r="AH1136" s="143"/>
      <c r="AI1136" s="158"/>
    </row>
    <row r="1137" spans="1:35">
      <c r="A1137" s="140"/>
      <c r="B1137" s="143"/>
      <c r="C1137" s="143"/>
      <c r="D1137" s="143"/>
      <c r="E1137" s="143"/>
      <c r="F1137" s="143" t="s">
        <v>4338</v>
      </c>
      <c r="G1137" s="143" t="s">
        <v>4342</v>
      </c>
      <c r="H1137" s="143"/>
      <c r="I1137" s="198">
        <v>19791</v>
      </c>
      <c r="J1137" s="155">
        <v>1</v>
      </c>
      <c r="K1137" s="155"/>
      <c r="L1137" s="155">
        <v>1</v>
      </c>
      <c r="M1137" s="155"/>
      <c r="N1137" s="155"/>
      <c r="O1137" s="155"/>
      <c r="P1137" s="155"/>
      <c r="Q1137" s="155"/>
      <c r="R1137" s="155"/>
      <c r="S1137" s="155"/>
      <c r="T1137" s="155"/>
      <c r="U1137" s="143"/>
      <c r="V1137" s="143" t="s">
        <v>3539</v>
      </c>
      <c r="W1137" s="143" t="s">
        <v>280</v>
      </c>
      <c r="X1137" s="143" t="s">
        <v>227</v>
      </c>
      <c r="Y1137" s="143">
        <v>926558582</v>
      </c>
      <c r="Z1137" s="143"/>
      <c r="AA1137" s="143" t="s">
        <v>3151</v>
      </c>
      <c r="AB1137" s="143" t="s">
        <v>528</v>
      </c>
      <c r="AC1137" s="155">
        <v>1</v>
      </c>
      <c r="AD1137" s="155"/>
      <c r="AE1137" s="155"/>
      <c r="AF1137" s="155"/>
      <c r="AG1137" s="155"/>
      <c r="AH1137" s="143"/>
      <c r="AI1137" s="158"/>
    </row>
    <row r="1138" spans="1:35">
      <c r="A1138" s="140"/>
      <c r="B1138" s="143"/>
      <c r="C1138" s="143"/>
      <c r="D1138" s="143"/>
      <c r="E1138" s="143"/>
      <c r="F1138" s="143" t="s">
        <v>4343</v>
      </c>
      <c r="G1138" s="143" t="s">
        <v>119</v>
      </c>
      <c r="H1138" s="143"/>
      <c r="I1138" s="198"/>
      <c r="J1138" s="155"/>
      <c r="K1138" s="155"/>
      <c r="L1138" s="155"/>
      <c r="M1138" s="155"/>
      <c r="N1138" s="155"/>
      <c r="O1138" s="155"/>
      <c r="P1138" s="155"/>
      <c r="Q1138" s="155">
        <v>1</v>
      </c>
      <c r="R1138" s="155" t="s">
        <v>4119</v>
      </c>
      <c r="S1138" s="155"/>
      <c r="T1138" s="155"/>
      <c r="U1138" s="143"/>
      <c r="V1138" s="143" t="s">
        <v>503</v>
      </c>
      <c r="W1138" s="143" t="s">
        <v>298</v>
      </c>
      <c r="X1138" s="143" t="s">
        <v>227</v>
      </c>
      <c r="Y1138" s="143"/>
      <c r="Z1138" s="143"/>
      <c r="AA1138" s="143" t="s">
        <v>3149</v>
      </c>
      <c r="AB1138" s="143" t="s">
        <v>528</v>
      </c>
      <c r="AC1138" s="155">
        <v>1</v>
      </c>
      <c r="AD1138" s="155"/>
      <c r="AE1138" s="155"/>
      <c r="AF1138" s="155"/>
      <c r="AG1138" s="155"/>
      <c r="AH1138" s="143"/>
      <c r="AI1138" s="158"/>
    </row>
    <row r="1139" spans="1:35">
      <c r="A1139" s="140"/>
      <c r="B1139" s="143"/>
      <c r="C1139" s="143"/>
      <c r="D1139" s="143"/>
      <c r="E1139" s="143"/>
      <c r="F1139" s="143" t="s">
        <v>4086</v>
      </c>
      <c r="G1139" s="143" t="s">
        <v>1330</v>
      </c>
      <c r="H1139" s="143" t="s">
        <v>742</v>
      </c>
      <c r="I1139" s="198">
        <v>23759</v>
      </c>
      <c r="J1139" s="155">
        <v>1</v>
      </c>
      <c r="K1139" s="155"/>
      <c r="L1139" s="155"/>
      <c r="M1139" s="155"/>
      <c r="N1139" s="155"/>
      <c r="O1139" s="155"/>
      <c r="P1139" s="155"/>
      <c r="Q1139" s="155">
        <v>1</v>
      </c>
      <c r="R1139" s="155" t="s">
        <v>4119</v>
      </c>
      <c r="S1139" s="155"/>
      <c r="T1139" s="155"/>
      <c r="U1139" s="143" t="s">
        <v>295</v>
      </c>
      <c r="V1139" s="143" t="s">
        <v>503</v>
      </c>
      <c r="W1139" s="143" t="s">
        <v>298</v>
      </c>
      <c r="X1139" s="143" t="s">
        <v>227</v>
      </c>
      <c r="Y1139" s="143">
        <v>9500031499</v>
      </c>
      <c r="Z1139" s="143"/>
      <c r="AA1139" s="143" t="s">
        <v>3149</v>
      </c>
      <c r="AB1139" s="143" t="s">
        <v>528</v>
      </c>
      <c r="AC1139" s="155">
        <v>1</v>
      </c>
      <c r="AD1139" s="155"/>
      <c r="AE1139" s="155"/>
      <c r="AF1139" s="155"/>
      <c r="AG1139" s="155"/>
      <c r="AH1139" s="143"/>
      <c r="AI1139" s="158"/>
    </row>
    <row r="1140" spans="1:35">
      <c r="A1140" s="140"/>
      <c r="B1140" s="143"/>
      <c r="C1140" s="143"/>
      <c r="D1140" s="143"/>
      <c r="E1140" s="143"/>
      <c r="F1140" s="143" t="s">
        <v>4345</v>
      </c>
      <c r="G1140" s="143" t="s">
        <v>955</v>
      </c>
      <c r="H1140" s="143"/>
      <c r="I1140" s="198">
        <v>23696</v>
      </c>
      <c r="J1140" s="155">
        <v>1</v>
      </c>
      <c r="K1140" s="155"/>
      <c r="L1140" s="155"/>
      <c r="M1140" s="155"/>
      <c r="N1140" s="155"/>
      <c r="O1140" s="155"/>
      <c r="P1140" s="155"/>
      <c r="Q1140" s="155">
        <v>1</v>
      </c>
      <c r="R1140" s="155" t="s">
        <v>4119</v>
      </c>
      <c r="S1140" s="155"/>
      <c r="T1140" s="155"/>
      <c r="U1140" s="143" t="s">
        <v>509</v>
      </c>
      <c r="V1140" s="143" t="s">
        <v>503</v>
      </c>
      <c r="W1140" s="143" t="s">
        <v>298</v>
      </c>
      <c r="X1140" s="143" t="s">
        <v>227</v>
      </c>
      <c r="Y1140" s="143">
        <v>9061976785</v>
      </c>
      <c r="Z1140" s="143"/>
      <c r="AA1140" s="143" t="s">
        <v>3149</v>
      </c>
      <c r="AB1140" s="143" t="s">
        <v>528</v>
      </c>
      <c r="AC1140" s="155">
        <v>1</v>
      </c>
      <c r="AD1140" s="155"/>
      <c r="AE1140" s="155"/>
      <c r="AF1140" s="155"/>
      <c r="AG1140" s="155"/>
      <c r="AH1140" s="143"/>
      <c r="AI1140" s="158"/>
    </row>
    <row r="1141" spans="1:35">
      <c r="A1141" s="140"/>
      <c r="B1141" s="143"/>
      <c r="C1141" s="143"/>
      <c r="D1141" s="143"/>
      <c r="E1141" s="143"/>
      <c r="F1141" s="143" t="s">
        <v>4344</v>
      </c>
      <c r="G1141" s="143" t="s">
        <v>800</v>
      </c>
      <c r="H1141" s="143"/>
      <c r="I1141" s="198">
        <v>30306</v>
      </c>
      <c r="J1141" s="155">
        <v>1</v>
      </c>
      <c r="K1141" s="155"/>
      <c r="L1141" s="155"/>
      <c r="M1141" s="155"/>
      <c r="N1141" s="155"/>
      <c r="O1141" s="155"/>
      <c r="P1141" s="155"/>
      <c r="Q1141" s="155">
        <v>1</v>
      </c>
      <c r="R1141" s="155" t="s">
        <v>4119</v>
      </c>
      <c r="S1141" s="155"/>
      <c r="T1141" s="155"/>
      <c r="U1141" s="143" t="s">
        <v>518</v>
      </c>
      <c r="V1141" s="143" t="s">
        <v>503</v>
      </c>
      <c r="W1141" s="143" t="s">
        <v>298</v>
      </c>
      <c r="X1141" s="143" t="s">
        <v>227</v>
      </c>
      <c r="Y1141" s="143">
        <v>9695596427</v>
      </c>
      <c r="Z1141" s="143"/>
      <c r="AA1141" s="143" t="s">
        <v>3149</v>
      </c>
      <c r="AB1141" s="143" t="s">
        <v>528</v>
      </c>
      <c r="AC1141" s="155">
        <v>1</v>
      </c>
      <c r="AD1141" s="155"/>
      <c r="AE1141" s="155"/>
      <c r="AF1141" s="155"/>
      <c r="AG1141" s="155"/>
      <c r="AH1141" s="143"/>
      <c r="AI1141" s="158"/>
    </row>
    <row r="1142" spans="1:35">
      <c r="A1142" s="140"/>
      <c r="B1142" s="143"/>
      <c r="C1142" s="143"/>
      <c r="D1142" s="143"/>
      <c r="E1142" s="143"/>
      <c r="F1142" s="143" t="s">
        <v>4346</v>
      </c>
      <c r="G1142" s="143" t="s">
        <v>4347</v>
      </c>
      <c r="H1142" s="143"/>
      <c r="I1142" s="198"/>
      <c r="J1142" s="155"/>
      <c r="K1142" s="155">
        <v>1</v>
      </c>
      <c r="L1142" s="155"/>
      <c r="M1142" s="155"/>
      <c r="N1142" s="155"/>
      <c r="O1142" s="155"/>
      <c r="P1142" s="155"/>
      <c r="Q1142" s="155">
        <v>1</v>
      </c>
      <c r="R1142" s="155" t="s">
        <v>3079</v>
      </c>
      <c r="S1142" s="155"/>
      <c r="T1142" s="155"/>
      <c r="U1142" s="143"/>
      <c r="V1142" s="143" t="s">
        <v>4348</v>
      </c>
      <c r="W1142" s="143" t="s">
        <v>279</v>
      </c>
      <c r="X1142" s="143" t="s">
        <v>227</v>
      </c>
      <c r="Y1142" s="143">
        <v>9175483799</v>
      </c>
      <c r="Z1142" s="143"/>
      <c r="AA1142" s="143" t="s">
        <v>3149</v>
      </c>
      <c r="AB1142" s="143" t="s">
        <v>528</v>
      </c>
      <c r="AC1142" s="155">
        <v>1</v>
      </c>
      <c r="AD1142" s="155"/>
      <c r="AE1142" s="155"/>
      <c r="AF1142" s="155"/>
      <c r="AG1142" s="155"/>
      <c r="AH1142" s="143"/>
      <c r="AI1142" s="158"/>
    </row>
    <row r="1143" spans="1:35">
      <c r="A1143" s="140"/>
      <c r="B1143" s="143"/>
      <c r="C1143" s="143"/>
      <c r="D1143" s="143"/>
      <c r="E1143" s="143"/>
      <c r="F1143" s="143" t="s">
        <v>4349</v>
      </c>
      <c r="G1143" s="143" t="s">
        <v>4350</v>
      </c>
      <c r="H1143" s="143"/>
      <c r="I1143" s="198"/>
      <c r="J1143" s="155"/>
      <c r="K1143" s="155">
        <v>1</v>
      </c>
      <c r="L1143" s="155"/>
      <c r="M1143" s="155"/>
      <c r="N1143" s="155"/>
      <c r="O1143" s="155"/>
      <c r="P1143" s="155"/>
      <c r="Q1143" s="155">
        <v>1</v>
      </c>
      <c r="R1143" s="155" t="s">
        <v>4119</v>
      </c>
      <c r="S1143" s="155"/>
      <c r="T1143" s="155"/>
      <c r="U1143" s="143"/>
      <c r="V1143" s="143" t="s">
        <v>503</v>
      </c>
      <c r="W1143" s="143" t="s">
        <v>298</v>
      </c>
      <c r="X1143" s="143" t="s">
        <v>227</v>
      </c>
      <c r="Y1143" s="143"/>
      <c r="Z1143" s="143"/>
      <c r="AA1143" s="143" t="s">
        <v>3149</v>
      </c>
      <c r="AB1143" s="143" t="s">
        <v>528</v>
      </c>
      <c r="AC1143" s="155">
        <v>1</v>
      </c>
      <c r="AD1143" s="155"/>
      <c r="AE1143" s="155"/>
      <c r="AF1143" s="155"/>
      <c r="AG1143" s="155"/>
      <c r="AH1143" s="143"/>
      <c r="AI1143" s="158"/>
    </row>
    <row r="1144" spans="1:35">
      <c r="A1144" s="140"/>
      <c r="B1144" s="143"/>
      <c r="C1144" s="143"/>
      <c r="D1144" s="143"/>
      <c r="E1144" s="143"/>
      <c r="F1144" s="143" t="s">
        <v>1569</v>
      </c>
      <c r="G1144" s="143" t="s">
        <v>724</v>
      </c>
      <c r="H1144" s="143"/>
      <c r="I1144" s="198">
        <v>32039</v>
      </c>
      <c r="J1144" s="155"/>
      <c r="K1144" s="155">
        <v>1</v>
      </c>
      <c r="L1144" s="155"/>
      <c r="M1144" s="155"/>
      <c r="N1144" s="155"/>
      <c r="O1144" s="155"/>
      <c r="P1144" s="155"/>
      <c r="Q1144" s="155">
        <v>1</v>
      </c>
      <c r="R1144" s="155" t="s">
        <v>4119</v>
      </c>
      <c r="S1144" s="155"/>
      <c r="T1144" s="155"/>
      <c r="U1144" s="143"/>
      <c r="V1144" s="143" t="s">
        <v>503</v>
      </c>
      <c r="W1144" s="143" t="s">
        <v>298</v>
      </c>
      <c r="X1144" s="143" t="s">
        <v>227</v>
      </c>
      <c r="Y1144" s="143"/>
      <c r="Z1144" s="143"/>
      <c r="AA1144" s="143" t="s">
        <v>3149</v>
      </c>
      <c r="AB1144" s="143" t="s">
        <v>528</v>
      </c>
      <c r="AC1144" s="155">
        <v>1</v>
      </c>
      <c r="AD1144" s="155"/>
      <c r="AE1144" s="155"/>
      <c r="AF1144" s="155"/>
      <c r="AG1144" s="155"/>
      <c r="AH1144" s="143"/>
      <c r="AI1144" s="158"/>
    </row>
    <row r="1145" spans="1:35">
      <c r="A1145" s="140"/>
      <c r="B1145" s="143"/>
      <c r="C1145" s="143"/>
      <c r="D1145" s="143"/>
      <c r="E1145" s="143"/>
      <c r="F1145" s="143" t="s">
        <v>4086</v>
      </c>
      <c r="G1145" s="143" t="s">
        <v>1330</v>
      </c>
      <c r="H1145" s="143" t="s">
        <v>742</v>
      </c>
      <c r="I1145" s="198">
        <v>23759</v>
      </c>
      <c r="J1145" s="155">
        <v>1</v>
      </c>
      <c r="K1145" s="155"/>
      <c r="L1145" s="155"/>
      <c r="M1145" s="155"/>
      <c r="N1145" s="155"/>
      <c r="O1145" s="155"/>
      <c r="P1145" s="155"/>
      <c r="Q1145" s="155">
        <v>1</v>
      </c>
      <c r="R1145" s="155" t="s">
        <v>4119</v>
      </c>
      <c r="S1145" s="155"/>
      <c r="T1145" s="155"/>
      <c r="U1145" s="143" t="s">
        <v>295</v>
      </c>
      <c r="V1145" s="143" t="s">
        <v>503</v>
      </c>
      <c r="W1145" s="143" t="s">
        <v>298</v>
      </c>
      <c r="X1145" s="143" t="s">
        <v>227</v>
      </c>
      <c r="Y1145" s="143">
        <v>9500031499</v>
      </c>
      <c r="Z1145" s="143"/>
      <c r="AA1145" s="143" t="s">
        <v>3149</v>
      </c>
      <c r="AB1145" s="143" t="s">
        <v>528</v>
      </c>
      <c r="AC1145" s="155">
        <v>1</v>
      </c>
      <c r="AD1145" s="155"/>
      <c r="AE1145" s="155"/>
      <c r="AF1145" s="155"/>
      <c r="AG1145" s="155"/>
      <c r="AH1145" s="143"/>
      <c r="AI1145" s="158"/>
    </row>
    <row r="1146" spans="1:35">
      <c r="A1146" s="140"/>
      <c r="B1146" s="143"/>
      <c r="C1146" s="143"/>
      <c r="D1146" s="143"/>
      <c r="E1146" s="143"/>
      <c r="F1146" s="143" t="s">
        <v>4351</v>
      </c>
      <c r="G1146" s="143" t="s">
        <v>1330</v>
      </c>
      <c r="H1146" s="143" t="s">
        <v>120</v>
      </c>
      <c r="I1146" s="198">
        <v>30146</v>
      </c>
      <c r="J1146" s="155"/>
      <c r="K1146" s="155">
        <v>1</v>
      </c>
      <c r="L1146" s="155"/>
      <c r="M1146" s="155"/>
      <c r="N1146" s="155"/>
      <c r="O1146" s="155"/>
      <c r="P1146" s="155"/>
      <c r="Q1146" s="155">
        <v>1</v>
      </c>
      <c r="R1146" s="155" t="s">
        <v>4119</v>
      </c>
      <c r="S1146" s="155"/>
      <c r="T1146" s="155"/>
      <c r="U1146" s="143" t="s">
        <v>516</v>
      </c>
      <c r="V1146" s="143" t="s">
        <v>503</v>
      </c>
      <c r="W1146" s="143" t="s">
        <v>298</v>
      </c>
      <c r="X1146" s="143" t="s">
        <v>227</v>
      </c>
      <c r="Y1146" s="143">
        <v>9357501729</v>
      </c>
      <c r="Z1146" s="143"/>
      <c r="AA1146" s="143" t="s">
        <v>3149</v>
      </c>
      <c r="AB1146" s="143" t="s">
        <v>528</v>
      </c>
      <c r="AC1146" s="155">
        <v>1</v>
      </c>
      <c r="AD1146" s="155"/>
      <c r="AE1146" s="155"/>
      <c r="AF1146" s="155"/>
      <c r="AG1146" s="155"/>
      <c r="AH1146" s="143"/>
      <c r="AI1146" s="158"/>
    </row>
    <row r="1147" spans="1:35">
      <c r="A1147" s="140"/>
      <c r="B1147" s="143"/>
      <c r="C1147" s="143"/>
      <c r="D1147" s="143"/>
      <c r="E1147" s="143"/>
      <c r="F1147" s="143" t="s">
        <v>1499</v>
      </c>
      <c r="G1147" s="143" t="s">
        <v>4352</v>
      </c>
      <c r="H1147" s="143" t="s">
        <v>120</v>
      </c>
      <c r="I1147" s="198">
        <v>34579</v>
      </c>
      <c r="J1147" s="155">
        <v>1</v>
      </c>
      <c r="K1147" s="155"/>
      <c r="L1147" s="155">
        <v>1</v>
      </c>
      <c r="M1147" s="155"/>
      <c r="N1147" s="155"/>
      <c r="O1147" s="155"/>
      <c r="P1147" s="155"/>
      <c r="Q1147" s="155"/>
      <c r="R1147" s="155"/>
      <c r="S1147" s="155"/>
      <c r="T1147" s="155"/>
      <c r="U1147" s="143" t="s">
        <v>505</v>
      </c>
      <c r="V1147" s="143" t="s">
        <v>503</v>
      </c>
      <c r="W1147" s="143" t="s">
        <v>298</v>
      </c>
      <c r="X1147" s="143" t="s">
        <v>227</v>
      </c>
      <c r="Y1147" s="143">
        <v>9979828865</v>
      </c>
      <c r="Z1147" s="143"/>
      <c r="AA1147" s="143" t="s">
        <v>3141</v>
      </c>
      <c r="AB1147" s="143" t="s">
        <v>528</v>
      </c>
      <c r="AC1147" s="155">
        <v>1</v>
      </c>
      <c r="AD1147" s="155"/>
      <c r="AE1147" s="155"/>
      <c r="AF1147" s="155"/>
      <c r="AG1147" s="155"/>
      <c r="AH1147" s="143"/>
      <c r="AI1147" s="158"/>
    </row>
    <row r="1148" spans="1:35">
      <c r="A1148" s="140"/>
      <c r="B1148" s="143"/>
      <c r="C1148" s="143"/>
      <c r="D1148" s="143"/>
      <c r="E1148" s="143"/>
      <c r="F1148" s="143" t="s">
        <v>466</v>
      </c>
      <c r="G1148" s="143" t="s">
        <v>1672</v>
      </c>
      <c r="H1148" s="143" t="s">
        <v>160</v>
      </c>
      <c r="I1148" s="199" t="s">
        <v>1671</v>
      </c>
      <c r="J1148" s="182">
        <v>1</v>
      </c>
      <c r="K1148" s="182"/>
      <c r="L1148" s="155"/>
      <c r="M1148" s="155"/>
      <c r="N1148" s="155"/>
      <c r="O1148" s="155"/>
      <c r="P1148" s="155"/>
      <c r="Q1148" s="155">
        <v>1</v>
      </c>
      <c r="R1148" s="155" t="s">
        <v>1009</v>
      </c>
      <c r="S1148" s="155"/>
      <c r="T1148" s="155"/>
      <c r="U1148" s="183" t="s">
        <v>502</v>
      </c>
      <c r="V1148" s="143" t="s">
        <v>503</v>
      </c>
      <c r="W1148" s="143" t="s">
        <v>298</v>
      </c>
      <c r="X1148" s="143" t="s">
        <v>227</v>
      </c>
      <c r="Y1148" s="184">
        <v>9268448967</v>
      </c>
      <c r="Z1148" s="143"/>
      <c r="AA1148" s="159" t="s">
        <v>3149</v>
      </c>
      <c r="AB1148" s="143" t="s">
        <v>528</v>
      </c>
      <c r="AC1148" s="155">
        <v>1</v>
      </c>
      <c r="AD1148" s="155"/>
      <c r="AE1148" s="155"/>
      <c r="AF1148" s="155"/>
      <c r="AG1148" s="155"/>
      <c r="AH1148" s="143"/>
      <c r="AI1148" s="158"/>
    </row>
    <row r="1149" spans="1:35">
      <c r="A1149" s="140"/>
      <c r="B1149" s="143"/>
      <c r="C1149" s="143"/>
      <c r="D1149" s="143"/>
      <c r="E1149" s="143"/>
      <c r="F1149" s="143" t="s">
        <v>4353</v>
      </c>
      <c r="G1149" s="143"/>
      <c r="H1149" s="143"/>
      <c r="I1149" s="198"/>
      <c r="J1149" s="155"/>
      <c r="K1149" s="155"/>
      <c r="L1149" s="155"/>
      <c r="M1149" s="155"/>
      <c r="N1149" s="155"/>
      <c r="O1149" s="155"/>
      <c r="P1149" s="155"/>
      <c r="Q1149" s="155"/>
      <c r="R1149" s="155"/>
      <c r="S1149" s="155"/>
      <c r="T1149" s="155"/>
      <c r="U1149" s="143"/>
      <c r="V1149" s="143"/>
      <c r="W1149" s="143"/>
      <c r="X1149" s="143"/>
      <c r="Y1149" s="143"/>
      <c r="Z1149" s="143"/>
      <c r="AA1149" s="143" t="s">
        <v>3149</v>
      </c>
      <c r="AB1149" s="143" t="s">
        <v>528</v>
      </c>
      <c r="AC1149" s="155">
        <v>1</v>
      </c>
      <c r="AD1149" s="155"/>
      <c r="AE1149" s="155"/>
      <c r="AF1149" s="155"/>
      <c r="AG1149" s="155"/>
      <c r="AH1149" s="143"/>
      <c r="AI1149" s="158"/>
    </row>
    <row r="1150" spans="1:35">
      <c r="A1150" s="140"/>
      <c r="B1150" s="143"/>
      <c r="C1150" s="143"/>
      <c r="D1150" s="143"/>
      <c r="E1150" s="143"/>
      <c r="F1150" s="153" t="s">
        <v>468</v>
      </c>
      <c r="G1150" s="153" t="s">
        <v>470</v>
      </c>
      <c r="H1150" s="153"/>
      <c r="I1150" s="227">
        <v>28892</v>
      </c>
      <c r="J1150" s="154">
        <v>1</v>
      </c>
      <c r="K1150" s="154"/>
      <c r="L1150" s="155"/>
      <c r="M1150" s="155"/>
      <c r="N1150" s="155"/>
      <c r="O1150" s="155"/>
      <c r="P1150" s="155"/>
      <c r="Q1150" s="155">
        <v>1</v>
      </c>
      <c r="R1150" s="155" t="s">
        <v>962</v>
      </c>
      <c r="S1150" s="155"/>
      <c r="T1150" s="155"/>
      <c r="U1150" s="156"/>
      <c r="V1150" s="153" t="s">
        <v>519</v>
      </c>
      <c r="W1150" s="143" t="s">
        <v>280</v>
      </c>
      <c r="X1150" s="157" t="s">
        <v>227</v>
      </c>
      <c r="Y1150" s="157">
        <v>9104034500</v>
      </c>
      <c r="Z1150" s="143"/>
      <c r="AA1150" s="162" t="s">
        <v>524</v>
      </c>
      <c r="AB1150" s="143" t="s">
        <v>528</v>
      </c>
      <c r="AC1150" s="155">
        <v>1</v>
      </c>
      <c r="AD1150" s="155"/>
      <c r="AE1150" s="155"/>
      <c r="AF1150" s="155"/>
      <c r="AG1150" s="155"/>
      <c r="AH1150" s="143"/>
      <c r="AI1150" s="158"/>
    </row>
    <row r="1151" spans="1:35">
      <c r="A1151" s="140"/>
      <c r="B1151" s="143"/>
      <c r="C1151" s="143"/>
      <c r="D1151" s="143"/>
      <c r="E1151" s="143"/>
      <c r="F1151" s="143" t="s">
        <v>312</v>
      </c>
      <c r="G1151" s="143" t="s">
        <v>955</v>
      </c>
      <c r="H1151" s="143" t="s">
        <v>286</v>
      </c>
      <c r="I1151" s="199">
        <v>23696</v>
      </c>
      <c r="J1151" s="182"/>
      <c r="K1151" s="182">
        <v>1</v>
      </c>
      <c r="L1151" s="155"/>
      <c r="M1151" s="155"/>
      <c r="N1151" s="155"/>
      <c r="O1151" s="155"/>
      <c r="P1151" s="155"/>
      <c r="Q1151" s="155">
        <v>1</v>
      </c>
      <c r="R1151" s="155" t="s">
        <v>1348</v>
      </c>
      <c r="S1151" s="155"/>
      <c r="T1151" s="155"/>
      <c r="U1151" s="183" t="s">
        <v>4356</v>
      </c>
      <c r="V1151" s="143" t="s">
        <v>503</v>
      </c>
      <c r="W1151" s="143" t="s">
        <v>298</v>
      </c>
      <c r="X1151" s="143" t="s">
        <v>227</v>
      </c>
      <c r="Y1151" s="184">
        <v>9061976785</v>
      </c>
      <c r="Z1151" s="143"/>
      <c r="AA1151" s="163" t="s">
        <v>525</v>
      </c>
      <c r="AB1151" s="143" t="s">
        <v>528</v>
      </c>
      <c r="AC1151" s="155">
        <v>1</v>
      </c>
      <c r="AD1151" s="155"/>
      <c r="AE1151" s="155"/>
      <c r="AF1151" s="155"/>
      <c r="AG1151" s="155"/>
      <c r="AH1151" s="143"/>
      <c r="AI1151" s="158"/>
    </row>
    <row r="1152" spans="1:35">
      <c r="A1152" s="140"/>
      <c r="B1152" s="143"/>
      <c r="C1152" s="143"/>
      <c r="D1152" s="143"/>
      <c r="E1152" s="143"/>
      <c r="F1152" s="143" t="s">
        <v>4354</v>
      </c>
      <c r="G1152" s="143" t="s">
        <v>4355</v>
      </c>
      <c r="H1152" s="143" t="s">
        <v>133</v>
      </c>
      <c r="I1152" s="198">
        <v>26886</v>
      </c>
      <c r="J1152" s="155"/>
      <c r="K1152" s="155">
        <v>1</v>
      </c>
      <c r="L1152" s="155"/>
      <c r="M1152" s="155"/>
      <c r="N1152" s="155"/>
      <c r="O1152" s="155"/>
      <c r="P1152" s="155"/>
      <c r="Q1152" s="155">
        <v>1</v>
      </c>
      <c r="R1152" s="155" t="s">
        <v>4119</v>
      </c>
      <c r="S1152" s="155"/>
      <c r="T1152" s="155"/>
      <c r="U1152" s="143" t="s">
        <v>509</v>
      </c>
      <c r="V1152" s="143" t="s">
        <v>503</v>
      </c>
      <c r="W1152" s="143" t="s">
        <v>298</v>
      </c>
      <c r="X1152" s="143" t="s">
        <v>227</v>
      </c>
      <c r="Y1152" s="143">
        <v>9122512037</v>
      </c>
      <c r="Z1152" s="143"/>
      <c r="AA1152" s="143" t="s">
        <v>3141</v>
      </c>
      <c r="AB1152" s="143" t="s">
        <v>528</v>
      </c>
      <c r="AC1152" s="155">
        <v>1</v>
      </c>
      <c r="AD1152" s="155"/>
      <c r="AE1152" s="155"/>
      <c r="AF1152" s="155"/>
      <c r="AG1152" s="155"/>
      <c r="AH1152" s="143"/>
      <c r="AI1152" s="158"/>
    </row>
    <row r="1153" spans="1:35">
      <c r="A1153" s="140"/>
      <c r="B1153" s="143"/>
      <c r="C1153" s="143"/>
      <c r="D1153" s="143"/>
      <c r="E1153" s="143"/>
      <c r="F1153" s="143" t="s">
        <v>4357</v>
      </c>
      <c r="G1153" s="143" t="s">
        <v>4358</v>
      </c>
      <c r="H1153" s="143"/>
      <c r="I1153" s="198">
        <v>32488</v>
      </c>
      <c r="J1153" s="155">
        <v>1</v>
      </c>
      <c r="K1153" s="155"/>
      <c r="L1153" s="155"/>
      <c r="M1153" s="155"/>
      <c r="N1153" s="155"/>
      <c r="O1153" s="155"/>
      <c r="P1153" s="155"/>
      <c r="Q1153" s="155">
        <v>1</v>
      </c>
      <c r="R1153" s="155" t="s">
        <v>4119</v>
      </c>
      <c r="S1153" s="155"/>
      <c r="T1153" s="155"/>
      <c r="U1153" s="143" t="s">
        <v>505</v>
      </c>
      <c r="V1153" s="143" t="s">
        <v>503</v>
      </c>
      <c r="W1153" s="143" t="s">
        <v>298</v>
      </c>
      <c r="X1153" s="143" t="s">
        <v>227</v>
      </c>
      <c r="Y1153" s="143">
        <v>9659058743</v>
      </c>
      <c r="Z1153" s="143"/>
      <c r="AA1153" s="143" t="s">
        <v>3149</v>
      </c>
      <c r="AB1153" s="143" t="s">
        <v>528</v>
      </c>
      <c r="AC1153" s="155">
        <v>1</v>
      </c>
      <c r="AD1153" s="155"/>
      <c r="AE1153" s="155"/>
      <c r="AF1153" s="155"/>
      <c r="AG1153" s="155"/>
      <c r="AH1153" s="143"/>
      <c r="AI1153" s="158"/>
    </row>
    <row r="1154" spans="1:35">
      <c r="A1154" s="140"/>
      <c r="B1154" s="143"/>
      <c r="C1154" s="143"/>
      <c r="D1154" s="143"/>
      <c r="E1154" s="143"/>
      <c r="F1154" s="143" t="s">
        <v>626</v>
      </c>
      <c r="G1154" s="143" t="s">
        <v>4359</v>
      </c>
      <c r="H1154" s="143" t="s">
        <v>117</v>
      </c>
      <c r="I1154" s="198">
        <v>30273</v>
      </c>
      <c r="J1154" s="155"/>
      <c r="K1154" s="155">
        <v>1</v>
      </c>
      <c r="L1154" s="155"/>
      <c r="M1154" s="155"/>
      <c r="N1154" s="155"/>
      <c r="O1154" s="155"/>
      <c r="P1154" s="155"/>
      <c r="Q1154" s="155">
        <v>1</v>
      </c>
      <c r="R1154" s="155" t="s">
        <v>4119</v>
      </c>
      <c r="S1154" s="155"/>
      <c r="T1154" s="155"/>
      <c r="U1154" s="143"/>
      <c r="V1154" s="143"/>
      <c r="W1154" s="143"/>
      <c r="X1154" s="143"/>
      <c r="Y1154" s="143"/>
      <c r="Z1154" s="143"/>
      <c r="AA1154" s="143" t="s">
        <v>3149</v>
      </c>
      <c r="AB1154" s="143" t="s">
        <v>528</v>
      </c>
      <c r="AC1154" s="155">
        <v>1</v>
      </c>
      <c r="AD1154" s="155"/>
      <c r="AE1154" s="155"/>
      <c r="AF1154" s="155"/>
      <c r="AG1154" s="155"/>
      <c r="AH1154" s="143"/>
      <c r="AI1154" s="158"/>
    </row>
    <row r="1155" spans="1:35">
      <c r="A1155" s="140"/>
      <c r="B1155" s="143"/>
      <c r="C1155" s="143"/>
      <c r="D1155" s="143"/>
      <c r="E1155" s="143"/>
      <c r="F1155" s="143" t="s">
        <v>4360</v>
      </c>
      <c r="G1155" s="143" t="s">
        <v>4361</v>
      </c>
      <c r="H1155" s="143" t="s">
        <v>115</v>
      </c>
      <c r="I1155" s="198"/>
      <c r="J1155" s="155"/>
      <c r="K1155" s="155">
        <v>1</v>
      </c>
      <c r="L1155" s="155"/>
      <c r="M1155" s="155"/>
      <c r="N1155" s="155"/>
      <c r="O1155" s="155"/>
      <c r="P1155" s="155"/>
      <c r="Q1155" s="155">
        <v>1</v>
      </c>
      <c r="R1155" s="155" t="s">
        <v>4119</v>
      </c>
      <c r="S1155" s="155"/>
      <c r="T1155" s="155"/>
      <c r="U1155" s="143" t="s">
        <v>504</v>
      </c>
      <c r="V1155" s="143" t="s">
        <v>503</v>
      </c>
      <c r="W1155" s="143" t="s">
        <v>298</v>
      </c>
      <c r="X1155" s="143" t="s">
        <v>227</v>
      </c>
      <c r="Y1155" s="143">
        <v>9102578855</v>
      </c>
      <c r="Z1155" s="143"/>
      <c r="AA1155" s="143" t="s">
        <v>3149</v>
      </c>
      <c r="AB1155" s="143" t="s">
        <v>528</v>
      </c>
      <c r="AC1155" s="155">
        <v>1</v>
      </c>
      <c r="AD1155" s="155"/>
      <c r="AE1155" s="155"/>
      <c r="AF1155" s="155"/>
      <c r="AG1155" s="155"/>
      <c r="AH1155" s="143"/>
      <c r="AI1155" s="158"/>
    </row>
    <row r="1156" spans="1:35">
      <c r="A1156" s="140"/>
      <c r="B1156" s="143"/>
      <c r="C1156" s="143"/>
      <c r="D1156" s="143"/>
      <c r="E1156" s="143"/>
      <c r="F1156" s="143" t="s">
        <v>1063</v>
      </c>
      <c r="G1156" s="143" t="s">
        <v>1085</v>
      </c>
      <c r="H1156" s="143"/>
      <c r="I1156" s="198">
        <v>25688</v>
      </c>
      <c r="J1156" s="155">
        <v>1</v>
      </c>
      <c r="K1156" s="155"/>
      <c r="L1156" s="155"/>
      <c r="M1156" s="155"/>
      <c r="N1156" s="155"/>
      <c r="O1156" s="155"/>
      <c r="P1156" s="155"/>
      <c r="Q1156" s="155">
        <v>1</v>
      </c>
      <c r="R1156" s="155" t="s">
        <v>4119</v>
      </c>
      <c r="S1156" s="155"/>
      <c r="T1156" s="155"/>
      <c r="U1156" s="143"/>
      <c r="V1156" s="143" t="s">
        <v>949</v>
      </c>
      <c r="W1156" s="143" t="s">
        <v>280</v>
      </c>
      <c r="X1156" s="143" t="s">
        <v>227</v>
      </c>
      <c r="Y1156" s="143"/>
      <c r="Z1156" s="143"/>
      <c r="AA1156" s="143" t="s">
        <v>3149</v>
      </c>
      <c r="AB1156" s="143" t="s">
        <v>528</v>
      </c>
      <c r="AC1156" s="155">
        <v>1</v>
      </c>
      <c r="AD1156" s="155"/>
      <c r="AE1156" s="155"/>
      <c r="AF1156" s="155"/>
      <c r="AG1156" s="155"/>
      <c r="AH1156" s="143"/>
      <c r="AI1156" s="158"/>
    </row>
    <row r="1157" spans="1:35">
      <c r="A1157" s="140"/>
      <c r="B1157" s="143"/>
      <c r="C1157" s="143"/>
      <c r="D1157" s="143"/>
      <c r="E1157" s="143"/>
      <c r="F1157" s="143" t="s">
        <v>4362</v>
      </c>
      <c r="G1157" s="143" t="s">
        <v>2191</v>
      </c>
      <c r="H1157" s="143"/>
      <c r="I1157" s="198"/>
      <c r="J1157" s="155"/>
      <c r="K1157" s="155"/>
      <c r="L1157" s="155"/>
      <c r="M1157" s="155"/>
      <c r="N1157" s="155"/>
      <c r="O1157" s="155"/>
      <c r="P1157" s="155"/>
      <c r="Q1157" s="155">
        <v>1</v>
      </c>
      <c r="R1157" s="155" t="s">
        <v>4119</v>
      </c>
      <c r="S1157" s="155"/>
      <c r="T1157" s="155"/>
      <c r="U1157" s="143"/>
      <c r="V1157" s="143" t="s">
        <v>949</v>
      </c>
      <c r="W1157" s="143" t="s">
        <v>280</v>
      </c>
      <c r="X1157" s="143" t="s">
        <v>227</v>
      </c>
      <c r="Y1157" s="143"/>
      <c r="Z1157" s="143"/>
      <c r="AA1157" s="143" t="s">
        <v>3149</v>
      </c>
      <c r="AB1157" s="143" t="s">
        <v>528</v>
      </c>
      <c r="AC1157" s="155">
        <v>1</v>
      </c>
      <c r="AD1157" s="155"/>
      <c r="AE1157" s="155"/>
      <c r="AF1157" s="155"/>
      <c r="AG1157" s="155"/>
      <c r="AH1157" s="143"/>
      <c r="AI1157" s="158"/>
    </row>
    <row r="1158" spans="1:35">
      <c r="A1158" s="140"/>
      <c r="B1158" s="143"/>
      <c r="C1158" s="143"/>
      <c r="D1158" s="143"/>
      <c r="E1158" s="143"/>
      <c r="F1158" s="143" t="s">
        <v>1005</v>
      </c>
      <c r="G1158" s="143" t="s">
        <v>1006</v>
      </c>
      <c r="H1158" s="143" t="s">
        <v>286</v>
      </c>
      <c r="I1158" s="198"/>
      <c r="J1158" s="155"/>
      <c r="K1158" s="155"/>
      <c r="L1158" s="155"/>
      <c r="M1158" s="155"/>
      <c r="N1158" s="155"/>
      <c r="O1158" s="155"/>
      <c r="P1158" s="155"/>
      <c r="Q1158" s="155">
        <v>1</v>
      </c>
      <c r="R1158" s="155" t="s">
        <v>4119</v>
      </c>
      <c r="S1158" s="155"/>
      <c r="T1158" s="155"/>
      <c r="U1158" s="143"/>
      <c r="V1158" s="143" t="s">
        <v>4363</v>
      </c>
      <c r="W1158" s="143" t="s">
        <v>280</v>
      </c>
      <c r="X1158" s="143" t="s">
        <v>227</v>
      </c>
      <c r="Y1158" s="143"/>
      <c r="Z1158" s="143"/>
      <c r="AA1158" s="143" t="s">
        <v>3149</v>
      </c>
      <c r="AB1158" s="143" t="s">
        <v>528</v>
      </c>
      <c r="AC1158" s="155">
        <v>1</v>
      </c>
      <c r="AD1158" s="155"/>
      <c r="AE1158" s="155"/>
      <c r="AF1158" s="155"/>
      <c r="AG1158" s="155"/>
      <c r="AH1158" s="143"/>
      <c r="AI1158" s="158"/>
    </row>
    <row r="1159" spans="1:35">
      <c r="A1159" s="140"/>
      <c r="B1159" s="143"/>
      <c r="C1159" s="143"/>
      <c r="D1159" s="143"/>
      <c r="E1159" s="143"/>
      <c r="F1159" s="143" t="s">
        <v>4364</v>
      </c>
      <c r="G1159" s="143" t="s">
        <v>1158</v>
      </c>
      <c r="H1159" s="143"/>
      <c r="I1159" s="198"/>
      <c r="J1159" s="155">
        <v>1</v>
      </c>
      <c r="K1159" s="155"/>
      <c r="L1159" s="155">
        <v>1</v>
      </c>
      <c r="M1159" s="155"/>
      <c r="N1159" s="155"/>
      <c r="O1159" s="155"/>
      <c r="P1159" s="155"/>
      <c r="Q1159" s="155"/>
      <c r="R1159" s="155"/>
      <c r="S1159" s="155"/>
      <c r="T1159" s="155"/>
      <c r="U1159" s="143"/>
      <c r="V1159" s="143"/>
      <c r="W1159" s="143"/>
      <c r="X1159" s="143" t="s">
        <v>227</v>
      </c>
      <c r="Y1159" s="143"/>
      <c r="Z1159" s="143"/>
      <c r="AA1159" s="143" t="s">
        <v>3149</v>
      </c>
      <c r="AB1159" s="143" t="s">
        <v>528</v>
      </c>
      <c r="AC1159" s="155">
        <v>1</v>
      </c>
      <c r="AD1159" s="155"/>
      <c r="AE1159" s="155"/>
      <c r="AF1159" s="155"/>
      <c r="AG1159" s="155"/>
      <c r="AH1159" s="143"/>
      <c r="AI1159" s="158"/>
    </row>
    <row r="1160" spans="1:35">
      <c r="A1160" s="140"/>
      <c r="B1160" s="143"/>
      <c r="C1160" s="143"/>
      <c r="D1160" s="143"/>
      <c r="E1160" s="143"/>
      <c r="F1160" s="143" t="s">
        <v>4365</v>
      </c>
      <c r="G1160" s="143" t="s">
        <v>4366</v>
      </c>
      <c r="H1160" s="143"/>
      <c r="I1160" s="198"/>
      <c r="J1160" s="155"/>
      <c r="K1160" s="155">
        <v>1</v>
      </c>
      <c r="L1160" s="155"/>
      <c r="M1160" s="155"/>
      <c r="N1160" s="155"/>
      <c r="O1160" s="155"/>
      <c r="P1160" s="155"/>
      <c r="Q1160" s="155">
        <v>1</v>
      </c>
      <c r="R1160" s="155" t="s">
        <v>4119</v>
      </c>
      <c r="S1160" s="155"/>
      <c r="T1160" s="155"/>
      <c r="U1160" s="143" t="s">
        <v>502</v>
      </c>
      <c r="V1160" s="143" t="s">
        <v>503</v>
      </c>
      <c r="W1160" s="143" t="s">
        <v>298</v>
      </c>
      <c r="X1160" s="143" t="s">
        <v>227</v>
      </c>
      <c r="Y1160" s="143"/>
      <c r="Z1160" s="143"/>
      <c r="AA1160" s="143" t="s">
        <v>3149</v>
      </c>
      <c r="AB1160" s="143" t="s">
        <v>528</v>
      </c>
      <c r="AC1160" s="155">
        <v>1</v>
      </c>
      <c r="AD1160" s="155"/>
      <c r="AE1160" s="155"/>
      <c r="AF1160" s="155"/>
      <c r="AG1160" s="155"/>
      <c r="AH1160" s="143"/>
      <c r="AI1160" s="158"/>
    </row>
    <row r="1161" spans="1:35">
      <c r="A1161" s="140"/>
      <c r="B1161" s="143"/>
      <c r="C1161" s="143"/>
      <c r="D1161" s="143"/>
      <c r="E1161" s="143"/>
      <c r="F1161" s="143" t="s">
        <v>1514</v>
      </c>
      <c r="G1161" s="143" t="s">
        <v>4143</v>
      </c>
      <c r="H1161" s="143"/>
      <c r="I1161" s="198">
        <v>33154</v>
      </c>
      <c r="J1161" s="155">
        <v>1</v>
      </c>
      <c r="K1161" s="155"/>
      <c r="L1161" s="155">
        <v>1</v>
      </c>
      <c r="M1161" s="155"/>
      <c r="N1161" s="155"/>
      <c r="O1161" s="155"/>
      <c r="P1161" s="155"/>
      <c r="Q1161" s="155"/>
      <c r="R1161" s="155"/>
      <c r="S1161" s="155"/>
      <c r="T1161" s="155"/>
      <c r="U1161" s="143"/>
      <c r="V1161" s="143" t="s">
        <v>949</v>
      </c>
      <c r="W1161" s="143" t="s">
        <v>280</v>
      </c>
      <c r="X1161" s="143" t="s">
        <v>227</v>
      </c>
      <c r="Y1161" s="143"/>
      <c r="Z1161" s="143"/>
      <c r="AA1161" s="143" t="s">
        <v>3149</v>
      </c>
      <c r="AB1161" s="143" t="s">
        <v>528</v>
      </c>
      <c r="AC1161" s="155">
        <v>1</v>
      </c>
      <c r="AD1161" s="155"/>
      <c r="AE1161" s="155"/>
      <c r="AF1161" s="155"/>
      <c r="AG1161" s="155"/>
      <c r="AH1161" s="143"/>
      <c r="AI1161" s="158"/>
    </row>
    <row r="1162" spans="1:35">
      <c r="A1162" s="140"/>
      <c r="B1162" s="143"/>
      <c r="C1162" s="143"/>
      <c r="D1162" s="143"/>
      <c r="E1162" s="143"/>
      <c r="F1162" s="143" t="s">
        <v>1636</v>
      </c>
      <c r="G1162" s="143" t="s">
        <v>2382</v>
      </c>
      <c r="H1162" s="143"/>
      <c r="I1162" s="198">
        <v>37120</v>
      </c>
      <c r="J1162" s="155">
        <v>1</v>
      </c>
      <c r="K1162" s="155"/>
      <c r="L1162" s="155">
        <v>1</v>
      </c>
      <c r="M1162" s="155"/>
      <c r="N1162" s="155"/>
      <c r="O1162" s="155"/>
      <c r="P1162" s="155"/>
      <c r="Q1162" s="155"/>
      <c r="R1162" s="155"/>
      <c r="S1162" s="155"/>
      <c r="T1162" s="155"/>
      <c r="U1162" s="143"/>
      <c r="V1162" s="143" t="s">
        <v>949</v>
      </c>
      <c r="W1162" s="143" t="s">
        <v>280</v>
      </c>
      <c r="X1162" s="143" t="s">
        <v>227</v>
      </c>
      <c r="Y1162" s="143"/>
      <c r="Z1162" s="143"/>
      <c r="AA1162" s="143" t="s">
        <v>3149</v>
      </c>
      <c r="AB1162" s="143" t="s">
        <v>528</v>
      </c>
      <c r="AC1162" s="155">
        <v>1</v>
      </c>
      <c r="AD1162" s="155"/>
      <c r="AE1162" s="155"/>
      <c r="AF1162" s="155"/>
      <c r="AG1162" s="155"/>
      <c r="AH1162" s="143"/>
      <c r="AI1162" s="158"/>
    </row>
    <row r="1163" spans="1:35">
      <c r="A1163" s="140"/>
      <c r="B1163" s="143"/>
      <c r="C1163" s="143"/>
      <c r="D1163" s="143"/>
      <c r="E1163" s="143"/>
      <c r="F1163" s="143" t="s">
        <v>3000</v>
      </c>
      <c r="G1163" s="143" t="s">
        <v>1957</v>
      </c>
      <c r="H1163" s="143"/>
      <c r="I1163" s="198">
        <v>30207</v>
      </c>
      <c r="J1163" s="155">
        <v>1</v>
      </c>
      <c r="K1163" s="155"/>
      <c r="L1163" s="155"/>
      <c r="M1163" s="155"/>
      <c r="N1163" s="155"/>
      <c r="O1163" s="155"/>
      <c r="P1163" s="155"/>
      <c r="Q1163" s="155">
        <v>1</v>
      </c>
      <c r="R1163" s="155" t="s">
        <v>962</v>
      </c>
      <c r="S1163" s="155"/>
      <c r="T1163" s="155"/>
      <c r="U1163" s="143"/>
      <c r="V1163" s="143" t="s">
        <v>949</v>
      </c>
      <c r="W1163" s="143" t="s">
        <v>280</v>
      </c>
      <c r="X1163" s="143" t="s">
        <v>227</v>
      </c>
      <c r="Y1163" s="143"/>
      <c r="Z1163" s="143"/>
      <c r="AA1163" s="143" t="s">
        <v>3149</v>
      </c>
      <c r="AB1163" s="143" t="s">
        <v>528</v>
      </c>
      <c r="AC1163" s="155">
        <v>1</v>
      </c>
      <c r="AD1163" s="155"/>
      <c r="AE1163" s="155"/>
      <c r="AF1163" s="155"/>
      <c r="AG1163" s="155"/>
      <c r="AH1163" s="143"/>
      <c r="AI1163" s="158"/>
    </row>
    <row r="1164" spans="1:35">
      <c r="A1164" s="140"/>
      <c r="B1164" s="143"/>
      <c r="C1164" s="143"/>
      <c r="D1164" s="143"/>
      <c r="E1164" s="143"/>
      <c r="F1164" s="143"/>
      <c r="G1164" s="143"/>
      <c r="H1164" s="143"/>
      <c r="I1164" s="198"/>
      <c r="J1164" s="155"/>
      <c r="K1164" s="155"/>
      <c r="L1164" s="155"/>
      <c r="M1164" s="155"/>
      <c r="N1164" s="155"/>
      <c r="O1164" s="155"/>
      <c r="P1164" s="155"/>
      <c r="Q1164" s="155"/>
      <c r="R1164" s="155"/>
      <c r="S1164" s="155"/>
      <c r="T1164" s="155"/>
      <c r="U1164" s="143"/>
      <c r="V1164" s="143"/>
      <c r="W1164" s="143"/>
      <c r="X1164" s="143"/>
      <c r="Y1164" s="143"/>
      <c r="Z1164" s="143"/>
      <c r="AA1164" s="143"/>
      <c r="AB1164" s="143"/>
      <c r="AC1164" s="155"/>
      <c r="AD1164" s="155"/>
      <c r="AE1164" s="155"/>
      <c r="AF1164" s="155"/>
      <c r="AG1164" s="155"/>
      <c r="AH1164" s="143"/>
      <c r="AI1164" s="158"/>
    </row>
    <row r="1165" spans="1:35">
      <c r="A1165" s="140"/>
      <c r="B1165" s="143"/>
      <c r="C1165" s="143"/>
      <c r="D1165" s="143"/>
      <c r="E1165" s="143"/>
      <c r="F1165" s="143"/>
      <c r="G1165" s="143"/>
      <c r="H1165" s="143"/>
      <c r="I1165" s="198"/>
      <c r="J1165" s="155"/>
      <c r="K1165" s="155"/>
      <c r="L1165" s="155"/>
      <c r="M1165" s="155"/>
      <c r="N1165" s="155"/>
      <c r="O1165" s="155"/>
      <c r="P1165" s="155"/>
      <c r="Q1165" s="155"/>
      <c r="R1165" s="155"/>
      <c r="S1165" s="155"/>
      <c r="T1165" s="155"/>
      <c r="U1165" s="143"/>
      <c r="V1165" s="143"/>
      <c r="W1165" s="143"/>
      <c r="X1165" s="143"/>
      <c r="Y1165" s="143"/>
      <c r="Z1165" s="143"/>
      <c r="AA1165" s="143"/>
      <c r="AB1165" s="143"/>
      <c r="AC1165" s="155"/>
      <c r="AD1165" s="155"/>
      <c r="AE1165" s="155"/>
      <c r="AF1165" s="155"/>
      <c r="AG1165" s="155"/>
      <c r="AH1165" s="143"/>
      <c r="AI1165" s="158"/>
    </row>
    <row r="1166" spans="1:35">
      <c r="A1166" s="140"/>
      <c r="B1166" s="143"/>
      <c r="C1166" s="143"/>
      <c r="D1166" s="143"/>
      <c r="E1166" s="143"/>
      <c r="F1166" s="143"/>
      <c r="G1166" s="143"/>
      <c r="H1166" s="143"/>
      <c r="I1166" s="198"/>
      <c r="J1166" s="155"/>
      <c r="K1166" s="155"/>
      <c r="L1166" s="155"/>
      <c r="M1166" s="155"/>
      <c r="N1166" s="155"/>
      <c r="O1166" s="155"/>
      <c r="P1166" s="155"/>
      <c r="Q1166" s="155"/>
      <c r="R1166" s="155"/>
      <c r="S1166" s="155"/>
      <c r="T1166" s="155"/>
      <c r="U1166" s="143"/>
      <c r="V1166" s="143"/>
      <c r="W1166" s="143"/>
      <c r="X1166" s="143"/>
      <c r="Y1166" s="143"/>
      <c r="Z1166" s="143"/>
      <c r="AA1166" s="143"/>
      <c r="AB1166" s="143"/>
      <c r="AC1166" s="155"/>
      <c r="AD1166" s="155"/>
      <c r="AE1166" s="155"/>
      <c r="AF1166" s="155"/>
      <c r="AG1166" s="155"/>
      <c r="AH1166" s="143"/>
      <c r="AI1166" s="158"/>
    </row>
    <row r="1167" spans="1:35">
      <c r="A1167" s="140"/>
      <c r="B1167" s="143"/>
      <c r="C1167" s="143"/>
      <c r="D1167" s="143"/>
      <c r="E1167" s="143"/>
      <c r="F1167" s="143"/>
      <c r="G1167" s="143"/>
      <c r="H1167" s="143"/>
      <c r="I1167" s="198"/>
      <c r="J1167" s="155"/>
      <c r="K1167" s="155"/>
      <c r="L1167" s="155"/>
      <c r="M1167" s="155"/>
      <c r="N1167" s="155"/>
      <c r="O1167" s="155"/>
      <c r="P1167" s="155"/>
      <c r="Q1167" s="155"/>
      <c r="R1167" s="155"/>
      <c r="S1167" s="155"/>
      <c r="T1167" s="155"/>
      <c r="U1167" s="143"/>
      <c r="V1167" s="143"/>
      <c r="W1167" s="143"/>
      <c r="X1167" s="143"/>
      <c r="Y1167" s="143"/>
      <c r="Z1167" s="143"/>
      <c r="AA1167" s="143"/>
      <c r="AB1167" s="143"/>
      <c r="AC1167" s="155"/>
      <c r="AD1167" s="155"/>
      <c r="AE1167" s="155"/>
      <c r="AF1167" s="155"/>
      <c r="AG1167" s="155"/>
      <c r="AH1167" s="143"/>
      <c r="AI1167" s="158"/>
    </row>
    <row r="1168" spans="1:35">
      <c r="A1168" s="140"/>
      <c r="B1168" s="143"/>
      <c r="C1168" s="143"/>
      <c r="D1168" s="143"/>
      <c r="E1168" s="143"/>
      <c r="F1168" s="143"/>
      <c r="G1168" s="143"/>
      <c r="H1168" s="143"/>
      <c r="I1168" s="198"/>
      <c r="J1168" s="155"/>
      <c r="K1168" s="155"/>
      <c r="L1168" s="155"/>
      <c r="M1168" s="155"/>
      <c r="N1168" s="155"/>
      <c r="O1168" s="155"/>
      <c r="P1168" s="155"/>
      <c r="Q1168" s="155"/>
      <c r="R1168" s="155"/>
      <c r="S1168" s="155"/>
      <c r="T1168" s="155"/>
      <c r="U1168" s="143"/>
      <c r="V1168" s="143"/>
      <c r="W1168" s="143"/>
      <c r="X1168" s="143"/>
      <c r="Y1168" s="143"/>
      <c r="Z1168" s="143"/>
      <c r="AA1168" s="143"/>
      <c r="AB1168" s="143"/>
      <c r="AC1168" s="155"/>
      <c r="AD1168" s="155"/>
      <c r="AE1168" s="155"/>
      <c r="AF1168" s="155"/>
      <c r="AG1168" s="155"/>
      <c r="AH1168" s="143"/>
      <c r="AI1168" s="158"/>
    </row>
    <row r="1169" spans="1:35">
      <c r="A1169" s="140"/>
      <c r="B1169" s="143"/>
      <c r="C1169" s="143"/>
      <c r="D1169" s="143"/>
      <c r="E1169" s="143"/>
      <c r="F1169" s="143"/>
      <c r="G1169" s="143"/>
      <c r="H1169" s="143"/>
      <c r="I1169" s="198"/>
      <c r="J1169" s="155"/>
      <c r="K1169" s="155"/>
      <c r="L1169" s="155"/>
      <c r="M1169" s="155"/>
      <c r="N1169" s="155"/>
      <c r="O1169" s="155"/>
      <c r="P1169" s="155"/>
      <c r="Q1169" s="155"/>
      <c r="R1169" s="155"/>
      <c r="S1169" s="155"/>
      <c r="T1169" s="155"/>
      <c r="U1169" s="143"/>
      <c r="V1169" s="143"/>
      <c r="W1169" s="143"/>
      <c r="X1169" s="143"/>
      <c r="Y1169" s="143"/>
      <c r="Z1169" s="143"/>
      <c r="AA1169" s="143"/>
      <c r="AB1169" s="143"/>
      <c r="AC1169" s="155"/>
      <c r="AD1169" s="155"/>
      <c r="AE1169" s="155"/>
      <c r="AF1169" s="155"/>
      <c r="AG1169" s="155"/>
      <c r="AH1169" s="143"/>
      <c r="AI1169" s="158"/>
    </row>
    <row r="1170" spans="1:35">
      <c r="A1170" s="140"/>
      <c r="B1170" s="143"/>
      <c r="C1170" s="143"/>
      <c r="D1170" s="143"/>
      <c r="E1170" s="143"/>
      <c r="F1170" s="143"/>
      <c r="G1170" s="143"/>
      <c r="H1170" s="143"/>
      <c r="I1170" s="198"/>
      <c r="J1170" s="155"/>
      <c r="K1170" s="155"/>
      <c r="L1170" s="155"/>
      <c r="M1170" s="155"/>
      <c r="N1170" s="155"/>
      <c r="O1170" s="155"/>
      <c r="P1170" s="155"/>
      <c r="Q1170" s="155"/>
      <c r="R1170" s="155"/>
      <c r="S1170" s="155"/>
      <c r="T1170" s="155"/>
      <c r="U1170" s="143"/>
      <c r="V1170" s="143"/>
      <c r="W1170" s="143"/>
      <c r="X1170" s="143"/>
      <c r="Y1170" s="143"/>
      <c r="Z1170" s="143"/>
      <c r="AA1170" s="143"/>
      <c r="AB1170" s="143"/>
      <c r="AC1170" s="155"/>
      <c r="AD1170" s="155"/>
      <c r="AE1170" s="155"/>
      <c r="AF1170" s="155"/>
      <c r="AG1170" s="155"/>
      <c r="AH1170" s="143"/>
      <c r="AI1170" s="158"/>
    </row>
    <row r="1171" spans="1:35">
      <c r="A1171" s="140"/>
      <c r="B1171" s="143"/>
      <c r="C1171" s="143"/>
      <c r="D1171" s="143"/>
      <c r="E1171" s="143"/>
      <c r="F1171" s="143"/>
      <c r="G1171" s="143"/>
      <c r="H1171" s="143"/>
      <c r="I1171" s="198"/>
      <c r="J1171" s="155"/>
      <c r="K1171" s="155"/>
      <c r="L1171" s="155"/>
      <c r="M1171" s="155"/>
      <c r="N1171" s="155"/>
      <c r="O1171" s="155"/>
      <c r="P1171" s="155"/>
      <c r="Q1171" s="155"/>
      <c r="R1171" s="155"/>
      <c r="S1171" s="155"/>
      <c r="T1171" s="155"/>
      <c r="U1171" s="143"/>
      <c r="V1171" s="143"/>
      <c r="W1171" s="143"/>
      <c r="X1171" s="143"/>
      <c r="Y1171" s="143"/>
      <c r="Z1171" s="143"/>
      <c r="AA1171" s="143"/>
      <c r="AB1171" s="143"/>
      <c r="AC1171" s="155"/>
      <c r="AD1171" s="155"/>
      <c r="AE1171" s="155"/>
      <c r="AF1171" s="155"/>
      <c r="AG1171" s="155"/>
      <c r="AH1171" s="143"/>
      <c r="AI1171" s="158"/>
    </row>
    <row r="1172" spans="1:35">
      <c r="A1172" s="140"/>
      <c r="B1172" s="143"/>
      <c r="C1172" s="143"/>
      <c r="D1172" s="143"/>
      <c r="E1172" s="143"/>
      <c r="F1172" s="143"/>
      <c r="G1172" s="143"/>
      <c r="H1172" s="143"/>
      <c r="I1172" s="198"/>
      <c r="J1172" s="155"/>
      <c r="K1172" s="155"/>
      <c r="L1172" s="155"/>
      <c r="M1172" s="155"/>
      <c r="N1172" s="155"/>
      <c r="O1172" s="155"/>
      <c r="P1172" s="155"/>
      <c r="Q1172" s="155"/>
      <c r="R1172" s="155"/>
      <c r="S1172" s="155"/>
      <c r="T1172" s="155"/>
      <c r="U1172" s="143"/>
      <c r="V1172" s="143"/>
      <c r="W1172" s="143"/>
      <c r="X1172" s="143"/>
      <c r="Y1172" s="143"/>
      <c r="Z1172" s="143"/>
      <c r="AA1172" s="143"/>
      <c r="AB1172" s="143"/>
      <c r="AC1172" s="155"/>
      <c r="AD1172" s="155"/>
      <c r="AE1172" s="155"/>
      <c r="AF1172" s="155"/>
      <c r="AG1172" s="155"/>
      <c r="AH1172" s="143"/>
      <c r="AI1172" s="158"/>
    </row>
    <row r="1173" spans="1:35">
      <c r="A1173" s="140"/>
      <c r="B1173" s="143"/>
      <c r="C1173" s="143"/>
      <c r="D1173" s="143"/>
      <c r="E1173" s="143"/>
      <c r="F1173" s="143"/>
      <c r="G1173" s="143"/>
      <c r="H1173" s="143"/>
      <c r="I1173" s="198"/>
      <c r="J1173" s="155"/>
      <c r="K1173" s="155"/>
      <c r="L1173" s="155"/>
      <c r="M1173" s="155"/>
      <c r="N1173" s="155"/>
      <c r="O1173" s="155"/>
      <c r="P1173" s="155"/>
      <c r="Q1173" s="155"/>
      <c r="R1173" s="155"/>
      <c r="S1173" s="155"/>
      <c r="T1173" s="155"/>
      <c r="U1173" s="143"/>
      <c r="V1173" s="143"/>
      <c r="W1173" s="143"/>
      <c r="X1173" s="143"/>
      <c r="Y1173" s="143"/>
      <c r="Z1173" s="143"/>
      <c r="AA1173" s="143"/>
      <c r="AB1173" s="143"/>
      <c r="AC1173" s="155"/>
      <c r="AD1173" s="155"/>
      <c r="AE1173" s="155"/>
      <c r="AF1173" s="155"/>
      <c r="AG1173" s="155"/>
      <c r="AH1173" s="143"/>
      <c r="AI1173" s="158"/>
    </row>
    <row r="1174" spans="1:35">
      <c r="A1174" s="140"/>
      <c r="B1174" s="143"/>
      <c r="C1174" s="143"/>
      <c r="D1174" s="143"/>
      <c r="E1174" s="143"/>
      <c r="F1174" s="143"/>
      <c r="G1174" s="143"/>
      <c r="H1174" s="143"/>
      <c r="I1174" s="198"/>
      <c r="J1174" s="155"/>
      <c r="K1174" s="155"/>
      <c r="L1174" s="155"/>
      <c r="M1174" s="155"/>
      <c r="N1174" s="155"/>
      <c r="O1174" s="155"/>
      <c r="P1174" s="155"/>
      <c r="Q1174" s="155"/>
      <c r="R1174" s="155"/>
      <c r="S1174" s="155"/>
      <c r="T1174" s="155"/>
      <c r="U1174" s="143"/>
      <c r="V1174" s="143"/>
      <c r="W1174" s="143"/>
      <c r="X1174" s="143"/>
      <c r="Y1174" s="143"/>
      <c r="Z1174" s="143"/>
      <c r="AA1174" s="143"/>
      <c r="AB1174" s="143"/>
      <c r="AC1174" s="155"/>
      <c r="AD1174" s="155"/>
      <c r="AE1174" s="155"/>
      <c r="AF1174" s="155"/>
      <c r="AG1174" s="155"/>
      <c r="AH1174" s="143"/>
      <c r="AI1174" s="158"/>
    </row>
    <row r="1175" spans="1:35">
      <c r="A1175" s="140"/>
      <c r="B1175" s="143"/>
      <c r="C1175" s="143"/>
      <c r="D1175" s="143"/>
      <c r="E1175" s="143"/>
      <c r="F1175" s="143"/>
      <c r="G1175" s="143"/>
      <c r="H1175" s="143"/>
      <c r="I1175" s="198"/>
      <c r="J1175" s="155"/>
      <c r="K1175" s="155"/>
      <c r="L1175" s="155"/>
      <c r="M1175" s="155"/>
      <c r="N1175" s="155"/>
      <c r="O1175" s="155"/>
      <c r="P1175" s="155"/>
      <c r="Q1175" s="155"/>
      <c r="R1175" s="155"/>
      <c r="S1175" s="155"/>
      <c r="T1175" s="155"/>
      <c r="U1175" s="143"/>
      <c r="V1175" s="143"/>
      <c r="W1175" s="143"/>
      <c r="X1175" s="143"/>
      <c r="Y1175" s="143"/>
      <c r="Z1175" s="143"/>
      <c r="AA1175" s="143"/>
      <c r="AB1175" s="143"/>
      <c r="AC1175" s="155"/>
      <c r="AD1175" s="155"/>
      <c r="AE1175" s="155"/>
      <c r="AF1175" s="155"/>
      <c r="AG1175" s="155"/>
      <c r="AH1175" s="143"/>
      <c r="AI1175" s="158"/>
    </row>
    <row r="1176" spans="1:35">
      <c r="A1176" s="140"/>
      <c r="B1176" s="143"/>
      <c r="C1176" s="143"/>
      <c r="D1176" s="143"/>
      <c r="E1176" s="143"/>
      <c r="F1176" s="143"/>
      <c r="G1176" s="143"/>
      <c r="H1176" s="143"/>
      <c r="I1176" s="198"/>
      <c r="J1176" s="155"/>
      <c r="K1176" s="155"/>
      <c r="L1176" s="155"/>
      <c r="M1176" s="155"/>
      <c r="N1176" s="155"/>
      <c r="O1176" s="155"/>
      <c r="P1176" s="155"/>
      <c r="Q1176" s="155"/>
      <c r="R1176" s="155"/>
      <c r="S1176" s="155"/>
      <c r="T1176" s="155"/>
      <c r="U1176" s="143"/>
      <c r="V1176" s="143"/>
      <c r="W1176" s="143"/>
      <c r="X1176" s="143"/>
      <c r="Y1176" s="143"/>
      <c r="Z1176" s="143"/>
      <c r="AA1176" s="143"/>
      <c r="AB1176" s="143"/>
      <c r="AC1176" s="155"/>
      <c r="AD1176" s="155"/>
      <c r="AE1176" s="155"/>
      <c r="AF1176" s="155"/>
      <c r="AG1176" s="155"/>
      <c r="AH1176" s="143"/>
      <c r="AI1176" s="158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phoneticPr fontId="10" type="noConversion"/>
  <conditionalFormatting sqref="L4:L8">
    <cfRule type="cellIs" dxfId="604" priority="605" operator="greaterThan">
      <formula>0</formula>
    </cfRule>
    <cfRule type="cellIs" dxfId="603" priority="606" operator="lessThan">
      <formula>0</formula>
    </cfRule>
  </conditionalFormatting>
  <conditionalFormatting sqref="U386:AI395 A396:E397 Z397 AC396:AI397 U398:AI404 AD432:AI432 A432:H432 U433:AI435 U436:Z438 AB436:AI438 AB405:AI427 AB430:AI431 U429:Z431 U428:X428 Z428 U405:Z420 U421:U422 V421:Z421 X427:Z427 U422:Z426 AC428:AI429 U439:AI443 D443:S444 U444:Z444 Z445 AB444:AI445 D445:E446 AD446:AI446 AC447:AI452 U447:Z456 AD453:AI456 U457:AI457 T447:T522 U458:Z522 D447:S462 A433:S442 A386:S395 A15:AI302 AB474:AB515 F463:S522 AB520:AB521 AB526 F523:H523 A304:AI384 A303:X303 Z303:AI303 F524:G524 Z524 F525:Q525 S525:Z525 AB528 F527:Z534 F535:H535 F536:Z543 Z544 F544:P544 F545:Z545 F547:Z547 Z546 Z548 F549:Z552 Z553:Z554 F555:Q555 S555:Z555 Z556 F556:K556 AC470:AC578 F567:Z575 AB574:AB578 F578:Z578 AB594:AC594 AB603:AC603 AC583 AC593 F603:H603 F597:Z602 F580:Z595 AB621:AC621 F604:Q607 S604:Z607 AB607:AC607 AB612:AC612 AB617:AC618 AB624:AC624 AB629:AC630 AB635:AC643 AB648:AC649 F608:Z656 F663:Z666 F657:X662 Z657:Z662 AB654:AC662 AD458:AI666 A443:B666 C471:E666 A679:U681 U682 V679:Z682 C682:C692 U687:AA688 V704:X704 A668:AI668 U683:Z686 AA677:AA686 AB669:AI705 A669:AA676 A677:Z678 Y689:AA705 U705:X713 V716 U717:V717 U715:V715 W715:W717 U714:W714 X714:X717 U689:X703 Y706:AI717 A398:S431 D682:S722 D723:I723 U718:X722 Y721:Z722 Y719:AI720 Y718:Z718 AB718:AI718 AB721:AI722 J724:S724 I724:I727 K728 W724 D724:H728 W726:W727 AC724:AC725 D729:I730 L727:S730 K725:S726 W729 U724:U730 AD723:AI732 AC727:AC732 J725:J730 Y724:AA733 Y735:AA735 Y734:Z734 Y736:Z737 U731:W737 AC733:AI795 D731:S818 U796:AI796 AC797:AC800 AB801:AC801 U797:AA808 AC802:AC804 AC806:AC808 AB805:AC805 U809:Z809 U738:AA795 AD797:AI818 AC810:AC812 AC814:AC816 AC818 U810:AA818 A682:B839 D835:D839 F835:T839 F841:T849 A841:B849 D841:D842 D844:D845 A851:B854 F851:T854 D847:D848 F856:T858 A856:B858 D850:D852 D854 F861:T878 D857 Y861:Z861 X862:Z862 Y863:Z863 AD861:AI863 X872:Z872 AD872:AI872 X864:AI871 D861:D878 U876:U891 Y873:AI875 A976:S993 A861:B898 D891:E898 X876:AI891 F892:S898 Q899:R899 V900:X900 U892:AI898 Z900 AC900:AI900 AC903 AC906 AC909 U901:AA922 AD901:AI922 A900:B922 D900:T922 C891:C923 A924:Z930 AD924:AI930 A932:B932 D932:Z932 C931:C932 AD932:AI932 D879:T890 A968:AI968 U974:Z993 AD974:AI993 A969:B972 A974:B975 F974:S975 A933:AI966 F969:AI972 AD995:AI996 U995:Z996 A994:AI994 C969:E993 U997:AI998 A995:B999 X1000 U999:Z999 AB999:AI999 T1000:T1017 F995:T999 C995:E1011 T1019:T1044 U1019:AI1036 U1037:X1037 Z1037:AI1037 U1038:AI1044 T1046:AI1053 Z1045 AC1045:AI1045 A1045:B1045 T1060:AI1061 U1062:AI1062 T1062:T1063 Z1063:AI1063 T1064:AI1068 T1070:AI1072 T1074:AI1074 T1083:AI1086 AA1081:AI1081 T1081:Y1081 AD1082:AI1082 A1082:B1082 T1089:AI1089 T1088:Z1088 AB1088:AI1088 T1091:Z1091 AB1091:AI1091 T1092:AI1095 T1098:AI1098 T1100:AI1100 T1102:AI1106 T1108:AI1113 T1115:AI1116 AA1114:AI1114 T1114:Y1114 T1118:AI1120 AC1122 AC1124">
    <cfRule type="containsBlanks" dxfId="602" priority="607">
      <formula>LEN(TRIM(A15))=0</formula>
    </cfRule>
  </conditionalFormatting>
  <conditionalFormatting sqref="F892:F898 F386:F395 F15:F384 F398:F444 F447:F525 F527:F545 F547 F549:F552 F555:F556 F682:F818 F900:F922 F924:F930 F932:F966 F968:F972 F974:F1017 F1019:F1044 F1046:F1081 F1083:F1086 F1088:F1089 F1091:F1095 F1098 F1100 F1102:F1106 F1108:F1116 F1118:F1120">
    <cfRule type="duplicateValues" dxfId="601" priority="608"/>
  </conditionalFormatting>
  <conditionalFormatting sqref="G892:G898 G386:G395 G15:G384 G398:G444 G447:G525 G527:G545 G547 G549:G552 G555:G556 G682:G818 G900:G922 G924:G930 G932:G966 G968:G972 G974:G1017 G1019:G1044 G1046:G1081 G1083:G1086 G1088:G1089 G1091:G1095 G1098 G1100 G1102:G1106 G1108:G1116 G1118:G1120">
    <cfRule type="duplicateValues" dxfId="600" priority="609"/>
  </conditionalFormatting>
  <conditionalFormatting sqref="H892:H898 H682:H818 H386:H395 H15:H384 H398:H444 H447:H523 H525 H527:H545 H547 H549:H552 H555:H556 H900:H922 H924:H930 H932:H966 H968:H972 H974:H1017 H1019:H1044 H1046:H1081 H1083:H1086 H1088:H1089 H1091:H1095 H1098 H1100 H1102:H1106 H1108:H1116 H1118:H1120">
    <cfRule type="duplicateValues" dxfId="599" priority="610"/>
  </conditionalFormatting>
  <conditionalFormatting sqref="T386:T395 T682:T722 T892:T898 T398:T431 T433:T444 T724:T818 T974:T993">
    <cfRule type="containsBlanks" dxfId="598" priority="604">
      <formula>LEN(TRIM(T386))=0</formula>
    </cfRule>
  </conditionalFormatting>
  <conditionalFormatting sqref="F396:Q396 AA397:AB397 S396:AB396">
    <cfRule type="containsBlanks" dxfId="597" priority="600">
      <formula>LEN(TRIM(F396))=0</formula>
    </cfRule>
  </conditionalFormatting>
  <conditionalFormatting sqref="F396">
    <cfRule type="duplicateValues" dxfId="596" priority="601"/>
  </conditionalFormatting>
  <conditionalFormatting sqref="G396">
    <cfRule type="duplicateValues" dxfId="595" priority="602"/>
  </conditionalFormatting>
  <conditionalFormatting sqref="H396">
    <cfRule type="duplicateValues" dxfId="594" priority="603"/>
  </conditionalFormatting>
  <conditionalFormatting sqref="F397:Y397">
    <cfRule type="containsBlanks" dxfId="593" priority="596">
      <formula>LEN(TRIM(F397))=0</formula>
    </cfRule>
  </conditionalFormatting>
  <conditionalFormatting sqref="F397">
    <cfRule type="duplicateValues" dxfId="592" priority="597"/>
  </conditionalFormatting>
  <conditionalFormatting sqref="G397">
    <cfRule type="duplicateValues" dxfId="591" priority="598"/>
  </conditionalFormatting>
  <conditionalFormatting sqref="H397">
    <cfRule type="duplicateValues" dxfId="590" priority="599"/>
  </conditionalFormatting>
  <conditionalFormatting sqref="AA405 AA426:AA427">
    <cfRule type="containsBlanks" dxfId="589" priority="595">
      <formula>LEN(TRIM(AA405))=0</formula>
    </cfRule>
  </conditionalFormatting>
  <conditionalFormatting sqref="I432:Q432 S432:AC432">
    <cfRule type="containsBlanks" dxfId="588" priority="594">
      <formula>LEN(TRIM(I432))=0</formula>
    </cfRule>
  </conditionalFormatting>
  <conditionalFormatting sqref="AA436">
    <cfRule type="containsBlanks" dxfId="587" priority="593">
      <formula>LEN(TRIM(AA436))=0</formula>
    </cfRule>
  </conditionalFormatting>
  <conditionalFormatting sqref="AA437">
    <cfRule type="containsBlanks" dxfId="586" priority="592">
      <formula>LEN(TRIM(AA437))=0</formula>
    </cfRule>
  </conditionalFormatting>
  <conditionalFormatting sqref="AA438">
    <cfRule type="containsBlanks" dxfId="585" priority="591">
      <formula>LEN(TRIM(AA438))=0</formula>
    </cfRule>
  </conditionalFormatting>
  <conditionalFormatting sqref="AA406:AA425">
    <cfRule type="containsBlanks" dxfId="584" priority="590">
      <formula>LEN(TRIM(AA406))=0</formula>
    </cfRule>
  </conditionalFormatting>
  <conditionalFormatting sqref="AB428:AB429">
    <cfRule type="containsBlanks" dxfId="583" priority="589">
      <formula>LEN(TRIM(AB428))=0</formula>
    </cfRule>
  </conditionalFormatting>
  <conditionalFormatting sqref="AA428:AA431">
    <cfRule type="containsBlanks" dxfId="582" priority="588">
      <formula>LEN(TRIM(AA428))=0</formula>
    </cfRule>
  </conditionalFormatting>
  <conditionalFormatting sqref="V427:W427">
    <cfRule type="containsBlanks" dxfId="581" priority="587">
      <formula>LEN(TRIM(V427))=0</formula>
    </cfRule>
  </conditionalFormatting>
  <conditionalFormatting sqref="C443:C453">
    <cfRule type="containsBlanks" dxfId="580" priority="586">
      <formula>LEN(TRIM(C443))=0</formula>
    </cfRule>
  </conditionalFormatting>
  <conditionalFormatting sqref="C454:C462">
    <cfRule type="containsBlanks" dxfId="579" priority="585">
      <formula>LEN(TRIM(C454))=0</formula>
    </cfRule>
  </conditionalFormatting>
  <conditionalFormatting sqref="AA444:AA445">
    <cfRule type="containsBlanks" dxfId="578" priority="583">
      <formula>LEN(TRIM(AA444))=0</formula>
    </cfRule>
  </conditionalFormatting>
  <conditionalFormatting sqref="K445">
    <cfRule type="containsBlanks" dxfId="577" priority="582">
      <formula>LEN(TRIM(K445))=0</formula>
    </cfRule>
  </conditionalFormatting>
  <conditionalFormatting sqref="Q445">
    <cfRule type="containsBlanks" dxfId="576" priority="581">
      <formula>LEN(TRIM(Q445))=0</formula>
    </cfRule>
  </conditionalFormatting>
  <conditionalFormatting sqref="F445:J445 L445:P445 S445:Y445">
    <cfRule type="containsBlanks" dxfId="575" priority="577">
      <formula>LEN(TRIM(F445))=0</formula>
    </cfRule>
  </conditionalFormatting>
  <conditionalFormatting sqref="F445">
    <cfRule type="duplicateValues" dxfId="574" priority="578"/>
  </conditionalFormatting>
  <conditionalFormatting sqref="G445">
    <cfRule type="duplicateValues" dxfId="573" priority="579"/>
  </conditionalFormatting>
  <conditionalFormatting sqref="H445">
    <cfRule type="duplicateValues" dxfId="572" priority="580"/>
  </conditionalFormatting>
  <conditionalFormatting sqref="F446:Q446 AA447:AB449 S446:AC446">
    <cfRule type="containsBlanks" dxfId="571" priority="573">
      <formula>LEN(TRIM(F446))=0</formula>
    </cfRule>
  </conditionalFormatting>
  <conditionalFormatting sqref="F446">
    <cfRule type="duplicateValues" dxfId="570" priority="574"/>
  </conditionalFormatting>
  <conditionalFormatting sqref="G446">
    <cfRule type="duplicateValues" dxfId="569" priority="575"/>
  </conditionalFormatting>
  <conditionalFormatting sqref="H446">
    <cfRule type="duplicateValues" dxfId="568" priority="576"/>
  </conditionalFormatting>
  <conditionalFormatting sqref="AB450:AB451">
    <cfRule type="containsBlanks" dxfId="567" priority="572">
      <formula>LEN(TRIM(AB450))=0</formula>
    </cfRule>
  </conditionalFormatting>
  <conditionalFormatting sqref="AA450:AA451">
    <cfRule type="containsBlanks" dxfId="566" priority="571">
      <formula>LEN(TRIM(AA450))=0</formula>
    </cfRule>
  </conditionalFormatting>
  <conditionalFormatting sqref="AA452:AB452">
    <cfRule type="containsBlanks" dxfId="565" priority="570">
      <formula>LEN(TRIM(AA452))=0</formula>
    </cfRule>
  </conditionalFormatting>
  <conditionalFormatting sqref="AC453">
    <cfRule type="containsBlanks" dxfId="564" priority="569">
      <formula>LEN(TRIM(AC453))=0</formula>
    </cfRule>
  </conditionalFormatting>
  <conditionalFormatting sqref="AB453">
    <cfRule type="containsBlanks" dxfId="563" priority="568">
      <formula>LEN(TRIM(AB453))=0</formula>
    </cfRule>
  </conditionalFormatting>
  <conditionalFormatting sqref="AA453">
    <cfRule type="containsBlanks" dxfId="562" priority="567">
      <formula>LEN(TRIM(AA453))=0</formula>
    </cfRule>
  </conditionalFormatting>
  <conditionalFormatting sqref="AC454">
    <cfRule type="containsBlanks" dxfId="561" priority="566">
      <formula>LEN(TRIM(AC454))=0</formula>
    </cfRule>
  </conditionalFormatting>
  <conditionalFormatting sqref="AA454:AB454">
    <cfRule type="containsBlanks" dxfId="560" priority="565">
      <formula>LEN(TRIM(AA454))=0</formula>
    </cfRule>
  </conditionalFormatting>
  <conditionalFormatting sqref="AC455">
    <cfRule type="containsBlanks" dxfId="559" priority="564">
      <formula>LEN(TRIM(AC455))=0</formula>
    </cfRule>
  </conditionalFormatting>
  <conditionalFormatting sqref="AA455:AB455">
    <cfRule type="containsBlanks" dxfId="558" priority="563">
      <formula>LEN(TRIM(AA455))=0</formula>
    </cfRule>
  </conditionalFormatting>
  <conditionalFormatting sqref="AC456">
    <cfRule type="containsBlanks" dxfId="557" priority="562">
      <formula>LEN(TRIM(AC456))=0</formula>
    </cfRule>
  </conditionalFormatting>
  <conditionalFormatting sqref="AA456:AB456">
    <cfRule type="containsBlanks" dxfId="556" priority="561">
      <formula>LEN(TRIM(AA456))=0</formula>
    </cfRule>
  </conditionalFormatting>
  <conditionalFormatting sqref="AC458">
    <cfRule type="containsBlanks" dxfId="555" priority="560">
      <formula>LEN(TRIM(AC458))=0</formula>
    </cfRule>
  </conditionalFormatting>
  <conditionalFormatting sqref="AA458:AB458">
    <cfRule type="containsBlanks" dxfId="554" priority="559">
      <formula>LEN(TRIM(AA458))=0</formula>
    </cfRule>
  </conditionalFormatting>
  <conditionalFormatting sqref="AC459:AC460">
    <cfRule type="containsBlanks" dxfId="553" priority="558">
      <formula>LEN(TRIM(AC459))=0</formula>
    </cfRule>
  </conditionalFormatting>
  <conditionalFormatting sqref="AA459:AB460">
    <cfRule type="containsBlanks" dxfId="552" priority="557">
      <formula>LEN(TRIM(AA459))=0</formula>
    </cfRule>
  </conditionalFormatting>
  <conditionalFormatting sqref="AC461">
    <cfRule type="containsBlanks" dxfId="551" priority="556">
      <formula>LEN(TRIM(AC461))=0</formula>
    </cfRule>
  </conditionalFormatting>
  <conditionalFormatting sqref="AA461:AB461">
    <cfRule type="containsBlanks" dxfId="550" priority="555">
      <formula>LEN(TRIM(AA461))=0</formula>
    </cfRule>
  </conditionalFormatting>
  <conditionalFormatting sqref="AC462:AC463">
    <cfRule type="containsBlanks" dxfId="549" priority="554">
      <formula>LEN(TRIM(AC462))=0</formula>
    </cfRule>
  </conditionalFormatting>
  <conditionalFormatting sqref="AA462:AB463">
    <cfRule type="containsBlanks" dxfId="548" priority="553">
      <formula>LEN(TRIM(AA462))=0</formula>
    </cfRule>
  </conditionalFormatting>
  <conditionalFormatting sqref="D463:E466">
    <cfRule type="containsBlanks" dxfId="547" priority="552">
      <formula>LEN(TRIM(D463))=0</formula>
    </cfRule>
  </conditionalFormatting>
  <conditionalFormatting sqref="C463:C466">
    <cfRule type="containsBlanks" dxfId="546" priority="551">
      <formula>LEN(TRIM(C463))=0</formula>
    </cfRule>
  </conditionalFormatting>
  <conditionalFormatting sqref="D467:E470">
    <cfRule type="containsBlanks" dxfId="545" priority="550">
      <formula>LEN(TRIM(D467))=0</formula>
    </cfRule>
  </conditionalFormatting>
  <conditionalFormatting sqref="C467:C470">
    <cfRule type="containsBlanks" dxfId="544" priority="549">
      <formula>LEN(TRIM(C467))=0</formula>
    </cfRule>
  </conditionalFormatting>
  <conditionalFormatting sqref="AC464">
    <cfRule type="containsBlanks" dxfId="543" priority="546">
      <formula>LEN(TRIM(AC464))=0</formula>
    </cfRule>
  </conditionalFormatting>
  <conditionalFormatting sqref="AA464:AB464">
    <cfRule type="containsBlanks" dxfId="542" priority="545">
      <formula>LEN(TRIM(AA464))=0</formula>
    </cfRule>
  </conditionalFormatting>
  <conditionalFormatting sqref="AC465">
    <cfRule type="containsBlanks" dxfId="541" priority="544">
      <formula>LEN(TRIM(AC465))=0</formula>
    </cfRule>
  </conditionalFormatting>
  <conditionalFormatting sqref="AA465:AB465">
    <cfRule type="containsBlanks" dxfId="540" priority="543">
      <formula>LEN(TRIM(AA465))=0</formula>
    </cfRule>
  </conditionalFormatting>
  <conditionalFormatting sqref="AC466">
    <cfRule type="containsBlanks" dxfId="539" priority="542">
      <formula>LEN(TRIM(AC466))=0</formula>
    </cfRule>
  </conditionalFormatting>
  <conditionalFormatting sqref="AA466:AB466">
    <cfRule type="containsBlanks" dxfId="538" priority="541">
      <formula>LEN(TRIM(AA466))=0</formula>
    </cfRule>
  </conditionalFormatting>
  <conditionalFormatting sqref="AC467">
    <cfRule type="containsBlanks" dxfId="537" priority="540">
      <formula>LEN(TRIM(AC467))=0</formula>
    </cfRule>
  </conditionalFormatting>
  <conditionalFormatting sqref="AA467:AB467">
    <cfRule type="containsBlanks" dxfId="536" priority="539">
      <formula>LEN(TRIM(AA467))=0</formula>
    </cfRule>
  </conditionalFormatting>
  <conditionalFormatting sqref="AC468">
    <cfRule type="containsBlanks" dxfId="535" priority="538">
      <formula>LEN(TRIM(AC468))=0</formula>
    </cfRule>
  </conditionalFormatting>
  <conditionalFormatting sqref="AA468:AB468">
    <cfRule type="containsBlanks" dxfId="534" priority="537">
      <formula>LEN(TRIM(AA468))=0</formula>
    </cfRule>
  </conditionalFormatting>
  <conditionalFormatting sqref="AC469">
    <cfRule type="containsBlanks" dxfId="533" priority="536">
      <formula>LEN(TRIM(AC469))=0</formula>
    </cfRule>
  </conditionalFormatting>
  <conditionalFormatting sqref="AA469:AB473 AA474:AA508 AA528">
    <cfRule type="containsBlanks" dxfId="532" priority="535">
      <formula>LEN(TRIM(AA469))=0</formula>
    </cfRule>
  </conditionalFormatting>
  <conditionalFormatting sqref="R446">
    <cfRule type="containsBlanks" dxfId="531" priority="530">
      <formula>LEN(TRIM(R446))=0</formula>
    </cfRule>
  </conditionalFormatting>
  <conditionalFormatting sqref="R445">
    <cfRule type="containsBlanks" dxfId="530" priority="529">
      <formula>LEN(TRIM(R445))=0</formula>
    </cfRule>
  </conditionalFormatting>
  <conditionalFormatting sqref="R432">
    <cfRule type="containsBlanks" dxfId="529" priority="528">
      <formula>LEN(TRIM(R432))=0</formula>
    </cfRule>
  </conditionalFormatting>
  <conditionalFormatting sqref="R396">
    <cfRule type="containsBlanks" dxfId="528" priority="527">
      <formula>LEN(TRIM(R396))=0</formula>
    </cfRule>
  </conditionalFormatting>
  <conditionalFormatting sqref="AA509">
    <cfRule type="containsBlanks" dxfId="527" priority="526">
      <formula>LEN(TRIM(AA509))=0</formula>
    </cfRule>
  </conditionalFormatting>
  <conditionalFormatting sqref="AA510:AA515">
    <cfRule type="containsBlanks" dxfId="526" priority="525">
      <formula>LEN(TRIM(AA510))=0</formula>
    </cfRule>
  </conditionalFormatting>
  <conditionalFormatting sqref="C693:C825">
    <cfRule type="containsBlanks" dxfId="525" priority="524">
      <formula>LEN(TRIM(C693))=0</formula>
    </cfRule>
  </conditionalFormatting>
  <conditionalFormatting sqref="AB516:AB518">
    <cfRule type="containsBlanks" dxfId="524" priority="523">
      <formula>LEN(TRIM(AB516))=0</formula>
    </cfRule>
  </conditionalFormatting>
  <conditionalFormatting sqref="AA516:AA518">
    <cfRule type="containsBlanks" dxfId="523" priority="522">
      <formula>LEN(TRIM(AA516))=0</formula>
    </cfRule>
  </conditionalFormatting>
  <conditionalFormatting sqref="AB519">
    <cfRule type="containsBlanks" dxfId="522" priority="521">
      <formula>LEN(TRIM(AB519))=0</formula>
    </cfRule>
  </conditionalFormatting>
  <conditionalFormatting sqref="AA519:AA521">
    <cfRule type="containsBlanks" dxfId="521" priority="520">
      <formula>LEN(TRIM(AA519))=0</formula>
    </cfRule>
  </conditionalFormatting>
  <conditionalFormatting sqref="AB522">
    <cfRule type="containsBlanks" dxfId="520" priority="519">
      <formula>LEN(TRIM(AB522))=0</formula>
    </cfRule>
  </conditionalFormatting>
  <conditionalFormatting sqref="AA522">
    <cfRule type="containsBlanks" dxfId="519" priority="518">
      <formula>LEN(TRIM(AA522))=0</formula>
    </cfRule>
  </conditionalFormatting>
  <conditionalFormatting sqref="I523:P523 S523:AB523">
    <cfRule type="containsBlanks" dxfId="518" priority="517">
      <formula>LEN(TRIM(I523))=0</formula>
    </cfRule>
  </conditionalFormatting>
  <conditionalFormatting sqref="Q523:R523">
    <cfRule type="containsBlanks" dxfId="517" priority="516">
      <formula>LEN(TRIM(Q523))=0</formula>
    </cfRule>
  </conditionalFormatting>
  <conditionalFormatting sqref="Y303">
    <cfRule type="containsBlanks" dxfId="516" priority="515">
      <formula>LEN(TRIM(Y303))=0</formula>
    </cfRule>
  </conditionalFormatting>
  <conditionalFormatting sqref="H524:Q524 S524:Y524">
    <cfRule type="containsBlanks" dxfId="515" priority="513">
      <formula>LEN(TRIM(H524))=0</formula>
    </cfRule>
  </conditionalFormatting>
  <conditionalFormatting sqref="H524">
    <cfRule type="duplicateValues" dxfId="514" priority="514"/>
  </conditionalFormatting>
  <conditionalFormatting sqref="R524:R525">
    <cfRule type="containsBlanks" dxfId="513" priority="512">
      <formula>LEN(TRIM(R524))=0</formula>
    </cfRule>
  </conditionalFormatting>
  <conditionalFormatting sqref="AB524:AB525">
    <cfRule type="containsBlanks" dxfId="512" priority="511">
      <formula>LEN(TRIM(AB524))=0</formula>
    </cfRule>
  </conditionalFormatting>
  <conditionalFormatting sqref="AA524:AA525">
    <cfRule type="containsBlanks" dxfId="511" priority="510">
      <formula>LEN(TRIM(AA524))=0</formula>
    </cfRule>
  </conditionalFormatting>
  <conditionalFormatting sqref="F526:Q526 S526:AA526">
    <cfRule type="containsBlanks" dxfId="510" priority="506">
      <formula>LEN(TRIM(F526))=0</formula>
    </cfRule>
  </conditionalFormatting>
  <conditionalFormatting sqref="F526">
    <cfRule type="duplicateValues" dxfId="509" priority="507"/>
  </conditionalFormatting>
  <conditionalFormatting sqref="G526">
    <cfRule type="duplicateValues" dxfId="508" priority="508"/>
  </conditionalFormatting>
  <conditionalFormatting sqref="H526">
    <cfRule type="duplicateValues" dxfId="507" priority="509"/>
  </conditionalFormatting>
  <conditionalFormatting sqref="R526">
    <cfRule type="containsBlanks" dxfId="506" priority="505">
      <formula>LEN(TRIM(R526))=0</formula>
    </cfRule>
  </conditionalFormatting>
  <conditionalFormatting sqref="AA527:AB527">
    <cfRule type="containsBlanks" dxfId="505" priority="504">
      <formula>LEN(TRIM(AA527))=0</formula>
    </cfRule>
  </conditionalFormatting>
  <conditionalFormatting sqref="AA529:AB534 AA536:AB539 AA541:AB543 AB544:AB546 AA547:AB547 AA549:AB549 AA552:AB552 AA555:AB556 AB557:AB558 AB560">
    <cfRule type="containsBlanks" dxfId="504" priority="503">
      <formula>LEN(TRIM(AA529))=0</formula>
    </cfRule>
  </conditionalFormatting>
  <conditionalFormatting sqref="I535:Z535">
    <cfRule type="containsBlanks" dxfId="503" priority="502">
      <formula>LEN(TRIM(I535))=0</formula>
    </cfRule>
  </conditionalFormatting>
  <conditionalFormatting sqref="AB535">
    <cfRule type="containsBlanks" dxfId="502" priority="501">
      <formula>LEN(TRIM(AB535))=0</formula>
    </cfRule>
  </conditionalFormatting>
  <conditionalFormatting sqref="AA535">
    <cfRule type="containsBlanks" dxfId="501" priority="500">
      <formula>LEN(TRIM(AA535))=0</formula>
    </cfRule>
  </conditionalFormatting>
  <conditionalFormatting sqref="AB540">
    <cfRule type="containsBlanks" dxfId="500" priority="499">
      <formula>LEN(TRIM(AB540))=0</formula>
    </cfRule>
  </conditionalFormatting>
  <conditionalFormatting sqref="AA540">
    <cfRule type="containsBlanks" dxfId="499" priority="498">
      <formula>LEN(TRIM(AA540))=0</formula>
    </cfRule>
  </conditionalFormatting>
  <conditionalFormatting sqref="F557:AA558 F559:Z559 F561:Z562 Z563 F564:Z566">
    <cfRule type="containsBlanks" dxfId="498" priority="462">
      <formula>LEN(TRIM(F557))=0</formula>
    </cfRule>
  </conditionalFormatting>
  <conditionalFormatting sqref="Y544">
    <cfRule type="containsBlanks" dxfId="497" priority="497">
      <formula>LEN(TRIM(Y544))=0</formula>
    </cfRule>
  </conditionalFormatting>
  <conditionalFormatting sqref="Q544:S544 U544:X544">
    <cfRule type="containsBlanks" dxfId="496" priority="496">
      <formula>LEN(TRIM(Q544))=0</formula>
    </cfRule>
  </conditionalFormatting>
  <conditionalFormatting sqref="T544">
    <cfRule type="containsBlanks" dxfId="495" priority="495">
      <formula>LEN(TRIM(T544))=0</formula>
    </cfRule>
  </conditionalFormatting>
  <conditionalFormatting sqref="AA544:AA546">
    <cfRule type="containsBlanks" dxfId="494" priority="494">
      <formula>LEN(TRIM(AA544))=0</formula>
    </cfRule>
  </conditionalFormatting>
  <conditionalFormatting sqref="U546:Y546 F546:S546">
    <cfRule type="containsBlanks" dxfId="493" priority="490">
      <formula>LEN(TRIM(F546))=0</formula>
    </cfRule>
  </conditionalFormatting>
  <conditionalFormatting sqref="F546">
    <cfRule type="duplicateValues" dxfId="492" priority="491"/>
  </conditionalFormatting>
  <conditionalFormatting sqref="G546">
    <cfRule type="duplicateValues" dxfId="491" priority="492"/>
  </conditionalFormatting>
  <conditionalFormatting sqref="H546">
    <cfRule type="duplicateValues" dxfId="490" priority="493"/>
  </conditionalFormatting>
  <conditionalFormatting sqref="T546">
    <cfRule type="containsBlanks" dxfId="489" priority="489">
      <formula>LEN(TRIM(T546))=0</formula>
    </cfRule>
  </conditionalFormatting>
  <conditionalFormatting sqref="H548:Q548 F548">
    <cfRule type="containsBlanks" dxfId="488" priority="486">
      <formula>LEN(TRIM(F548))=0</formula>
    </cfRule>
  </conditionalFormatting>
  <conditionalFormatting sqref="S548:T548 Y548">
    <cfRule type="containsBlanks" dxfId="487" priority="485">
      <formula>LEN(TRIM(S548))=0</formula>
    </cfRule>
  </conditionalFormatting>
  <conditionalFormatting sqref="R548">
    <cfRule type="containsBlanks" dxfId="486" priority="484">
      <formula>LEN(TRIM(R548))=0</formula>
    </cfRule>
  </conditionalFormatting>
  <conditionalFormatting sqref="F548">
    <cfRule type="duplicateValues" dxfId="485" priority="487"/>
  </conditionalFormatting>
  <conditionalFormatting sqref="H548">
    <cfRule type="duplicateValues" dxfId="484" priority="488"/>
  </conditionalFormatting>
  <conditionalFormatting sqref="U548:X548">
    <cfRule type="containsBlanks" dxfId="483" priority="483">
      <formula>LEN(TRIM(U548))=0</formula>
    </cfRule>
  </conditionalFormatting>
  <conditionalFormatting sqref="AB548">
    <cfRule type="containsBlanks" dxfId="482" priority="482">
      <formula>LEN(TRIM(AB548))=0</formula>
    </cfRule>
  </conditionalFormatting>
  <conditionalFormatting sqref="AA548">
    <cfRule type="containsBlanks" dxfId="481" priority="481">
      <formula>LEN(TRIM(AA548))=0</formula>
    </cfRule>
  </conditionalFormatting>
  <conditionalFormatting sqref="AB550:AB551">
    <cfRule type="containsBlanks" dxfId="480" priority="480">
      <formula>LEN(TRIM(AB550))=0</formula>
    </cfRule>
  </conditionalFormatting>
  <conditionalFormatting sqref="AA550:AA551">
    <cfRule type="containsBlanks" dxfId="479" priority="479">
      <formula>LEN(TRIM(AA550))=0</formula>
    </cfRule>
  </conditionalFormatting>
  <conditionalFormatting sqref="F553:Y553">
    <cfRule type="containsBlanks" dxfId="478" priority="475">
      <formula>LEN(TRIM(F553))=0</formula>
    </cfRule>
  </conditionalFormatting>
  <conditionalFormatting sqref="F553">
    <cfRule type="duplicateValues" dxfId="477" priority="476"/>
  </conditionalFormatting>
  <conditionalFormatting sqref="G553">
    <cfRule type="duplicateValues" dxfId="476" priority="477"/>
  </conditionalFormatting>
  <conditionalFormatting sqref="H553">
    <cfRule type="duplicateValues" dxfId="475" priority="478"/>
  </conditionalFormatting>
  <conditionalFormatting sqref="AB553:AB554">
    <cfRule type="containsBlanks" dxfId="474" priority="474">
      <formula>LEN(TRIM(AB553))=0</formula>
    </cfRule>
  </conditionalFormatting>
  <conditionalFormatting sqref="AA553:AA554">
    <cfRule type="containsBlanks" dxfId="473" priority="473">
      <formula>LEN(TRIM(AA553))=0</formula>
    </cfRule>
  </conditionalFormatting>
  <conditionalFormatting sqref="K554">
    <cfRule type="containsBlanks" dxfId="472" priority="472">
      <formula>LEN(TRIM(K554))=0</formula>
    </cfRule>
  </conditionalFormatting>
  <conditionalFormatting sqref="F554:J554 L554:Y554 R555">
    <cfRule type="containsBlanks" dxfId="471" priority="468">
      <formula>LEN(TRIM(F554))=0</formula>
    </cfRule>
  </conditionalFormatting>
  <conditionalFormatting sqref="F554">
    <cfRule type="duplicateValues" dxfId="470" priority="469"/>
  </conditionalFormatting>
  <conditionalFormatting sqref="G554">
    <cfRule type="duplicateValues" dxfId="469" priority="470"/>
  </conditionalFormatting>
  <conditionalFormatting sqref="H554">
    <cfRule type="duplicateValues" dxfId="468" priority="471"/>
  </conditionalFormatting>
  <conditionalFormatting sqref="U556:Y556 L556:S556">
    <cfRule type="containsBlanks" dxfId="467" priority="467">
      <formula>LEN(TRIM(L556))=0</formula>
    </cfRule>
  </conditionalFormatting>
  <conditionalFormatting sqref="T556">
    <cfRule type="containsBlanks" dxfId="466" priority="466">
      <formula>LEN(TRIM(T556))=0</formula>
    </cfRule>
  </conditionalFormatting>
  <conditionalFormatting sqref="AB559">
    <cfRule type="containsBlanks" dxfId="465" priority="461">
      <formula>LEN(TRIM(AB559))=0</formula>
    </cfRule>
  </conditionalFormatting>
  <conditionalFormatting sqref="AA559">
    <cfRule type="containsBlanks" dxfId="464" priority="460">
      <formula>LEN(TRIM(AA559))=0</formula>
    </cfRule>
  </conditionalFormatting>
  <conditionalFormatting sqref="F560:AA560">
    <cfRule type="containsBlanks" dxfId="463" priority="456">
      <formula>LEN(TRIM(F560))=0</formula>
    </cfRule>
  </conditionalFormatting>
  <conditionalFormatting sqref="F560">
    <cfRule type="duplicateValues" dxfId="462" priority="457"/>
  </conditionalFormatting>
  <conditionalFormatting sqref="G560">
    <cfRule type="duplicateValues" dxfId="461" priority="458"/>
  </conditionalFormatting>
  <conditionalFormatting sqref="H560">
    <cfRule type="duplicateValues" dxfId="460" priority="459"/>
  </conditionalFormatting>
  <conditionalFormatting sqref="AB561">
    <cfRule type="containsBlanks" dxfId="459" priority="455">
      <formula>LEN(TRIM(AB561))=0</formula>
    </cfRule>
  </conditionalFormatting>
  <conditionalFormatting sqref="AA561">
    <cfRule type="containsBlanks" dxfId="458" priority="454">
      <formula>LEN(TRIM(AA561))=0</formula>
    </cfRule>
  </conditionalFormatting>
  <conditionalFormatting sqref="AB562:AB563">
    <cfRule type="containsBlanks" dxfId="457" priority="453">
      <formula>LEN(TRIM(AB562))=0</formula>
    </cfRule>
  </conditionalFormatting>
  <conditionalFormatting sqref="AA562:AA563">
    <cfRule type="containsBlanks" dxfId="456" priority="452">
      <formula>LEN(TRIM(AA562))=0</formula>
    </cfRule>
  </conditionalFormatting>
  <conditionalFormatting sqref="F563:Y563">
    <cfRule type="containsBlanks" dxfId="455" priority="448">
      <formula>LEN(TRIM(F563))=0</formula>
    </cfRule>
  </conditionalFormatting>
  <conditionalFormatting sqref="F563">
    <cfRule type="duplicateValues" dxfId="454" priority="449"/>
  </conditionalFormatting>
  <conditionalFormatting sqref="G563">
    <cfRule type="duplicateValues" dxfId="453" priority="450"/>
  </conditionalFormatting>
  <conditionalFormatting sqref="H563">
    <cfRule type="duplicateValues" dxfId="452" priority="451"/>
  </conditionalFormatting>
  <conditionalFormatting sqref="AB564">
    <cfRule type="containsBlanks" dxfId="451" priority="447">
      <formula>LEN(TRIM(AB564))=0</formula>
    </cfRule>
  </conditionalFormatting>
  <conditionalFormatting sqref="AA564">
    <cfRule type="containsBlanks" dxfId="450" priority="446">
      <formula>LEN(TRIM(AA564))=0</formula>
    </cfRule>
  </conditionalFormatting>
  <conditionalFormatting sqref="AB565">
    <cfRule type="containsBlanks" dxfId="449" priority="445">
      <formula>LEN(TRIM(AB565))=0</formula>
    </cfRule>
  </conditionalFormatting>
  <conditionalFormatting sqref="AA565">
    <cfRule type="containsBlanks" dxfId="448" priority="444">
      <formula>LEN(TRIM(AA565))=0</formula>
    </cfRule>
  </conditionalFormatting>
  <conditionalFormatting sqref="AB566:AB573">
    <cfRule type="containsBlanks" dxfId="447" priority="443">
      <formula>LEN(TRIM(AB566))=0</formula>
    </cfRule>
  </conditionalFormatting>
  <conditionalFormatting sqref="AA566:AA573">
    <cfRule type="containsBlanks" dxfId="446" priority="442">
      <formula>LEN(TRIM(AA566))=0</formula>
    </cfRule>
  </conditionalFormatting>
  <conditionalFormatting sqref="AA574:AA575 AA594 AA621 AA629:AA630 AA635 AA637:AA643 AA657:AA662">
    <cfRule type="containsBlanks" dxfId="445" priority="441">
      <formula>LEN(TRIM(AA574))=0</formula>
    </cfRule>
  </conditionalFormatting>
  <conditionalFormatting sqref="F576:Q576 S576:AA576">
    <cfRule type="containsBlanks" dxfId="444" priority="437">
      <formula>LEN(TRIM(F576))=0</formula>
    </cfRule>
  </conditionalFormatting>
  <conditionalFormatting sqref="F576">
    <cfRule type="duplicateValues" dxfId="443" priority="438"/>
  </conditionalFormatting>
  <conditionalFormatting sqref="G576">
    <cfRule type="duplicateValues" dxfId="442" priority="439"/>
  </conditionalFormatting>
  <conditionalFormatting sqref="H576">
    <cfRule type="duplicateValues" dxfId="441" priority="440"/>
  </conditionalFormatting>
  <conditionalFormatting sqref="R576">
    <cfRule type="containsBlanks" dxfId="440" priority="436">
      <formula>LEN(TRIM(R576))=0</formula>
    </cfRule>
  </conditionalFormatting>
  <conditionalFormatting sqref="F577:G577 Z577">
    <cfRule type="containsBlanks" dxfId="439" priority="433">
      <formula>LEN(TRIM(F577))=0</formula>
    </cfRule>
  </conditionalFormatting>
  <conditionalFormatting sqref="F577">
    <cfRule type="duplicateValues" dxfId="438" priority="434"/>
  </conditionalFormatting>
  <conditionalFormatting sqref="G577">
    <cfRule type="duplicateValues" dxfId="437" priority="435"/>
  </conditionalFormatting>
  <conditionalFormatting sqref="H577:Q577 S577:Y577">
    <cfRule type="containsBlanks" dxfId="436" priority="431">
      <formula>LEN(TRIM(H577))=0</formula>
    </cfRule>
  </conditionalFormatting>
  <conditionalFormatting sqref="H577">
    <cfRule type="duplicateValues" dxfId="435" priority="432"/>
  </conditionalFormatting>
  <conditionalFormatting sqref="R577">
    <cfRule type="containsBlanks" dxfId="434" priority="430">
      <formula>LEN(TRIM(R577))=0</formula>
    </cfRule>
  </conditionalFormatting>
  <conditionalFormatting sqref="AA577">
    <cfRule type="containsBlanks" dxfId="433" priority="429">
      <formula>LEN(TRIM(AA577))=0</formula>
    </cfRule>
  </conditionalFormatting>
  <conditionalFormatting sqref="AA578">
    <cfRule type="containsBlanks" dxfId="432" priority="428">
      <formula>LEN(TRIM(AA578))=0</formula>
    </cfRule>
  </conditionalFormatting>
  <conditionalFormatting sqref="AC579">
    <cfRule type="containsBlanks" dxfId="431" priority="427">
      <formula>LEN(TRIM(AC579))=0</formula>
    </cfRule>
  </conditionalFormatting>
  <conditionalFormatting sqref="AB579">
    <cfRule type="containsBlanks" dxfId="430" priority="426">
      <formula>LEN(TRIM(AB579))=0</formula>
    </cfRule>
  </conditionalFormatting>
  <conditionalFormatting sqref="F579:AA579">
    <cfRule type="containsBlanks" dxfId="429" priority="422">
      <formula>LEN(TRIM(F579))=0</formula>
    </cfRule>
  </conditionalFormatting>
  <conditionalFormatting sqref="F579">
    <cfRule type="duplicateValues" dxfId="428" priority="423"/>
  </conditionalFormatting>
  <conditionalFormatting sqref="G579">
    <cfRule type="duplicateValues" dxfId="427" priority="424"/>
  </conditionalFormatting>
  <conditionalFormatting sqref="H579">
    <cfRule type="duplicateValues" dxfId="426" priority="425"/>
  </conditionalFormatting>
  <conditionalFormatting sqref="AB580:AC580">
    <cfRule type="containsBlanks" dxfId="425" priority="421">
      <formula>LEN(TRIM(AB580))=0</formula>
    </cfRule>
  </conditionalFormatting>
  <conditionalFormatting sqref="AA580">
    <cfRule type="containsBlanks" dxfId="424" priority="420">
      <formula>LEN(TRIM(AA580))=0</formula>
    </cfRule>
  </conditionalFormatting>
  <conditionalFormatting sqref="AB581:AC581">
    <cfRule type="containsBlanks" dxfId="423" priority="419">
      <formula>LEN(TRIM(AB581))=0</formula>
    </cfRule>
  </conditionalFormatting>
  <conditionalFormatting sqref="AA581:AA582">
    <cfRule type="containsBlanks" dxfId="422" priority="418">
      <formula>LEN(TRIM(AA581))=0</formula>
    </cfRule>
  </conditionalFormatting>
  <conditionalFormatting sqref="F596:AC596">
    <cfRule type="containsBlanks" dxfId="421" priority="414">
      <formula>LEN(TRIM(F596))=0</formula>
    </cfRule>
  </conditionalFormatting>
  <conditionalFormatting sqref="F596">
    <cfRule type="duplicateValues" dxfId="420" priority="415"/>
  </conditionalFormatting>
  <conditionalFormatting sqref="G596">
    <cfRule type="duplicateValues" dxfId="419" priority="416"/>
  </conditionalFormatting>
  <conditionalFormatting sqref="H596">
    <cfRule type="duplicateValues" dxfId="418" priority="417"/>
  </conditionalFormatting>
  <conditionalFormatting sqref="AB582:AC582">
    <cfRule type="containsBlanks" dxfId="417" priority="413">
      <formula>LEN(TRIM(AB582))=0</formula>
    </cfRule>
  </conditionalFormatting>
  <conditionalFormatting sqref="AB583">
    <cfRule type="containsBlanks" dxfId="416" priority="412">
      <formula>LEN(TRIM(AB583))=0</formula>
    </cfRule>
  </conditionalFormatting>
  <conditionalFormatting sqref="AA583">
    <cfRule type="containsBlanks" dxfId="415" priority="411">
      <formula>LEN(TRIM(AA583))=0</formula>
    </cfRule>
  </conditionalFormatting>
  <conditionalFormatting sqref="AA584">
    <cfRule type="containsBlanks" dxfId="414" priority="410">
      <formula>LEN(TRIM(AA584))=0</formula>
    </cfRule>
  </conditionalFormatting>
  <conditionalFormatting sqref="AB584:AC584">
    <cfRule type="containsBlanks" dxfId="413" priority="409">
      <formula>LEN(TRIM(AB584))=0</formula>
    </cfRule>
  </conditionalFormatting>
  <conditionalFormatting sqref="AC585:AC586">
    <cfRule type="containsBlanks" dxfId="412" priority="408">
      <formula>LEN(TRIM(AC585))=0</formula>
    </cfRule>
  </conditionalFormatting>
  <conditionalFormatting sqref="AB585:AB586">
    <cfRule type="containsBlanks" dxfId="411" priority="407">
      <formula>LEN(TRIM(AB585))=0</formula>
    </cfRule>
  </conditionalFormatting>
  <conditionalFormatting sqref="AA585:AA586">
    <cfRule type="containsBlanks" dxfId="410" priority="406">
      <formula>LEN(TRIM(AA585))=0</formula>
    </cfRule>
  </conditionalFormatting>
  <conditionalFormatting sqref="AB587:AC587">
    <cfRule type="containsBlanks" dxfId="409" priority="405">
      <formula>LEN(TRIM(AB587))=0</formula>
    </cfRule>
  </conditionalFormatting>
  <conditionalFormatting sqref="AA587">
    <cfRule type="containsBlanks" dxfId="408" priority="404">
      <formula>LEN(TRIM(AA587))=0</formula>
    </cfRule>
  </conditionalFormatting>
  <conditionalFormatting sqref="AB588:AC592 AB593">
    <cfRule type="containsBlanks" dxfId="407" priority="403">
      <formula>LEN(TRIM(AB588))=0</formula>
    </cfRule>
  </conditionalFormatting>
  <conditionalFormatting sqref="AA588:AA593">
    <cfRule type="containsBlanks" dxfId="406" priority="402">
      <formula>LEN(TRIM(AA588))=0</formula>
    </cfRule>
  </conditionalFormatting>
  <conditionalFormatting sqref="AB595:AC595">
    <cfRule type="containsBlanks" dxfId="405" priority="401">
      <formula>LEN(TRIM(AB595))=0</formula>
    </cfRule>
  </conditionalFormatting>
  <conditionalFormatting sqref="AA595">
    <cfRule type="containsBlanks" dxfId="404" priority="400">
      <formula>LEN(TRIM(AA595))=0</formula>
    </cfRule>
  </conditionalFormatting>
  <conditionalFormatting sqref="AB597:AC602">
    <cfRule type="containsBlanks" dxfId="403" priority="399">
      <formula>LEN(TRIM(AB597))=0</formula>
    </cfRule>
  </conditionalFormatting>
  <conditionalFormatting sqref="AA597:AA602">
    <cfRule type="containsBlanks" dxfId="402" priority="398">
      <formula>LEN(TRIM(AA597))=0</formula>
    </cfRule>
  </conditionalFormatting>
  <conditionalFormatting sqref="F603">
    <cfRule type="duplicateValues" dxfId="401" priority="395"/>
  </conditionalFormatting>
  <conditionalFormatting sqref="G603">
    <cfRule type="duplicateValues" dxfId="400" priority="396"/>
  </conditionalFormatting>
  <conditionalFormatting sqref="H603">
    <cfRule type="duplicateValues" dxfId="399" priority="397"/>
  </conditionalFormatting>
  <conditionalFormatting sqref="I603:Q603 S603:AA603">
    <cfRule type="containsBlanks" dxfId="398" priority="394">
      <formula>LEN(TRIM(I603))=0</formula>
    </cfRule>
  </conditionalFormatting>
  <conditionalFormatting sqref="R603:R607">
    <cfRule type="containsBlanks" dxfId="397" priority="393">
      <formula>LEN(TRIM(R603))=0</formula>
    </cfRule>
  </conditionalFormatting>
  <conditionalFormatting sqref="AB604:AC606">
    <cfRule type="containsBlanks" dxfId="396" priority="392">
      <formula>LEN(TRIM(AB604))=0</formula>
    </cfRule>
  </conditionalFormatting>
  <conditionalFormatting sqref="AA604:AA606">
    <cfRule type="containsBlanks" dxfId="395" priority="391">
      <formula>LEN(TRIM(AA604))=0</formula>
    </cfRule>
  </conditionalFormatting>
  <conditionalFormatting sqref="AA607">
    <cfRule type="containsBlanks" dxfId="394" priority="390">
      <formula>LEN(TRIM(AA607))=0</formula>
    </cfRule>
  </conditionalFormatting>
  <conditionalFormatting sqref="AB608:AC610">
    <cfRule type="containsBlanks" dxfId="393" priority="389">
      <formula>LEN(TRIM(AB608))=0</formula>
    </cfRule>
  </conditionalFormatting>
  <conditionalFormatting sqref="AA608:AA611">
    <cfRule type="containsBlanks" dxfId="392" priority="388">
      <formula>LEN(TRIM(AA608))=0</formula>
    </cfRule>
  </conditionalFormatting>
  <conditionalFormatting sqref="AB611:AC611">
    <cfRule type="containsBlanks" dxfId="391" priority="387">
      <formula>LEN(TRIM(AB611))=0</formula>
    </cfRule>
  </conditionalFormatting>
  <conditionalFormatting sqref="AA612">
    <cfRule type="containsBlanks" dxfId="390" priority="386">
      <formula>LEN(TRIM(AA612))=0</formula>
    </cfRule>
  </conditionalFormatting>
  <conditionalFormatting sqref="AB613:AC613">
    <cfRule type="containsBlanks" dxfId="389" priority="385">
      <formula>LEN(TRIM(AB613))=0</formula>
    </cfRule>
  </conditionalFormatting>
  <conditionalFormatting sqref="AA613:AA614">
    <cfRule type="containsBlanks" dxfId="388" priority="384">
      <formula>LEN(TRIM(AA613))=0</formula>
    </cfRule>
  </conditionalFormatting>
  <conditionalFormatting sqref="AB614:AC614">
    <cfRule type="containsBlanks" dxfId="387" priority="383">
      <formula>LEN(TRIM(AB614))=0</formula>
    </cfRule>
  </conditionalFormatting>
  <conditionalFormatting sqref="AB615:AC615">
    <cfRule type="containsBlanks" dxfId="386" priority="382">
      <formula>LEN(TRIM(AB615))=0</formula>
    </cfRule>
  </conditionalFormatting>
  <conditionalFormatting sqref="AA615:AA616">
    <cfRule type="containsBlanks" dxfId="385" priority="381">
      <formula>LEN(TRIM(AA615))=0</formula>
    </cfRule>
  </conditionalFormatting>
  <conditionalFormatting sqref="AB616:AC616">
    <cfRule type="containsBlanks" dxfId="384" priority="380">
      <formula>LEN(TRIM(AB616))=0</formula>
    </cfRule>
  </conditionalFormatting>
  <conditionalFormatting sqref="AA617">
    <cfRule type="containsBlanks" dxfId="383" priority="379">
      <formula>LEN(TRIM(AA617))=0</formula>
    </cfRule>
  </conditionalFormatting>
  <conditionalFormatting sqref="AA618">
    <cfRule type="containsBlanks" dxfId="382" priority="378">
      <formula>LEN(TRIM(AA618))=0</formula>
    </cfRule>
  </conditionalFormatting>
  <conditionalFormatting sqref="AA619:AA620">
    <cfRule type="containsBlanks" dxfId="381" priority="377">
      <formula>LEN(TRIM(AA619))=0</formula>
    </cfRule>
  </conditionalFormatting>
  <conditionalFormatting sqref="AB619:AC619">
    <cfRule type="containsBlanks" dxfId="380" priority="376">
      <formula>LEN(TRIM(AB619))=0</formula>
    </cfRule>
  </conditionalFormatting>
  <conditionalFormatting sqref="AB620:AC620">
    <cfRule type="containsBlanks" dxfId="379" priority="375">
      <formula>LEN(TRIM(AB620))=0</formula>
    </cfRule>
  </conditionalFormatting>
  <conditionalFormatting sqref="AA622:AA623">
    <cfRule type="containsBlanks" dxfId="378" priority="374">
      <formula>LEN(TRIM(AA622))=0</formula>
    </cfRule>
  </conditionalFormatting>
  <conditionalFormatting sqref="AB622:AC623">
    <cfRule type="containsBlanks" dxfId="377" priority="373">
      <formula>LEN(TRIM(AB622))=0</formula>
    </cfRule>
  </conditionalFormatting>
  <conditionalFormatting sqref="AA624">
    <cfRule type="containsBlanks" dxfId="376" priority="372">
      <formula>LEN(TRIM(AA624))=0</formula>
    </cfRule>
  </conditionalFormatting>
  <conditionalFormatting sqref="AB625:AC625">
    <cfRule type="containsBlanks" dxfId="375" priority="371">
      <formula>LEN(TRIM(AB625))=0</formula>
    </cfRule>
  </conditionalFormatting>
  <conditionalFormatting sqref="AA625:AA626">
    <cfRule type="containsBlanks" dxfId="374" priority="370">
      <formula>LEN(TRIM(AA625))=0</formula>
    </cfRule>
  </conditionalFormatting>
  <conditionalFormatting sqref="AB626:AC626">
    <cfRule type="containsBlanks" dxfId="373" priority="369">
      <formula>LEN(TRIM(AB626))=0</formula>
    </cfRule>
  </conditionalFormatting>
  <conditionalFormatting sqref="AB627:AC627">
    <cfRule type="containsBlanks" dxfId="372" priority="368">
      <formula>LEN(TRIM(AB627))=0</formula>
    </cfRule>
  </conditionalFormatting>
  <conditionalFormatting sqref="AA627:AA628">
    <cfRule type="containsBlanks" dxfId="371" priority="367">
      <formula>LEN(TRIM(AA627))=0</formula>
    </cfRule>
  </conditionalFormatting>
  <conditionalFormatting sqref="AB628:AC628">
    <cfRule type="containsBlanks" dxfId="370" priority="366">
      <formula>LEN(TRIM(AB628))=0</formula>
    </cfRule>
  </conditionalFormatting>
  <conditionalFormatting sqref="AB631:AC631">
    <cfRule type="containsBlanks" dxfId="369" priority="365">
      <formula>LEN(TRIM(AB631))=0</formula>
    </cfRule>
  </conditionalFormatting>
  <conditionalFormatting sqref="AA631:AA632">
    <cfRule type="containsBlanks" dxfId="368" priority="364">
      <formula>LEN(TRIM(AA631))=0</formula>
    </cfRule>
  </conditionalFormatting>
  <conditionalFormatting sqref="AB632:AC632">
    <cfRule type="containsBlanks" dxfId="367" priority="363">
      <formula>LEN(TRIM(AB632))=0</formula>
    </cfRule>
  </conditionalFormatting>
  <conditionalFormatting sqref="AB633:AC633">
    <cfRule type="containsBlanks" dxfId="366" priority="362">
      <formula>LEN(TRIM(AB633))=0</formula>
    </cfRule>
  </conditionalFormatting>
  <conditionalFormatting sqref="AA633:AA634">
    <cfRule type="containsBlanks" dxfId="365" priority="361">
      <formula>LEN(TRIM(AA633))=0</formula>
    </cfRule>
  </conditionalFormatting>
  <conditionalFormatting sqref="AB634:AC634">
    <cfRule type="containsBlanks" dxfId="364" priority="360">
      <formula>LEN(TRIM(AB634))=0</formula>
    </cfRule>
  </conditionalFormatting>
  <conditionalFormatting sqref="AA636">
    <cfRule type="containsBlanks" dxfId="363" priority="359">
      <formula>LEN(TRIM(AA636))=0</formula>
    </cfRule>
  </conditionalFormatting>
  <conditionalFormatting sqref="AA644:AA647">
    <cfRule type="containsBlanks" dxfId="362" priority="358">
      <formula>LEN(TRIM(AA644))=0</formula>
    </cfRule>
  </conditionalFormatting>
  <conditionalFormatting sqref="AB644:AC644">
    <cfRule type="containsBlanks" dxfId="361" priority="357">
      <formula>LEN(TRIM(AB644))=0</formula>
    </cfRule>
  </conditionalFormatting>
  <conditionalFormatting sqref="AB645:AC645">
    <cfRule type="containsBlanks" dxfId="360" priority="356">
      <formula>LEN(TRIM(AB645))=0</formula>
    </cfRule>
  </conditionalFormatting>
  <conditionalFormatting sqref="AB646:AC646">
    <cfRule type="containsBlanks" dxfId="359" priority="355">
      <formula>LEN(TRIM(AB646))=0</formula>
    </cfRule>
  </conditionalFormatting>
  <conditionalFormatting sqref="AB647:AC647">
    <cfRule type="containsBlanks" dxfId="358" priority="354">
      <formula>LEN(TRIM(AB647))=0</formula>
    </cfRule>
  </conditionalFormatting>
  <conditionalFormatting sqref="AA648">
    <cfRule type="containsBlanks" dxfId="357" priority="353">
      <formula>LEN(TRIM(AA648))=0</formula>
    </cfRule>
  </conditionalFormatting>
  <conditionalFormatting sqref="AA649">
    <cfRule type="containsBlanks" dxfId="356" priority="352">
      <formula>LEN(TRIM(AA649))=0</formula>
    </cfRule>
  </conditionalFormatting>
  <conditionalFormatting sqref="AA650:AA653">
    <cfRule type="containsBlanks" dxfId="355" priority="351">
      <formula>LEN(TRIM(AA650))=0</formula>
    </cfRule>
  </conditionalFormatting>
  <conditionalFormatting sqref="AB650:AC650">
    <cfRule type="containsBlanks" dxfId="354" priority="350">
      <formula>LEN(TRIM(AB650))=0</formula>
    </cfRule>
  </conditionalFormatting>
  <conditionalFormatting sqref="AB651:AC651">
    <cfRule type="containsBlanks" dxfId="353" priority="349">
      <formula>LEN(TRIM(AB651))=0</formula>
    </cfRule>
  </conditionalFormatting>
  <conditionalFormatting sqref="AB652:AC652">
    <cfRule type="containsBlanks" dxfId="352" priority="348">
      <formula>LEN(TRIM(AB652))=0</formula>
    </cfRule>
  </conditionalFormatting>
  <conditionalFormatting sqref="AB653:AC653">
    <cfRule type="containsBlanks" dxfId="351" priority="347">
      <formula>LEN(TRIM(AB653))=0</formula>
    </cfRule>
  </conditionalFormatting>
  <conditionalFormatting sqref="AA654">
    <cfRule type="containsBlanks" dxfId="350" priority="346">
      <formula>LEN(TRIM(AA654))=0</formula>
    </cfRule>
  </conditionalFormatting>
  <conditionalFormatting sqref="AA655:AA656">
    <cfRule type="containsBlanks" dxfId="349" priority="345">
      <formula>LEN(TRIM(AA655))=0</formula>
    </cfRule>
  </conditionalFormatting>
  <conditionalFormatting sqref="Y657">
    <cfRule type="containsBlanks" dxfId="348" priority="344">
      <formula>LEN(TRIM(Y657))=0</formula>
    </cfRule>
  </conditionalFormatting>
  <conditionalFormatting sqref="Y658">
    <cfRule type="containsBlanks" dxfId="347" priority="343">
      <formula>LEN(TRIM(Y658))=0</formula>
    </cfRule>
  </conditionalFormatting>
  <conditionalFormatting sqref="Y659">
    <cfRule type="containsBlanks" dxfId="346" priority="341">
      <formula>LEN(TRIM(Y659))=0</formula>
    </cfRule>
  </conditionalFormatting>
  <conditionalFormatting sqref="Y660">
    <cfRule type="containsBlanks" dxfId="345" priority="340">
      <formula>LEN(TRIM(Y660))=0</formula>
    </cfRule>
  </conditionalFormatting>
  <conditionalFormatting sqref="Y661">
    <cfRule type="containsBlanks" dxfId="344" priority="339">
      <formula>LEN(TRIM(Y661))=0</formula>
    </cfRule>
  </conditionalFormatting>
  <conditionalFormatting sqref="Y662">
    <cfRule type="containsBlanks" dxfId="343" priority="338">
      <formula>LEN(TRIM(Y662))=0</formula>
    </cfRule>
  </conditionalFormatting>
  <conditionalFormatting sqref="AA663:AA666">
    <cfRule type="containsBlanks" dxfId="342" priority="337">
      <formula>LEN(TRIM(AA663))=0</formula>
    </cfRule>
  </conditionalFormatting>
  <conditionalFormatting sqref="AB663:AC663">
    <cfRule type="containsBlanks" dxfId="341" priority="336">
      <formula>LEN(TRIM(AB663))=0</formula>
    </cfRule>
  </conditionalFormatting>
  <conditionalFormatting sqref="AB664:AC666">
    <cfRule type="containsBlanks" dxfId="340" priority="335">
      <formula>LEN(TRIM(AB664))=0</formula>
    </cfRule>
  </conditionalFormatting>
  <conditionalFormatting sqref="F668:F681 F557:F559 F561:F562 F564:F575 F578 F580:F595 F597:F602 F604:F666">
    <cfRule type="duplicateValues" dxfId="339" priority="794"/>
  </conditionalFormatting>
  <conditionalFormatting sqref="G668:G681 G557:G559 G561:G562 G564:G575 G578 G580:G595 G597:G602 G604:G666">
    <cfRule type="duplicateValues" dxfId="338" priority="802"/>
  </conditionalFormatting>
  <conditionalFormatting sqref="H668:H681 H557:H559 H561:H562 H564:H575 H578 H580:H595 H597:H602 H604:H666">
    <cfRule type="duplicateValues" dxfId="337" priority="810"/>
  </conditionalFormatting>
  <conditionalFormatting sqref="J723:AC723 AA721:AA722 K727 W725:X725 W728:X728 X724 X726:X727 AC726 K729:K730 V724:V730 W730 X729:X737 AB724:AB795 AB797:AB800 AB802:AB804 AB806:AB808 AB810:AB812 AB814:AB816 AB818">
    <cfRule type="containsBlanks" dxfId="336" priority="334">
      <formula>LEN(TRIM(J721))=0</formula>
    </cfRule>
  </conditionalFormatting>
  <conditionalFormatting sqref="AA718">
    <cfRule type="containsBlanks" dxfId="335" priority="333">
      <formula>LEN(TRIM(AA718))=0</formula>
    </cfRule>
  </conditionalFormatting>
  <conditionalFormatting sqref="AA734">
    <cfRule type="containsBlanks" dxfId="334" priority="332">
      <formula>LEN(TRIM(AA734))=0</formula>
    </cfRule>
  </conditionalFormatting>
  <conditionalFormatting sqref="AA736:AA737">
    <cfRule type="containsBlanks" dxfId="333" priority="331">
      <formula>LEN(TRIM(AA736))=0</formula>
    </cfRule>
  </conditionalFormatting>
  <conditionalFormatting sqref="I777">
    <cfRule type="duplicateValues" dxfId="332" priority="330"/>
  </conditionalFormatting>
  <conditionalFormatting sqref="AA809 AC809 AC813 AC817">
    <cfRule type="containsBlanks" dxfId="331" priority="329">
      <formula>LEN(TRIM(AA809))=0</formula>
    </cfRule>
  </conditionalFormatting>
  <conditionalFormatting sqref="AB809 AB813 AB817">
    <cfRule type="containsBlanks" dxfId="330" priority="328">
      <formula>LEN(TRIM(AB809))=0</formula>
    </cfRule>
  </conditionalFormatting>
  <conditionalFormatting sqref="D819:S826 F827:S833 U819:AA833 AC819:AI833 AD834:AI834 U835:Z835 AB835:AI835 U836:V839 X836:AI839 F891:T891 U841 Y841:Z841 U851:V851 X851:Z851 X842:Z849 U842:V849 AD841:AI849 V853 X853 U852:U854 Y852:Z854 AD851:AI854 U856:U858 Y856:Z858 AD856:AI858 U862:V862 U861 U864:V872 U873:U875">
    <cfRule type="containsBlanks" dxfId="329" priority="324">
      <formula>LEN(TRIM(D819))=0</formula>
    </cfRule>
  </conditionalFormatting>
  <conditionalFormatting sqref="T819:T833">
    <cfRule type="containsBlanks" dxfId="328" priority="323">
      <formula>LEN(TRIM(T819))=0</formula>
    </cfRule>
  </conditionalFormatting>
  <conditionalFormatting sqref="C826 C829 C832 C837 C875 C878 C884 C887 C890">
    <cfRule type="containsBlanks" dxfId="327" priority="322">
      <formula>LEN(TRIM(C826))=0</formula>
    </cfRule>
  </conditionalFormatting>
  <conditionalFormatting sqref="AB819:AB820 AB822:AB825 AB827:AB830 AB832:AB833">
    <cfRule type="containsBlanks" dxfId="326" priority="321">
      <formula>LEN(TRIM(AB819))=0</formula>
    </cfRule>
  </conditionalFormatting>
  <conditionalFormatting sqref="AB821 AB826 AB831">
    <cfRule type="containsBlanks" dxfId="325" priority="320">
      <formula>LEN(TRIM(AB821))=0</formula>
    </cfRule>
  </conditionalFormatting>
  <conditionalFormatting sqref="D827:E834 E835:E839 E841:E842 E844:E845 E847:E848 E850:E852 E854 E857 E861:E878">
    <cfRule type="containsBlanks" dxfId="324" priority="319">
      <formula>LEN(TRIM(D827))=0</formula>
    </cfRule>
  </conditionalFormatting>
  <conditionalFormatting sqref="C828 C831 C834 C836 C839 C877 C883 C886 C889 C842 C845 C848 C852 C861:C874 C880:C881">
    <cfRule type="containsBlanks" dxfId="323" priority="318">
      <formula>LEN(TRIM(C828))=0</formula>
    </cfRule>
  </conditionalFormatting>
  <conditionalFormatting sqref="F834:AC834">
    <cfRule type="containsBlanks" dxfId="322" priority="314">
      <formula>LEN(TRIM(F834))=0</formula>
    </cfRule>
  </conditionalFormatting>
  <conditionalFormatting sqref="F834">
    <cfRule type="duplicateValues" dxfId="321" priority="315"/>
  </conditionalFormatting>
  <conditionalFormatting sqref="G834">
    <cfRule type="duplicateValues" dxfId="320" priority="316"/>
  </conditionalFormatting>
  <conditionalFormatting sqref="H834">
    <cfRule type="duplicateValues" dxfId="319" priority="317"/>
  </conditionalFormatting>
  <conditionalFormatting sqref="AA835">
    <cfRule type="containsBlanks" dxfId="318" priority="313">
      <formula>LEN(TRIM(AA835))=0</formula>
    </cfRule>
  </conditionalFormatting>
  <conditionalFormatting sqref="W836:W839 W851 W842:W849 W853 W862 W864:W872">
    <cfRule type="containsBlanks" dxfId="317" priority="312">
      <formula>LEN(TRIM(W836))=0</formula>
    </cfRule>
  </conditionalFormatting>
  <conditionalFormatting sqref="C827 C830 C833 C835 C838 C876 C879 C882 C885 C888 C840:C841 C843:C844 C846:C847 C849:C851 C853:C854 C856:C857">
    <cfRule type="containsBlanks" dxfId="316" priority="311">
      <formula>LEN(TRIM(C827))=0</formula>
    </cfRule>
  </conditionalFormatting>
  <conditionalFormatting sqref="A840:B840 D840:Z840 V841:X841 AA841:AC841 AD840:AI840 D843:E843 D846:E846 D849:E849 D853:E853 D856:E856">
    <cfRule type="containsBlanks" dxfId="315" priority="306">
      <formula>LEN(TRIM(A840))=0</formula>
    </cfRule>
  </conditionalFormatting>
  <conditionalFormatting sqref="F840">
    <cfRule type="duplicateValues" dxfId="314" priority="307"/>
  </conditionalFormatting>
  <conditionalFormatting sqref="G840">
    <cfRule type="duplicateValues" dxfId="313" priority="308"/>
  </conditionalFormatting>
  <conditionalFormatting sqref="H840">
    <cfRule type="duplicateValues" dxfId="312" priority="309"/>
  </conditionalFormatting>
  <conditionalFormatting sqref="AA840:AC840">
    <cfRule type="containsBlanks" dxfId="311" priority="305">
      <formula>LEN(TRIM(AA840))=0</formula>
    </cfRule>
  </conditionalFormatting>
  <conditionalFormatting sqref="AA842:AC842">
    <cfRule type="containsBlanks" dxfId="310" priority="304">
      <formula>LEN(TRIM(AA842))=0</formula>
    </cfRule>
  </conditionalFormatting>
  <conditionalFormatting sqref="AA843:AC845">
    <cfRule type="containsBlanks" dxfId="309" priority="303">
      <formula>LEN(TRIM(AA843))=0</formula>
    </cfRule>
  </conditionalFormatting>
  <conditionalFormatting sqref="AA846:AC854">
    <cfRule type="containsBlanks" dxfId="308" priority="302">
      <formula>LEN(TRIM(AA846))=0</formula>
    </cfRule>
  </conditionalFormatting>
  <conditionalFormatting sqref="A859:AI859">
    <cfRule type="containsBlanks" dxfId="307" priority="283">
      <formula>LEN(TRIM(A859))=0</formula>
    </cfRule>
  </conditionalFormatting>
  <conditionalFormatting sqref="A850:B850 F850:Z850 AD850:AI850 V852:X852 V854:X854 V856:X856 V858:X858 V861:X861">
    <cfRule type="containsBlanks" dxfId="306" priority="298">
      <formula>LEN(TRIM(A850))=0</formula>
    </cfRule>
  </conditionalFormatting>
  <conditionalFormatting sqref="F850">
    <cfRule type="duplicateValues" dxfId="305" priority="299"/>
  </conditionalFormatting>
  <conditionalFormatting sqref="G850">
    <cfRule type="duplicateValues" dxfId="304" priority="300"/>
  </conditionalFormatting>
  <conditionalFormatting sqref="H850">
    <cfRule type="duplicateValues" dxfId="303" priority="301"/>
  </conditionalFormatting>
  <conditionalFormatting sqref="AD855:AI855 A855:Z855 V857:X857 C858:E858">
    <cfRule type="containsBlanks" dxfId="302" priority="294">
      <formula>LEN(TRIM(A855))=0</formula>
    </cfRule>
  </conditionalFormatting>
  <conditionalFormatting sqref="AB855:AC855">
    <cfRule type="containsBlanks" dxfId="301" priority="293">
      <formula>LEN(TRIM(AB855))=0</formula>
    </cfRule>
  </conditionalFormatting>
  <conditionalFormatting sqref="AA855">
    <cfRule type="containsBlanks" dxfId="300" priority="292">
      <formula>LEN(TRIM(AA855))=0</formula>
    </cfRule>
  </conditionalFormatting>
  <conditionalFormatting sqref="F855">
    <cfRule type="duplicateValues" dxfId="299" priority="295"/>
  </conditionalFormatting>
  <conditionalFormatting sqref="G855">
    <cfRule type="duplicateValues" dxfId="298" priority="296"/>
  </conditionalFormatting>
  <conditionalFormatting sqref="H855">
    <cfRule type="duplicateValues" dxfId="297" priority="297"/>
  </conditionalFormatting>
  <conditionalFormatting sqref="AA856:AC856">
    <cfRule type="containsBlanks" dxfId="296" priority="291">
      <formula>LEN(TRIM(AA856))=0</formula>
    </cfRule>
  </conditionalFormatting>
  <conditionalFormatting sqref="AA858 AA860">
    <cfRule type="containsBlanks" dxfId="295" priority="289">
      <formula>LEN(TRIM(AA858))=0</formula>
    </cfRule>
  </conditionalFormatting>
  <conditionalFormatting sqref="AA857:AC857">
    <cfRule type="containsBlanks" dxfId="294" priority="288">
      <formula>LEN(TRIM(AA857))=0</formula>
    </cfRule>
  </conditionalFormatting>
  <conditionalFormatting sqref="AB858:AC858 AB860:AC860">
    <cfRule type="containsBlanks" dxfId="293" priority="287">
      <formula>LEN(TRIM(AB858))=0</formula>
    </cfRule>
  </conditionalFormatting>
  <conditionalFormatting sqref="F859">
    <cfRule type="duplicateValues" dxfId="292" priority="284"/>
  </conditionalFormatting>
  <conditionalFormatting sqref="G859">
    <cfRule type="duplicateValues" dxfId="291" priority="285"/>
  </conditionalFormatting>
  <conditionalFormatting sqref="H859">
    <cfRule type="duplicateValues" dxfId="290" priority="286"/>
  </conditionalFormatting>
  <conditionalFormatting sqref="F860:T860 A860:B860 D860:D874">
    <cfRule type="containsBlanks" dxfId="289" priority="279">
      <formula>LEN(TRIM(A860))=0</formula>
    </cfRule>
  </conditionalFormatting>
  <conditionalFormatting sqref="U860 X860:Z860 AD860:AI860">
    <cfRule type="containsBlanks" dxfId="288" priority="278">
      <formula>LEN(TRIM(U860))=0</formula>
    </cfRule>
  </conditionalFormatting>
  <conditionalFormatting sqref="C860:C874">
    <cfRule type="containsBlanks" dxfId="287" priority="277">
      <formula>LEN(TRIM(C860))=0</formula>
    </cfRule>
  </conditionalFormatting>
  <conditionalFormatting sqref="F860">
    <cfRule type="duplicateValues" dxfId="286" priority="280"/>
  </conditionalFormatting>
  <conditionalFormatting sqref="G860">
    <cfRule type="duplicateValues" dxfId="285" priority="281"/>
  </conditionalFormatting>
  <conditionalFormatting sqref="H860">
    <cfRule type="duplicateValues" dxfId="284" priority="282"/>
  </conditionalFormatting>
  <conditionalFormatting sqref="E860:E874">
    <cfRule type="containsBlanks" dxfId="283" priority="276">
      <formula>LEN(TRIM(E860))=0</formula>
    </cfRule>
  </conditionalFormatting>
  <conditionalFormatting sqref="F861:F891 F819:F833 F835:F839 F841:F849 F851:F854 F856:F858">
    <cfRule type="duplicateValues" dxfId="282" priority="1001"/>
  </conditionalFormatting>
  <conditionalFormatting sqref="G861:G891 G819:G833 G835:G839 G841:G849 G851:G854 G856:G858">
    <cfRule type="duplicateValues" dxfId="281" priority="1008"/>
  </conditionalFormatting>
  <conditionalFormatting sqref="H861:H891 H819:H833 H835:H839 H841:H849 H851:H854 H856:H858">
    <cfRule type="duplicateValues" dxfId="280" priority="1015"/>
  </conditionalFormatting>
  <conditionalFormatting sqref="V860:W860">
    <cfRule type="containsBlanks" dxfId="279" priority="275">
      <formula>LEN(TRIM(V860))=0</formula>
    </cfRule>
  </conditionalFormatting>
  <conditionalFormatting sqref="AA861:AC861">
    <cfRule type="containsBlanks" dxfId="278" priority="274">
      <formula>LEN(TRIM(AA861))=0</formula>
    </cfRule>
  </conditionalFormatting>
  <conditionalFormatting sqref="AA862">
    <cfRule type="containsBlanks" dxfId="277" priority="273">
      <formula>LEN(TRIM(AA862))=0</formula>
    </cfRule>
  </conditionalFormatting>
  <conditionalFormatting sqref="AB862:AC862">
    <cfRule type="containsBlanks" dxfId="276" priority="272">
      <formula>LEN(TRIM(AB862))=0</formula>
    </cfRule>
  </conditionalFormatting>
  <conditionalFormatting sqref="X863:X871">
    <cfRule type="containsBlanks" dxfId="275" priority="271">
      <formula>LEN(TRIM(X863))=0</formula>
    </cfRule>
  </conditionalFormatting>
  <conditionalFormatting sqref="U863:V864 V864:V871">
    <cfRule type="containsBlanks" dxfId="274" priority="270">
      <formula>LEN(TRIM(U863))=0</formula>
    </cfRule>
  </conditionalFormatting>
  <conditionalFormatting sqref="W863:W871">
    <cfRule type="containsBlanks" dxfId="273" priority="269">
      <formula>LEN(TRIM(W863))=0</formula>
    </cfRule>
  </conditionalFormatting>
  <conditionalFormatting sqref="AA863:AA871">
    <cfRule type="containsBlanks" dxfId="272" priority="268">
      <formula>LEN(TRIM(AA863))=0</formula>
    </cfRule>
  </conditionalFormatting>
  <conditionalFormatting sqref="AB863:AC871">
    <cfRule type="containsBlanks" dxfId="271" priority="267">
      <formula>LEN(TRIM(AB863))=0</formula>
    </cfRule>
  </conditionalFormatting>
  <conditionalFormatting sqref="AA872">
    <cfRule type="containsBlanks" dxfId="270" priority="266">
      <formula>LEN(TRIM(AA872))=0</formula>
    </cfRule>
  </conditionalFormatting>
  <conditionalFormatting sqref="AB872:AC872">
    <cfRule type="containsBlanks" dxfId="269" priority="265">
      <formula>LEN(TRIM(AB872))=0</formula>
    </cfRule>
  </conditionalFormatting>
  <conditionalFormatting sqref="X873:X875">
    <cfRule type="containsBlanks" dxfId="268" priority="264">
      <formula>LEN(TRIM(X873))=0</formula>
    </cfRule>
  </conditionalFormatting>
  <conditionalFormatting sqref="V873:V891">
    <cfRule type="containsBlanks" dxfId="267" priority="263">
      <formula>LEN(TRIM(V873))=0</formula>
    </cfRule>
  </conditionalFormatting>
  <conditionalFormatting sqref="W873:W891">
    <cfRule type="containsBlanks" dxfId="266" priority="262">
      <formula>LEN(TRIM(W873))=0</formula>
    </cfRule>
  </conditionalFormatting>
  <conditionalFormatting sqref="X873:X875">
    <cfRule type="containsBlanks" dxfId="265" priority="261">
      <formula>LEN(TRIM(X873))=0</formula>
    </cfRule>
  </conditionalFormatting>
  <conditionalFormatting sqref="V873:V891">
    <cfRule type="containsBlanks" dxfId="264" priority="260">
      <formula>LEN(TRIM(V873))=0</formula>
    </cfRule>
  </conditionalFormatting>
  <conditionalFormatting sqref="W873:W891">
    <cfRule type="containsBlanks" dxfId="263" priority="259">
      <formula>LEN(TRIM(W873))=0</formula>
    </cfRule>
  </conditionalFormatting>
  <conditionalFormatting sqref="A899:B899 D899:P899 S899:AI899 U900 Y900 AA900:AB900 AB901:AC902 AB904:AC905 AB907:AC908 AB903 AB906 AB910:AC911 AB909">
    <cfRule type="containsBlanks" dxfId="262" priority="255">
      <formula>LEN(TRIM(A899))=0</formula>
    </cfRule>
  </conditionalFormatting>
  <conditionalFormatting sqref="F899">
    <cfRule type="duplicateValues" dxfId="261" priority="256"/>
  </conditionalFormatting>
  <conditionalFormatting sqref="G899">
    <cfRule type="duplicateValues" dxfId="260" priority="257"/>
  </conditionalFormatting>
  <conditionalFormatting sqref="H899">
    <cfRule type="duplicateValues" dxfId="259" priority="258"/>
  </conditionalFormatting>
  <conditionalFormatting sqref="AC913 AC917 AC921 AC927">
    <cfRule type="containsBlanks" dxfId="258" priority="254">
      <formula>LEN(TRIM(AC913))=0</formula>
    </cfRule>
  </conditionalFormatting>
  <conditionalFormatting sqref="AB912:AC912 AB913 AB914:AC916 AB917 AB918:AC920 AB922:AC922 AB921 AB924:AC926 AB930:AC932 AB928:AC928 AB927">
    <cfRule type="containsBlanks" dxfId="257" priority="253">
      <formula>LEN(TRIM(AB912))=0</formula>
    </cfRule>
  </conditionalFormatting>
  <conditionalFormatting sqref="U923:AI923 D923:S923 A923:B923 AA924 AB929:AC929">
    <cfRule type="containsBlanks" dxfId="256" priority="249">
      <formula>LEN(TRIM(A923))=0</formula>
    </cfRule>
  </conditionalFormatting>
  <conditionalFormatting sqref="F923">
    <cfRule type="duplicateValues" dxfId="255" priority="250"/>
  </conditionalFormatting>
  <conditionalFormatting sqref="G923">
    <cfRule type="duplicateValues" dxfId="254" priority="251"/>
  </conditionalFormatting>
  <conditionalFormatting sqref="H923">
    <cfRule type="duplicateValues" dxfId="253" priority="252"/>
  </conditionalFormatting>
  <conditionalFormatting sqref="T923">
    <cfRule type="containsBlanks" dxfId="252" priority="248">
      <formula>LEN(TRIM(T923))=0</formula>
    </cfRule>
  </conditionalFormatting>
  <conditionalFormatting sqref="A931:B931 D931:AA931 AA932 AD931:AI931">
    <cfRule type="containsBlanks" dxfId="251" priority="238">
      <formula>LEN(TRIM(A931))=0</formula>
    </cfRule>
  </conditionalFormatting>
  <conditionalFormatting sqref="AA925">
    <cfRule type="containsBlanks" dxfId="250" priority="245">
      <formula>LEN(TRIM(AA925))=0</formula>
    </cfRule>
  </conditionalFormatting>
  <conditionalFormatting sqref="AA926:AA927">
    <cfRule type="containsBlanks" dxfId="249" priority="244">
      <formula>LEN(TRIM(AA926))=0</formula>
    </cfRule>
  </conditionalFormatting>
  <conditionalFormatting sqref="AA928:AA929">
    <cfRule type="containsBlanks" dxfId="248" priority="243">
      <formula>LEN(TRIM(AA928))=0</formula>
    </cfRule>
  </conditionalFormatting>
  <conditionalFormatting sqref="AA930">
    <cfRule type="containsBlanks" dxfId="247" priority="242">
      <formula>LEN(TRIM(AA930))=0</formula>
    </cfRule>
  </conditionalFormatting>
  <conditionalFormatting sqref="F931">
    <cfRule type="duplicateValues" dxfId="246" priority="239"/>
  </conditionalFormatting>
  <conditionalFormatting sqref="G931">
    <cfRule type="duplicateValues" dxfId="245" priority="240"/>
  </conditionalFormatting>
  <conditionalFormatting sqref="H931">
    <cfRule type="duplicateValues" dxfId="244" priority="241"/>
  </conditionalFormatting>
  <conditionalFormatting sqref="A973:B973 F973:AI973">
    <cfRule type="containsBlanks" dxfId="243" priority="234">
      <formula>LEN(TRIM(A973))=0</formula>
    </cfRule>
  </conditionalFormatting>
  <conditionalFormatting sqref="F973">
    <cfRule type="duplicateValues" dxfId="242" priority="235"/>
  </conditionalFormatting>
  <conditionalFormatting sqref="G973">
    <cfRule type="duplicateValues" dxfId="241" priority="236"/>
  </conditionalFormatting>
  <conditionalFormatting sqref="H973">
    <cfRule type="duplicateValues" dxfId="240" priority="237"/>
  </conditionalFormatting>
  <conditionalFormatting sqref="AA974:AC993 AA995:AC996">
    <cfRule type="containsBlanks" dxfId="239" priority="233">
      <formula>LEN(TRIM(AA974))=0</formula>
    </cfRule>
  </conditionalFormatting>
  <conditionalFormatting sqref="A1001:B1010 U1001:AI1010 U1012:AI1017 A1012:B1017 F1001:S1010 A1025:S1025 A1046:B1053 A1019:B1024 F1019:S1024 F1012:S1017 F1046:S1053 A1026:B1044 F1026:S1044 C1026:E1054">
    <cfRule type="containsBlanks" dxfId="238" priority="232">
      <formula>LEN(TRIM(A1001))=0</formula>
    </cfRule>
  </conditionalFormatting>
  <conditionalFormatting sqref="U1000:W1000 A1000:B1000 Y1000:Z1000 AB1000:AI1000 F1000:S1000">
    <cfRule type="containsBlanks" dxfId="237" priority="231">
      <formula>LEN(TRIM(A1000))=0</formula>
    </cfRule>
  </conditionalFormatting>
  <conditionalFormatting sqref="AA999:AA1000">
    <cfRule type="containsBlanks" dxfId="236" priority="230">
      <formula>LEN(TRIM(AA999))=0</formula>
    </cfRule>
  </conditionalFormatting>
  <conditionalFormatting sqref="U1010:AI1010 F1010:S1010 A1010:B1010">
    <cfRule type="containsBlanks" dxfId="235" priority="229">
      <formula>LEN(TRIM(A1010))=0</formula>
    </cfRule>
  </conditionalFormatting>
  <conditionalFormatting sqref="T1010">
    <cfRule type="containsBlanks" dxfId="234" priority="228">
      <formula>LEN(TRIM(T1010))=0</formula>
    </cfRule>
  </conditionalFormatting>
  <conditionalFormatting sqref="U1011:AI1011 A1011:B1011 F1011:S1011">
    <cfRule type="containsBlanks" dxfId="233" priority="226">
      <formula>LEN(TRIM(A1011))=0</formula>
    </cfRule>
  </conditionalFormatting>
  <conditionalFormatting sqref="Q1018:R1018">
    <cfRule type="containsBlanks" dxfId="232" priority="225">
      <formula>LEN(TRIM(Q1018))=0</formula>
    </cfRule>
  </conditionalFormatting>
  <conditionalFormatting sqref="A1018:B1018 F1018:P1018 S1018:AI1018">
    <cfRule type="containsBlanks" dxfId="231" priority="221">
      <formula>LEN(TRIM(A1018))=0</formula>
    </cfRule>
  </conditionalFormatting>
  <conditionalFormatting sqref="F1018">
    <cfRule type="duplicateValues" dxfId="230" priority="222"/>
  </conditionalFormatting>
  <conditionalFormatting sqref="G1018">
    <cfRule type="duplicateValues" dxfId="229" priority="223"/>
  </conditionalFormatting>
  <conditionalFormatting sqref="H1018">
    <cfRule type="duplicateValues" dxfId="228" priority="224"/>
  </conditionalFormatting>
  <conditionalFormatting sqref="H1045:Q1045 F1045">
    <cfRule type="containsBlanks" dxfId="227" priority="218">
      <formula>LEN(TRIM(F1045))=0</formula>
    </cfRule>
  </conditionalFormatting>
  <conditionalFormatting sqref="S1045:T1045 Y1045">
    <cfRule type="containsBlanks" dxfId="226" priority="217">
      <formula>LEN(TRIM(S1045))=0</formula>
    </cfRule>
  </conditionalFormatting>
  <conditionalFormatting sqref="R1045">
    <cfRule type="containsBlanks" dxfId="225" priority="216">
      <formula>LEN(TRIM(R1045))=0</formula>
    </cfRule>
  </conditionalFormatting>
  <conditionalFormatting sqref="F1045">
    <cfRule type="duplicateValues" dxfId="224" priority="219"/>
  </conditionalFormatting>
  <conditionalFormatting sqref="H1045">
    <cfRule type="duplicateValues" dxfId="223" priority="220"/>
  </conditionalFormatting>
  <conditionalFormatting sqref="U1045:X1045">
    <cfRule type="containsBlanks" dxfId="222" priority="215">
      <formula>LEN(TRIM(U1045))=0</formula>
    </cfRule>
  </conditionalFormatting>
  <conditionalFormatting sqref="AB1045">
    <cfRule type="containsBlanks" dxfId="221" priority="214">
      <formula>LEN(TRIM(AB1045))=0</formula>
    </cfRule>
  </conditionalFormatting>
  <conditionalFormatting sqref="AA1045">
    <cfRule type="containsBlanks" dxfId="220" priority="213">
      <formula>LEN(TRIM(AA1045))=0</formula>
    </cfRule>
  </conditionalFormatting>
  <conditionalFormatting sqref="T1055:AI1056 T1059:AI1059">
    <cfRule type="containsBlanks" dxfId="219" priority="212">
      <formula>LEN(TRIM(T1055))=0</formula>
    </cfRule>
  </conditionalFormatting>
  <conditionalFormatting sqref="A1055:S1056 A1059:B1059 F1059:S1059">
    <cfRule type="containsBlanks" dxfId="218" priority="211">
      <formula>LEN(TRIM(A1055))=0</formula>
    </cfRule>
  </conditionalFormatting>
  <conditionalFormatting sqref="A1060:B1068 F1060:S1068 A1074:B1074 A1070:B1072 F1074:S1074 F1070:S1072">
    <cfRule type="containsBlanks" dxfId="217" priority="209">
      <formula>LEN(TRIM(A1060))=0</formula>
    </cfRule>
  </conditionalFormatting>
  <conditionalFormatting sqref="T1075:AI1078 AD1080:AI1080">
    <cfRule type="containsBlanks" dxfId="216" priority="208">
      <formula>LEN(TRIM(T1075))=0</formula>
    </cfRule>
  </conditionalFormatting>
  <conditionalFormatting sqref="A1075:B1081 A1086:S1086 A1083:B1085 F1083:S1085 F1081:S1081 F1075:S1078 A1088:B1089 A1091:B1095 A1098:B1098 A1100:B1100 A1102:B1106 A1111:S1111 A1118:B1120 A1108:B1110 F1108:S1110 F1102:S1106 F1100:S1100 F1098:S1098 F1091:S1095 F1088:S1089 F1118:S1120 A1112:B1116 F1112:S1116 C1112:E1134">
    <cfRule type="containsBlanks" dxfId="215" priority="207">
      <formula>LEN(TRIM(A1075))=0</formula>
    </cfRule>
  </conditionalFormatting>
  <conditionalFormatting sqref="A1054:B1054 F1054:AI1054">
    <cfRule type="containsBlanks" dxfId="214" priority="206">
      <formula>LEN(TRIM(A1054))=0</formula>
    </cfRule>
  </conditionalFormatting>
  <conditionalFormatting sqref="C1012:E1024">
    <cfRule type="containsBlanks" dxfId="213" priority="205">
      <formula>LEN(TRIM(C1012))=0</formula>
    </cfRule>
  </conditionalFormatting>
  <conditionalFormatting sqref="A1057:AI1057">
    <cfRule type="containsBlanks" dxfId="212" priority="204">
      <formula>LEN(TRIM(A1057))=0</formula>
    </cfRule>
  </conditionalFormatting>
  <conditionalFormatting sqref="A1058:AI1058">
    <cfRule type="containsBlanks" dxfId="211" priority="203">
      <formula>LEN(TRIM(A1058))=0</formula>
    </cfRule>
  </conditionalFormatting>
  <conditionalFormatting sqref="A1069:AI1069">
    <cfRule type="containsBlanks" dxfId="210" priority="202">
      <formula>LEN(TRIM(A1069))=0</formula>
    </cfRule>
  </conditionalFormatting>
  <conditionalFormatting sqref="C1059:E1068">
    <cfRule type="containsBlanks" dxfId="209" priority="201">
      <formula>LEN(TRIM(C1059))=0</formula>
    </cfRule>
  </conditionalFormatting>
  <conditionalFormatting sqref="A1073:B1073 F1073:AI1073">
    <cfRule type="containsBlanks" dxfId="208" priority="200">
      <formula>LEN(TRIM(A1073))=0</formula>
    </cfRule>
  </conditionalFormatting>
  <conditionalFormatting sqref="T1079:AI1079">
    <cfRule type="containsBlanks" dxfId="207" priority="199">
      <formula>LEN(TRIM(T1079))=0</formula>
    </cfRule>
  </conditionalFormatting>
  <conditionalFormatting sqref="F1079:S1079">
    <cfRule type="containsBlanks" dxfId="206" priority="198">
      <formula>LEN(TRIM(F1079))=0</formula>
    </cfRule>
  </conditionalFormatting>
  <conditionalFormatting sqref="T1080">
    <cfRule type="containsBlanks" dxfId="205" priority="197">
      <formula>LEN(TRIM(T1080))=0</formula>
    </cfRule>
  </conditionalFormatting>
  <conditionalFormatting sqref="U1080:AC1080 F1080:S1080">
    <cfRule type="containsBlanks" dxfId="204" priority="196">
      <formula>LEN(TRIM(F1080))=0</formula>
    </cfRule>
  </conditionalFormatting>
  <conditionalFormatting sqref="U1080:AC1080 F1080:S1080">
    <cfRule type="containsBlanks" dxfId="203" priority="195">
      <formula>LEN(TRIM(F1080))=0</formula>
    </cfRule>
  </conditionalFormatting>
  <conditionalFormatting sqref="T1080">
    <cfRule type="containsBlanks" dxfId="202" priority="194">
      <formula>LEN(TRIM(T1080))=0</formula>
    </cfRule>
  </conditionalFormatting>
  <conditionalFormatting sqref="F1082:Q1082 S1082:AC1082">
    <cfRule type="containsBlanks" dxfId="201" priority="189">
      <formula>LEN(TRIM(F1082))=0</formula>
    </cfRule>
  </conditionalFormatting>
  <conditionalFormatting sqref="F1082">
    <cfRule type="duplicateValues" dxfId="200" priority="190"/>
  </conditionalFormatting>
  <conditionalFormatting sqref="G1082">
    <cfRule type="duplicateValues" dxfId="199" priority="191"/>
  </conditionalFormatting>
  <conditionalFormatting sqref="H1082">
    <cfRule type="duplicateValues" dxfId="198" priority="192"/>
  </conditionalFormatting>
  <conditionalFormatting sqref="R1082">
    <cfRule type="containsBlanks" dxfId="197" priority="188">
      <formula>LEN(TRIM(R1082))=0</formula>
    </cfRule>
  </conditionalFormatting>
  <conditionalFormatting sqref="C1071:E1071">
    <cfRule type="containsBlanks" dxfId="196" priority="187">
      <formula>LEN(TRIM(C1071))=0</formula>
    </cfRule>
  </conditionalFormatting>
  <conditionalFormatting sqref="C1070:E1070">
    <cfRule type="containsBlanks" dxfId="195" priority="186">
      <formula>LEN(TRIM(C1070))=0</formula>
    </cfRule>
  </conditionalFormatting>
  <conditionalFormatting sqref="C1072:E1085">
    <cfRule type="containsBlanks" dxfId="194" priority="185">
      <formula>LEN(TRIM(C1072))=0</formula>
    </cfRule>
  </conditionalFormatting>
  <conditionalFormatting sqref="A1087:B1087 AB1087:AI1087 D1087:Z1087 D1088:E1110">
    <cfRule type="containsBlanks" dxfId="193" priority="181">
      <formula>LEN(TRIM(A1087))=0</formula>
    </cfRule>
  </conditionalFormatting>
  <conditionalFormatting sqref="F1087">
    <cfRule type="duplicateValues" dxfId="192" priority="182"/>
  </conditionalFormatting>
  <conditionalFormatting sqref="G1087">
    <cfRule type="duplicateValues" dxfId="191" priority="183"/>
  </conditionalFormatting>
  <conditionalFormatting sqref="H1087">
    <cfRule type="duplicateValues" dxfId="190" priority="184"/>
  </conditionalFormatting>
  <conditionalFormatting sqref="A1090:B1090 AB1090:AI1090 F1090:Z1090">
    <cfRule type="containsBlanks" dxfId="189" priority="177">
      <formula>LEN(TRIM(A1090))=0</formula>
    </cfRule>
  </conditionalFormatting>
  <conditionalFormatting sqref="F1090">
    <cfRule type="duplicateValues" dxfId="188" priority="178"/>
  </conditionalFormatting>
  <conditionalFormatting sqref="G1090">
    <cfRule type="duplicateValues" dxfId="187" priority="179"/>
  </conditionalFormatting>
  <conditionalFormatting sqref="H1090">
    <cfRule type="duplicateValues" dxfId="186" priority="180"/>
  </conditionalFormatting>
  <conditionalFormatting sqref="AA1087:AA1088">
    <cfRule type="containsBlanks" dxfId="185" priority="176">
      <formula>LEN(TRIM(AA1087))=0</formula>
    </cfRule>
  </conditionalFormatting>
  <conditionalFormatting sqref="AA1090:AA1091">
    <cfRule type="containsBlanks" dxfId="184" priority="175">
      <formula>LEN(TRIM(AA1090))=0</formula>
    </cfRule>
  </conditionalFormatting>
  <conditionalFormatting sqref="T1096">
    <cfRule type="containsBlanks" dxfId="183" priority="171">
      <formula>LEN(TRIM(T1096))=0</formula>
    </cfRule>
  </conditionalFormatting>
  <conditionalFormatting sqref="F1096">
    <cfRule type="duplicateValues" dxfId="182" priority="172"/>
  </conditionalFormatting>
  <conditionalFormatting sqref="G1096">
    <cfRule type="duplicateValues" dxfId="181" priority="173"/>
  </conditionalFormatting>
  <conditionalFormatting sqref="H1096">
    <cfRule type="duplicateValues" dxfId="180" priority="174"/>
  </conditionalFormatting>
  <conditionalFormatting sqref="A1096:B1096 U1096:AI1096 F1096:S1096">
    <cfRule type="containsBlanks" dxfId="179" priority="170">
      <formula>LEN(TRIM(A1096))=0</formula>
    </cfRule>
  </conditionalFormatting>
  <conditionalFormatting sqref="A1097:B1097 F1097:AI1097">
    <cfRule type="containsBlanks" dxfId="178" priority="166">
      <formula>LEN(TRIM(A1097))=0</formula>
    </cfRule>
  </conditionalFormatting>
  <conditionalFormatting sqref="F1097">
    <cfRule type="duplicateValues" dxfId="177" priority="167"/>
  </conditionalFormatting>
  <conditionalFormatting sqref="G1097">
    <cfRule type="duplicateValues" dxfId="176" priority="168"/>
  </conditionalFormatting>
  <conditionalFormatting sqref="H1097">
    <cfRule type="duplicateValues" dxfId="175" priority="169"/>
  </conditionalFormatting>
  <conditionalFormatting sqref="A1099:B1099 F1099:AI1099">
    <cfRule type="containsBlanks" dxfId="174" priority="162">
      <formula>LEN(TRIM(A1099))=0</formula>
    </cfRule>
  </conditionalFormatting>
  <conditionalFormatting sqref="F1099">
    <cfRule type="duplicateValues" dxfId="173" priority="163"/>
  </conditionalFormatting>
  <conditionalFormatting sqref="G1099">
    <cfRule type="duplicateValues" dxfId="172" priority="164"/>
  </conditionalFormatting>
  <conditionalFormatting sqref="H1099">
    <cfRule type="duplicateValues" dxfId="171" priority="165"/>
  </conditionalFormatting>
  <conditionalFormatting sqref="AD1101:AI1101 A1101:B1101 F1101:Z1101">
    <cfRule type="containsBlanks" dxfId="170" priority="158">
      <formula>LEN(TRIM(A1101))=0</formula>
    </cfRule>
  </conditionalFormatting>
  <conditionalFormatting sqref="AB1101:AC1101">
    <cfRule type="containsBlanks" dxfId="169" priority="157">
      <formula>LEN(TRIM(AB1101))=0</formula>
    </cfRule>
  </conditionalFormatting>
  <conditionalFormatting sqref="AA1101">
    <cfRule type="containsBlanks" dxfId="168" priority="156">
      <formula>LEN(TRIM(AA1101))=0</formula>
    </cfRule>
  </conditionalFormatting>
  <conditionalFormatting sqref="F1101">
    <cfRule type="duplicateValues" dxfId="167" priority="159"/>
  </conditionalFormatting>
  <conditionalFormatting sqref="G1101">
    <cfRule type="duplicateValues" dxfId="166" priority="160"/>
  </conditionalFormatting>
  <conditionalFormatting sqref="H1101">
    <cfRule type="duplicateValues" dxfId="165" priority="161"/>
  </conditionalFormatting>
  <conditionalFormatting sqref="U1107:AI1107 A1107:B1107 F1107:S1107">
    <cfRule type="containsBlanks" dxfId="164" priority="152">
      <formula>LEN(TRIM(A1107))=0</formula>
    </cfRule>
  </conditionalFormatting>
  <conditionalFormatting sqref="F1107">
    <cfRule type="duplicateValues" dxfId="163" priority="153"/>
  </conditionalFormatting>
  <conditionalFormatting sqref="G1107">
    <cfRule type="duplicateValues" dxfId="162" priority="154"/>
  </conditionalFormatting>
  <conditionalFormatting sqref="H1107">
    <cfRule type="duplicateValues" dxfId="161" priority="155"/>
  </conditionalFormatting>
  <conditionalFormatting sqref="T1107">
    <cfRule type="containsBlanks" dxfId="160" priority="151">
      <formula>LEN(TRIM(T1107))=0</formula>
    </cfRule>
  </conditionalFormatting>
  <conditionalFormatting sqref="A1117:B1117">
    <cfRule type="containsBlanks" dxfId="159" priority="150">
      <formula>LEN(TRIM(A1117))=0</formula>
    </cfRule>
  </conditionalFormatting>
  <conditionalFormatting sqref="AD1117:AI1117">
    <cfRule type="containsBlanks" dxfId="158" priority="149">
      <formula>LEN(TRIM(AD1117))=0</formula>
    </cfRule>
  </conditionalFormatting>
  <conditionalFormatting sqref="F1117:AC1117">
    <cfRule type="containsBlanks" dxfId="157" priority="143">
      <formula>LEN(TRIM(F1117))=0</formula>
    </cfRule>
  </conditionalFormatting>
  <conditionalFormatting sqref="F1117">
    <cfRule type="duplicateValues" dxfId="156" priority="144"/>
  </conditionalFormatting>
  <conditionalFormatting sqref="G1117">
    <cfRule type="duplicateValues" dxfId="155" priority="145"/>
  </conditionalFormatting>
  <conditionalFormatting sqref="H1117">
    <cfRule type="duplicateValues" dxfId="154" priority="146"/>
  </conditionalFormatting>
  <conditionalFormatting sqref="T1123:W1123 Y1123:AB1123 X1123:X1124 T1122:AB1122 AA1124:AB1124 AD1122:AI1123">
    <cfRule type="containsBlanks" dxfId="153" priority="139">
      <formula>LEN(TRIM(T1122))=0</formula>
    </cfRule>
  </conditionalFormatting>
  <conditionalFormatting sqref="F1122:F1123">
    <cfRule type="duplicateValues" dxfId="152" priority="140"/>
  </conditionalFormatting>
  <conditionalFormatting sqref="G1122:G1123">
    <cfRule type="duplicateValues" dxfId="151" priority="141"/>
  </conditionalFormatting>
  <conditionalFormatting sqref="H1122:H1123">
    <cfRule type="duplicateValues" dxfId="150" priority="142"/>
  </conditionalFormatting>
  <conditionalFormatting sqref="A1122:B1123 S1123 R1123:R1124 F1123:Q1123 F1122:S1122">
    <cfRule type="containsBlanks" dxfId="149" priority="138">
      <formula>LEN(TRIM(A1122))=0</formula>
    </cfRule>
  </conditionalFormatting>
  <conditionalFormatting sqref="T1125:AI1125 T1124:W1124 Y1124:Z1124 AD1124:AI1124">
    <cfRule type="containsBlanks" dxfId="148" priority="134">
      <formula>LEN(TRIM(T1124))=0</formula>
    </cfRule>
  </conditionalFormatting>
  <conditionalFormatting sqref="F1124:F1125">
    <cfRule type="duplicateValues" dxfId="147" priority="135"/>
  </conditionalFormatting>
  <conditionalFormatting sqref="G1124:G1125">
    <cfRule type="duplicateValues" dxfId="146" priority="136"/>
  </conditionalFormatting>
  <conditionalFormatting sqref="H1124:H1125">
    <cfRule type="duplicateValues" dxfId="145" priority="137"/>
  </conditionalFormatting>
  <conditionalFormatting sqref="A1124:B1125 S1124 F1124:Q1124 F1125:S1125">
    <cfRule type="containsBlanks" dxfId="144" priority="133">
      <formula>LEN(TRIM(A1124))=0</formula>
    </cfRule>
  </conditionalFormatting>
  <conditionalFormatting sqref="T1128:AI1128">
    <cfRule type="containsBlanks" dxfId="143" priority="129">
      <formula>LEN(TRIM(T1128))=0</formula>
    </cfRule>
  </conditionalFormatting>
  <conditionalFormatting sqref="F1128">
    <cfRule type="duplicateValues" dxfId="142" priority="130"/>
  </conditionalFormatting>
  <conditionalFormatting sqref="G1128">
    <cfRule type="duplicateValues" dxfId="141" priority="131"/>
  </conditionalFormatting>
  <conditionalFormatting sqref="H1128">
    <cfRule type="duplicateValues" dxfId="140" priority="132"/>
  </conditionalFormatting>
  <conditionalFormatting sqref="A1128:B1128 F1128:S1128">
    <cfRule type="containsBlanks" dxfId="139" priority="128">
      <formula>LEN(TRIM(A1128))=0</formula>
    </cfRule>
  </conditionalFormatting>
  <conditionalFormatting sqref="T1130:AI1131 T1129 Y1129:Z1129 AD1129:AI1129">
    <cfRule type="containsBlanks" dxfId="138" priority="124">
      <formula>LEN(TRIM(T1129))=0</formula>
    </cfRule>
  </conditionalFormatting>
  <conditionalFormatting sqref="F1129:F1131">
    <cfRule type="duplicateValues" dxfId="137" priority="125"/>
  </conditionalFormatting>
  <conditionalFormatting sqref="G1129:G1131">
    <cfRule type="duplicateValues" dxfId="136" priority="126"/>
  </conditionalFormatting>
  <conditionalFormatting sqref="H1129:H1131">
    <cfRule type="duplicateValues" dxfId="135" priority="127"/>
  </conditionalFormatting>
  <conditionalFormatting sqref="A1129:B1131 F1129:S1131">
    <cfRule type="containsBlanks" dxfId="134" priority="123">
      <formula>LEN(TRIM(A1129))=0</formula>
    </cfRule>
  </conditionalFormatting>
  <conditionalFormatting sqref="T1132:AI1134">
    <cfRule type="containsBlanks" dxfId="133" priority="119">
      <formula>LEN(TRIM(T1132))=0</formula>
    </cfRule>
  </conditionalFormatting>
  <conditionalFormatting sqref="F1132:F1134">
    <cfRule type="duplicateValues" dxfId="132" priority="120"/>
  </conditionalFormatting>
  <conditionalFormatting sqref="G1132:G1134">
    <cfRule type="duplicateValues" dxfId="131" priority="121"/>
  </conditionalFormatting>
  <conditionalFormatting sqref="H1132:H1134">
    <cfRule type="duplicateValues" dxfId="130" priority="122"/>
  </conditionalFormatting>
  <conditionalFormatting sqref="A1132:B1134 F1132:S1134">
    <cfRule type="containsBlanks" dxfId="129" priority="118">
      <formula>LEN(TRIM(A1132))=0</formula>
    </cfRule>
  </conditionalFormatting>
  <conditionalFormatting sqref="T1135:AI1137">
    <cfRule type="containsBlanks" dxfId="128" priority="114">
      <formula>LEN(TRIM(T1135))=0</formula>
    </cfRule>
  </conditionalFormatting>
  <conditionalFormatting sqref="F1135:F1137">
    <cfRule type="duplicateValues" dxfId="127" priority="115"/>
  </conditionalFormatting>
  <conditionalFormatting sqref="G1135:G1137">
    <cfRule type="duplicateValues" dxfId="126" priority="116"/>
  </conditionalFormatting>
  <conditionalFormatting sqref="H1135:H1137">
    <cfRule type="duplicateValues" dxfId="125" priority="117"/>
  </conditionalFormatting>
  <conditionalFormatting sqref="A1135:S1137">
    <cfRule type="containsBlanks" dxfId="124" priority="113">
      <formula>LEN(TRIM(A1135))=0</formula>
    </cfRule>
  </conditionalFormatting>
  <conditionalFormatting sqref="T1138:AI1140">
    <cfRule type="containsBlanks" dxfId="123" priority="109">
      <formula>LEN(TRIM(T1138))=0</formula>
    </cfRule>
  </conditionalFormatting>
  <conditionalFormatting sqref="F1138:F1140">
    <cfRule type="duplicateValues" dxfId="122" priority="110"/>
  </conditionalFormatting>
  <conditionalFormatting sqref="G1138:G1140">
    <cfRule type="duplicateValues" dxfId="121" priority="111"/>
  </conditionalFormatting>
  <conditionalFormatting sqref="H1138:H1140">
    <cfRule type="duplicateValues" dxfId="120" priority="112"/>
  </conditionalFormatting>
  <conditionalFormatting sqref="A1138:S1140">
    <cfRule type="containsBlanks" dxfId="119" priority="108">
      <formula>LEN(TRIM(A1138))=0</formula>
    </cfRule>
  </conditionalFormatting>
  <conditionalFormatting sqref="T1141:AI1143">
    <cfRule type="containsBlanks" dxfId="118" priority="104">
      <formula>LEN(TRIM(T1141))=0</formula>
    </cfRule>
  </conditionalFormatting>
  <conditionalFormatting sqref="F1141:F1143">
    <cfRule type="duplicateValues" dxfId="117" priority="105"/>
  </conditionalFormatting>
  <conditionalFormatting sqref="G1141:G1143">
    <cfRule type="duplicateValues" dxfId="116" priority="106"/>
  </conditionalFormatting>
  <conditionalFormatting sqref="H1141:H1143">
    <cfRule type="duplicateValues" dxfId="115" priority="107"/>
  </conditionalFormatting>
  <conditionalFormatting sqref="A1141:S1143">
    <cfRule type="containsBlanks" dxfId="114" priority="103">
      <formula>LEN(TRIM(A1141))=0</formula>
    </cfRule>
  </conditionalFormatting>
  <conditionalFormatting sqref="T1144:AI1144 T1146:AI1146">
    <cfRule type="containsBlanks" dxfId="113" priority="99">
      <formula>LEN(TRIM(T1144))=0</formula>
    </cfRule>
  </conditionalFormatting>
  <conditionalFormatting sqref="F1144 F1146">
    <cfRule type="duplicateValues" dxfId="112" priority="100"/>
  </conditionalFormatting>
  <conditionalFormatting sqref="G1144 G1146">
    <cfRule type="duplicateValues" dxfId="111" priority="101"/>
  </conditionalFormatting>
  <conditionalFormatting sqref="H1144 H1146">
    <cfRule type="duplicateValues" dxfId="110" priority="102"/>
  </conditionalFormatting>
  <conditionalFormatting sqref="A1144:S1144 A1146:S1146">
    <cfRule type="containsBlanks" dxfId="109" priority="98">
      <formula>LEN(TRIM(A1144))=0</formula>
    </cfRule>
  </conditionalFormatting>
  <conditionalFormatting sqref="T1147:AI1147">
    <cfRule type="containsBlanks" dxfId="108" priority="94">
      <formula>LEN(TRIM(T1147))=0</formula>
    </cfRule>
  </conditionalFormatting>
  <conditionalFormatting sqref="F1147">
    <cfRule type="duplicateValues" dxfId="107" priority="95"/>
  </conditionalFormatting>
  <conditionalFormatting sqref="G1147">
    <cfRule type="duplicateValues" dxfId="106" priority="96"/>
  </conditionalFormatting>
  <conditionalFormatting sqref="H1147">
    <cfRule type="duplicateValues" dxfId="105" priority="97"/>
  </conditionalFormatting>
  <conditionalFormatting sqref="A1147:S1147">
    <cfRule type="containsBlanks" dxfId="104" priority="93">
      <formula>LEN(TRIM(A1147))=0</formula>
    </cfRule>
  </conditionalFormatting>
  <conditionalFormatting sqref="T1152:AI1152">
    <cfRule type="containsBlanks" dxfId="103" priority="89">
      <formula>LEN(TRIM(T1152))=0</formula>
    </cfRule>
  </conditionalFormatting>
  <conditionalFormatting sqref="F1152">
    <cfRule type="duplicateValues" dxfId="102" priority="90"/>
  </conditionalFormatting>
  <conditionalFormatting sqref="G1152">
    <cfRule type="duplicateValues" dxfId="101" priority="91"/>
  </conditionalFormatting>
  <conditionalFormatting sqref="H1152">
    <cfRule type="duplicateValues" dxfId="100" priority="92"/>
  </conditionalFormatting>
  <conditionalFormatting sqref="A1152:S1152">
    <cfRule type="containsBlanks" dxfId="99" priority="88">
      <formula>LEN(TRIM(A1152))=0</formula>
    </cfRule>
  </conditionalFormatting>
  <conditionalFormatting sqref="T1153:AI1155">
    <cfRule type="containsBlanks" dxfId="98" priority="84">
      <formula>LEN(TRIM(T1153))=0</formula>
    </cfRule>
  </conditionalFormatting>
  <conditionalFormatting sqref="F1153:F1155">
    <cfRule type="duplicateValues" dxfId="97" priority="85"/>
  </conditionalFormatting>
  <conditionalFormatting sqref="G1153:G1155">
    <cfRule type="duplicateValues" dxfId="96" priority="86"/>
  </conditionalFormatting>
  <conditionalFormatting sqref="H1153:H1155">
    <cfRule type="duplicateValues" dxfId="95" priority="87"/>
  </conditionalFormatting>
  <conditionalFormatting sqref="A1153:S1155">
    <cfRule type="containsBlanks" dxfId="94" priority="83">
      <formula>LEN(TRIM(A1153))=0</formula>
    </cfRule>
  </conditionalFormatting>
  <conditionalFormatting sqref="T1156:AI1158">
    <cfRule type="containsBlanks" dxfId="93" priority="79">
      <formula>LEN(TRIM(T1156))=0</formula>
    </cfRule>
  </conditionalFormatting>
  <conditionalFormatting sqref="F1156:F1158">
    <cfRule type="duplicateValues" dxfId="92" priority="80"/>
  </conditionalFormatting>
  <conditionalFormatting sqref="G1156:G1158">
    <cfRule type="duplicateValues" dxfId="91" priority="81"/>
  </conditionalFormatting>
  <conditionalFormatting sqref="H1156:H1158">
    <cfRule type="duplicateValues" dxfId="90" priority="82"/>
  </conditionalFormatting>
  <conditionalFormatting sqref="A1156:S1158">
    <cfRule type="containsBlanks" dxfId="89" priority="78">
      <formula>LEN(TRIM(A1156))=0</formula>
    </cfRule>
  </conditionalFormatting>
  <conditionalFormatting sqref="T1159:AI1161">
    <cfRule type="containsBlanks" dxfId="88" priority="74">
      <formula>LEN(TRIM(T1159))=0</formula>
    </cfRule>
  </conditionalFormatting>
  <conditionalFormatting sqref="F1159:F1161">
    <cfRule type="duplicateValues" dxfId="87" priority="75"/>
  </conditionalFormatting>
  <conditionalFormatting sqref="G1159:G1161">
    <cfRule type="duplicateValues" dxfId="86" priority="76"/>
  </conditionalFormatting>
  <conditionalFormatting sqref="H1159:H1161">
    <cfRule type="duplicateValues" dxfId="85" priority="77"/>
  </conditionalFormatting>
  <conditionalFormatting sqref="A1159:S1161">
    <cfRule type="containsBlanks" dxfId="84" priority="73">
      <formula>LEN(TRIM(A1159))=0</formula>
    </cfRule>
  </conditionalFormatting>
  <conditionalFormatting sqref="T1162:AI1164">
    <cfRule type="containsBlanks" dxfId="83" priority="69">
      <formula>LEN(TRIM(T1162))=0</formula>
    </cfRule>
  </conditionalFormatting>
  <conditionalFormatting sqref="F1162:F1164">
    <cfRule type="duplicateValues" dxfId="82" priority="70"/>
  </conditionalFormatting>
  <conditionalFormatting sqref="G1162:G1164">
    <cfRule type="duplicateValues" dxfId="81" priority="71"/>
  </conditionalFormatting>
  <conditionalFormatting sqref="H1162:H1164">
    <cfRule type="duplicateValues" dxfId="80" priority="72"/>
  </conditionalFormatting>
  <conditionalFormatting sqref="A1162:S1164">
    <cfRule type="containsBlanks" dxfId="79" priority="68">
      <formula>LEN(TRIM(A1162))=0</formula>
    </cfRule>
  </conditionalFormatting>
  <conditionalFormatting sqref="T1165:AI1167">
    <cfRule type="containsBlanks" dxfId="78" priority="64">
      <formula>LEN(TRIM(T1165))=0</formula>
    </cfRule>
  </conditionalFormatting>
  <conditionalFormatting sqref="F1165:F1167">
    <cfRule type="duplicateValues" dxfId="77" priority="65"/>
  </conditionalFormatting>
  <conditionalFormatting sqref="G1165:G1167">
    <cfRule type="duplicateValues" dxfId="76" priority="66"/>
  </conditionalFormatting>
  <conditionalFormatting sqref="H1165:H1167">
    <cfRule type="duplicateValues" dxfId="75" priority="67"/>
  </conditionalFormatting>
  <conditionalFormatting sqref="A1165:S1167">
    <cfRule type="containsBlanks" dxfId="74" priority="63">
      <formula>LEN(TRIM(A1165))=0</formula>
    </cfRule>
  </conditionalFormatting>
  <conditionalFormatting sqref="T1168:AI1170">
    <cfRule type="containsBlanks" dxfId="73" priority="59">
      <formula>LEN(TRIM(T1168))=0</formula>
    </cfRule>
  </conditionalFormatting>
  <conditionalFormatting sqref="F1168:F1170">
    <cfRule type="duplicateValues" dxfId="72" priority="60"/>
  </conditionalFormatting>
  <conditionalFormatting sqref="G1168:G1170">
    <cfRule type="duplicateValues" dxfId="71" priority="61"/>
  </conditionalFormatting>
  <conditionalFormatting sqref="H1168:H1170">
    <cfRule type="duplicateValues" dxfId="70" priority="62"/>
  </conditionalFormatting>
  <conditionalFormatting sqref="A1168:S1170">
    <cfRule type="containsBlanks" dxfId="69" priority="58">
      <formula>LEN(TRIM(A1168))=0</formula>
    </cfRule>
  </conditionalFormatting>
  <conditionalFormatting sqref="T1171:AI1173">
    <cfRule type="containsBlanks" dxfId="68" priority="54">
      <formula>LEN(TRIM(T1171))=0</formula>
    </cfRule>
  </conditionalFormatting>
  <conditionalFormatting sqref="F1171:F1173">
    <cfRule type="duplicateValues" dxfId="67" priority="55"/>
  </conditionalFormatting>
  <conditionalFormatting sqref="G1171:G1173">
    <cfRule type="duplicateValues" dxfId="66" priority="56"/>
  </conditionalFormatting>
  <conditionalFormatting sqref="H1171:H1173">
    <cfRule type="duplicateValues" dxfId="65" priority="57"/>
  </conditionalFormatting>
  <conditionalFormatting sqref="A1171:S1173">
    <cfRule type="containsBlanks" dxfId="64" priority="53">
      <formula>LEN(TRIM(A1171))=0</formula>
    </cfRule>
  </conditionalFormatting>
  <conditionalFormatting sqref="T1174:AI1176">
    <cfRule type="containsBlanks" dxfId="63" priority="49">
      <formula>LEN(TRIM(T1174))=0</formula>
    </cfRule>
  </conditionalFormatting>
  <conditionalFormatting sqref="F1174:F1176">
    <cfRule type="duplicateValues" dxfId="62" priority="50"/>
  </conditionalFormatting>
  <conditionalFormatting sqref="G1174:G1176">
    <cfRule type="duplicateValues" dxfId="61" priority="51"/>
  </conditionalFormatting>
  <conditionalFormatting sqref="H1174:H1176">
    <cfRule type="duplicateValues" dxfId="60" priority="52"/>
  </conditionalFormatting>
  <conditionalFormatting sqref="A1174:S1176">
    <cfRule type="containsBlanks" dxfId="59" priority="48">
      <formula>LEN(TRIM(A1174))=0</formula>
    </cfRule>
  </conditionalFormatting>
  <conditionalFormatting sqref="T1121:Z1121 AB1121:AI1121 AC1123">
    <cfRule type="containsBlanks" dxfId="58" priority="44">
      <formula>LEN(TRIM(T1121))=0</formula>
    </cfRule>
  </conditionalFormatting>
  <conditionalFormatting sqref="F1121">
    <cfRule type="duplicateValues" dxfId="57" priority="45"/>
  </conditionalFormatting>
  <conditionalFormatting sqref="G1121">
    <cfRule type="duplicateValues" dxfId="56" priority="46"/>
  </conditionalFormatting>
  <conditionalFormatting sqref="H1121">
    <cfRule type="duplicateValues" dxfId="55" priority="47"/>
  </conditionalFormatting>
  <conditionalFormatting sqref="A1121:B1121 F1121:S1121">
    <cfRule type="containsBlanks" dxfId="54" priority="43">
      <formula>LEN(TRIM(A1121))=0</formula>
    </cfRule>
  </conditionalFormatting>
  <conditionalFormatting sqref="AA1121">
    <cfRule type="containsBlanks" dxfId="53" priority="42">
      <formula>LEN(TRIM(AA1121))=0</formula>
    </cfRule>
  </conditionalFormatting>
  <conditionalFormatting sqref="T1126">
    <cfRule type="containsBlanks" dxfId="52" priority="38">
      <formula>LEN(TRIM(T1126))=0</formula>
    </cfRule>
  </conditionalFormatting>
  <conditionalFormatting sqref="F1126">
    <cfRule type="duplicateValues" dxfId="51" priority="39"/>
  </conditionalFormatting>
  <conditionalFormatting sqref="G1126">
    <cfRule type="duplicateValues" dxfId="50" priority="40"/>
  </conditionalFormatting>
  <conditionalFormatting sqref="H1126">
    <cfRule type="duplicateValues" dxfId="49" priority="41"/>
  </conditionalFormatting>
  <conditionalFormatting sqref="A1126:B1126 U1126:AI1126 F1126:S1126">
    <cfRule type="containsBlanks" dxfId="48" priority="37">
      <formula>LEN(TRIM(A1126))=0</formula>
    </cfRule>
  </conditionalFormatting>
  <conditionalFormatting sqref="F1127:T1127 A1127:B1127">
    <cfRule type="containsBlanks" dxfId="47" priority="33">
      <formula>LEN(TRIM(A1127))=0</formula>
    </cfRule>
  </conditionalFormatting>
  <conditionalFormatting sqref="X1127:Z1127 U1127:V1127 AD1127:AI1127">
    <cfRule type="containsBlanks" dxfId="46" priority="32">
      <formula>LEN(TRIM(U1127))=0</formula>
    </cfRule>
  </conditionalFormatting>
  <conditionalFormatting sqref="W1127">
    <cfRule type="containsBlanks" dxfId="45" priority="31">
      <formula>LEN(TRIM(W1127))=0</formula>
    </cfRule>
  </conditionalFormatting>
  <conditionalFormatting sqref="AA1127:AC1127">
    <cfRule type="containsBlanks" dxfId="44" priority="28">
      <formula>LEN(TRIM(AA1127))=0</formula>
    </cfRule>
  </conditionalFormatting>
  <conditionalFormatting sqref="F1127">
    <cfRule type="duplicateValues" dxfId="43" priority="34"/>
  </conditionalFormatting>
  <conditionalFormatting sqref="G1127">
    <cfRule type="duplicateValues" dxfId="42" priority="35"/>
  </conditionalFormatting>
  <conditionalFormatting sqref="H1127">
    <cfRule type="duplicateValues" dxfId="41" priority="36"/>
  </conditionalFormatting>
  <conditionalFormatting sqref="U1129:X1129">
    <cfRule type="containsBlanks" dxfId="40" priority="27">
      <formula>LEN(TRIM(U1129))=0</formula>
    </cfRule>
  </conditionalFormatting>
  <conditionalFormatting sqref="AA1129:AC1129">
    <cfRule type="containsBlanks" dxfId="39" priority="26">
      <formula>LEN(TRIM(AA1129))=0</formula>
    </cfRule>
  </conditionalFormatting>
  <conditionalFormatting sqref="C1087:C1110">
    <cfRule type="containsBlanks" dxfId="38" priority="25">
      <formula>LEN(TRIM(C1087))=0</formula>
    </cfRule>
  </conditionalFormatting>
  <conditionalFormatting sqref="T1145:AI1145">
    <cfRule type="containsBlanks" dxfId="37" priority="21">
      <formula>LEN(TRIM(T1145))=0</formula>
    </cfRule>
  </conditionalFormatting>
  <conditionalFormatting sqref="F1145">
    <cfRule type="duplicateValues" dxfId="36" priority="22"/>
  </conditionalFormatting>
  <conditionalFormatting sqref="G1145">
    <cfRule type="duplicateValues" dxfId="35" priority="23"/>
  </conditionalFormatting>
  <conditionalFormatting sqref="H1145">
    <cfRule type="duplicateValues" dxfId="34" priority="24"/>
  </conditionalFormatting>
  <conditionalFormatting sqref="A1145:S1145">
    <cfRule type="containsBlanks" dxfId="33" priority="20">
      <formula>LEN(TRIM(A1145))=0</formula>
    </cfRule>
  </conditionalFormatting>
  <conditionalFormatting sqref="AD1148:AI1148 A1148:Z1148">
    <cfRule type="containsBlanks" dxfId="32" priority="16">
      <formula>LEN(TRIM(A1148))=0</formula>
    </cfRule>
  </conditionalFormatting>
  <conditionalFormatting sqref="AB1148:AC1148">
    <cfRule type="containsBlanks" dxfId="31" priority="15">
      <formula>LEN(TRIM(AB1148))=0</formula>
    </cfRule>
  </conditionalFormatting>
  <conditionalFormatting sqref="AA1148">
    <cfRule type="containsBlanks" dxfId="30" priority="14">
      <formula>LEN(TRIM(AA1148))=0</formula>
    </cfRule>
  </conditionalFormatting>
  <conditionalFormatting sqref="F1148">
    <cfRule type="duplicateValues" dxfId="29" priority="17"/>
  </conditionalFormatting>
  <conditionalFormatting sqref="G1148">
    <cfRule type="duplicateValues" dxfId="28" priority="18"/>
  </conditionalFormatting>
  <conditionalFormatting sqref="H1148">
    <cfRule type="duplicateValues" dxfId="27" priority="19"/>
  </conditionalFormatting>
  <conditionalFormatting sqref="T1149:AI1149">
    <cfRule type="containsBlanks" dxfId="12" priority="10">
      <formula>LEN(TRIM(T1149))=0</formula>
    </cfRule>
  </conditionalFormatting>
  <conditionalFormatting sqref="F1149">
    <cfRule type="duplicateValues" dxfId="11" priority="11"/>
  </conditionalFormatting>
  <conditionalFormatting sqref="G1149">
    <cfRule type="duplicateValues" dxfId="10" priority="12"/>
  </conditionalFormatting>
  <conditionalFormatting sqref="H1149">
    <cfRule type="duplicateValues" dxfId="9" priority="13"/>
  </conditionalFormatting>
  <conditionalFormatting sqref="A1149:S1149">
    <cfRule type="containsBlanks" dxfId="8" priority="9">
      <formula>LEN(TRIM(A1149))=0</formula>
    </cfRule>
  </conditionalFormatting>
  <conditionalFormatting sqref="A1150:AI1150">
    <cfRule type="containsBlanks" dxfId="7" priority="5">
      <formula>LEN(TRIM(A1150))=0</formula>
    </cfRule>
  </conditionalFormatting>
  <conditionalFormatting sqref="F1150">
    <cfRule type="duplicateValues" dxfId="6" priority="6"/>
  </conditionalFormatting>
  <conditionalFormatting sqref="G1150">
    <cfRule type="duplicateValues" dxfId="5" priority="7"/>
  </conditionalFormatting>
  <conditionalFormatting sqref="H1150">
    <cfRule type="duplicateValues" dxfId="4" priority="8"/>
  </conditionalFormatting>
  <conditionalFormatting sqref="A1151:AI1151">
    <cfRule type="containsBlanks" dxfId="3" priority="1">
      <formula>LEN(TRIM(A1151))=0</formula>
    </cfRule>
  </conditionalFormatting>
  <conditionalFormatting sqref="F1151">
    <cfRule type="duplicateValues" dxfId="2" priority="2"/>
  </conditionalFormatting>
  <conditionalFormatting sqref="G1151">
    <cfRule type="duplicateValues" dxfId="1" priority="3"/>
  </conditionalFormatting>
  <conditionalFormatting sqref="H1151">
    <cfRule type="duplicateValues" dxfId="0" priority="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61"/>
  <sheetViews>
    <sheetView topLeftCell="B14" zoomScale="120" zoomScaleNormal="120" workbookViewId="0">
      <selection activeCell="A6" sqref="A6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100</v>
      </c>
    </row>
    <row r="3" spans="1:35">
      <c r="H3" s="8"/>
      <c r="I3" s="8"/>
      <c r="J3" s="22" t="s">
        <v>2</v>
      </c>
      <c r="K3" s="22" t="s">
        <v>86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0</v>
      </c>
      <c r="K4" s="24">
        <f>'[7]SUMMARY WFP 2022'!VX228</f>
        <v>0</v>
      </c>
      <c r="L4" s="25">
        <f>J4-K4</f>
        <v>0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0</v>
      </c>
      <c r="K5" s="24">
        <f>'[7]SUMMARY WFP 2022'!VY228</f>
        <v>0</v>
      </c>
      <c r="L5" s="25">
        <f>J5-K5</f>
        <v>0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0</v>
      </c>
      <c r="K6" s="25">
        <f>SUM(K4:K5)</f>
        <v>0</v>
      </c>
      <c r="L6" s="25">
        <f>J6-K6</f>
        <v>0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2022'!WA228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0</v>
      </c>
      <c r="K8" s="24">
        <f>'[7]SUMMARY WFP 2022'!VM228</f>
        <v>0</v>
      </c>
      <c r="L8" s="25">
        <f>J8-K8</f>
        <v>0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43" t="s">
        <v>101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SUM(J14,J26,J38,J50)</f>
        <v>0</v>
      </c>
      <c r="K13" s="29">
        <f>SUM(K14,K26,K38,K50)</f>
        <v>0</v>
      </c>
      <c r="L13" s="29">
        <f>SUM(L14,L26,L38,L50)</f>
        <v>0</v>
      </c>
      <c r="M13" s="29">
        <f>SUM(M14,M26,M38,M50)</f>
        <v>0</v>
      </c>
      <c r="N13" s="29">
        <f>SUM(N14,N26,N38,N50)</f>
        <v>0</v>
      </c>
      <c r="O13" s="29"/>
      <c r="P13" s="29">
        <f>SUM(P14,P26,P38,P50)</f>
        <v>0</v>
      </c>
      <c r="Q13" s="29">
        <f>SUM(Q14,Q26,Q38,Q50)</f>
        <v>0</v>
      </c>
      <c r="R13" s="29"/>
      <c r="S13" s="29">
        <f>SUM(S14,S26,S38,S50)</f>
        <v>0</v>
      </c>
      <c r="T13" s="29">
        <f>SUM(T14,T26,T38,T50)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SUM(AC14,AC26,AC38,AC50)</f>
        <v>0</v>
      </c>
      <c r="AD13" s="29">
        <f>SUM(AD14,AD26,AD38,AD50)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SUM(J27:J37)</f>
        <v>0</v>
      </c>
      <c r="K26" s="31">
        <f>SUM(K27:K37)</f>
        <v>0</v>
      </c>
      <c r="L26" s="31">
        <f>SUM(L27:L37)</f>
        <v>0</v>
      </c>
      <c r="M26" s="31">
        <f>SUM(M27:M37)</f>
        <v>0</v>
      </c>
      <c r="N26" s="31">
        <f>SUM(N27:N37)</f>
        <v>0</v>
      </c>
      <c r="O26" s="31"/>
      <c r="P26" s="31">
        <f>SUM(P27:P37)</f>
        <v>0</v>
      </c>
      <c r="Q26" s="31">
        <f>SUM(Q27:Q37)</f>
        <v>0</v>
      </c>
      <c r="R26" s="31"/>
      <c r="S26" s="31">
        <f>SUM(S27:S37)</f>
        <v>0</v>
      </c>
      <c r="T26" s="31">
        <f>SUM(T27:T37)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SUM(AC27:AC37)</f>
        <v>0</v>
      </c>
      <c r="AD26" s="31">
        <f>SUM(AD27:AD37)</f>
        <v>0</v>
      </c>
      <c r="AE26" s="31" t="e">
        <f>AVERAGE(AE27:AE37)</f>
        <v>#DIV/0!</v>
      </c>
      <c r="AF26" s="31" t="e">
        <f>AVERAGE(AF27:AF37)</f>
        <v>#DIV/0!</v>
      </c>
      <c r="AG26" s="31" t="e">
        <f>AVERAGE(AG27:AG37)</f>
        <v>#DIV/0!</v>
      </c>
      <c r="AH26" s="19"/>
      <c r="AI26" s="41"/>
    </row>
    <row r="27" spans="1:35">
      <c r="A27" s="14"/>
      <c r="B27" s="20"/>
      <c r="C27" s="20"/>
      <c r="D27" s="20"/>
      <c r="E27" s="20"/>
      <c r="F27" s="20"/>
      <c r="G27" s="20"/>
      <c r="H27" s="20"/>
      <c r="I27" s="32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0"/>
      <c r="V27" s="20"/>
      <c r="W27" s="20"/>
      <c r="X27" s="20"/>
      <c r="Y27" s="20"/>
      <c r="Z27" s="20"/>
      <c r="AA27" s="20"/>
      <c r="AB27" s="20"/>
      <c r="AC27" s="24"/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/>
      <c r="D28" s="20"/>
      <c r="E28" s="20"/>
      <c r="F28" s="20"/>
      <c r="G28" s="20"/>
      <c r="H28" s="20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0"/>
      <c r="V28" s="20"/>
      <c r="W28" s="20"/>
      <c r="X28" s="20"/>
      <c r="Y28" s="20"/>
      <c r="Z28" s="20"/>
      <c r="AA28" s="20"/>
      <c r="AB28" s="20"/>
      <c r="AC28" s="24"/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/>
      <c r="D29" s="20"/>
      <c r="E29" s="20"/>
      <c r="F29" s="20"/>
      <c r="G29" s="20"/>
      <c r="H29" s="20"/>
      <c r="I29" s="3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0"/>
      <c r="V29" s="20"/>
      <c r="W29" s="20"/>
      <c r="X29" s="20"/>
      <c r="Y29" s="20"/>
      <c r="Z29" s="20"/>
      <c r="AA29" s="20"/>
      <c r="AB29" s="20"/>
      <c r="AC29" s="24"/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/>
      <c r="D30" s="20"/>
      <c r="E30" s="20"/>
      <c r="F30" s="20"/>
      <c r="G30" s="20"/>
      <c r="H30" s="20"/>
      <c r="I30" s="3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0"/>
      <c r="V30" s="20"/>
      <c r="W30" s="20"/>
      <c r="X30" s="20"/>
      <c r="Y30" s="20"/>
      <c r="Z30" s="20"/>
      <c r="AA30" s="20"/>
      <c r="AB30" s="20"/>
      <c r="AC30" s="24"/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/>
      <c r="D31" s="20"/>
      <c r="E31" s="20"/>
      <c r="F31" s="20"/>
      <c r="G31" s="20"/>
      <c r="H31" s="20"/>
      <c r="I31" s="32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0"/>
      <c r="V31" s="20"/>
      <c r="W31" s="20"/>
      <c r="X31" s="20"/>
      <c r="Y31" s="20"/>
      <c r="Z31" s="20"/>
      <c r="AA31" s="20"/>
      <c r="AB31" s="20"/>
      <c r="AC31" s="24"/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/>
      <c r="D32" s="20"/>
      <c r="E32" s="20"/>
      <c r="F32" s="20"/>
      <c r="G32" s="20"/>
      <c r="H32" s="20"/>
      <c r="I32" s="32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0"/>
      <c r="V32" s="20"/>
      <c r="W32" s="20"/>
      <c r="X32" s="20"/>
      <c r="Y32" s="20"/>
      <c r="Z32" s="20"/>
      <c r="AA32" s="20"/>
      <c r="AB32" s="20"/>
      <c r="AC32" s="24"/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/>
      <c r="D33" s="20"/>
      <c r="E33" s="20"/>
      <c r="F33" s="20"/>
      <c r="G33" s="20"/>
      <c r="H33" s="20"/>
      <c r="I33" s="32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0"/>
      <c r="V33" s="20"/>
      <c r="W33" s="20"/>
      <c r="X33" s="20"/>
      <c r="Y33" s="20"/>
      <c r="Z33" s="20"/>
      <c r="AA33" s="20"/>
      <c r="AB33" s="20"/>
      <c r="AC33" s="24"/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/>
      <c r="D34" s="20"/>
      <c r="E34" s="20"/>
      <c r="F34" s="20"/>
      <c r="G34" s="20"/>
      <c r="H34" s="20"/>
      <c r="I34" s="32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0"/>
      <c r="V34" s="20"/>
      <c r="W34" s="20"/>
      <c r="X34" s="20"/>
      <c r="Y34" s="20"/>
      <c r="Z34" s="20"/>
      <c r="AA34" s="20"/>
      <c r="AB34" s="20"/>
      <c r="AC34" s="24"/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/>
      <c r="D35" s="20"/>
      <c r="E35" s="20"/>
      <c r="F35" s="20"/>
      <c r="G35" s="20"/>
      <c r="H35" s="20"/>
      <c r="I35" s="32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0"/>
      <c r="V35" s="20"/>
      <c r="W35" s="20"/>
      <c r="X35" s="20"/>
      <c r="Y35" s="20"/>
      <c r="Z35" s="20"/>
      <c r="AA35" s="20"/>
      <c r="AB35" s="20"/>
      <c r="AC35" s="24"/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/>
      <c r="G36" s="20"/>
      <c r="H36" s="20"/>
      <c r="I36" s="32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0"/>
      <c r="V36" s="20"/>
      <c r="W36" s="20"/>
      <c r="X36" s="20"/>
      <c r="Y36" s="20"/>
      <c r="Z36" s="20"/>
      <c r="AA36" s="20"/>
      <c r="AB36" s="20"/>
      <c r="AC36" s="24"/>
      <c r="AD36" s="24"/>
      <c r="AE36" s="24"/>
      <c r="AF36" s="24"/>
      <c r="AG36" s="24"/>
      <c r="AH36" s="20"/>
      <c r="AI36" s="42"/>
    </row>
    <row r="37" spans="1:35">
      <c r="A37" s="14"/>
      <c r="B37" s="20"/>
      <c r="C37" s="20"/>
      <c r="D37" s="20"/>
      <c r="E37" s="20"/>
      <c r="F37" s="20"/>
      <c r="G37" s="20"/>
      <c r="H37" s="20"/>
      <c r="I37" s="32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0"/>
      <c r="V37" s="20"/>
      <c r="W37" s="20"/>
      <c r="X37" s="20"/>
      <c r="Y37" s="20"/>
      <c r="Z37" s="20"/>
      <c r="AA37" s="20"/>
      <c r="AB37" s="20"/>
      <c r="AC37" s="24"/>
      <c r="AD37" s="24"/>
      <c r="AE37" s="24"/>
      <c r="AF37" s="24"/>
      <c r="AG37" s="24"/>
      <c r="AH37" s="20"/>
      <c r="AI37" s="42"/>
    </row>
    <row r="38" spans="1:35" s="6" customFormat="1">
      <c r="A38" s="18"/>
      <c r="B38" s="19"/>
      <c r="C38" s="19" t="s">
        <v>83</v>
      </c>
      <c r="D38" s="19"/>
      <c r="E38" s="19"/>
      <c r="F38" s="19"/>
      <c r="G38" s="19"/>
      <c r="H38" s="19"/>
      <c r="I38" s="30"/>
      <c r="J38" s="31">
        <f>SUM(J39:J49)</f>
        <v>0</v>
      </c>
      <c r="K38" s="31">
        <f>SUM(K39:K49)</f>
        <v>0</v>
      </c>
      <c r="L38" s="31">
        <f>SUM(L39:L49)</f>
        <v>0</v>
      </c>
      <c r="M38" s="31">
        <f>SUM(M39:M49)</f>
        <v>0</v>
      </c>
      <c r="N38" s="31">
        <f>SUM(N39:N49)</f>
        <v>0</v>
      </c>
      <c r="O38" s="31"/>
      <c r="P38" s="31">
        <f>SUM(P39:P49)</f>
        <v>0</v>
      </c>
      <c r="Q38" s="31">
        <f>SUM(Q39:Q49)</f>
        <v>0</v>
      </c>
      <c r="R38" s="31"/>
      <c r="S38" s="31">
        <f>SUM(S39:S49)</f>
        <v>0</v>
      </c>
      <c r="T38" s="31">
        <f>SUM(T39:T49)</f>
        <v>0</v>
      </c>
      <c r="U38" s="19"/>
      <c r="V38" s="19"/>
      <c r="W38" s="19"/>
      <c r="X38" s="19"/>
      <c r="Y38" s="19"/>
      <c r="Z38" s="19"/>
      <c r="AA38" s="19"/>
      <c r="AB38" s="19"/>
      <c r="AC38" s="31">
        <f>SUM(AC39:AC49)</f>
        <v>0</v>
      </c>
      <c r="AD38" s="31">
        <f>SUM(AD39:AD49)</f>
        <v>0</v>
      </c>
      <c r="AE38" s="31" t="e">
        <f>AVERAGE(AE39:AE49)</f>
        <v>#DIV/0!</v>
      </c>
      <c r="AF38" s="31" t="e">
        <f>AVERAGE(AF39:AF49)</f>
        <v>#DIV/0!</v>
      </c>
      <c r="AG38" s="31" t="e">
        <f>AVERAGE(AG39:AG49)</f>
        <v>#DIV/0!</v>
      </c>
      <c r="AH38" s="19"/>
      <c r="AI38" s="41"/>
    </row>
    <row r="39" spans="1:35">
      <c r="A39" s="14"/>
      <c r="B39" s="20"/>
      <c r="C39" s="20"/>
      <c r="D39" s="20"/>
      <c r="E39" s="20"/>
      <c r="F39" s="20"/>
      <c r="G39" s="20"/>
      <c r="H39" s="20"/>
      <c r="I39" s="3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20"/>
      <c r="AB39" s="20"/>
      <c r="AC39" s="24"/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/>
      <c r="D40" s="20"/>
      <c r="E40" s="20"/>
      <c r="F40" s="20"/>
      <c r="G40" s="20"/>
      <c r="H40" s="20"/>
      <c r="I40" s="32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0"/>
      <c r="V40" s="20"/>
      <c r="W40" s="20"/>
      <c r="X40" s="20"/>
      <c r="Y40" s="20"/>
      <c r="Z40" s="20"/>
      <c r="AA40" s="20"/>
      <c r="AB40" s="20"/>
      <c r="AC40" s="24"/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/>
      <c r="D41" s="20"/>
      <c r="E41" s="20"/>
      <c r="F41" s="20"/>
      <c r="G41" s="20"/>
      <c r="H41" s="20"/>
      <c r="I41" s="3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20"/>
      <c r="AB41" s="20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/>
      <c r="G42" s="20"/>
      <c r="H42" s="20"/>
      <c r="I42" s="3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20"/>
      <c r="AB42" s="20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/>
      <c r="G43" s="20"/>
      <c r="H43" s="20"/>
      <c r="I43" s="3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20"/>
      <c r="AB43" s="20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/>
      <c r="G44" s="20"/>
      <c r="H44" s="20"/>
      <c r="I44" s="32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20"/>
      <c r="AB44" s="20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/>
      <c r="G45" s="20"/>
      <c r="H45" s="20"/>
      <c r="I45" s="32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20"/>
      <c r="AB45" s="20"/>
      <c r="AC45" s="24"/>
      <c r="AD45" s="24"/>
      <c r="AE45" s="24"/>
      <c r="AF45" s="24"/>
      <c r="AG45" s="24"/>
      <c r="AH45" s="20"/>
      <c r="AI45" s="42"/>
    </row>
    <row r="46" spans="1:35">
      <c r="A46" s="14"/>
      <c r="B46" s="20"/>
      <c r="C46" s="20"/>
      <c r="D46" s="20"/>
      <c r="E46" s="20"/>
      <c r="F46" s="20"/>
      <c r="G46" s="20"/>
      <c r="H46" s="20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/>
      <c r="G47" s="20"/>
      <c r="H47" s="20"/>
      <c r="I47" s="3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20"/>
      <c r="AB47" s="20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/>
      <c r="G48" s="20"/>
      <c r="H48" s="20"/>
      <c r="I48" s="32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20"/>
      <c r="AB48" s="20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/>
      <c r="G49" s="20"/>
      <c r="H49" s="20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20"/>
      <c r="AB49" s="20"/>
      <c r="AC49" s="24"/>
      <c r="AD49" s="24"/>
      <c r="AE49" s="24"/>
      <c r="AF49" s="24"/>
      <c r="AG49" s="24"/>
      <c r="AH49" s="20"/>
      <c r="AI49" s="42"/>
    </row>
    <row r="50" spans="1:35" s="6" customFormat="1">
      <c r="A50" s="18"/>
      <c r="B50" s="19"/>
      <c r="C50" s="19" t="s">
        <v>84</v>
      </c>
      <c r="D50" s="19"/>
      <c r="E50" s="19"/>
      <c r="F50" s="19"/>
      <c r="G50" s="19"/>
      <c r="H50" s="19"/>
      <c r="I50" s="30"/>
      <c r="J50" s="31">
        <f>SUM(J51:J61)</f>
        <v>0</v>
      </c>
      <c r="K50" s="31">
        <f>SUM(K51:K61)</f>
        <v>0</v>
      </c>
      <c r="L50" s="31">
        <f>SUM(L51:L61)</f>
        <v>0</v>
      </c>
      <c r="M50" s="31">
        <f>SUM(M51:M61)</f>
        <v>0</v>
      </c>
      <c r="N50" s="31">
        <f>SUM(N51:N61)</f>
        <v>0</v>
      </c>
      <c r="O50" s="31"/>
      <c r="P50" s="31">
        <f>SUM(P51:P61)</f>
        <v>0</v>
      </c>
      <c r="Q50" s="31">
        <f>SUM(Q51:Q61)</f>
        <v>0</v>
      </c>
      <c r="R50" s="31"/>
      <c r="S50" s="31">
        <f>SUM(S51:S61)</f>
        <v>0</v>
      </c>
      <c r="T50" s="31">
        <f>SUM(T51:T61)</f>
        <v>0</v>
      </c>
      <c r="U50" s="19"/>
      <c r="V50" s="19"/>
      <c r="W50" s="19"/>
      <c r="X50" s="19"/>
      <c r="Y50" s="19"/>
      <c r="Z50" s="19"/>
      <c r="AA50" s="19"/>
      <c r="AB50" s="19"/>
      <c r="AC50" s="31">
        <f>SUM(AC51:AC61)</f>
        <v>0</v>
      </c>
      <c r="AD50" s="31">
        <f>SUM(AD51:AD61)</f>
        <v>0</v>
      </c>
      <c r="AE50" s="31" t="e">
        <f>AVERAGE(AE51:AE61)</f>
        <v>#DIV/0!</v>
      </c>
      <c r="AF50" s="31" t="e">
        <f>AVERAGE(AF51:AF61)</f>
        <v>#DIV/0!</v>
      </c>
      <c r="AG50" s="31" t="e">
        <f>AVERAGE(AG51:AG61)</f>
        <v>#DIV/0!</v>
      </c>
      <c r="AH50" s="19"/>
      <c r="AI50" s="41"/>
    </row>
    <row r="51" spans="1:35">
      <c r="A51" s="14"/>
      <c r="B51" s="20"/>
      <c r="C51" s="20"/>
      <c r="D51" s="20"/>
      <c r="E51" s="20"/>
      <c r="F51" s="20"/>
      <c r="G51" s="20"/>
      <c r="H51" s="20"/>
      <c r="I51" s="3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20"/>
      <c r="AB51" s="20"/>
      <c r="AC51" s="24"/>
      <c r="AD51" s="24"/>
      <c r="AE51" s="24"/>
      <c r="AF51" s="24"/>
      <c r="AG51" s="24"/>
      <c r="AH51" s="20"/>
      <c r="AI51" s="42"/>
    </row>
    <row r="52" spans="1:35">
      <c r="A52" s="14"/>
      <c r="B52" s="20"/>
      <c r="C52" s="20"/>
      <c r="D52" s="20"/>
      <c r="E52" s="20"/>
      <c r="F52" s="20"/>
      <c r="G52" s="20"/>
      <c r="H52" s="20"/>
      <c r="I52" s="32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0"/>
      <c r="V52" s="20"/>
      <c r="W52" s="20"/>
      <c r="X52" s="20"/>
      <c r="Y52" s="20"/>
      <c r="Z52" s="20"/>
      <c r="AA52" s="20"/>
      <c r="AB52" s="20"/>
      <c r="AC52" s="24"/>
      <c r="AD52" s="24"/>
      <c r="AE52" s="24"/>
      <c r="AF52" s="24"/>
      <c r="AG52" s="24"/>
      <c r="AH52" s="20"/>
      <c r="AI52" s="42"/>
    </row>
    <row r="53" spans="1:35">
      <c r="A53" s="14"/>
      <c r="B53" s="20"/>
      <c r="C53" s="20"/>
      <c r="D53" s="20"/>
      <c r="E53" s="20"/>
      <c r="F53" s="20"/>
      <c r="G53" s="20"/>
      <c r="H53" s="20"/>
      <c r="I53" s="3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20"/>
      <c r="AB53" s="20"/>
      <c r="AC53" s="24"/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3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20"/>
      <c r="AB54" s="20"/>
      <c r="AC54" s="24"/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3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3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20"/>
      <c r="AB56" s="20"/>
      <c r="AC56" s="24"/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3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/>
      <c r="D58" s="20"/>
      <c r="E58" s="20"/>
      <c r="F58" s="20"/>
      <c r="G58" s="20"/>
      <c r="H58" s="20"/>
      <c r="I58" s="3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0"/>
      <c r="V58" s="20"/>
      <c r="W58" s="20"/>
      <c r="X58" s="20"/>
      <c r="Y58" s="20"/>
      <c r="Z58" s="20"/>
      <c r="AA58" s="20"/>
      <c r="AB58" s="20"/>
      <c r="AC58" s="24"/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/>
      <c r="D59" s="20"/>
      <c r="E59" s="20"/>
      <c r="F59" s="20"/>
      <c r="G59" s="20"/>
      <c r="H59" s="20"/>
      <c r="I59" s="3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3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conditionalFormatting sqref="L4:L8">
    <cfRule type="cellIs" dxfId="26" priority="2" operator="greaterThan">
      <formula>0</formula>
    </cfRule>
    <cfRule type="cellIs" dxfId="25" priority="3" operator="lessThan">
      <formula>0</formula>
    </cfRule>
  </conditionalFormatting>
  <conditionalFormatting sqref="A27:S37 A39:S49 A51:S61 A15:S25 U15:AI25 U51:AI61 U39:AI49 U27:AI37">
    <cfRule type="containsBlanks" dxfId="24" priority="4">
      <formula>LEN(TRIM(A15))=0</formula>
    </cfRule>
  </conditionalFormatting>
  <conditionalFormatting sqref="F15:F25 F27:F37 F39:F49 F51:F61">
    <cfRule type="duplicateValues" dxfId="23" priority="5"/>
  </conditionalFormatting>
  <conditionalFormatting sqref="G15:G25 G27:G37 G39:G49 G51:G61">
    <cfRule type="duplicateValues" dxfId="22" priority="6"/>
  </conditionalFormatting>
  <conditionalFormatting sqref="H15:H25 H27:H37 H39:H49 H51:H61">
    <cfRule type="duplicateValues" dxfId="21" priority="7"/>
  </conditionalFormatting>
  <conditionalFormatting sqref="T27:T37 T39:T49 T51:T61 T15:T25">
    <cfRule type="containsBlanks" dxfId="20" priority="1">
      <formula>LEN(TRIM(T15))=0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I61"/>
  <sheetViews>
    <sheetView topLeftCell="A10" zoomScale="120" zoomScaleNormal="120" workbookViewId="0">
      <selection activeCell="BH203" sqref="BH203"/>
    </sheetView>
  </sheetViews>
  <sheetFormatPr defaultColWidth="10.875" defaultRowHeight="15.75"/>
  <cols>
    <col min="1" max="1" width="16.375" style="7" customWidth="1"/>
    <col min="2" max="2" width="17.5" style="7" customWidth="1"/>
    <col min="3" max="3" width="16.375" style="7" customWidth="1"/>
    <col min="4" max="4" width="17" style="7" customWidth="1"/>
    <col min="5" max="5" width="28.875" style="7" customWidth="1"/>
    <col min="6" max="9" width="21.5" style="7" customWidth="1"/>
    <col min="10" max="12" width="15" style="7" customWidth="1"/>
    <col min="13" max="13" width="15.625" style="7" customWidth="1"/>
    <col min="14" max="15" width="19.875" style="7" customWidth="1"/>
    <col min="16" max="20" width="15" style="7" customWidth="1"/>
    <col min="21" max="24" width="23.875" style="7" customWidth="1"/>
    <col min="25" max="25" width="24.875" style="7" customWidth="1"/>
    <col min="26" max="26" width="23.875" style="7" customWidth="1"/>
    <col min="27" max="27" width="36.625" style="7" customWidth="1"/>
    <col min="28" max="28" width="18.5" style="7" customWidth="1"/>
    <col min="29" max="29" width="24.875" style="7" customWidth="1"/>
    <col min="30" max="30" width="18.125" style="7" customWidth="1"/>
    <col min="31" max="31" width="11.375" style="7" customWidth="1"/>
    <col min="32" max="32" width="10.875" style="7"/>
    <col min="33" max="33" width="12.625" style="7" customWidth="1"/>
    <col min="34" max="35" width="37" style="7" customWidth="1"/>
    <col min="36" max="16384" width="10.875" style="7"/>
  </cols>
  <sheetData>
    <row r="1" spans="1:35" s="1" customFormat="1" ht="23.25">
      <c r="A1" s="1" t="s">
        <v>0</v>
      </c>
    </row>
    <row r="2" spans="1:35" s="2" customFormat="1" ht="18.75">
      <c r="A2" s="2" t="s">
        <v>102</v>
      </c>
    </row>
    <row r="3" spans="1:35">
      <c r="H3" s="8"/>
      <c r="I3" s="8"/>
      <c r="J3" s="22" t="s">
        <v>2</v>
      </c>
      <c r="K3" s="22" t="s">
        <v>103</v>
      </c>
      <c r="L3" s="22" t="s">
        <v>4</v>
      </c>
    </row>
    <row r="4" spans="1:35">
      <c r="A4" s="9" t="s">
        <v>5</v>
      </c>
      <c r="B4" s="9"/>
      <c r="C4" s="9"/>
      <c r="D4" s="9"/>
      <c r="E4" s="9"/>
      <c r="F4" s="9"/>
      <c r="H4" s="294" t="s">
        <v>6</v>
      </c>
      <c r="I4" s="23" t="s">
        <v>7</v>
      </c>
      <c r="J4" s="24">
        <f>J13</f>
        <v>0</v>
      </c>
      <c r="K4" s="24">
        <f>'[7]SUMMARY WFP 2022'!VX234</f>
        <v>0</v>
      </c>
      <c r="L4" s="25">
        <f>J4-K4</f>
        <v>0</v>
      </c>
    </row>
    <row r="5" spans="1:35">
      <c r="A5" s="9" t="s">
        <v>87</v>
      </c>
      <c r="B5" s="9"/>
      <c r="C5" s="9"/>
      <c r="D5" s="9"/>
      <c r="E5" s="9"/>
      <c r="F5" s="9"/>
      <c r="H5" s="294"/>
      <c r="I5" s="23" t="s">
        <v>9</v>
      </c>
      <c r="J5" s="24">
        <f>K13</f>
        <v>0</v>
      </c>
      <c r="K5" s="24">
        <f>'[7]SUMMARY WFP 2022'!VY234</f>
        <v>0</v>
      </c>
      <c r="L5" s="25">
        <f>J5-K5</f>
        <v>0</v>
      </c>
    </row>
    <row r="6" spans="1:35" ht="15.95" customHeight="1">
      <c r="A6" s="9" t="s">
        <v>10</v>
      </c>
      <c r="B6" s="9"/>
      <c r="C6" s="9"/>
      <c r="D6" s="9"/>
      <c r="E6" s="9"/>
      <c r="F6" s="9"/>
      <c r="H6" s="294"/>
      <c r="I6" s="23" t="s">
        <v>11</v>
      </c>
      <c r="J6" s="25">
        <f>SUM(J4:J5)</f>
        <v>0</v>
      </c>
      <c r="K6" s="25">
        <f>SUM(K4:K5)</f>
        <v>0</v>
      </c>
      <c r="L6" s="25">
        <f>J6-K6</f>
        <v>0</v>
      </c>
    </row>
    <row r="7" spans="1:35" ht="15.95" customHeight="1">
      <c r="A7" s="9" t="s">
        <v>88</v>
      </c>
      <c r="B7" s="9"/>
      <c r="C7" s="9"/>
      <c r="D7" s="9"/>
      <c r="E7" s="9"/>
      <c r="F7" s="9"/>
      <c r="H7" s="295" t="s">
        <v>13</v>
      </c>
      <c r="I7" s="296"/>
      <c r="J7" s="24">
        <f>S13</f>
        <v>0</v>
      </c>
      <c r="K7" s="24">
        <f>'[7]SUMMARY WFP 2022'!WA234</f>
        <v>0</v>
      </c>
      <c r="L7" s="25">
        <f>J7-K7</f>
        <v>0</v>
      </c>
    </row>
    <row r="8" spans="1:35" ht="15.95" customHeight="1">
      <c r="A8" s="9"/>
      <c r="B8" s="9"/>
      <c r="C8" s="9"/>
      <c r="D8" s="9"/>
      <c r="E8" s="9"/>
      <c r="F8" s="9"/>
      <c r="H8" s="295" t="s">
        <v>14</v>
      </c>
      <c r="I8" s="296"/>
      <c r="J8" s="24">
        <f>AC13</f>
        <v>0</v>
      </c>
      <c r="K8" s="24">
        <f>'[7]SUMMARY WFP 2022'!VM234</f>
        <v>0</v>
      </c>
      <c r="L8" s="25">
        <f>J8-K8</f>
        <v>0</v>
      </c>
    </row>
    <row r="10" spans="1:35" s="3" customFormat="1" ht="15.95" customHeight="1">
      <c r="A10" s="281"/>
      <c r="B10" s="282"/>
      <c r="C10" s="283"/>
      <c r="D10" s="284" t="s">
        <v>15</v>
      </c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6"/>
      <c r="T10" s="10"/>
      <c r="U10" s="287" t="s">
        <v>16</v>
      </c>
      <c r="V10" s="288"/>
      <c r="W10" s="288"/>
      <c r="X10" s="288"/>
      <c r="Y10" s="288"/>
      <c r="Z10" s="289"/>
      <c r="AA10" s="290" t="s">
        <v>17</v>
      </c>
      <c r="AB10" s="291"/>
      <c r="AC10" s="291"/>
      <c r="AD10" s="292"/>
      <c r="AE10" s="293" t="s">
        <v>18</v>
      </c>
      <c r="AF10" s="293"/>
      <c r="AG10" s="293"/>
      <c r="AH10" s="293"/>
      <c r="AI10" s="293"/>
    </row>
    <row r="11" spans="1:35" s="4" customFormat="1" ht="63">
      <c r="A11" s="11" t="s">
        <v>19</v>
      </c>
      <c r="B11" s="12" t="s">
        <v>20</v>
      </c>
      <c r="C11" s="12" t="s">
        <v>21</v>
      </c>
      <c r="D11" s="13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  <c r="I11" s="13" t="s">
        <v>27</v>
      </c>
      <c r="J11" s="13" t="s">
        <v>28</v>
      </c>
      <c r="K11" s="13" t="s">
        <v>29</v>
      </c>
      <c r="L11" s="26" t="s">
        <v>30</v>
      </c>
      <c r="M11" s="26" t="s">
        <v>31</v>
      </c>
      <c r="N11" s="26" t="s">
        <v>32</v>
      </c>
      <c r="O11" s="26" t="s">
        <v>33</v>
      </c>
      <c r="P11" s="26" t="s">
        <v>34</v>
      </c>
      <c r="Q11" s="26" t="s">
        <v>35</v>
      </c>
      <c r="R11" s="33" t="s">
        <v>36</v>
      </c>
      <c r="S11" s="26" t="s">
        <v>37</v>
      </c>
      <c r="T11" s="26" t="s">
        <v>38</v>
      </c>
      <c r="U11" s="34" t="s">
        <v>39</v>
      </c>
      <c r="V11" s="34" t="s">
        <v>40</v>
      </c>
      <c r="W11" s="34" t="s">
        <v>41</v>
      </c>
      <c r="X11" s="34" t="s">
        <v>42</v>
      </c>
      <c r="Y11" s="34" t="s">
        <v>43</v>
      </c>
      <c r="Z11" s="34" t="s">
        <v>44</v>
      </c>
      <c r="AA11" s="36" t="s">
        <v>45</v>
      </c>
      <c r="AB11" s="36" t="s">
        <v>46</v>
      </c>
      <c r="AC11" s="36" t="s">
        <v>47</v>
      </c>
      <c r="AD11" s="36" t="s">
        <v>48</v>
      </c>
      <c r="AE11" s="37" t="s">
        <v>49</v>
      </c>
      <c r="AF11" s="37" t="s">
        <v>50</v>
      </c>
      <c r="AG11" s="37" t="s">
        <v>51</v>
      </c>
      <c r="AH11" s="37" t="s">
        <v>52</v>
      </c>
      <c r="AI11" s="38" t="s">
        <v>53</v>
      </c>
    </row>
    <row r="12" spans="1:35" s="5" customFormat="1" ht="65.099999999999994" customHeight="1">
      <c r="A12" s="14" t="s">
        <v>54</v>
      </c>
      <c r="B12" s="15" t="s">
        <v>55</v>
      </c>
      <c r="C12" s="15"/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27"/>
      <c r="J12" s="15" t="s">
        <v>61</v>
      </c>
      <c r="K12" s="15" t="s">
        <v>62</v>
      </c>
      <c r="L12" s="15" t="s">
        <v>63</v>
      </c>
      <c r="M12" s="15" t="s">
        <v>64</v>
      </c>
      <c r="N12" s="15" t="s">
        <v>65</v>
      </c>
      <c r="O12" s="15" t="s">
        <v>66</v>
      </c>
      <c r="P12" s="15" t="s">
        <v>67</v>
      </c>
      <c r="Q12" s="15" t="s">
        <v>68</v>
      </c>
      <c r="R12" s="15" t="s">
        <v>69</v>
      </c>
      <c r="S12" s="15" t="s">
        <v>70</v>
      </c>
      <c r="T12" s="35" t="s">
        <v>71</v>
      </c>
      <c r="U12" s="15"/>
      <c r="V12" s="15"/>
      <c r="W12" s="15"/>
      <c r="X12" s="15"/>
      <c r="Y12" s="15"/>
      <c r="Z12" s="15"/>
      <c r="AA12" s="15" t="s">
        <v>104</v>
      </c>
      <c r="AB12" s="15" t="s">
        <v>73</v>
      </c>
      <c r="AC12" s="15" t="s">
        <v>74</v>
      </c>
      <c r="AD12" s="15" t="s">
        <v>75</v>
      </c>
      <c r="AE12" s="20" t="s">
        <v>76</v>
      </c>
      <c r="AF12" s="20" t="s">
        <v>76</v>
      </c>
      <c r="AG12" s="20" t="s">
        <v>76</v>
      </c>
      <c r="AH12" s="15"/>
      <c r="AI12" s="39"/>
    </row>
    <row r="13" spans="1:35" s="6" customFormat="1">
      <c r="A13" s="16"/>
      <c r="B13" s="17"/>
      <c r="C13" s="17" t="s">
        <v>11</v>
      </c>
      <c r="D13" s="17"/>
      <c r="E13" s="17"/>
      <c r="F13" s="17"/>
      <c r="G13" s="17"/>
      <c r="H13" s="17"/>
      <c r="I13" s="28"/>
      <c r="J13" s="29">
        <f>SUM(J14,J26,J38,J50)</f>
        <v>0</v>
      </c>
      <c r="K13" s="29">
        <f>SUM(K14,K26,K38,K50)</f>
        <v>0</v>
      </c>
      <c r="L13" s="29">
        <f>SUM(L14,L26,L38,L50)</f>
        <v>0</v>
      </c>
      <c r="M13" s="29">
        <f>SUM(M14,M26,M38,M50)</f>
        <v>0</v>
      </c>
      <c r="N13" s="29">
        <f>SUM(N14,N26,N38,N50)</f>
        <v>0</v>
      </c>
      <c r="O13" s="29"/>
      <c r="P13" s="29">
        <f>SUM(P14,P26,P38,P50)</f>
        <v>0</v>
      </c>
      <c r="Q13" s="29">
        <f>SUM(Q14,Q26,Q38,Q50)</f>
        <v>0</v>
      </c>
      <c r="R13" s="29"/>
      <c r="S13" s="29">
        <f>SUM(S14,S26,S38,S50)</f>
        <v>0</v>
      </c>
      <c r="T13" s="29">
        <f>SUM(T14,T26,T38,T50)</f>
        <v>0</v>
      </c>
      <c r="U13" s="17"/>
      <c r="V13" s="17"/>
      <c r="W13" s="17"/>
      <c r="X13" s="17"/>
      <c r="Y13" s="17"/>
      <c r="Z13" s="17"/>
      <c r="AA13" s="17"/>
      <c r="AB13" s="17"/>
      <c r="AC13" s="29">
        <f>SUM(AC14,AC26,AC38,AC50)</f>
        <v>0</v>
      </c>
      <c r="AD13" s="29">
        <f>SUM(AD14,AD26,AD38,AD50)</f>
        <v>0</v>
      </c>
      <c r="AE13" s="29"/>
      <c r="AF13" s="29"/>
      <c r="AG13" s="29"/>
      <c r="AH13" s="17"/>
      <c r="AI13" s="40"/>
    </row>
    <row r="14" spans="1:35" s="6" customFormat="1">
      <c r="A14" s="18"/>
      <c r="B14" s="19"/>
      <c r="C14" s="19" t="s">
        <v>77</v>
      </c>
      <c r="D14" s="19"/>
      <c r="E14" s="19"/>
      <c r="F14" s="19"/>
      <c r="G14" s="19"/>
      <c r="H14" s="19"/>
      <c r="I14" s="30"/>
      <c r="J14" s="31">
        <f>SUM(J15:J25)</f>
        <v>0</v>
      </c>
      <c r="K14" s="31">
        <f>SUM(K15:K25)</f>
        <v>0</v>
      </c>
      <c r="L14" s="31">
        <f>SUM(L15:L25)</f>
        <v>0</v>
      </c>
      <c r="M14" s="31">
        <f>SUM(M15:M25)</f>
        <v>0</v>
      </c>
      <c r="N14" s="31">
        <f>SUM(N15:N25)</f>
        <v>0</v>
      </c>
      <c r="O14" s="31"/>
      <c r="P14" s="31">
        <f>SUM(P15:P25)</f>
        <v>0</v>
      </c>
      <c r="Q14" s="31">
        <f>SUM(Q15:Q25)</f>
        <v>0</v>
      </c>
      <c r="R14" s="31"/>
      <c r="S14" s="31">
        <f>SUM(S15:S25)</f>
        <v>0</v>
      </c>
      <c r="T14" s="31">
        <f>SUM(T15:T25)</f>
        <v>0</v>
      </c>
      <c r="U14" s="19"/>
      <c r="V14" s="19"/>
      <c r="W14" s="19"/>
      <c r="X14" s="19"/>
      <c r="Y14" s="19"/>
      <c r="Z14" s="19"/>
      <c r="AA14" s="19"/>
      <c r="AB14" s="19"/>
      <c r="AC14" s="31">
        <f>SUM(AC15:AC25)</f>
        <v>0</v>
      </c>
      <c r="AD14" s="31">
        <f>SUM(AD15:AD25)</f>
        <v>0</v>
      </c>
      <c r="AE14" s="31" t="e">
        <f>AVERAGE(AE15:AE25)</f>
        <v>#DIV/0!</v>
      </c>
      <c r="AF14" s="31" t="e">
        <f>AVERAGE(AF15:AF25)</f>
        <v>#DIV/0!</v>
      </c>
      <c r="AG14" s="31" t="e">
        <f>AVERAGE(AG15:AG25)</f>
        <v>#DIV/0!</v>
      </c>
      <c r="AH14" s="19"/>
      <c r="AI14" s="41"/>
    </row>
    <row r="15" spans="1:35">
      <c r="A15" s="14"/>
      <c r="B15" s="20"/>
      <c r="C15" s="20"/>
      <c r="D15" s="20"/>
      <c r="E15" s="20"/>
      <c r="F15" s="20"/>
      <c r="G15" s="20"/>
      <c r="H15" s="20"/>
      <c r="I15" s="32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0"/>
      <c r="V15" s="20"/>
      <c r="W15" s="20"/>
      <c r="X15" s="20"/>
      <c r="Y15" s="20"/>
      <c r="Z15" s="20"/>
      <c r="AA15" s="20"/>
      <c r="AB15" s="20"/>
      <c r="AC15" s="24"/>
      <c r="AD15" s="24"/>
      <c r="AE15" s="24"/>
      <c r="AF15" s="24"/>
      <c r="AG15" s="24"/>
      <c r="AH15" s="20"/>
      <c r="AI15" s="42"/>
    </row>
    <row r="16" spans="1:35">
      <c r="A16" s="14"/>
      <c r="B16" s="20"/>
      <c r="C16" s="20"/>
      <c r="D16" s="20"/>
      <c r="E16" s="20"/>
      <c r="F16" s="20"/>
      <c r="G16" s="20"/>
      <c r="H16" s="21"/>
      <c r="I16" s="3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0"/>
      <c r="V16" s="20"/>
      <c r="W16" s="20"/>
      <c r="X16" s="20"/>
      <c r="Y16" s="20"/>
      <c r="Z16" s="20"/>
      <c r="AA16" s="20"/>
      <c r="AB16" s="20"/>
      <c r="AC16" s="24"/>
      <c r="AD16" s="24"/>
      <c r="AE16" s="24"/>
      <c r="AF16" s="24"/>
      <c r="AG16" s="24"/>
      <c r="AH16" s="20"/>
      <c r="AI16" s="42"/>
    </row>
    <row r="17" spans="1:35">
      <c r="A17" s="14"/>
      <c r="B17" s="20"/>
      <c r="C17" s="20"/>
      <c r="D17" s="20"/>
      <c r="E17" s="20"/>
      <c r="F17" s="20"/>
      <c r="G17" s="20"/>
      <c r="H17" s="20"/>
      <c r="I17" s="32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0"/>
      <c r="V17" s="20"/>
      <c r="W17" s="20"/>
      <c r="X17" s="20"/>
      <c r="Y17" s="20"/>
      <c r="Z17" s="20"/>
      <c r="AA17" s="20"/>
      <c r="AB17" s="20"/>
      <c r="AC17" s="24"/>
      <c r="AD17" s="24"/>
      <c r="AE17" s="24"/>
      <c r="AF17" s="24"/>
      <c r="AG17" s="24"/>
      <c r="AH17" s="20"/>
      <c r="AI17" s="42"/>
    </row>
    <row r="18" spans="1:35">
      <c r="A18" s="14"/>
      <c r="B18" s="20"/>
      <c r="C18" s="20"/>
      <c r="D18" s="20"/>
      <c r="E18" s="20"/>
      <c r="F18" s="20"/>
      <c r="G18" s="20"/>
      <c r="H18" s="20"/>
      <c r="I18" s="3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0"/>
      <c r="V18" s="20"/>
      <c r="W18" s="20"/>
      <c r="X18" s="20"/>
      <c r="Y18" s="20"/>
      <c r="Z18" s="20"/>
      <c r="AA18" s="20"/>
      <c r="AB18" s="20"/>
      <c r="AC18" s="24"/>
      <c r="AD18" s="24"/>
      <c r="AE18" s="24"/>
      <c r="AF18" s="24"/>
      <c r="AG18" s="24"/>
      <c r="AH18" s="20"/>
      <c r="AI18" s="42"/>
    </row>
    <row r="19" spans="1:35">
      <c r="A19" s="14"/>
      <c r="B19" s="20"/>
      <c r="C19" s="20"/>
      <c r="D19" s="20"/>
      <c r="E19" s="20"/>
      <c r="F19" s="20"/>
      <c r="G19" s="20"/>
      <c r="H19" s="20"/>
      <c r="I19" s="32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0"/>
      <c r="V19" s="20"/>
      <c r="W19" s="20"/>
      <c r="X19" s="20"/>
      <c r="Y19" s="20"/>
      <c r="Z19" s="20"/>
      <c r="AA19" s="20"/>
      <c r="AB19" s="20"/>
      <c r="AC19" s="24"/>
      <c r="AD19" s="24"/>
      <c r="AE19" s="24"/>
      <c r="AF19" s="24"/>
      <c r="AG19" s="24"/>
      <c r="AH19" s="20"/>
      <c r="AI19" s="42"/>
    </row>
    <row r="20" spans="1:35">
      <c r="A20" s="14"/>
      <c r="B20" s="20"/>
      <c r="C20" s="20"/>
      <c r="D20" s="20"/>
      <c r="E20" s="20"/>
      <c r="F20" s="20"/>
      <c r="G20" s="20"/>
      <c r="H20" s="20"/>
      <c r="I20" s="32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0"/>
      <c r="V20" s="20"/>
      <c r="W20" s="20"/>
      <c r="X20" s="20"/>
      <c r="Y20" s="20"/>
      <c r="Z20" s="20"/>
      <c r="AA20" s="20"/>
      <c r="AB20" s="20"/>
      <c r="AC20" s="24"/>
      <c r="AD20" s="24"/>
      <c r="AE20" s="24"/>
      <c r="AF20" s="24"/>
      <c r="AG20" s="24"/>
      <c r="AH20" s="20"/>
      <c r="AI20" s="42"/>
    </row>
    <row r="21" spans="1:35">
      <c r="A21" s="14"/>
      <c r="B21" s="20"/>
      <c r="C21" s="20"/>
      <c r="D21" s="20"/>
      <c r="E21" s="20"/>
      <c r="F21" s="20"/>
      <c r="G21" s="20"/>
      <c r="H21" s="20"/>
      <c r="I21" s="32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0"/>
      <c r="V21" s="20"/>
      <c r="W21" s="20"/>
      <c r="X21" s="20"/>
      <c r="Y21" s="20"/>
      <c r="Z21" s="20"/>
      <c r="AA21" s="20"/>
      <c r="AB21" s="20"/>
      <c r="AC21" s="24"/>
      <c r="AD21" s="24"/>
      <c r="AE21" s="24"/>
      <c r="AF21" s="24"/>
      <c r="AG21" s="24"/>
      <c r="AH21" s="20"/>
      <c r="AI21" s="42"/>
    </row>
    <row r="22" spans="1:35">
      <c r="A22" s="14"/>
      <c r="B22" s="20"/>
      <c r="C22" s="20"/>
      <c r="D22" s="20"/>
      <c r="E22" s="20"/>
      <c r="F22" s="20"/>
      <c r="G22" s="20"/>
      <c r="H22" s="20"/>
      <c r="I22" s="32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0"/>
      <c r="V22" s="20"/>
      <c r="W22" s="20"/>
      <c r="X22" s="20"/>
      <c r="Y22" s="20"/>
      <c r="Z22" s="20"/>
      <c r="AA22" s="20"/>
      <c r="AB22" s="20"/>
      <c r="AC22" s="24"/>
      <c r="AD22" s="24"/>
      <c r="AE22" s="24"/>
      <c r="AF22" s="24"/>
      <c r="AG22" s="24"/>
      <c r="AH22" s="20"/>
      <c r="AI22" s="42"/>
    </row>
    <row r="23" spans="1:35">
      <c r="A23" s="14"/>
      <c r="B23" s="20"/>
      <c r="C23" s="20"/>
      <c r="D23" s="20"/>
      <c r="E23" s="20"/>
      <c r="F23" s="20"/>
      <c r="G23" s="20"/>
      <c r="H23" s="20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0"/>
      <c r="V23" s="20"/>
      <c r="W23" s="20"/>
      <c r="X23" s="20"/>
      <c r="Y23" s="20"/>
      <c r="Z23" s="20"/>
      <c r="AA23" s="20"/>
      <c r="AB23" s="20"/>
      <c r="AC23" s="24"/>
      <c r="AD23" s="24"/>
      <c r="AE23" s="24"/>
      <c r="AF23" s="24"/>
      <c r="AG23" s="24"/>
      <c r="AH23" s="20"/>
      <c r="AI23" s="42"/>
    </row>
    <row r="24" spans="1:35">
      <c r="A24" s="14"/>
      <c r="B24" s="20"/>
      <c r="C24" s="20"/>
      <c r="D24" s="20"/>
      <c r="E24" s="20"/>
      <c r="F24" s="20"/>
      <c r="G24" s="20"/>
      <c r="H24" s="20"/>
      <c r="I24" s="32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0"/>
      <c r="V24" s="20"/>
      <c r="W24" s="20"/>
      <c r="X24" s="20"/>
      <c r="Y24" s="20"/>
      <c r="Z24" s="20"/>
      <c r="AA24" s="20"/>
      <c r="AB24" s="20"/>
      <c r="AC24" s="24"/>
      <c r="AD24" s="24"/>
      <c r="AE24" s="24"/>
      <c r="AF24" s="24"/>
      <c r="AG24" s="24"/>
      <c r="AH24" s="20"/>
      <c r="AI24" s="42"/>
    </row>
    <row r="25" spans="1:35">
      <c r="A25" s="14"/>
      <c r="B25" s="20"/>
      <c r="C25" s="20"/>
      <c r="D25" s="20"/>
      <c r="E25" s="20"/>
      <c r="F25" s="20"/>
      <c r="G25" s="20"/>
      <c r="H25" s="20"/>
      <c r="I25" s="32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0"/>
      <c r="V25" s="20"/>
      <c r="W25" s="20"/>
      <c r="X25" s="20"/>
      <c r="Y25" s="20"/>
      <c r="Z25" s="20"/>
      <c r="AA25" s="20"/>
      <c r="AB25" s="20"/>
      <c r="AC25" s="24"/>
      <c r="AD25" s="24"/>
      <c r="AE25" s="24"/>
      <c r="AF25" s="24"/>
      <c r="AG25" s="24"/>
      <c r="AH25" s="20"/>
      <c r="AI25" s="42"/>
    </row>
    <row r="26" spans="1:35" s="6" customFormat="1">
      <c r="A26" s="18"/>
      <c r="B26" s="19"/>
      <c r="C26" s="19" t="s">
        <v>82</v>
      </c>
      <c r="D26" s="19"/>
      <c r="E26" s="19"/>
      <c r="F26" s="19"/>
      <c r="G26" s="19"/>
      <c r="H26" s="19"/>
      <c r="I26" s="30"/>
      <c r="J26" s="31">
        <f>SUM(J27:J37)</f>
        <v>0</v>
      </c>
      <c r="K26" s="31">
        <f>SUM(K27:K37)</f>
        <v>0</v>
      </c>
      <c r="L26" s="31">
        <f>SUM(L27:L37)</f>
        <v>0</v>
      </c>
      <c r="M26" s="31">
        <f>SUM(M27:M37)</f>
        <v>0</v>
      </c>
      <c r="N26" s="31">
        <f>SUM(N27:N37)</f>
        <v>0</v>
      </c>
      <c r="O26" s="31"/>
      <c r="P26" s="31">
        <f>SUM(P27:P37)</f>
        <v>0</v>
      </c>
      <c r="Q26" s="31">
        <f>SUM(Q27:Q37)</f>
        <v>0</v>
      </c>
      <c r="R26" s="31"/>
      <c r="S26" s="31">
        <f>SUM(S27:S37)</f>
        <v>0</v>
      </c>
      <c r="T26" s="31">
        <f>SUM(T27:T37)</f>
        <v>0</v>
      </c>
      <c r="U26" s="19"/>
      <c r="V26" s="19"/>
      <c r="W26" s="19"/>
      <c r="X26" s="19"/>
      <c r="Y26" s="19"/>
      <c r="Z26" s="19"/>
      <c r="AA26" s="19"/>
      <c r="AB26" s="19"/>
      <c r="AC26" s="31">
        <f>SUM(AC27:AC37)</f>
        <v>0</v>
      </c>
      <c r="AD26" s="31">
        <f>SUM(AD27:AD37)</f>
        <v>0</v>
      </c>
      <c r="AE26" s="31" t="e">
        <f>AVERAGE(AE27:AE37)</f>
        <v>#DIV/0!</v>
      </c>
      <c r="AF26" s="31" t="e">
        <f>AVERAGE(AF27:AF37)</f>
        <v>#DIV/0!</v>
      </c>
      <c r="AG26" s="31" t="e">
        <f>AVERAGE(AG27:AG37)</f>
        <v>#DIV/0!</v>
      </c>
      <c r="AH26" s="19"/>
      <c r="AI26" s="41"/>
    </row>
    <row r="27" spans="1:35">
      <c r="A27" s="14"/>
      <c r="B27" s="20"/>
      <c r="C27" s="20"/>
      <c r="D27" s="20"/>
      <c r="E27" s="20"/>
      <c r="F27" s="20"/>
      <c r="G27" s="20"/>
      <c r="H27" s="20"/>
      <c r="I27" s="32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0"/>
      <c r="V27" s="20"/>
      <c r="W27" s="20"/>
      <c r="X27" s="20"/>
      <c r="Y27" s="20"/>
      <c r="Z27" s="20"/>
      <c r="AA27" s="20"/>
      <c r="AB27" s="20"/>
      <c r="AC27" s="24"/>
      <c r="AD27" s="24"/>
      <c r="AE27" s="24"/>
      <c r="AF27" s="24"/>
      <c r="AG27" s="24"/>
      <c r="AH27" s="20"/>
      <c r="AI27" s="42"/>
    </row>
    <row r="28" spans="1:35">
      <c r="A28" s="14"/>
      <c r="B28" s="20"/>
      <c r="C28" s="20"/>
      <c r="D28" s="20"/>
      <c r="E28" s="20"/>
      <c r="F28" s="20"/>
      <c r="G28" s="20"/>
      <c r="H28" s="20"/>
      <c r="I28" s="3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0"/>
      <c r="V28" s="20"/>
      <c r="W28" s="20"/>
      <c r="X28" s="20"/>
      <c r="Y28" s="20"/>
      <c r="Z28" s="20"/>
      <c r="AA28" s="20"/>
      <c r="AB28" s="20"/>
      <c r="AC28" s="24"/>
      <c r="AD28" s="24"/>
      <c r="AE28" s="24"/>
      <c r="AF28" s="24"/>
      <c r="AG28" s="24"/>
      <c r="AH28" s="20"/>
      <c r="AI28" s="42"/>
    </row>
    <row r="29" spans="1:35">
      <c r="A29" s="14"/>
      <c r="B29" s="20"/>
      <c r="C29" s="20"/>
      <c r="D29" s="20"/>
      <c r="E29" s="20"/>
      <c r="F29" s="20"/>
      <c r="G29" s="20"/>
      <c r="H29" s="20"/>
      <c r="I29" s="3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0"/>
      <c r="V29" s="20"/>
      <c r="W29" s="20"/>
      <c r="X29" s="20"/>
      <c r="Y29" s="20"/>
      <c r="Z29" s="20"/>
      <c r="AA29" s="20"/>
      <c r="AB29" s="20"/>
      <c r="AC29" s="24"/>
      <c r="AD29" s="24"/>
      <c r="AE29" s="24"/>
      <c r="AF29" s="24"/>
      <c r="AG29" s="24"/>
      <c r="AH29" s="20"/>
      <c r="AI29" s="42"/>
    </row>
    <row r="30" spans="1:35">
      <c r="A30" s="14"/>
      <c r="B30" s="20"/>
      <c r="C30" s="20"/>
      <c r="D30" s="20"/>
      <c r="E30" s="20"/>
      <c r="F30" s="20"/>
      <c r="G30" s="20"/>
      <c r="H30" s="20"/>
      <c r="I30" s="3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0"/>
      <c r="V30" s="20"/>
      <c r="W30" s="20"/>
      <c r="X30" s="20"/>
      <c r="Y30" s="20"/>
      <c r="Z30" s="20"/>
      <c r="AA30" s="20"/>
      <c r="AB30" s="20"/>
      <c r="AC30" s="24"/>
      <c r="AD30" s="24"/>
      <c r="AE30" s="24"/>
      <c r="AF30" s="24"/>
      <c r="AG30" s="24"/>
      <c r="AH30" s="20"/>
      <c r="AI30" s="42"/>
    </row>
    <row r="31" spans="1:35">
      <c r="A31" s="14"/>
      <c r="B31" s="20"/>
      <c r="C31" s="20"/>
      <c r="D31" s="20"/>
      <c r="E31" s="20"/>
      <c r="F31" s="20"/>
      <c r="G31" s="20"/>
      <c r="H31" s="20"/>
      <c r="I31" s="32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0"/>
      <c r="V31" s="20"/>
      <c r="W31" s="20"/>
      <c r="X31" s="20"/>
      <c r="Y31" s="20"/>
      <c r="Z31" s="20"/>
      <c r="AA31" s="20"/>
      <c r="AB31" s="20"/>
      <c r="AC31" s="24"/>
      <c r="AD31" s="24"/>
      <c r="AE31" s="24"/>
      <c r="AF31" s="24"/>
      <c r="AG31" s="24"/>
      <c r="AH31" s="20"/>
      <c r="AI31" s="42"/>
    </row>
    <row r="32" spans="1:35">
      <c r="A32" s="14"/>
      <c r="B32" s="20"/>
      <c r="C32" s="20"/>
      <c r="D32" s="20"/>
      <c r="E32" s="20"/>
      <c r="F32" s="20"/>
      <c r="G32" s="20"/>
      <c r="H32" s="20"/>
      <c r="I32" s="32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0"/>
      <c r="V32" s="20"/>
      <c r="W32" s="20"/>
      <c r="X32" s="20"/>
      <c r="Y32" s="20"/>
      <c r="Z32" s="20"/>
      <c r="AA32" s="20"/>
      <c r="AB32" s="20"/>
      <c r="AC32" s="24"/>
      <c r="AD32" s="24"/>
      <c r="AE32" s="24"/>
      <c r="AF32" s="24"/>
      <c r="AG32" s="24"/>
      <c r="AH32" s="20"/>
      <c r="AI32" s="42"/>
    </row>
    <row r="33" spans="1:35">
      <c r="A33" s="14"/>
      <c r="B33" s="20"/>
      <c r="C33" s="20"/>
      <c r="D33" s="20"/>
      <c r="E33" s="20"/>
      <c r="F33" s="20"/>
      <c r="G33" s="20"/>
      <c r="H33" s="20"/>
      <c r="I33" s="32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0"/>
      <c r="V33" s="20"/>
      <c r="W33" s="20"/>
      <c r="X33" s="20"/>
      <c r="Y33" s="20"/>
      <c r="Z33" s="20"/>
      <c r="AA33" s="20"/>
      <c r="AB33" s="20"/>
      <c r="AC33" s="24"/>
      <c r="AD33" s="24"/>
      <c r="AE33" s="24"/>
      <c r="AF33" s="24"/>
      <c r="AG33" s="24"/>
      <c r="AH33" s="20"/>
      <c r="AI33" s="42"/>
    </row>
    <row r="34" spans="1:35">
      <c r="A34" s="14"/>
      <c r="B34" s="20"/>
      <c r="C34" s="20"/>
      <c r="D34" s="20"/>
      <c r="E34" s="20"/>
      <c r="F34" s="20"/>
      <c r="G34" s="20"/>
      <c r="H34" s="20"/>
      <c r="I34" s="32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0"/>
      <c r="V34" s="20"/>
      <c r="W34" s="20"/>
      <c r="X34" s="20"/>
      <c r="Y34" s="20"/>
      <c r="Z34" s="20"/>
      <c r="AA34" s="20"/>
      <c r="AB34" s="20"/>
      <c r="AC34" s="24"/>
      <c r="AD34" s="24"/>
      <c r="AE34" s="24"/>
      <c r="AF34" s="24"/>
      <c r="AG34" s="24"/>
      <c r="AH34" s="20"/>
      <c r="AI34" s="42"/>
    </row>
    <row r="35" spans="1:35">
      <c r="A35" s="14"/>
      <c r="B35" s="20"/>
      <c r="C35" s="20"/>
      <c r="D35" s="20"/>
      <c r="E35" s="20"/>
      <c r="F35" s="20"/>
      <c r="G35" s="20"/>
      <c r="H35" s="20"/>
      <c r="I35" s="32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0"/>
      <c r="V35" s="20"/>
      <c r="W35" s="20"/>
      <c r="X35" s="20"/>
      <c r="Y35" s="20"/>
      <c r="Z35" s="20"/>
      <c r="AA35" s="20"/>
      <c r="AB35" s="20"/>
      <c r="AC35" s="24"/>
      <c r="AD35" s="24"/>
      <c r="AE35" s="24"/>
      <c r="AF35" s="24"/>
      <c r="AG35" s="24"/>
      <c r="AH35" s="20"/>
      <c r="AI35" s="42"/>
    </row>
    <row r="36" spans="1:35">
      <c r="A36" s="14"/>
      <c r="B36" s="20"/>
      <c r="C36" s="20"/>
      <c r="D36" s="20"/>
      <c r="E36" s="20"/>
      <c r="F36" s="20"/>
      <c r="G36" s="20"/>
      <c r="H36" s="20"/>
      <c r="I36" s="32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0"/>
      <c r="V36" s="20"/>
      <c r="W36" s="20"/>
      <c r="X36" s="20"/>
      <c r="Y36" s="20"/>
      <c r="Z36" s="20"/>
      <c r="AA36" s="20"/>
      <c r="AB36" s="20"/>
      <c r="AC36" s="24"/>
      <c r="AD36" s="24"/>
      <c r="AE36" s="24"/>
      <c r="AF36" s="24"/>
      <c r="AG36" s="24"/>
      <c r="AH36" s="20"/>
      <c r="AI36" s="42"/>
    </row>
    <row r="37" spans="1:35">
      <c r="A37" s="14"/>
      <c r="B37" s="20"/>
      <c r="C37" s="20"/>
      <c r="D37" s="20"/>
      <c r="E37" s="20"/>
      <c r="F37" s="20"/>
      <c r="G37" s="20"/>
      <c r="H37" s="20"/>
      <c r="I37" s="32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0"/>
      <c r="V37" s="20"/>
      <c r="W37" s="20"/>
      <c r="X37" s="20"/>
      <c r="Y37" s="20"/>
      <c r="Z37" s="20"/>
      <c r="AA37" s="20"/>
      <c r="AB37" s="20"/>
      <c r="AC37" s="24"/>
      <c r="AD37" s="24"/>
      <c r="AE37" s="24"/>
      <c r="AF37" s="24"/>
      <c r="AG37" s="24"/>
      <c r="AH37" s="20"/>
      <c r="AI37" s="42"/>
    </row>
    <row r="38" spans="1:35" s="6" customFormat="1">
      <c r="A38" s="18"/>
      <c r="B38" s="19"/>
      <c r="C38" s="19" t="s">
        <v>83</v>
      </c>
      <c r="D38" s="19"/>
      <c r="E38" s="19"/>
      <c r="F38" s="19"/>
      <c r="G38" s="19"/>
      <c r="H38" s="19"/>
      <c r="I38" s="30"/>
      <c r="J38" s="31">
        <f>SUM(J39:J49)</f>
        <v>0</v>
      </c>
      <c r="K38" s="31">
        <f>SUM(K39:K49)</f>
        <v>0</v>
      </c>
      <c r="L38" s="31">
        <f>SUM(L39:L49)</f>
        <v>0</v>
      </c>
      <c r="M38" s="31">
        <f>SUM(M39:M49)</f>
        <v>0</v>
      </c>
      <c r="N38" s="31">
        <f>SUM(N39:N49)</f>
        <v>0</v>
      </c>
      <c r="O38" s="31"/>
      <c r="P38" s="31">
        <f>SUM(P39:P49)</f>
        <v>0</v>
      </c>
      <c r="Q38" s="31">
        <f>SUM(Q39:Q49)</f>
        <v>0</v>
      </c>
      <c r="R38" s="31"/>
      <c r="S38" s="31">
        <f>SUM(S39:S49)</f>
        <v>0</v>
      </c>
      <c r="T38" s="31">
        <f>SUM(T39:T49)</f>
        <v>0</v>
      </c>
      <c r="U38" s="19"/>
      <c r="V38" s="19"/>
      <c r="W38" s="19"/>
      <c r="X38" s="19"/>
      <c r="Y38" s="19"/>
      <c r="Z38" s="19"/>
      <c r="AA38" s="19"/>
      <c r="AB38" s="19"/>
      <c r="AC38" s="31">
        <f>SUM(AC39:AC49)</f>
        <v>0</v>
      </c>
      <c r="AD38" s="31">
        <f>SUM(AD39:AD49)</f>
        <v>0</v>
      </c>
      <c r="AE38" s="31" t="e">
        <f>AVERAGE(AE39:AE49)</f>
        <v>#DIV/0!</v>
      </c>
      <c r="AF38" s="31" t="e">
        <f>AVERAGE(AF39:AF49)</f>
        <v>#DIV/0!</v>
      </c>
      <c r="AG38" s="31" t="e">
        <f>AVERAGE(AG39:AG49)</f>
        <v>#DIV/0!</v>
      </c>
      <c r="AH38" s="19"/>
      <c r="AI38" s="41"/>
    </row>
    <row r="39" spans="1:35">
      <c r="A39" s="14"/>
      <c r="B39" s="20"/>
      <c r="C39" s="20"/>
      <c r="D39" s="20"/>
      <c r="E39" s="20"/>
      <c r="F39" s="20"/>
      <c r="G39" s="20"/>
      <c r="H39" s="20"/>
      <c r="I39" s="32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0"/>
      <c r="V39" s="20"/>
      <c r="W39" s="20"/>
      <c r="X39" s="20"/>
      <c r="Y39" s="20"/>
      <c r="Z39" s="20"/>
      <c r="AA39" s="20"/>
      <c r="AB39" s="20"/>
      <c r="AC39" s="24"/>
      <c r="AD39" s="24"/>
      <c r="AE39" s="24"/>
      <c r="AF39" s="24"/>
      <c r="AG39" s="24"/>
      <c r="AH39" s="20"/>
      <c r="AI39" s="42"/>
    </row>
    <row r="40" spans="1:35">
      <c r="A40" s="14"/>
      <c r="B40" s="20"/>
      <c r="C40" s="20"/>
      <c r="D40" s="20"/>
      <c r="E40" s="20"/>
      <c r="F40" s="20"/>
      <c r="G40" s="20"/>
      <c r="H40" s="20"/>
      <c r="I40" s="32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0"/>
      <c r="V40" s="20"/>
      <c r="W40" s="20"/>
      <c r="X40" s="20"/>
      <c r="Y40" s="20"/>
      <c r="Z40" s="20"/>
      <c r="AA40" s="20"/>
      <c r="AB40" s="20"/>
      <c r="AC40" s="24"/>
      <c r="AD40" s="24"/>
      <c r="AE40" s="24"/>
      <c r="AF40" s="24"/>
      <c r="AG40" s="24"/>
      <c r="AH40" s="20"/>
      <c r="AI40" s="42"/>
    </row>
    <row r="41" spans="1:35">
      <c r="A41" s="14"/>
      <c r="B41" s="20"/>
      <c r="C41" s="20"/>
      <c r="D41" s="20"/>
      <c r="E41" s="20"/>
      <c r="F41" s="20"/>
      <c r="G41" s="20"/>
      <c r="H41" s="20"/>
      <c r="I41" s="32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0"/>
      <c r="V41" s="20"/>
      <c r="W41" s="20"/>
      <c r="X41" s="20"/>
      <c r="Y41" s="20"/>
      <c r="Z41" s="20"/>
      <c r="AA41" s="20"/>
      <c r="AB41" s="20"/>
      <c r="AC41" s="24"/>
      <c r="AD41" s="24"/>
      <c r="AE41" s="24"/>
      <c r="AF41" s="24"/>
      <c r="AG41" s="24"/>
      <c r="AH41" s="20"/>
      <c r="AI41" s="42"/>
    </row>
    <row r="42" spans="1:35">
      <c r="A42" s="14"/>
      <c r="B42" s="20"/>
      <c r="C42" s="20"/>
      <c r="D42" s="20"/>
      <c r="E42" s="20"/>
      <c r="F42" s="20"/>
      <c r="G42" s="20"/>
      <c r="H42" s="20"/>
      <c r="I42" s="32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0"/>
      <c r="V42" s="20"/>
      <c r="W42" s="20"/>
      <c r="X42" s="20"/>
      <c r="Y42" s="20"/>
      <c r="Z42" s="20"/>
      <c r="AA42" s="20"/>
      <c r="AB42" s="20"/>
      <c r="AC42" s="24"/>
      <c r="AD42" s="24"/>
      <c r="AE42" s="24"/>
      <c r="AF42" s="24"/>
      <c r="AG42" s="24"/>
      <c r="AH42" s="20"/>
      <c r="AI42" s="42"/>
    </row>
    <row r="43" spans="1:35">
      <c r="A43" s="14"/>
      <c r="B43" s="20"/>
      <c r="C43" s="20"/>
      <c r="D43" s="20"/>
      <c r="E43" s="20"/>
      <c r="F43" s="20"/>
      <c r="G43" s="20"/>
      <c r="H43" s="20"/>
      <c r="I43" s="32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0"/>
      <c r="V43" s="20"/>
      <c r="W43" s="20"/>
      <c r="X43" s="20"/>
      <c r="Y43" s="20"/>
      <c r="Z43" s="20"/>
      <c r="AA43" s="20"/>
      <c r="AB43" s="20"/>
      <c r="AC43" s="24"/>
      <c r="AD43" s="24"/>
      <c r="AE43" s="24"/>
      <c r="AF43" s="24"/>
      <c r="AG43" s="24"/>
      <c r="AH43" s="20"/>
      <c r="AI43" s="42"/>
    </row>
    <row r="44" spans="1:35">
      <c r="A44" s="14"/>
      <c r="B44" s="20"/>
      <c r="C44" s="20"/>
      <c r="D44" s="20"/>
      <c r="E44" s="20"/>
      <c r="F44" s="20"/>
      <c r="G44" s="20"/>
      <c r="H44" s="20"/>
      <c r="I44" s="32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0"/>
      <c r="V44" s="20"/>
      <c r="W44" s="20"/>
      <c r="X44" s="20"/>
      <c r="Y44" s="20"/>
      <c r="Z44" s="20"/>
      <c r="AA44" s="20"/>
      <c r="AB44" s="20"/>
      <c r="AC44" s="24"/>
      <c r="AD44" s="24"/>
      <c r="AE44" s="24"/>
      <c r="AF44" s="24"/>
      <c r="AG44" s="24"/>
      <c r="AH44" s="20"/>
      <c r="AI44" s="42"/>
    </row>
    <row r="45" spans="1:35">
      <c r="A45" s="14"/>
      <c r="B45" s="20"/>
      <c r="C45" s="20"/>
      <c r="D45" s="20"/>
      <c r="E45" s="20"/>
      <c r="F45" s="20"/>
      <c r="G45" s="20"/>
      <c r="H45" s="20"/>
      <c r="I45" s="32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0"/>
      <c r="V45" s="20"/>
      <c r="W45" s="20"/>
      <c r="X45" s="20"/>
      <c r="Y45" s="20"/>
      <c r="Z45" s="20"/>
      <c r="AA45" s="20"/>
      <c r="AB45" s="20"/>
      <c r="AC45" s="24"/>
      <c r="AD45" s="24"/>
      <c r="AE45" s="24"/>
      <c r="AF45" s="24"/>
      <c r="AG45" s="24"/>
      <c r="AH45" s="20"/>
      <c r="AI45" s="42"/>
    </row>
    <row r="46" spans="1:35">
      <c r="A46" s="14"/>
      <c r="B46" s="20"/>
      <c r="C46" s="20"/>
      <c r="D46" s="20"/>
      <c r="E46" s="20"/>
      <c r="F46" s="20"/>
      <c r="G46" s="20"/>
      <c r="H46" s="20"/>
      <c r="I46" s="32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0"/>
      <c r="V46" s="20"/>
      <c r="W46" s="20"/>
      <c r="X46" s="20"/>
      <c r="Y46" s="20"/>
      <c r="Z46" s="20"/>
      <c r="AA46" s="20"/>
      <c r="AB46" s="20"/>
      <c r="AC46" s="24"/>
      <c r="AD46" s="24"/>
      <c r="AE46" s="24"/>
      <c r="AF46" s="24"/>
      <c r="AG46" s="24"/>
      <c r="AH46" s="20"/>
      <c r="AI46" s="42"/>
    </row>
    <row r="47" spans="1:35">
      <c r="A47" s="14"/>
      <c r="B47" s="20"/>
      <c r="C47" s="20"/>
      <c r="D47" s="20"/>
      <c r="E47" s="20"/>
      <c r="F47" s="20"/>
      <c r="G47" s="20"/>
      <c r="H47" s="20"/>
      <c r="I47" s="32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0"/>
      <c r="V47" s="20"/>
      <c r="W47" s="20"/>
      <c r="X47" s="20"/>
      <c r="Y47" s="20"/>
      <c r="Z47" s="20"/>
      <c r="AA47" s="20"/>
      <c r="AB47" s="20"/>
      <c r="AC47" s="24"/>
      <c r="AD47" s="24"/>
      <c r="AE47" s="24"/>
      <c r="AF47" s="24"/>
      <c r="AG47" s="24"/>
      <c r="AH47" s="20"/>
      <c r="AI47" s="42"/>
    </row>
    <row r="48" spans="1:35">
      <c r="A48" s="14"/>
      <c r="B48" s="20"/>
      <c r="C48" s="20"/>
      <c r="D48" s="20"/>
      <c r="E48" s="20"/>
      <c r="F48" s="20"/>
      <c r="G48" s="20"/>
      <c r="H48" s="20"/>
      <c r="I48" s="32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0"/>
      <c r="V48" s="20"/>
      <c r="W48" s="20"/>
      <c r="X48" s="20"/>
      <c r="Y48" s="20"/>
      <c r="Z48" s="20"/>
      <c r="AA48" s="20"/>
      <c r="AB48" s="20"/>
      <c r="AC48" s="24"/>
      <c r="AD48" s="24"/>
      <c r="AE48" s="24"/>
      <c r="AF48" s="24"/>
      <c r="AG48" s="24"/>
      <c r="AH48" s="20"/>
      <c r="AI48" s="42"/>
    </row>
    <row r="49" spans="1:35">
      <c r="A49" s="14"/>
      <c r="B49" s="20"/>
      <c r="C49" s="20"/>
      <c r="D49" s="20"/>
      <c r="E49" s="20"/>
      <c r="F49" s="20"/>
      <c r="G49" s="20"/>
      <c r="H49" s="20"/>
      <c r="I49" s="32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0"/>
      <c r="V49" s="20"/>
      <c r="W49" s="20"/>
      <c r="X49" s="20"/>
      <c r="Y49" s="20"/>
      <c r="Z49" s="20"/>
      <c r="AA49" s="20"/>
      <c r="AB49" s="20"/>
      <c r="AC49" s="24"/>
      <c r="AD49" s="24"/>
      <c r="AE49" s="24"/>
      <c r="AF49" s="24"/>
      <c r="AG49" s="24"/>
      <c r="AH49" s="20"/>
      <c r="AI49" s="42"/>
    </row>
    <row r="50" spans="1:35" s="6" customFormat="1">
      <c r="A50" s="18"/>
      <c r="B50" s="19"/>
      <c r="C50" s="19" t="s">
        <v>84</v>
      </c>
      <c r="D50" s="19"/>
      <c r="E50" s="19"/>
      <c r="F50" s="19"/>
      <c r="G50" s="19"/>
      <c r="H50" s="19"/>
      <c r="I50" s="30"/>
      <c r="J50" s="31">
        <f>SUM(J51:J61)</f>
        <v>0</v>
      </c>
      <c r="K50" s="31">
        <f>SUM(K51:K61)</f>
        <v>0</v>
      </c>
      <c r="L50" s="31">
        <f>SUM(L51:L61)</f>
        <v>0</v>
      </c>
      <c r="M50" s="31">
        <f>SUM(M51:M61)</f>
        <v>0</v>
      </c>
      <c r="N50" s="31">
        <f>SUM(N51:N61)</f>
        <v>0</v>
      </c>
      <c r="O50" s="31"/>
      <c r="P50" s="31">
        <f>SUM(P51:P61)</f>
        <v>0</v>
      </c>
      <c r="Q50" s="31">
        <f>SUM(Q51:Q61)</f>
        <v>0</v>
      </c>
      <c r="R50" s="31"/>
      <c r="S50" s="31">
        <f>SUM(S51:S61)</f>
        <v>0</v>
      </c>
      <c r="T50" s="31">
        <f>SUM(T51:T61)</f>
        <v>0</v>
      </c>
      <c r="U50" s="19"/>
      <c r="V50" s="19"/>
      <c r="W50" s="19"/>
      <c r="X50" s="19"/>
      <c r="Y50" s="19"/>
      <c r="Z50" s="19"/>
      <c r="AA50" s="19"/>
      <c r="AB50" s="19"/>
      <c r="AC50" s="31">
        <f>SUM(AC51:AC61)</f>
        <v>0</v>
      </c>
      <c r="AD50" s="31">
        <f>SUM(AD51:AD61)</f>
        <v>0</v>
      </c>
      <c r="AE50" s="31" t="e">
        <f>AVERAGE(AE51:AE61)</f>
        <v>#DIV/0!</v>
      </c>
      <c r="AF50" s="31" t="e">
        <f>AVERAGE(AF51:AF61)</f>
        <v>#DIV/0!</v>
      </c>
      <c r="AG50" s="31" t="e">
        <f>AVERAGE(AG51:AG61)</f>
        <v>#DIV/0!</v>
      </c>
      <c r="AH50" s="19"/>
      <c r="AI50" s="41"/>
    </row>
    <row r="51" spans="1:35">
      <c r="A51" s="14"/>
      <c r="B51" s="20"/>
      <c r="C51" s="20"/>
      <c r="D51" s="20"/>
      <c r="E51" s="20"/>
      <c r="F51" s="20"/>
      <c r="G51" s="20"/>
      <c r="H51" s="20"/>
      <c r="I51" s="32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0"/>
      <c r="V51" s="20"/>
      <c r="W51" s="20"/>
      <c r="X51" s="20"/>
      <c r="Y51" s="20"/>
      <c r="Z51" s="20"/>
      <c r="AA51" s="20"/>
      <c r="AB51" s="20"/>
      <c r="AC51" s="24"/>
      <c r="AD51" s="24"/>
      <c r="AE51" s="24"/>
      <c r="AF51" s="24"/>
      <c r="AG51" s="24"/>
      <c r="AH51" s="20"/>
      <c r="AI51" s="42"/>
    </row>
    <row r="52" spans="1:35">
      <c r="A52" s="14"/>
      <c r="B52" s="20"/>
      <c r="C52" s="20"/>
      <c r="D52" s="20"/>
      <c r="E52" s="20"/>
      <c r="F52" s="20"/>
      <c r="G52" s="20"/>
      <c r="H52" s="20"/>
      <c r="I52" s="32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0"/>
      <c r="V52" s="20"/>
      <c r="W52" s="20"/>
      <c r="X52" s="20"/>
      <c r="Y52" s="20"/>
      <c r="Z52" s="20"/>
      <c r="AA52" s="20"/>
      <c r="AB52" s="20"/>
      <c r="AC52" s="24"/>
      <c r="AD52" s="24"/>
      <c r="AE52" s="24"/>
      <c r="AF52" s="24"/>
      <c r="AG52" s="24"/>
      <c r="AH52" s="20"/>
      <c r="AI52" s="42"/>
    </row>
    <row r="53" spans="1:35">
      <c r="A53" s="14"/>
      <c r="B53" s="20"/>
      <c r="C53" s="20"/>
      <c r="D53" s="20"/>
      <c r="E53" s="20"/>
      <c r="F53" s="20"/>
      <c r="G53" s="20"/>
      <c r="H53" s="20"/>
      <c r="I53" s="32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0"/>
      <c r="V53" s="20"/>
      <c r="W53" s="20"/>
      <c r="X53" s="20"/>
      <c r="Y53" s="20"/>
      <c r="Z53" s="20"/>
      <c r="AA53" s="20"/>
      <c r="AB53" s="20"/>
      <c r="AC53" s="24"/>
      <c r="AD53" s="24"/>
      <c r="AE53" s="24"/>
      <c r="AF53" s="24"/>
      <c r="AG53" s="24"/>
      <c r="AH53" s="20"/>
      <c r="AI53" s="42"/>
    </row>
    <row r="54" spans="1:35">
      <c r="A54" s="14"/>
      <c r="B54" s="20"/>
      <c r="C54" s="20"/>
      <c r="D54" s="20"/>
      <c r="E54" s="20"/>
      <c r="F54" s="20"/>
      <c r="G54" s="20"/>
      <c r="H54" s="20"/>
      <c r="I54" s="32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0"/>
      <c r="V54" s="20"/>
      <c r="W54" s="20"/>
      <c r="X54" s="20"/>
      <c r="Y54" s="20"/>
      <c r="Z54" s="20"/>
      <c r="AA54" s="20"/>
      <c r="AB54" s="20"/>
      <c r="AC54" s="24"/>
      <c r="AD54" s="24"/>
      <c r="AE54" s="24"/>
      <c r="AF54" s="24"/>
      <c r="AG54" s="24"/>
      <c r="AH54" s="20"/>
      <c r="AI54" s="42"/>
    </row>
    <row r="55" spans="1:35">
      <c r="A55" s="14"/>
      <c r="B55" s="20"/>
      <c r="C55" s="20"/>
      <c r="D55" s="20"/>
      <c r="E55" s="20"/>
      <c r="F55" s="20"/>
      <c r="G55" s="20"/>
      <c r="H55" s="20"/>
      <c r="I55" s="32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0"/>
      <c r="V55" s="20"/>
      <c r="W55" s="20"/>
      <c r="X55" s="20"/>
      <c r="Y55" s="20"/>
      <c r="Z55" s="20"/>
      <c r="AA55" s="20"/>
      <c r="AB55" s="20"/>
      <c r="AC55" s="24"/>
      <c r="AD55" s="24"/>
      <c r="AE55" s="24"/>
      <c r="AF55" s="24"/>
      <c r="AG55" s="24"/>
      <c r="AH55" s="20"/>
      <c r="AI55" s="42"/>
    </row>
    <row r="56" spans="1:35">
      <c r="A56" s="14"/>
      <c r="B56" s="20"/>
      <c r="C56" s="20"/>
      <c r="D56" s="20"/>
      <c r="E56" s="20"/>
      <c r="F56" s="20"/>
      <c r="G56" s="20"/>
      <c r="H56" s="20"/>
      <c r="I56" s="32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0"/>
      <c r="V56" s="20"/>
      <c r="W56" s="20"/>
      <c r="X56" s="20"/>
      <c r="Y56" s="20"/>
      <c r="Z56" s="20"/>
      <c r="AA56" s="20"/>
      <c r="AB56" s="20"/>
      <c r="AC56" s="24"/>
      <c r="AD56" s="24"/>
      <c r="AE56" s="24"/>
      <c r="AF56" s="24"/>
      <c r="AG56" s="24"/>
      <c r="AH56" s="20"/>
      <c r="AI56" s="42"/>
    </row>
    <row r="57" spans="1:35">
      <c r="A57" s="14"/>
      <c r="B57" s="20"/>
      <c r="C57" s="20"/>
      <c r="D57" s="20"/>
      <c r="E57" s="20"/>
      <c r="F57" s="20"/>
      <c r="G57" s="20"/>
      <c r="H57" s="20"/>
      <c r="I57" s="32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0"/>
      <c r="V57" s="20"/>
      <c r="W57" s="20"/>
      <c r="X57" s="20"/>
      <c r="Y57" s="20"/>
      <c r="Z57" s="20"/>
      <c r="AA57" s="20"/>
      <c r="AB57" s="20"/>
      <c r="AC57" s="24"/>
      <c r="AD57" s="24"/>
      <c r="AE57" s="24"/>
      <c r="AF57" s="24"/>
      <c r="AG57" s="24"/>
      <c r="AH57" s="20"/>
      <c r="AI57" s="42"/>
    </row>
    <row r="58" spans="1:35">
      <c r="A58" s="14"/>
      <c r="B58" s="20"/>
      <c r="C58" s="20"/>
      <c r="D58" s="20"/>
      <c r="E58" s="20"/>
      <c r="F58" s="20"/>
      <c r="G58" s="20"/>
      <c r="H58" s="20"/>
      <c r="I58" s="32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0"/>
      <c r="V58" s="20"/>
      <c r="W58" s="20"/>
      <c r="X58" s="20"/>
      <c r="Y58" s="20"/>
      <c r="Z58" s="20"/>
      <c r="AA58" s="20"/>
      <c r="AB58" s="20"/>
      <c r="AC58" s="24"/>
      <c r="AD58" s="24"/>
      <c r="AE58" s="24"/>
      <c r="AF58" s="24"/>
      <c r="AG58" s="24"/>
      <c r="AH58" s="20"/>
      <c r="AI58" s="42"/>
    </row>
    <row r="59" spans="1:35">
      <c r="A59" s="14"/>
      <c r="B59" s="20"/>
      <c r="C59" s="20"/>
      <c r="D59" s="20"/>
      <c r="E59" s="20"/>
      <c r="F59" s="20"/>
      <c r="G59" s="20"/>
      <c r="H59" s="20"/>
      <c r="I59" s="32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0"/>
      <c r="V59" s="20"/>
      <c r="W59" s="20"/>
      <c r="X59" s="20"/>
      <c r="Y59" s="20"/>
      <c r="Z59" s="20"/>
      <c r="AA59" s="20"/>
      <c r="AB59" s="20"/>
      <c r="AC59" s="24"/>
      <c r="AD59" s="24"/>
      <c r="AE59" s="24"/>
      <c r="AF59" s="24"/>
      <c r="AG59" s="24"/>
      <c r="AH59" s="20"/>
      <c r="AI59" s="42"/>
    </row>
    <row r="60" spans="1:35">
      <c r="A60" s="14"/>
      <c r="B60" s="20"/>
      <c r="C60" s="20"/>
      <c r="D60" s="20"/>
      <c r="E60" s="20"/>
      <c r="F60" s="20"/>
      <c r="G60" s="20"/>
      <c r="H60" s="20"/>
      <c r="I60" s="32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0"/>
      <c r="V60" s="20"/>
      <c r="W60" s="20"/>
      <c r="X60" s="20"/>
      <c r="Y60" s="20"/>
      <c r="Z60" s="20"/>
      <c r="AA60" s="20"/>
      <c r="AB60" s="20"/>
      <c r="AC60" s="24"/>
      <c r="AD60" s="24"/>
      <c r="AE60" s="24"/>
      <c r="AF60" s="24"/>
      <c r="AG60" s="24"/>
      <c r="AH60" s="20"/>
      <c r="AI60" s="42"/>
    </row>
    <row r="61" spans="1:35">
      <c r="A61" s="14"/>
      <c r="B61" s="20"/>
      <c r="C61" s="20"/>
      <c r="D61" s="20"/>
      <c r="E61" s="20"/>
      <c r="F61" s="20"/>
      <c r="G61" s="20"/>
      <c r="H61" s="20"/>
      <c r="I61" s="32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0"/>
      <c r="V61" s="20"/>
      <c r="W61" s="20"/>
      <c r="X61" s="20"/>
      <c r="Y61" s="20"/>
      <c r="Z61" s="20"/>
      <c r="AA61" s="20"/>
      <c r="AB61" s="20"/>
      <c r="AC61" s="24"/>
      <c r="AD61" s="24"/>
      <c r="AE61" s="24"/>
      <c r="AF61" s="24"/>
      <c r="AG61" s="24"/>
      <c r="AH61" s="20"/>
      <c r="AI61" s="42"/>
    </row>
  </sheetData>
  <mergeCells count="8">
    <mergeCell ref="H4:H6"/>
    <mergeCell ref="H7:I7"/>
    <mergeCell ref="H8:I8"/>
    <mergeCell ref="A10:C10"/>
    <mergeCell ref="D10:S10"/>
    <mergeCell ref="U10:Z10"/>
    <mergeCell ref="AA10:AD10"/>
    <mergeCell ref="AE10:AI10"/>
  </mergeCells>
  <conditionalFormatting sqref="L4:L8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A27:S37 A39:S49 A51:S61 A15:S25 U15:AI25 U51:AI61 U39:AI49 U27:AI37">
    <cfRule type="containsBlanks" dxfId="17" priority="4">
      <formula>LEN(TRIM(A15))=0</formula>
    </cfRule>
  </conditionalFormatting>
  <conditionalFormatting sqref="F15:F25 F27:F37 F39:F49 F51:F61">
    <cfRule type="duplicateValues" dxfId="16" priority="5"/>
  </conditionalFormatting>
  <conditionalFormatting sqref="G15:G25 G27:G37 G39:G49 G51:G61">
    <cfRule type="duplicateValues" dxfId="15" priority="6"/>
  </conditionalFormatting>
  <conditionalFormatting sqref="H15:H25 H27:H37 H39:H49 H51:H61">
    <cfRule type="duplicateValues" dxfId="14" priority="7"/>
  </conditionalFormatting>
  <conditionalFormatting sqref="T27:T37 T39:T49 T51:T61 T15:T25">
    <cfRule type="containsBlanks" dxfId="13" priority="1">
      <formula>LEN(TRIM(T15))=0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Fishing Gear</vt:lpstr>
      <vt:lpstr>Fingerling Distributed</vt:lpstr>
      <vt:lpstr>Seaweed Propagules</vt:lpstr>
      <vt:lpstr>SW Nurseries establsihed</vt:lpstr>
      <vt:lpstr>PH Equipment</vt:lpstr>
      <vt:lpstr>Market Development Services</vt:lpstr>
      <vt:lpstr>Permit Issuance</vt:lpstr>
      <vt:lpstr>Fishery Facilities and Products</vt:lpstr>
      <vt:lpstr>Trainings</vt:lpstr>
      <vt:lpstr>TA</vt:lpstr>
      <vt:lpstr>TechnoDemo</vt:lpstr>
      <vt:lpstr>IEC Materials Distributed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renzp</dc:creator>
  <cp:lastModifiedBy>BFAD</cp:lastModifiedBy>
  <cp:lastPrinted>2022-10-10T16:39:02Z</cp:lastPrinted>
  <dcterms:created xsi:type="dcterms:W3CDTF">2022-02-24T06:39:03Z</dcterms:created>
  <dcterms:modified xsi:type="dcterms:W3CDTF">2022-12-29T16:13:04Z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3FB5FA90170343308454FC1DC69CD413</vt:lpwstr>
  </property>
  <property fmtid="{D5CDD505-2E9C-101B-9397-08002B2CF9AE}" pid="3" name="KSOProductBuildVer">
    <vt:lpwstr>1033-11.2.0.10463</vt:lpwstr>
  </property>
</Properties>
</file>